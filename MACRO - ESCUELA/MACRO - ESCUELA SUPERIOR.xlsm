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oaguila\Desktop\MACRO - ESCUELA\"/>
    </mc:Choice>
  </mc:AlternateContent>
  <xr:revisionPtr revIDLastSave="0" documentId="13_ncr:1_{B76B1263-856D-4AAC-B89D-A3D069F6A343}" xr6:coauthVersionLast="47" xr6:coauthVersionMax="47" xr10:uidLastSave="{00000000-0000-0000-0000-000000000000}"/>
  <bookViews>
    <workbookView xWindow="0" yWindow="0" windowWidth="28800" windowHeight="15600" tabRatio="771" activeTab="2" xr2:uid="{00000000-000D-0000-FFFF-FFFF00000000}"/>
  </bookViews>
  <sheets>
    <sheet name="REGISTRO GENERAL" sheetId="14" r:id="rId1"/>
    <sheet name="RUC" sheetId="24" r:id="rId2"/>
    <sheet name="FORMS" sheetId="23" r:id="rId3"/>
    <sheet name="REGISTRO" sheetId="12" r:id="rId4"/>
    <sheet name="ALUMNO" sheetId="17" r:id="rId5"/>
    <sheet name="PDF" sheetId="15" r:id="rId6"/>
    <sheet name="CORRESPONDENCIA" sheetId="20" r:id="rId7"/>
    <sheet name="FICHA DE DATOS" sheetId="25" state="hidden" r:id="rId8"/>
    <sheet name="INDICADORES" sheetId="9" state="hidden" r:id="rId9"/>
  </sheets>
  <definedNames>
    <definedName name="_xlnm._FilterDatabase" localSheetId="0" hidden="1">'REGISTRO GENERAL'!$4:$1048576</definedName>
    <definedName name="_xlnm._FilterDatabase" localSheetId="1" hidden="1">RUC!$4:$1048576</definedName>
    <definedName name="_xlnm.Criteria" localSheetId="0">'REGISTRO GENERAL'!$C$1:$C$2</definedName>
    <definedName name="_xlnm.Criteria" localSheetId="1">RUC!$C$1:$C$2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7" l="1"/>
  <c r="T4" i="17"/>
  <c r="S3" i="17"/>
  <c r="S4" i="17"/>
  <c r="R3" i="17"/>
  <c r="R4" i="17"/>
  <c r="D3" i="25"/>
  <c r="J3" i="25" s="1"/>
  <c r="C3" i="25"/>
  <c r="B3" i="25"/>
  <c r="A3" i="25"/>
  <c r="F11" i="14"/>
  <c r="F9" i="14"/>
  <c r="G7" i="14"/>
  <c r="G5" i="14"/>
  <c r="F5" i="14"/>
  <c r="C6" i="12"/>
  <c r="K3" i="25" l="1"/>
  <c r="H3" i="25"/>
  <c r="E3" i="25"/>
  <c r="I3" i="25"/>
  <c r="AP2" i="15"/>
  <c r="Q3" i="17"/>
  <c r="Q4" i="17"/>
  <c r="P3" i="17"/>
  <c r="P4" i="17"/>
  <c r="O3" i="17"/>
  <c r="O4" i="17"/>
  <c r="N3" i="17"/>
  <c r="N4" i="17"/>
  <c r="M3" i="17"/>
  <c r="M4" i="17"/>
  <c r="L3" i="17"/>
  <c r="L4" i="17"/>
  <c r="K3" i="17"/>
  <c r="K4" i="17"/>
  <c r="J3" i="17"/>
  <c r="J4" i="17"/>
  <c r="I3" i="17"/>
  <c r="I4" i="17"/>
  <c r="H3" i="17"/>
  <c r="H4" i="17"/>
  <c r="F3" i="17"/>
  <c r="F4" i="17"/>
  <c r="E3" i="17"/>
  <c r="G3" i="17" s="1"/>
  <c r="E4" i="17"/>
  <c r="G4" i="17" s="1"/>
  <c r="D3" i="17"/>
  <c r="D4" i="17"/>
  <c r="F7" i="14"/>
  <c r="C30" i="12"/>
  <c r="AJ3" i="15"/>
  <c r="AO3" i="15" s="1"/>
  <c r="AK3" i="15"/>
  <c r="C4" i="17"/>
  <c r="C2" i="24"/>
  <c r="C3" i="17"/>
  <c r="AP2" i="20"/>
  <c r="F6" i="12"/>
  <c r="AQ2" i="20"/>
  <c r="AR2" i="20"/>
  <c r="AU2" i="20"/>
  <c r="AJ2" i="15"/>
  <c r="AO2" i="15" s="1"/>
  <c r="AK2" i="15"/>
  <c r="AS2" i="20" l="1"/>
  <c r="AT2" i="20" s="1"/>
  <c r="AP3" i="15"/>
  <c r="AL2" i="15"/>
  <c r="AL3" i="15"/>
  <c r="AN2" i="15"/>
  <c r="AM2" i="15"/>
  <c r="AM3" i="15"/>
  <c r="AN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reporte_matr_nrc_202310" description="Conexión a la consulta 'reporte_matr_nrc_202310' en el libro." type="5" refreshedVersion="8" background="1" saveData="1">
    <dbPr connection="Provider=Microsoft.Mashup.OleDb.1;Data Source=$Workbook$;Location=reporte_matr_nrc_202310;Extended Properties=&quot;&quot;" command="SELECT * FROM [reporte_matr_nrc_202310]"/>
  </connection>
</connections>
</file>

<file path=xl/sharedStrings.xml><?xml version="1.0" encoding="utf-8"?>
<sst xmlns="http://schemas.openxmlformats.org/spreadsheetml/2006/main" count="66210" uniqueCount="21189">
  <si>
    <t>CARRERA</t>
  </si>
  <si>
    <t>DNI</t>
  </si>
  <si>
    <t>IND-UFP ELECTROTECNIA</t>
  </si>
  <si>
    <t>ZONAL LIMA-CALLAO</t>
  </si>
  <si>
    <t>S4</t>
  </si>
  <si>
    <t>S5</t>
  </si>
  <si>
    <t>S6</t>
  </si>
  <si>
    <t>S2</t>
  </si>
  <si>
    <t>EEID</t>
  </si>
  <si>
    <t>S3</t>
  </si>
  <si>
    <t>EEIT</t>
  </si>
  <si>
    <t>Instrum y Control de Proc Ind</t>
  </si>
  <si>
    <t>EICD</t>
  </si>
  <si>
    <t>EMIT</t>
  </si>
  <si>
    <t>ERCD</t>
  </si>
  <si>
    <t>S7</t>
  </si>
  <si>
    <t>S8</t>
  </si>
  <si>
    <t>HIDALGO ALVARADO JONATHAN</t>
  </si>
  <si>
    <t>ID</t>
  </si>
  <si>
    <t>ESTUDIANTE</t>
  </si>
  <si>
    <t>SEMESTRE</t>
  </si>
  <si>
    <t>RUC</t>
  </si>
  <si>
    <t>RAZON SOCIAL</t>
  </si>
  <si>
    <t>DIRECCION</t>
  </si>
  <si>
    <t>ACTIVIDAD</t>
  </si>
  <si>
    <t>CARGO</t>
  </si>
  <si>
    <t>DEPARTAMENTO</t>
  </si>
  <si>
    <t>DISTRITO</t>
  </si>
  <si>
    <t>PROVINCIA</t>
  </si>
  <si>
    <t>TIPO DE VINCULACION</t>
  </si>
  <si>
    <t>LIMA</t>
  </si>
  <si>
    <t>CAÑETE</t>
  </si>
  <si>
    <t>MALA</t>
  </si>
  <si>
    <t>EXSA S A</t>
  </si>
  <si>
    <t>LURIN</t>
  </si>
  <si>
    <t>SANTIAGO DE SURCO</t>
  </si>
  <si>
    <t>GERENTE</t>
  </si>
  <si>
    <t>CHORRILLOS</t>
  </si>
  <si>
    <t>SAN JUAN DE MIRAFLORES</t>
  </si>
  <si>
    <t>SURQUILLO</t>
  </si>
  <si>
    <t>LURIGANCHO</t>
  </si>
  <si>
    <t>LA VICTORIA</t>
  </si>
  <si>
    <t>GERENTE GENERAL</t>
  </si>
  <si>
    <t>SAN JUAN DE LURIGANCHO</t>
  </si>
  <si>
    <t>MAGDALENA VIEJA</t>
  </si>
  <si>
    <t>LOS OLIVOS</t>
  </si>
  <si>
    <t>OTRAS ACTIVIDADES PROFESIONALES, CIENTÍFICAS Y TÉCNICAS N.C.P.</t>
  </si>
  <si>
    <t>MAGDALENA DEL MAR</t>
  </si>
  <si>
    <t>HUAROCHIRI</t>
  </si>
  <si>
    <t>CHICLA</t>
  </si>
  <si>
    <t>COMAS</t>
  </si>
  <si>
    <t>ATE</t>
  </si>
  <si>
    <t>SANTA ANITA</t>
  </si>
  <si>
    <t>CONSERVAS RICOFRES S.R.L.</t>
  </si>
  <si>
    <t>HUARAL</t>
  </si>
  <si>
    <t>CHANCAY</t>
  </si>
  <si>
    <t>TRANSPORTE DE CARGA POR CARRETERA</t>
  </si>
  <si>
    <t>TITULAR-GERENTE</t>
  </si>
  <si>
    <t>CARABAYLLO</t>
  </si>
  <si>
    <t>ACTIVIDADES DE ARQUITECTURA E INGENIERÍA Y ACTIVIDADES CONEXAS DE CONSULTORÍA TÉCNICA</t>
  </si>
  <si>
    <t>VILLA EL SALVADOR</t>
  </si>
  <si>
    <t>ICA</t>
  </si>
  <si>
    <t>CHINCHA</t>
  </si>
  <si>
    <t>SOLUGRIFOS S.A.C.</t>
  </si>
  <si>
    <t>SAN MIGUEL</t>
  </si>
  <si>
    <t>SAN LUIS</t>
  </si>
  <si>
    <t>CONFECCIONES TEXTIMAX S A</t>
  </si>
  <si>
    <t>CALLAO</t>
  </si>
  <si>
    <t>VILLA MARIA DEL TRIUNFO</t>
  </si>
  <si>
    <t>FERREYROS SOCIEDAD ANÓNIMA</t>
  </si>
  <si>
    <t>DIAZ PRO GONZALO</t>
  </si>
  <si>
    <t>CORPORACION INDUSTRIAL LOSARO S.A.C.</t>
  </si>
  <si>
    <t>SAN MARTIN DE PORRES</t>
  </si>
  <si>
    <t>JEFE</t>
  </si>
  <si>
    <t>LA MOLINA</t>
  </si>
  <si>
    <t>PUENTE PIEDRA</t>
  </si>
  <si>
    <t>SUB GERENTE</t>
  </si>
  <si>
    <t>VENTA AL POR MAYOR DE OTROS TIPOS DE MAQUINARIA Y EQUIPO</t>
  </si>
  <si>
    <t>FABRICA DE CUBIERTOS SAC</t>
  </si>
  <si>
    <t>EL AGUSTINO</t>
  </si>
  <si>
    <t>SAN BORJA</t>
  </si>
  <si>
    <t>CARMEN DE LA LEGUA REYNOSO</t>
  </si>
  <si>
    <t>FABRICA MARSAR SRL</t>
  </si>
  <si>
    <t>VENTA AL POR MENOR DE OTROS PRODUCTOS NUEVOS EN COMERCIOS ESPECIALIZADOS</t>
  </si>
  <si>
    <t>TEXFINA S A</t>
  </si>
  <si>
    <t>PACHACAMAC</t>
  </si>
  <si>
    <t>MIRAFLORES</t>
  </si>
  <si>
    <t>OTRAS ACTIVIDADES DE SERVICIOS PERSONALES N.C.P.</t>
  </si>
  <si>
    <t>INDEPENDENCIA</t>
  </si>
  <si>
    <t>TRIPLEA COMPANY S.A.C.</t>
  </si>
  <si>
    <t>AV. MICHAEL FARADAY NRO. 485 URB. LOTIZACION IND.SANTA ROSA (AMPLIAC.II ETAPA-COSTADO SALCH.ALEMANA) LIMA - LIMA - ATE</t>
  </si>
  <si>
    <t>ADMINISTRADOR</t>
  </si>
  <si>
    <t>CHILCA</t>
  </si>
  <si>
    <t>JUNIN</t>
  </si>
  <si>
    <t>VENTANILLA</t>
  </si>
  <si>
    <t>REFINERIA LA PAMPILLA S.A.A</t>
  </si>
  <si>
    <t>COMPAÑIA GOODYEAR DEL PERU S.A.</t>
  </si>
  <si>
    <t>REPARACIÓN DE MAQUINARIA</t>
  </si>
  <si>
    <t>RECOLSA S A</t>
  </si>
  <si>
    <t>AREQUIPA</t>
  </si>
  <si>
    <t>PROPIETARIO</t>
  </si>
  <si>
    <t>MANTENIMIENTO Y REPARACIÓN DE VEHÍCULOS AUTOMOTORES</t>
  </si>
  <si>
    <t>FABRICACION DE PRODUCTOS METALICOS PARA USO ESTRUCTURAL</t>
  </si>
  <si>
    <t>ANCON</t>
  </si>
  <si>
    <t>VENTA AL POR MAYOR DE MATERIALES DE CONSTRUCCIÓN, ARTÍCULOS DE FERRETERÍA Y EQUIPO Y MATERIALES DE FONTANERÍA Y CALEFACCIÓN</t>
  </si>
  <si>
    <t>CEI INGENIEROS S.R.LTDA.</t>
  </si>
  <si>
    <t>OTRAS ACTIVIDADES DE TRANSPORTE POR VÍA TERRESTRE</t>
  </si>
  <si>
    <t>BADINOTTI PERU S.A.</t>
  </si>
  <si>
    <t>PREMIER ELECTRIC SRL</t>
  </si>
  <si>
    <t>PAPELERA REYES S.A.C</t>
  </si>
  <si>
    <t>BREÑA</t>
  </si>
  <si>
    <t>FABRICACIONES E INSTALACIONES ELECTRO MECANICAS DEL PERU S.A.C. - FIEMEC SAC</t>
  </si>
  <si>
    <t>CAYMAN S.A.C.</t>
  </si>
  <si>
    <t>BARRANCO</t>
  </si>
  <si>
    <t>SNACKS AMERICA LATINA S.R.L.</t>
  </si>
  <si>
    <t>TITULAR GERENTE</t>
  </si>
  <si>
    <t>VENTA AL POR MAYOR NO ESPECIALIZADA</t>
  </si>
  <si>
    <t>AUCALLAMA</t>
  </si>
  <si>
    <t>FMREM S.R.L.</t>
  </si>
  <si>
    <t>DIRECTOR</t>
  </si>
  <si>
    <t>CUPRICA S.A.C.</t>
  </si>
  <si>
    <t>LA PUNTA</t>
  </si>
  <si>
    <t>ISO INSTITUTE LATIN AMERICA E.I.R.L.</t>
  </si>
  <si>
    <t>PUNTA NEGRA</t>
  </si>
  <si>
    <t>GESTION Y EJECUCION EN SISTEMAS ELECTROMECANICOS S.A.C. - GESELEC S.A.C.</t>
  </si>
  <si>
    <t>TECNOLOGIA UNIVERSAL S.A.C.</t>
  </si>
  <si>
    <t>ROMERO MORENO SARA CATALINA</t>
  </si>
  <si>
    <t>RIMAC</t>
  </si>
  <si>
    <t>SERVICIOS INDUSTRIALES DE LA MARINA S.A.</t>
  </si>
  <si>
    <t>G &amp; M ELECTRIC INDUSTRIALS S.A.C.</t>
  </si>
  <si>
    <t>GEKA CORP S.A.C</t>
  </si>
  <si>
    <t>OEM ELECTRIC SOCIEDAD ANONIMA CERRADA</t>
  </si>
  <si>
    <t>RODRIGUEZ RABANAL RUBEN DARIO</t>
  </si>
  <si>
    <t>SUDAMERICANA DE FIBRAS S.A.</t>
  </si>
  <si>
    <t>MI PERU</t>
  </si>
  <si>
    <t>SAN ISIDRO</t>
  </si>
  <si>
    <t>OVERWARE TECHNOLOGY S.A.C.</t>
  </si>
  <si>
    <t>ELECTRO FELIX E.I.R.L.</t>
  </si>
  <si>
    <t>SEDE</t>
  </si>
  <si>
    <t>IMPERIAL</t>
  </si>
  <si>
    <t>GERENTE ADMINISTRATIVO</t>
  </si>
  <si>
    <t>EXIMPORT DISTRIBUIDORES DEL PERU S A</t>
  </si>
  <si>
    <t>R&amp;G PROYECTOS DE INGENIERIA Y SERVICIOS GENERALES S.A.C.</t>
  </si>
  <si>
    <t>BELLAVISTA</t>
  </si>
  <si>
    <t>AT ENERGY S.A.C</t>
  </si>
  <si>
    <t>NUEVO IMPERIAL</t>
  </si>
  <si>
    <t>SEGUNDO</t>
  </si>
  <si>
    <t>LINCE</t>
  </si>
  <si>
    <t>ASIA</t>
  </si>
  <si>
    <t>LUNAHUANA</t>
  </si>
  <si>
    <t>QUILMANA</t>
  </si>
  <si>
    <t>INSTALACION MANTENIMIENTO SUMINISTROS ELECTRICOS Y CONTRATISTAS GENERALES EMPRESA INDIVIDUAL DE RESP</t>
  </si>
  <si>
    <t>JESUS MARIA</t>
  </si>
  <si>
    <t>LA PERLA</t>
  </si>
  <si>
    <t>EMB SOLUCIONES ELECTRICAS SOCIEDAD COMERCIAL DE RESPONSABILIDAD LIMITADA</t>
  </si>
  <si>
    <t>SAN ANTONIO</t>
  </si>
  <si>
    <t>PUCUSANA</t>
  </si>
  <si>
    <t>ZUÑIGA</t>
  </si>
  <si>
    <t>X</t>
  </si>
  <si>
    <t>SAN MATEO</t>
  </si>
  <si>
    <t>HUANCAYO</t>
  </si>
  <si>
    <t>REQUE PERU S.A.C.</t>
  </si>
  <si>
    <t>ENVIRONMENTAL S.A.</t>
  </si>
  <si>
    <t>JBC ELECTRICIDAD MINERA &amp; INDUSTRIAL S.A.C. - JBC EMIN S.A.C.</t>
  </si>
  <si>
    <t>CAL.JOAQUIN INCLAN NRO. 112 URB. ALTO LOS FICUS LIMA - LIMA - SANTA ANITA</t>
  </si>
  <si>
    <t>PERUTEST S.A.C.</t>
  </si>
  <si>
    <t>ALIAGA TORRES MANUEL ALEJANDRO</t>
  </si>
  <si>
    <t>AGRO INDUSTRIAL PARAMONGA S.A.A.</t>
  </si>
  <si>
    <t>BARRANCA</t>
  </si>
  <si>
    <t>PARAMONGA</t>
  </si>
  <si>
    <t>HUAURA</t>
  </si>
  <si>
    <t>HUACHO</t>
  </si>
  <si>
    <t>ELECTRO SERVICIOS HUAURA E.I.R.L.</t>
  </si>
  <si>
    <t>CALETA DE CARQUIN</t>
  </si>
  <si>
    <t>SANTA MARIA</t>
  </si>
  <si>
    <t>VEGUETA</t>
  </si>
  <si>
    <t>SAYAN</t>
  </si>
  <si>
    <t>SUPE PUERTO</t>
  </si>
  <si>
    <t>COBRA PERU S.A</t>
  </si>
  <si>
    <t>HUALMAY</t>
  </si>
  <si>
    <t>SUPE</t>
  </si>
  <si>
    <t>OYON</t>
  </si>
  <si>
    <t>SANTA LEONOR</t>
  </si>
  <si>
    <t>ANCASH</t>
  </si>
  <si>
    <t>HUARI</t>
  </si>
  <si>
    <t>SAN MARCOS</t>
  </si>
  <si>
    <t>INGENAC EMPRESA INDIVIDUAL DE RESPONSABILIDAD LIMITADA - INGENAC E.I.R.L.</t>
  </si>
  <si>
    <t>PATIVILCA</t>
  </si>
  <si>
    <t>FAMESA EXPLOSIVOS S.A.C.</t>
  </si>
  <si>
    <t>HUARMEY</t>
  </si>
  <si>
    <t>COCHAMARCA</t>
  </si>
  <si>
    <t>C &amp; C ELECTROINGENIERIA S.A.C</t>
  </si>
  <si>
    <t>PESQUERA PELAYO S.A.C.</t>
  </si>
  <si>
    <t>2512 - FABRICACIÓN DE TANQUES, DEPÓSITOS Y RECIPIENTES DE METAL</t>
  </si>
  <si>
    <t>EMPRESA DE SERVICIOS ELECTRICOS MUNICIPALES DE PARAMONGA S.A. - EMSEM S.A.</t>
  </si>
  <si>
    <t>SANTA EULALIA</t>
  </si>
  <si>
    <t>ALTA MAQUINARIA Y MINERIA S.A.C. - ALTAMIN S.A.C.</t>
  </si>
  <si>
    <t>JR. SANTA LEONOR NRO. 6465 URB. SANTA LUISA LIMA - LIMA - SAN MARTIN DE PORRES</t>
  </si>
  <si>
    <t>MI TECNICO PC SAC</t>
  </si>
  <si>
    <t>PACKPLAST ENVOLTURAS SOCIEDAD ANONIMA CERRADA - PACKPLAST ENVOLTURAS S.A.C.</t>
  </si>
  <si>
    <t>EMPRESA METAL MECANICA S A EMEMSA</t>
  </si>
  <si>
    <t>CUSCO</t>
  </si>
  <si>
    <t>ZQ INGENIEROS PERU S.A.C.</t>
  </si>
  <si>
    <t>ASOCIE INSTRUMENTOS E.I.R.L.</t>
  </si>
  <si>
    <t>CARTONES VILLA MARINA S.A.</t>
  </si>
  <si>
    <t>FRESOMAC S.A.C.</t>
  </si>
  <si>
    <t>CCARHUAYPIÑA HUAMANRIMACHI FREDY</t>
  </si>
  <si>
    <t>MEDIFARMA S A</t>
  </si>
  <si>
    <t>TERMO COOL SYSTEM SOCIEDAD ANONIMA CERRADA</t>
  </si>
  <si>
    <t>APODERADO</t>
  </si>
  <si>
    <t>ASCENSORES S A</t>
  </si>
  <si>
    <t>SAN FERNANDO S.A.</t>
  </si>
  <si>
    <t>PERUPLAST S A</t>
  </si>
  <si>
    <t>HANDEL WELT S.A.C.</t>
  </si>
  <si>
    <t>PUNTA HERMOSA</t>
  </si>
  <si>
    <t>CIFARMA S.A.C.</t>
  </si>
  <si>
    <t>CONFIPETROL ANDINA S.A.</t>
  </si>
  <si>
    <t>MOLITALIA S.A</t>
  </si>
  <si>
    <t>GRUPO SANTA ELENA S.A.</t>
  </si>
  <si>
    <t>TOTAL WEIGHT &amp; SYSTEMS S.A.C.</t>
  </si>
  <si>
    <t>ELECTROMECANICA EL DETALLE SRL</t>
  </si>
  <si>
    <t>METROLOGIA E INSTRUMENTACION INDUSTRIAL S.A.C. - METRINDUST S.A.C.</t>
  </si>
  <si>
    <t>SURCO</t>
  </si>
  <si>
    <t>OPP FILM S.A.</t>
  </si>
  <si>
    <t>LAIVE S A</t>
  </si>
  <si>
    <t>DELTA GRUAS S.A.C.</t>
  </si>
  <si>
    <t>CONSORCIO IMPORT SERVICE GROUP S.A.C. - CISG S.A.C.</t>
  </si>
  <si>
    <t>JR. LAS ADELFAS NRO. 837 URB. LAS FLORES LIMA - LIMA - SAN JUAN DE LURIGANCHO</t>
  </si>
  <si>
    <t>FERCO MEDICAL S.A.C.</t>
  </si>
  <si>
    <t>FILASUR S.A.</t>
  </si>
  <si>
    <t>INGENIEROS FRIOTEMP S.A.C.</t>
  </si>
  <si>
    <t>HORMAQ INDUSTRIES S.A.C.</t>
  </si>
  <si>
    <t>ASENCIOS BERNARDILLO LOURDES ERLY</t>
  </si>
  <si>
    <t>SAN BARTOLO</t>
  </si>
  <si>
    <t>TELLO SIFUENTES BELERMINA</t>
  </si>
  <si>
    <t>GRUPO DE CONTRATISTAS INTERNACIONALES S.A.C. - GRUCOIN S.A.C.</t>
  </si>
  <si>
    <t>LUVEGI INGENIEROS S.A.C.</t>
  </si>
  <si>
    <t>GIUSTI KELLER MAURICIO</t>
  </si>
  <si>
    <t>SERVICIOS ELECTROMECANICOS INDUSTRIALES Y PROYECTOS EN GENERAL E.I.R.L. - SEIPGE E.I.R.L.</t>
  </si>
  <si>
    <t>RENGIFO SOTO RIDLEY</t>
  </si>
  <si>
    <t>OL FACILITIES MANAGEMENT S.R.L. - OL FM S.R.L.</t>
  </si>
  <si>
    <t>NEWPORT CAPITAL S.A.C.</t>
  </si>
  <si>
    <t>RTC ELECTRIC S.A.C.</t>
  </si>
  <si>
    <t>CAL.ALBIZIAS. MZA. F LOTE. 12 URB. PRLG.SAN IGNACIO DE LOYOLA MONTERRICO (URB. SAN IGNACIO DE LOYOLA MONTERRICO-SU) LIMA - LIMA - SANTIAGO DE SURCO</t>
  </si>
  <si>
    <t>ELECTRONICA INDUSTRIAL Y SERVICIOS SOCIEDAD ANONIMA CERRADA</t>
  </si>
  <si>
    <t>INDUSTRIAL CROMOTEX S A</t>
  </si>
  <si>
    <t>C &amp; Z INGENIERIA DE SERVICIOS SOCIEDAD ANONIMA CERRADA - C &amp; Z INGENIERIA DE SERVICIOS S.A.C.</t>
  </si>
  <si>
    <t>ALGODONERA PERUANA S.A.C</t>
  </si>
  <si>
    <t>SERVICIOS Y VENTAS EN ELECTRICIDAD INDUSTRIAL RESIDENCIAL EIRL - SERVELIR EIRL</t>
  </si>
  <si>
    <t>CARRION TENORIO ABEL RICARDO</t>
  </si>
  <si>
    <t>CIENEGUILLA</t>
  </si>
  <si>
    <t>TEJIDOS JORGITO S.A.C.</t>
  </si>
  <si>
    <t>MEGABANDA S.A.C.</t>
  </si>
  <si>
    <t>WITECH SOLUTIONS S.A.C.</t>
  </si>
  <si>
    <t>AV. GUARDIA CIVIL NRO. 638 URB. LA CAMPIÑA ZONA CUATRO LIMA - LIMA - CHORRILLOS</t>
  </si>
  <si>
    <t>ADMINISTRACION DE PROPIEDADES Y MANTENIMIENTO S.A.C.</t>
  </si>
  <si>
    <t>TABLEROS INDUSTRIALES S.A.C.</t>
  </si>
  <si>
    <t>TOMAS</t>
  </si>
  <si>
    <t>VENTA AL POR MAYOR DE ALIMENTOS, BEBIDAS Y TABACO</t>
  </si>
  <si>
    <t>MECATRONICA &amp; SERVICIOS S.A.C.</t>
  </si>
  <si>
    <t>UNIVERSIDAD NACIONAL MAYOR DE SAN MARCOS</t>
  </si>
  <si>
    <t>VASCO TECHNOLOGIES S.A.C.</t>
  </si>
  <si>
    <t>JR. MELITON CARBAJAL NRO. 311 URB. INGENIERIA LIMA - LIMA - SAN MARTIN DE PORRES</t>
  </si>
  <si>
    <t>INSTALACIONES DE FONTANERÍA, CALEFACCIÓN Y AIRE ACONDICIONADO</t>
  </si>
  <si>
    <t>LABOTEC PERU S.A.C.</t>
  </si>
  <si>
    <t>INDUSTRIAS EUROPEAS S.A.C.</t>
  </si>
  <si>
    <t>CHINCHA BAJA</t>
  </si>
  <si>
    <t>CERAMICA LIMA S A</t>
  </si>
  <si>
    <t>DP WORLD LOGISTICS S.R.L.</t>
  </si>
  <si>
    <t>LAMBAYEQUE</t>
  </si>
  <si>
    <t>CHICLAYO</t>
  </si>
  <si>
    <t>STA CRUZ ELECTRIC INGENIERIA S.A.C - SACREL-ING S.A.C</t>
  </si>
  <si>
    <t>CLIMAYRE S.A.C</t>
  </si>
  <si>
    <t>INSTALACIONES ELÉCTRICAS</t>
  </si>
  <si>
    <t>TECNIGAS CORPORACION S.A. - TECNICOR S.A.</t>
  </si>
  <si>
    <t>FABRICACIÓN DE OTROS TIPOS DE EQUIPO ELÉCTRICO</t>
  </si>
  <si>
    <t>LIVES S.A.C</t>
  </si>
  <si>
    <t>TOPY TOP S A</t>
  </si>
  <si>
    <t>MOTORES DIESEL ANDINOS S.A.- MODASA</t>
  </si>
  <si>
    <t>PAPELERA NACIONAL S A</t>
  </si>
  <si>
    <t>CHACLACAYO</t>
  </si>
  <si>
    <t>INDUSTRIAS SURCO S R LTDA</t>
  </si>
  <si>
    <t>ESMERALDA CORP S.A.C.</t>
  </si>
  <si>
    <t>QUEZADA CORONADO LUIS ANGEL</t>
  </si>
  <si>
    <t>INDUSTRIAS NETTALCO S.A.</t>
  </si>
  <si>
    <t>LA LIBERTAD</t>
  </si>
  <si>
    <t>TRUJILLO</t>
  </si>
  <si>
    <t>TEC-CONECTOR S.A.C.</t>
  </si>
  <si>
    <t>REPARACIÓN DE APARATOS ELECTRÓNICOS DE CONSUMO</t>
  </si>
  <si>
    <t>RD HIDRAULICA S.R.L.</t>
  </si>
  <si>
    <t>PIURA</t>
  </si>
  <si>
    <t>GRUPO DE SERVICIOS SENIOR E.I.R.L.</t>
  </si>
  <si>
    <t>HAUG S.A.</t>
  </si>
  <si>
    <t>ELECTRO CONDUCTORES PERUANOS S.A.C</t>
  </si>
  <si>
    <t>BUS SERVICE AUTOMOTRIZ S.A.C</t>
  </si>
  <si>
    <t>VALDEZ PACHAS JUANZHIÑO JUNIOR</t>
  </si>
  <si>
    <t>A &amp; L INDUSTRIES PERU S.R.L. - A &amp; L INDPERU S.R.L.</t>
  </si>
  <si>
    <t>ALQUILER Y ARRENDAMIENTO DE OTROS TIPOS DE MAQUINARIA, EQUIPO Y BIENES TANGIBLES</t>
  </si>
  <si>
    <t>AIR COOL SYSTEM SM S.A.C.</t>
  </si>
  <si>
    <t>PRECOTEX S.A.C.</t>
  </si>
  <si>
    <t>HIDROSTAL S A</t>
  </si>
  <si>
    <t>POLINDUSTRIA S A</t>
  </si>
  <si>
    <t>CONSULTORIO FISIOTERAPEUTICO RECUPERATE S.A.C.</t>
  </si>
  <si>
    <t>CORPORACION JMC CONTRATISTAS GENERALES S.A.C.</t>
  </si>
  <si>
    <t>FATCOM S.A.C.</t>
  </si>
  <si>
    <t>WILLY BUSCH SCRL</t>
  </si>
  <si>
    <t>CARDIOMED DEL PERU SAC</t>
  </si>
  <si>
    <t>ANTEL COMUNICACIONES &amp; OUTSOURCING PERU S.A.C.</t>
  </si>
  <si>
    <t>KAIZEN MINING &amp; CONSTRUCTION S.A.C.</t>
  </si>
  <si>
    <t>I.E. NUEVO PERU</t>
  </si>
  <si>
    <t>UNIVERSIDAD NACIONAL AGRARIA LA MOLINA</t>
  </si>
  <si>
    <t>FCA NAC DE ACUMULADORES ETNA S A</t>
  </si>
  <si>
    <t>PEGASO TRADE SAC</t>
  </si>
  <si>
    <t>INVERSIONES CASA LIMA S.A.C.</t>
  </si>
  <si>
    <t>MASTERCOL S.A.</t>
  </si>
  <si>
    <t>INVERSIONES NORLIMA SOCIEDAD ANONIMA</t>
  </si>
  <si>
    <t>MULTISERVICIOS LLO &amp; MAR S.A.C.</t>
  </si>
  <si>
    <t>MOLINO EL TRIUNFO S A</t>
  </si>
  <si>
    <t>INVERSIONES GENERALES DELCO S.R.L.</t>
  </si>
  <si>
    <t>ELECTROCOMPRESORES LIMA S.A.C.</t>
  </si>
  <si>
    <t>PROSELET SOCIEDAD ANONIMA CERRADA</t>
  </si>
  <si>
    <t>JC INICON E.I.R.L.</t>
  </si>
  <si>
    <t>MANUFACTURAS AMERICA E I R L</t>
  </si>
  <si>
    <t>INDUSTRIAL PRODUCTS DISTRIBUTION S.A.C</t>
  </si>
  <si>
    <t>GRUPO MAS CONTRATISTAS E.I.R.L. - GRUMAS CONTRATISTAS E.I.R.L.</t>
  </si>
  <si>
    <t>RESEFER MANUFACTURING S.A.C.</t>
  </si>
  <si>
    <t>PRAMA INGENIEROS S.A.C.</t>
  </si>
  <si>
    <t>EQUIPAMED PERU SOCIEDAD ANONIMA CERRADA</t>
  </si>
  <si>
    <t>PJ. BOSQUE DE CONIFERAS MZA. I LOTE. 12 URB. SAN IGNACIO DE LOYOLA LIMA - LIMA - SANTIAGO DE SURCO</t>
  </si>
  <si>
    <t>CLIMANT S.A.C.</t>
  </si>
  <si>
    <t>MARVIC INGENIERIA Y SERVICIOS S.A.C.</t>
  </si>
  <si>
    <t>APQ SOLUCIONES EN LINEA E.I.R.L.</t>
  </si>
  <si>
    <t>ECAPERU SOCIEDAD ANONIMA CERRADA-ECAPERU S.A.C.</t>
  </si>
  <si>
    <t>V&amp;M FIGUEROA INGENIEROS S.A.C.</t>
  </si>
  <si>
    <t>CAL.LAS CAMELIAS NRO. 109 URB. SANTA ROSA DE QUIVES LIMA - LIMA - SANTA ANITA</t>
  </si>
  <si>
    <t>SERVICIOS GENERALES MOTOR SOLUTION SAC</t>
  </si>
  <si>
    <t>AGF PERU S.A.</t>
  </si>
  <si>
    <t>CAL.GERMÁN SCHREIBER NRO. 276 INT. 240 URB. SANTA ANA (ENTRE CUADRA 1 Y 2 DE CANAVAL Y MOREYRA) LIMA - LIMA - SAN ISIDRO</t>
  </si>
  <si>
    <t>CONFECCIONES LANCASTER S A</t>
  </si>
  <si>
    <t>JR. PROLONG HUAMANGA NRO. 890 URB. MATUTE SUR LIMA - LIMA - LA VICTORIA</t>
  </si>
  <si>
    <t>YOBEL SUPPLY CHAIN MANAGEMENT S.A.</t>
  </si>
  <si>
    <t>INDOTECH SAC</t>
  </si>
  <si>
    <t>VHARJEP S.A.C.</t>
  </si>
  <si>
    <t>COFACO INDUSTRIES S.A.C.</t>
  </si>
  <si>
    <t>C&amp;L INDUSTRIAS S.A.C.</t>
  </si>
  <si>
    <t>DELVISER E.I.R.L.</t>
  </si>
  <si>
    <t>DISTRIBUIDORA HERCO S.A.C.</t>
  </si>
  <si>
    <t>S &amp; R SOLUTION SERVICE S.A.C.</t>
  </si>
  <si>
    <t>ANTALIS TFM S.A.</t>
  </si>
  <si>
    <t>SERVICIOS INTEGRALES DE MANTENIMIENTO MAFBA S.A.C</t>
  </si>
  <si>
    <t>LARC SYSTEMS INVERSIONES S.A.C.</t>
  </si>
  <si>
    <t>CORPORACION GEN S.A.</t>
  </si>
  <si>
    <t>DRITSA INGENIEROS SOCIEDAD ANÓNIMA CERRADA - DRITSA S.A.C.</t>
  </si>
  <si>
    <t>EMBOTELLADORA GRACO S.A.C.</t>
  </si>
  <si>
    <t>REFRIGERACION ROBERT E.I.R.L.</t>
  </si>
  <si>
    <t>PRODUCTOS PARAISO DEL PERU S.A.C.</t>
  </si>
  <si>
    <t>INVERSIONES GLOBALES ELIAS SOCIEDAD ANONIMA CERRADA</t>
  </si>
  <si>
    <t>FABRICACIONES ELECTRICAS GENERALES EIRL</t>
  </si>
  <si>
    <t>ENRIQUE CHAMPAC INGENIEROS S.A.C.</t>
  </si>
  <si>
    <t>SOFTWARE ENTERPRISE SERVICES SOCIEDAD ANONIMA CERRADA</t>
  </si>
  <si>
    <t>ANDES SOLUTIONS GROUP E.I.R.L.</t>
  </si>
  <si>
    <t>INDUSTRIAS REVA GAS S.A.C.</t>
  </si>
  <si>
    <t>CERAMICOS PERUANOS S A</t>
  </si>
  <si>
    <t>SEIN S.R.L.</t>
  </si>
  <si>
    <t>KOSSODO METROLOGIA S.A.C.</t>
  </si>
  <si>
    <t>SUMMIT S.A.C.</t>
  </si>
  <si>
    <t>TERMO SISTEMAS S.A.C.</t>
  </si>
  <si>
    <t>RIVERA SANTOS BUENAVENTURA FELIX</t>
  </si>
  <si>
    <t>MOTOR CLUB E.I.R.L.</t>
  </si>
  <si>
    <t>ELECTRO INDUSTRIAL SOLUTIONS S.A</t>
  </si>
  <si>
    <t>B &amp; B LIMSA S.A.C.</t>
  </si>
  <si>
    <t>SERVICIOS E INSTALACIONES SUAREZ S.A.C.</t>
  </si>
  <si>
    <t>FERROPOWER E.I.R.L.</t>
  </si>
  <si>
    <t>FABRICACIÓN DE MOTORES, GENERADORES Y TRANSFORMADORES ELÉCTRICOS Y APARATOS DE DISTRIBUCIÓN Y CONTROL DE LA ENERGÍA ELÉCTRICA</t>
  </si>
  <si>
    <t>EMPRESA EDITORA EL COMERCIO S.A.</t>
  </si>
  <si>
    <t>INVERSIONES PANADERIA &amp; PASTELERIA DOMINICOS EMPRESA INDIVIDUAL DE RESPONSABILIDAD LIMITADA</t>
  </si>
  <si>
    <t>PRODUCE HUARAL S.A.C.</t>
  </si>
  <si>
    <t>L&amp;N REPRESENTACIONES DIESEL S.A.C.</t>
  </si>
  <si>
    <t>KUNTUR PUMP S.A.C.</t>
  </si>
  <si>
    <t>COMERC Y SERV DE ACCESORIOS NACIONALES S.A.C.</t>
  </si>
  <si>
    <t>TIRADO GUERRERO ALEX TITO</t>
  </si>
  <si>
    <t>IGINSA HYDRO PERU S.A.C.</t>
  </si>
  <si>
    <t>INDELAT SAC</t>
  </si>
  <si>
    <t>SERVICIOS DE PROCESOS GENERALES S.A.C.</t>
  </si>
  <si>
    <t>TECNICAS EN INGENIERIA OLEOHIDRAULICAS S.A.C.</t>
  </si>
  <si>
    <t>J.I. CORPOTECH E.I.R.L.</t>
  </si>
  <si>
    <t>TEXTIL SAN RAMON S A</t>
  </si>
  <si>
    <t>MODAS DIVERSAS DEL PERU SAC</t>
  </si>
  <si>
    <t>GIARDINO ALIMENTOS S.R.L.</t>
  </si>
  <si>
    <t>JMA COMPANY S.A.C.</t>
  </si>
  <si>
    <t>D &amp; P EQUIPMENT S.A.C.</t>
  </si>
  <si>
    <t>INVERSIONES PAEM S.A.C</t>
  </si>
  <si>
    <t>DISTRIBUIDORA DE CARNES MIRJOL SOCIEDAD ANONIMA CERRADA</t>
  </si>
  <si>
    <t>SAN JUAN RENAL CENTER EMPRESA INDIVIDUAL DE RESPONSABILIDAD LIMITADA - SAN JUAN RENAL CENTER E.I.R.L</t>
  </si>
  <si>
    <t>APISERVI S.A.C.</t>
  </si>
  <si>
    <t>CIA INDUSTRIAL LIMA S A CILSA</t>
  </si>
  <si>
    <t>INGENIERIA DE TELECOMUNICACIONES Y SEGURIDAD ELECTRONICA PERU S.A.C. - INTELSE PERU S.A.C.</t>
  </si>
  <si>
    <t>SANTA ROSA</t>
  </si>
  <si>
    <t>XIMYA SOLUCIONES &amp; SERVICIOS S.A.C. - XIMYA-S &amp; S S.A.C.</t>
  </si>
  <si>
    <t>MANTENIMIENTO Y PROYECTOS ESPECIALES S.A.C</t>
  </si>
  <si>
    <t>D &amp; ARKAM SOCIEDAD ANÓNIMA CERRADA - D &amp; ARKAM S.A.C</t>
  </si>
  <si>
    <t>VENTA AL POR MAYOR DE EQUIPO, PARTES Y PIEZAS ELECTRÓNICOS Y DE TELECOMUNICACIONES</t>
  </si>
  <si>
    <t>COMPUTECNO SAC</t>
  </si>
  <si>
    <t>TECNOLOGIA ELECTRICA Y AUTOMATIZACION S.A.C. - TECEL AUTOMATIZACION S.A.C</t>
  </si>
  <si>
    <t>UNSIHUAY BALVIN ANGEL CLAUDIO</t>
  </si>
  <si>
    <t>INDUSTRIAL WALON SOCIEDAD ANONIMA CERRADA - INDUSTRIAL WALON S.A.C.</t>
  </si>
  <si>
    <t>MANUFACTURAS ELECTRICAS S A</t>
  </si>
  <si>
    <t>BSH ELECTRODOMESTICOS SAC</t>
  </si>
  <si>
    <t>CORONEL RAUL ALBERTO</t>
  </si>
  <si>
    <t>FABRICA DE RESISTENCIAS ELECTRICAS SAC</t>
  </si>
  <si>
    <t>ONRAN S.A.C.</t>
  </si>
  <si>
    <t>VALVERDE ORTEGA GILMER CIRO</t>
  </si>
  <si>
    <t>ELECTRONICA LARA S.A.C.</t>
  </si>
  <si>
    <t>AVILA COMERCIAL S.R.L.</t>
  </si>
  <si>
    <t>DINAMIKA GROUP S.A.C.</t>
  </si>
  <si>
    <t>PRODUCTOS DE ACERO CASSADO SA PRODAC SA</t>
  </si>
  <si>
    <t>REFRYMAR PERU S.A.C.</t>
  </si>
  <si>
    <t>GARAY COBEÑAS JAVIER</t>
  </si>
  <si>
    <t>AGTD CAPACITACIONES S.A.C.</t>
  </si>
  <si>
    <t>TECNOSEALS S.A.C.</t>
  </si>
  <si>
    <t>COMPAÑIA TEXTIL WG S.A.C.</t>
  </si>
  <si>
    <t>SCHROTH CORPORACION PAPELERA S.A.C.</t>
  </si>
  <si>
    <t>INGREDION PERU S.A.</t>
  </si>
  <si>
    <t>FARAX PERU E.I.R.L.</t>
  </si>
  <si>
    <t>CUENCA BAUTISTA CHRISTIAN PAUL</t>
  </si>
  <si>
    <t>R &amp; G VIVIR BIEN E.I.R.L.</t>
  </si>
  <si>
    <t>SERVICIOS INDUSTRIALES Y METROLOGICOS S.A.C. - SIMSAC</t>
  </si>
  <si>
    <t>SANTA CRUZ DE COCACHACRA</t>
  </si>
  <si>
    <t>BARTORI S.A.C.</t>
  </si>
  <si>
    <t>GRUPO GOES S.A.C.</t>
  </si>
  <si>
    <t>ELECTRO G &amp; S INGENIEROS S.A.C</t>
  </si>
  <si>
    <t>SCAF CONTROL SYSTEMS S.A.C.</t>
  </si>
  <si>
    <t>S &amp; V SERVICIOS INDUSTRIALES SOCIEDAD COMERCIAL DE RESPONSABILIDAD LIMITADA-S &amp; V SERVICIOS INDUSTRI</t>
  </si>
  <si>
    <t>IA TECHNOLOGY S.A.C.</t>
  </si>
  <si>
    <t>GEYSER COLOR S.A.</t>
  </si>
  <si>
    <t>SMC CORPORATION PERU S.A.C.</t>
  </si>
  <si>
    <t>TECNOLOGIA METALURGICA ANDINA SOCIEDAD ANONIMA CERRADA</t>
  </si>
  <si>
    <t>MAGIC SIGN S.A.C.</t>
  </si>
  <si>
    <t>NEGOCIOS AGROINDUSTRIALES LOS FERROLES SOCIEDAD ANONIMA CERRADA</t>
  </si>
  <si>
    <t>AWJ INGENIEROS E.I.R.L.</t>
  </si>
  <si>
    <t>ALMENDRADES FALCON WALTER JHONATAN</t>
  </si>
  <si>
    <t>VIGO ROLANDO EU CARLINHO</t>
  </si>
  <si>
    <t>ASCENSORES TECNICOS ASOCIADOS SAC</t>
  </si>
  <si>
    <t>CCIMA SEÑALIZACIONES S.A.C.</t>
  </si>
  <si>
    <t>EJERCITO PERUANO</t>
  </si>
  <si>
    <t>JORMANT E.I.R.L.</t>
  </si>
  <si>
    <t>BOARDS ELECTRIC S.A.C.</t>
  </si>
  <si>
    <t>CALDERAS ECOLOGICAS LGG S.A.C.</t>
  </si>
  <si>
    <t>KALLPA INFINITY PERU S.A.C.</t>
  </si>
  <si>
    <t>SERCORGEN S.R.LTDA.</t>
  </si>
  <si>
    <t>INTRADEVCO INDUSTRIAL S.A.</t>
  </si>
  <si>
    <t>DELTA INGENIERIA ELECTRICA S.R.L.</t>
  </si>
  <si>
    <t>MULTTI MAS S.A.C.</t>
  </si>
  <si>
    <t>AINGINAC S.A.C</t>
  </si>
  <si>
    <t>MULTI SERVICE GROUP E.I.R.L.</t>
  </si>
  <si>
    <t>CLIMA EQUIPAMIENTO S.A.C.</t>
  </si>
  <si>
    <t>PACKAGING PRODUCTS DEL PERU S.A.</t>
  </si>
  <si>
    <t>MANTENIMIENTO Y PROYECTOS MECATRONICOS E.I.R.L.</t>
  </si>
  <si>
    <t>OTAZU VASQUEZ LUZ MARINA</t>
  </si>
  <si>
    <t>HIPERMERCADOS TOTTUS S.A</t>
  </si>
  <si>
    <t>INVERSIONES SEULL SOCIEDAD ANONIMA CERRADA</t>
  </si>
  <si>
    <t>INGENIERIA DE TELECOMUNICACIONES Y ELECTRICA S.A.C.</t>
  </si>
  <si>
    <t>ELECTRO INDUSTRIAL J &amp; A S.A.C.</t>
  </si>
  <si>
    <t>INGENIERIA FLOSYTEC S.A.C.</t>
  </si>
  <si>
    <t>GRUPO TARRILLO E.I.R.L.</t>
  </si>
  <si>
    <t>TEXTIL VARGATEX SAC.</t>
  </si>
  <si>
    <t>INVERSIONES Y SERVICIOS OKART S.A.C.</t>
  </si>
  <si>
    <t>UNIMAR S A</t>
  </si>
  <si>
    <t>SERVOPACK ELECTRIC E.I.R.L.</t>
  </si>
  <si>
    <t>SOCIETY ELECTRIC S.A.C.</t>
  </si>
  <si>
    <t>ASCENSORES DISEÑO Y TECNOLOGIA NACIONAL S.A.C.</t>
  </si>
  <si>
    <t>FRI COLD S.A.C.</t>
  </si>
  <si>
    <t>R Y W NAGO S.A.C.</t>
  </si>
  <si>
    <t>G &amp; G ARQUITECTOS S.A.C.</t>
  </si>
  <si>
    <t>TK ELEVADORES PERU S.A.C. - TK ELEVADORES PERÚ</t>
  </si>
  <si>
    <t>CARNOT CLIMATIZACION S.A.C.</t>
  </si>
  <si>
    <t>RM AIRE ACONDICIONADO Y REFRIGERACION S.A.C.</t>
  </si>
  <si>
    <t>SERVICIOS INDUSTRIALES DC S.R.L.</t>
  </si>
  <si>
    <t>E.K. HIDRO SOLUTIONS SOCIEDAD ANONIMA CERRADA</t>
  </si>
  <si>
    <t>FERMAX PRESTIGE S.A.C.</t>
  </si>
  <si>
    <t>BMR SOPORTE INDUSTRIAL S.A.C.</t>
  </si>
  <si>
    <t>BOLIVAR CUELLAR ELIAS</t>
  </si>
  <si>
    <t>F &amp; L MULTISERVICIOS SALVADOR S.A.C.</t>
  </si>
  <si>
    <t>SMC CORPORATION S.A.C.</t>
  </si>
  <si>
    <t>POZZUOLI URBINA ALANA JULISSA</t>
  </si>
  <si>
    <t>COMPRESORES INDUSTRIALES S.A.C.</t>
  </si>
  <si>
    <t>INDUSTRIAS ARGUELLES Y SERVICIOS GENERALES SOCIEDAD ANONIMA CERRADA</t>
  </si>
  <si>
    <t>RODALVA S.R.L.</t>
  </si>
  <si>
    <t>FABRICA DE CINTAS ARBONA S A</t>
  </si>
  <si>
    <t>SERVICIOS GENERALES Y ELECTRICIDAD INDUSTRIAL S.R.L</t>
  </si>
  <si>
    <t>LIGHTS SYSTEM PERU E.I.R.L</t>
  </si>
  <si>
    <t>F.Q. INGENIEROS S.A.C.</t>
  </si>
  <si>
    <t>COMPAÑIA ELECTROMECANICA TESLA S.A.C.</t>
  </si>
  <si>
    <t>DH EMPRESAS PERU S.A.</t>
  </si>
  <si>
    <t>RTM COLD SERVICE S.A.C.</t>
  </si>
  <si>
    <t>TECNOLOGIA INDUSTRIAL MERCANTIL S.A.</t>
  </si>
  <si>
    <t>ELECTROMECANICA VIÑAK E.I.R.L.</t>
  </si>
  <si>
    <t>ALLIN GROUP - JAVIER PRADO S.A.</t>
  </si>
  <si>
    <t>DCS CONTROL S.A.C.</t>
  </si>
  <si>
    <t>INGENIERIA DE MANTENIMIENTO Y SERVICIOS GENERALES SOCIEDAD ANONIMA CERRADA - IMSEG S.A.C.</t>
  </si>
  <si>
    <t>MANUFACTURAS ELECTRO MECANICAS S.A.C.-MAELMEC S.A.C.</t>
  </si>
  <si>
    <t>CM SERVICE E.I.R.L.</t>
  </si>
  <si>
    <t>CLIMALAB SAC</t>
  </si>
  <si>
    <t>FLORES ARQUIÑO MITCHEL GUILLERMO</t>
  </si>
  <si>
    <t>AEI S.R.L.</t>
  </si>
  <si>
    <t>ALVARADO CANCHIS JUAN RAUL JOSE</t>
  </si>
  <si>
    <t>COMPRESORES AIRCOM S.A.C. - COMAIR</t>
  </si>
  <si>
    <t>GRUPO JOVALCO SOCIEDAD COMERCIAL DE RESPONSABILIDAD LIMITADA</t>
  </si>
  <si>
    <t>AGUA SISTEMAS PERUANA SAC</t>
  </si>
  <si>
    <t>SEINCO INSTALACIONES S.A.C.</t>
  </si>
  <si>
    <t>WAIRA SYSTEM SOCIEDAD ANONIMA CERRADA</t>
  </si>
  <si>
    <t>MEDROCK CORPORATION SOCIEDAD ANONIMA CERRADA</t>
  </si>
  <si>
    <t>HURTADO PAZOS MARCO ANTONIO</t>
  </si>
  <si>
    <t>MEGA FRIO SERVACYR S.A.C.</t>
  </si>
  <si>
    <t>WORLD SERVICIOS INDUSTRIALES E.I.R.LTDA</t>
  </si>
  <si>
    <t>QUASAR INDUSTRIAS ELECTROMECANICAS S.A.C</t>
  </si>
  <si>
    <t>GANOZA REYES MELVA DORIS</t>
  </si>
  <si>
    <t>G&amp;D PROYECTOS E&amp;L S.A.C.</t>
  </si>
  <si>
    <t>MANTENIMIENTO Y SERVICIOS INDUSTRIALES DEDICADOS PLUS E.I.R.L-MANTPLUS E.I.R.L.</t>
  </si>
  <si>
    <t>SERVICIO CAMPO RAYME S.A.C.</t>
  </si>
  <si>
    <t>CEVAL AUTOMATION E.I.R.L.</t>
  </si>
  <si>
    <t>SOLUCIONES E INGENIERIA ELECTRICA EN TRANSFORMADORES SOCIEDAD ANONIMA CERRADA-SOLIET S.A.C.</t>
  </si>
  <si>
    <t>OLIVOS SERVICE S.A.C.</t>
  </si>
  <si>
    <t>FRITERM PERU S.A.C.</t>
  </si>
  <si>
    <t>TEXTILES VIRGINIA S.R.L.</t>
  </si>
  <si>
    <t>POLYCLIMA DEL PERU SOCIEDAD ANONIMA CERRADA</t>
  </si>
  <si>
    <t>GRUPO ONCE S.A.C.</t>
  </si>
  <si>
    <t>ELABORACIÓN DE PRODUCTOS DE PANADERÍA</t>
  </si>
  <si>
    <t>ROUILLON GARCIA IGNACIO MANUEL</t>
  </si>
  <si>
    <t>AA PERU TECHNOLOGY S.A.C.</t>
  </si>
  <si>
    <t>AEM TECHNOLOGY EIRL</t>
  </si>
  <si>
    <t>TEXTIL DEL VALLE SOCIEDAD ANONIMA DE BENEFICIO E INTERES COLECTIVO</t>
  </si>
  <si>
    <t>PLASTICOS DEL CENTRO S.A.C.</t>
  </si>
  <si>
    <t>QUICK TOOLS E.I.R.L.</t>
  </si>
  <si>
    <t>CORPORACION SONIC ELECTRONICS S.A.C.</t>
  </si>
  <si>
    <t>ABEXA CLOUD COMPANY SOCIEDAD ANONIMA CERRADA</t>
  </si>
  <si>
    <t>COLD AIR PERU S.A.C.</t>
  </si>
  <si>
    <t>COLD AIR SOLUTIONS S.A.C.</t>
  </si>
  <si>
    <t>SPECIALIZED METROLOGY CENTER S.A.C.</t>
  </si>
  <si>
    <t>DELTA 500 E.I.R.L.</t>
  </si>
  <si>
    <t>AIRCLIM PERU E.I.R.L.</t>
  </si>
  <si>
    <t>MEGA &amp; OZONO S.A.C.</t>
  </si>
  <si>
    <t>DUAZA ASOCIADOS S.R.L.</t>
  </si>
  <si>
    <t>ACL GENERAL SERVICES S.A.C.</t>
  </si>
  <si>
    <t>SERVING COMPANY S.A.C</t>
  </si>
  <si>
    <t>DUEÑAS VASQUEZ JIM GREGORY</t>
  </si>
  <si>
    <t>DISPELZA S.A.C.</t>
  </si>
  <si>
    <t>JOSE HAMADA PROYECTOS Y SERVICIOS GENERALES S.A.C.</t>
  </si>
  <si>
    <t>KIKAI INGENIEROS S.A.C.</t>
  </si>
  <si>
    <t>RJ ELECTRIC S.A.C.</t>
  </si>
  <si>
    <t>R &amp; M SEGURIDAD ELECTRONICA S.A.C.</t>
  </si>
  <si>
    <t>CELECTRO E.I.R.L.</t>
  </si>
  <si>
    <t>TEST &amp; CONTROL S.A.C.</t>
  </si>
  <si>
    <t>FMA SERVICIOS INDUSTRIALES S.A.C.</t>
  </si>
  <si>
    <t>JOVALCO INGENIEROS S.R.L</t>
  </si>
  <si>
    <t>MC. ELECTRONICS S.A.C.</t>
  </si>
  <si>
    <t>CORDOVA ARCOS MARCOS</t>
  </si>
  <si>
    <t>INDUSTRIAL CODIFICATION SAC</t>
  </si>
  <si>
    <t>MW ELECTRICAL S.A.</t>
  </si>
  <si>
    <t>J Y G REFRIGERACION S.A.</t>
  </si>
  <si>
    <t>ELECTRONICA INTEGRAL SUR S.A.C. - ELECINSUR S.A.C.</t>
  </si>
  <si>
    <t>SERVICIOS INTEGRALES CORPORATIVOS GENESIS S.A.C. - SERINCORG S.A.C.</t>
  </si>
  <si>
    <t>MEKIPA S.A.C</t>
  </si>
  <si>
    <t>INVERSIONES INNOVA G&amp;D S.A.C.</t>
  </si>
  <si>
    <t>SERVICIOS DE MANTENIMIENTO JERIEL E.I.R.L.</t>
  </si>
  <si>
    <t>CORDERO MANRIQUE EVER GLICERIO</t>
  </si>
  <si>
    <t>TECHNOLOGYHYDRAULIC AND SERVICE S.A.C.</t>
  </si>
  <si>
    <t>FULL INDUSTRIAL SOLUTIONS PERU SOCIEDAD ANONIMA CERRADA</t>
  </si>
  <si>
    <t>FERNANDEZ BRAVO ELMER</t>
  </si>
  <si>
    <t>JHA E.I.R.L.</t>
  </si>
  <si>
    <t>ELECTRO SERVICE HUARAL E.I.R.L.</t>
  </si>
  <si>
    <t>DIMATIC S.A.C</t>
  </si>
  <si>
    <t>SIMME ELECTRIC E.I.R.L.</t>
  </si>
  <si>
    <t>JJ GUILLEN SERVICIOS GENERALES S.A.C.</t>
  </si>
  <si>
    <t>SOLTECYG S.R.L.</t>
  </si>
  <si>
    <t>TINOCO VALDIVIA JORGE LUIS</t>
  </si>
  <si>
    <t>PUCHKATEX SOCIEDAD ANONIMA CERRADA</t>
  </si>
  <si>
    <t>AUCALLAMA BEACH CLUB S.A.C.</t>
  </si>
  <si>
    <t>BUSINESS BUILDINGS SERVICES S.A.C.</t>
  </si>
  <si>
    <t>FRIO AGRO INDUSTRIAL S.R.L. - FRIAGRO S.R.L.</t>
  </si>
  <si>
    <t>ELECTRONIC SECURITY SYSTEMS S.A.C.</t>
  </si>
  <si>
    <t>VYT CONTRATISTAS SOCIEDAD ANONIMA CERRADA - VYT CONTRATISTAS S.A.C.</t>
  </si>
  <si>
    <t>EQUIPAMIENTOS D &amp; M S.A.C.</t>
  </si>
  <si>
    <t>DISEC SOCIEDAD COMERCIAL DE RESPONSABILIDAD LIMITADA DISEC SRL</t>
  </si>
  <si>
    <t>CORPORACION TEXTIL DEL SUR S.A.C.</t>
  </si>
  <si>
    <t>MAQUINARIA ALEMANA S.A.C.</t>
  </si>
  <si>
    <t>SEGURYTEC E INGENIERIA S.A.C.</t>
  </si>
  <si>
    <t>CONTROLNET PROYECTOS S.A.C.</t>
  </si>
  <si>
    <t>AVV INGENIEROS PERU S.A.C.</t>
  </si>
  <si>
    <t>AB CONTROL &amp; SYSTEMS SOCIEDAD ANONIMA CERRADA</t>
  </si>
  <si>
    <t>BAZAN BARRETO ALEX JIMMY</t>
  </si>
  <si>
    <t>T &amp; E WORLD COMPANY S.A.C.</t>
  </si>
  <si>
    <t>PROJECT AUTOMATION PERU S.A.C.</t>
  </si>
  <si>
    <t>SEPCOSEL E.I.R.L.</t>
  </si>
  <si>
    <t>SEMAREL SRL</t>
  </si>
  <si>
    <t>R &amp; M FRIOTEC PERU S.R.L.</t>
  </si>
  <si>
    <t>MULTISERVICIOS D &amp; D E.I.R.L.</t>
  </si>
  <si>
    <t>ELECTRO REBOBINADOS INDUSTRIALES Y MINEROS RIOS E.I.R.L.</t>
  </si>
  <si>
    <t>TECNOLOGIA EN MECANICA Y AUTOMATIZACION ELECTRICA T-MAC S.A.C.</t>
  </si>
  <si>
    <t>L &amp; C CLIMA SOLUCIONES GENERALES S.A.C.</t>
  </si>
  <si>
    <t>ELECTRIC POWER CORPORATION SOCIEDAD ANONIMA - ELECTRIC POWER CORPORATION S.A.</t>
  </si>
  <si>
    <t>JARA QUIROZ RAUL</t>
  </si>
  <si>
    <t>CAL.LOS SAUCES MZA. F LOTE. 5 URB. CANTOGRANDE LIMA - LIMA - SAN JUAN DE LURIGANCHO</t>
  </si>
  <si>
    <t>COMPAÑÍA DE PRODUCTOS MECANICOS S.A.C</t>
  </si>
  <si>
    <t>J C B MANTENIMIENTO Y PROYECTOS S.A.C.-JCBMP S.A.C.</t>
  </si>
  <si>
    <t>LUMEN INGENIERIA S.A.C.</t>
  </si>
  <si>
    <t>JM SECURITY GLOBAL PERU S.A.C.</t>
  </si>
  <si>
    <t>INELECTRI S.A.C</t>
  </si>
  <si>
    <t>COLONIO PASTRANA HUMBERTO ELVIS</t>
  </si>
  <si>
    <t>AUTOTEC PERU CORPORATION S.A.C.</t>
  </si>
  <si>
    <t>HONGKONG CONSTRUCCIONES INTEGRALES E.I.R.L</t>
  </si>
  <si>
    <t>WATT ELECTRIC CRISTOBAL S.A.C.</t>
  </si>
  <si>
    <t>ANDET S.A.C.</t>
  </si>
  <si>
    <t>JP CONTROLS ELECTRIC E.I.R.L.</t>
  </si>
  <si>
    <t>Q &amp; C ELECTROTECNIA INDUSTRIAL S.A.C.</t>
  </si>
  <si>
    <t>ALUMINIOS INYECTADOS TECNICOS SOCIEDAD ANONIMA CERRADA - ALUMINTEC SAC</t>
  </si>
  <si>
    <t>METROLOGIA &amp; TECNICAS S.A.C. - METRO TECNICAS S.A.C.</t>
  </si>
  <si>
    <t>PRODUCTOS LASSER S.A.C.</t>
  </si>
  <si>
    <t>SANTILLAN MORI ARMANDO</t>
  </si>
  <si>
    <t>GERENTE DE FINANZAS</t>
  </si>
  <si>
    <t>CORPORACION DEL DISEÑO FABRICACION AUTOMATIZACION Y MANTENIMIENTO SAC</t>
  </si>
  <si>
    <t>IZAYA SOCIEDAD ANONIMA CERRADA</t>
  </si>
  <si>
    <t>EL TAMBO</t>
  </si>
  <si>
    <t>EQUIPOS ELECTROINDUSTRIALES SA</t>
  </si>
  <si>
    <t>ACOIELSAC</t>
  </si>
  <si>
    <t>ELECTRICOM SOLUCIONES ELECTRICAS EN COMUNICACIONES S.A.C.</t>
  </si>
  <si>
    <t>ACE ELECTRONICS S.A.C</t>
  </si>
  <si>
    <t>MOGOLLON MARAVI HUMBERTO LEONARDO</t>
  </si>
  <si>
    <t>JV &amp; M SERVICIOS GENERALES S.A.C.</t>
  </si>
  <si>
    <t>SADANY GRAF S.A.C.</t>
  </si>
  <si>
    <t>INVERSIONES INDELSA S.A.C.</t>
  </si>
  <si>
    <t>ELECTRONICS POWER PACK S.A.C.</t>
  </si>
  <si>
    <t>C &amp; J MARINE E.I.R.L.</t>
  </si>
  <si>
    <t>TECNOLOGIA INTEGRAL DE PESAJE PERU S.A.C</t>
  </si>
  <si>
    <t>ELECTRICA OPTIMIZACION S.A.</t>
  </si>
  <si>
    <t>CAL.LAS GOLONDRINAS NRO. 447 LIMA - LIMA - SANTA ANITA</t>
  </si>
  <si>
    <t>REVASA SERVICIOS GENERALES EMPRESA INDIVIDUAL DE RESPONSABILIDAD LIMITADA</t>
  </si>
  <si>
    <t>GROUND PERU S.A.C.</t>
  </si>
  <si>
    <t>ZAVACOR S.A.C</t>
  </si>
  <si>
    <t>ECO-TECH CORPORATION S.A.C.</t>
  </si>
  <si>
    <t>CALIOMET S.R.L.</t>
  </si>
  <si>
    <t>ORTIZ VARGAS MACHUCA ARTURO</t>
  </si>
  <si>
    <t>AGL INGENIEROS S.A.C.</t>
  </si>
  <si>
    <t>ELECTRO VOLT INGENIEROS S.A</t>
  </si>
  <si>
    <t>CABINETS &amp; RACKS SOCIEDAD ANONIMA CERRADA</t>
  </si>
  <si>
    <t>TECNOLOGIA TEXTIL S.A.</t>
  </si>
  <si>
    <t>GRUPO YELCON S.A.C.</t>
  </si>
  <si>
    <t>DASHA TECNICA E.I.R.L.</t>
  </si>
  <si>
    <t>HIGH PRECISION CONTROL SAC</t>
  </si>
  <si>
    <t>MAKEEYCE S.A.C.</t>
  </si>
  <si>
    <t>TS PROESA S.A.C.</t>
  </si>
  <si>
    <t>LABORATORIOS ELIFARMA S A</t>
  </si>
  <si>
    <t>AV. SEPARADORA INDUSTRIAL NRO. 1823 URB. EL ARTESANO (FRENTE A LA CLINICA MONTEFIORI) LIMA - LIMA - ATE</t>
  </si>
  <si>
    <t>V Y P ICE SOCIEDAD ANONIMA CERRADA</t>
  </si>
  <si>
    <t>ELECTRICISTA</t>
  </si>
  <si>
    <t>AIRVENT PERU S.A.C.</t>
  </si>
  <si>
    <t>FOURID S.A.C.</t>
  </si>
  <si>
    <t>JLR PERU S.A.C.</t>
  </si>
  <si>
    <t>ARTESCO S.A.</t>
  </si>
  <si>
    <t>CRENTERIA S.A.C.</t>
  </si>
  <si>
    <t>INDUSTRIAL TEXTIL ACUARIO SA</t>
  </si>
  <si>
    <t>AV. PROLONGACIÓN PARINACOCHAS NRO. 1180 URB. SAN GERMAN LIMA - LIMA - LA VICTORIA</t>
  </si>
  <si>
    <t>GREEN ENERGY ELECTRIC PERU S.A.C. - GEEP S.A.C.</t>
  </si>
  <si>
    <t>LEON FELIX JOSUE ALEXANDER</t>
  </si>
  <si>
    <t>METROLOGIA Y CALIDAD INDUSTRIAL S.A.C.</t>
  </si>
  <si>
    <t>INNOVA ELECTRIC INDUSTRIAL S.A.C.</t>
  </si>
  <si>
    <t>MEZA MAGUIÑO LUIS ENRIQUE</t>
  </si>
  <si>
    <t>ELECTRIM SERVICIOS E.I.R.L.</t>
  </si>
  <si>
    <t>GONZALEZ BLANCAS ERNESTO PAVEL</t>
  </si>
  <si>
    <t>INGENIERIA Y TECNOLOGIA INDUSTRIAL DEL PERÚ S.A.C.</t>
  </si>
  <si>
    <t>NEGOCIOS PRINELEC E.I.R.L.</t>
  </si>
  <si>
    <t>LAVANDERIA INDUSTRIAL LANDEO S.A.C.</t>
  </si>
  <si>
    <t>TECNICOS EJECUTORES DE SERVICIOS ELECTRICOS INGENIEROS SOCIEDAD ANONIMA CERRADA</t>
  </si>
  <si>
    <t>BRONCES &amp; ACEROS S.A.C</t>
  </si>
  <si>
    <t>ELIMCORP S.A.C.</t>
  </si>
  <si>
    <t>CORPORACION REX S.A.</t>
  </si>
  <si>
    <t>KIMBERLY-CLARK PERU S.R.L.</t>
  </si>
  <si>
    <t>DT PROYECTOS S.A.C</t>
  </si>
  <si>
    <t>APOLAYA SOTELO PEDRO JAVIER</t>
  </si>
  <si>
    <t>ALPES NEGOCIOS E INVERSIONES S.A.C.</t>
  </si>
  <si>
    <t>CJR SOLUTIONS ENTERPRISE S.A.C.</t>
  </si>
  <si>
    <t>TESIN PERU S.A.C.</t>
  </si>
  <si>
    <t>NUCLEAR CONTROL S.A.C.</t>
  </si>
  <si>
    <t>FM CONTROL S.A.C.</t>
  </si>
  <si>
    <t>TESLA ELECTRO INDUSTRIAL S.A.C.</t>
  </si>
  <si>
    <t>ELEVADORES J.V.A IMPORT E.I.R.L.</t>
  </si>
  <si>
    <t>PCR SERVICIOS GENERALES E.I.R.L.</t>
  </si>
  <si>
    <t>A &amp; S SYSTEMS CONTROL S.A.C.</t>
  </si>
  <si>
    <t>PARTS SERVICE MAQUINARIAS EIRL – PASERMAQ</t>
  </si>
  <si>
    <t>CONSTRUCTORA, TRABAJO Y TRANSPORTES INDUSTRIALES S.A.C. - CTTI S.A.C.</t>
  </si>
  <si>
    <t>FRIGORIFICO CAMAL SAN PEDRO S.A.C.</t>
  </si>
  <si>
    <t>LARA ROJAS FELIX JULIAN</t>
  </si>
  <si>
    <t>SERVICIOS ESPECIALES ELECTROMECANICOS E.I.R.L.</t>
  </si>
  <si>
    <t>PROVEJEC S.A.C.</t>
  </si>
  <si>
    <t>YSARBE MENDOZA JONAS</t>
  </si>
  <si>
    <t>3G LAB SOCIEDAD COMERCIAL DE RESPONSABILIDAD LIMITADA - 3G LAB S.R.L.</t>
  </si>
  <si>
    <t>NESSUS HOTELES PERU S.A.</t>
  </si>
  <si>
    <t>SEMANGRU E.I.R.L.</t>
  </si>
  <si>
    <t>PROY.REPAR.ELECTRO.INDUST.INGEN.S.R.L.</t>
  </si>
  <si>
    <t>CHILLERS PERU SOLUCIONES E.I.R.L.</t>
  </si>
  <si>
    <t>ENOTRIA S.A.</t>
  </si>
  <si>
    <t>HYDRAULIC AND HIDROSTATIC E.I.R.L.</t>
  </si>
  <si>
    <t>SERVICIOS PLASTICOS INDUSTRIALES S A</t>
  </si>
  <si>
    <t>A1PERU E.I.R.L.</t>
  </si>
  <si>
    <t>CRUZADO CAMPOS ELITO RONAL</t>
  </si>
  <si>
    <t>RICARDO PALMA</t>
  </si>
  <si>
    <t>AGM CORPORACION AUTOMOTRIZ S.A.C.</t>
  </si>
  <si>
    <t>MECATRÓNICA AUTOMOTRIZ TESLA PREMIUM E.I.R.L.</t>
  </si>
  <si>
    <t>MOVIL BUS S.A.C</t>
  </si>
  <si>
    <t>PACARAOS</t>
  </si>
  <si>
    <t>M Y J MANUFACTURAS S.A.C.</t>
  </si>
  <si>
    <t>FIGUEROA JIMENEZ MARIA CLODY</t>
  </si>
  <si>
    <t>ELECTROINDUSTRIAL &amp; CONTROL AUTOMATIZADO E.I.R.L.</t>
  </si>
  <si>
    <t>ALGODONERA CONTINENTAL S.A.C.</t>
  </si>
  <si>
    <t>RAZON SOCIAL O NOMBRE DE LA EMPRESA</t>
  </si>
  <si>
    <t>Representante legal</t>
  </si>
  <si>
    <t>SunarP</t>
  </si>
  <si>
    <t>Distrito de inscripción</t>
  </si>
  <si>
    <t>Modalidad presencial</t>
  </si>
  <si>
    <t>Modalidad Semipresencial</t>
  </si>
  <si>
    <t>Modalidad Remota</t>
  </si>
  <si>
    <t>Fecha de incio de prácticas</t>
  </si>
  <si>
    <t>Fecha de fin de prácticas</t>
  </si>
  <si>
    <t>Día de suscripción</t>
  </si>
  <si>
    <t>Mes de suscripción</t>
  </si>
  <si>
    <t>Año de suscripción</t>
  </si>
  <si>
    <t>Día especialista</t>
  </si>
  <si>
    <t>febrero</t>
  </si>
  <si>
    <t>enero</t>
  </si>
  <si>
    <t>ACTIVIDAD PRINCIPAL</t>
  </si>
  <si>
    <t>OCEANO AZUL SOLUCIONES INTEGRALES S.A.C. OASI S.A.C.</t>
  </si>
  <si>
    <t xml:space="preserve">	GERENTE GENERAL</t>
  </si>
  <si>
    <t>LOTE. 4-A2 OTR. PARCELA RUSTICA DEL FUNDO CHACRA CERRO (AV. TRAPICHE CON PANAMERICANA NORTE) LIMA - LIMA - COMAS</t>
  </si>
  <si>
    <t>AV. MARIA PARADO DE BELLIDO LOTE. 98 EX FUNDO CHACRA CERRO ZONA A (COLEGIO PERUANO JAPONES HIDAYO NOGUCHI) LIMA - LIMA - COMAS</t>
  </si>
  <si>
    <t>DNI de RepresentE</t>
  </si>
  <si>
    <t>DIA</t>
  </si>
  <si>
    <t>MES</t>
  </si>
  <si>
    <t>AÑO</t>
  </si>
  <si>
    <t>un</t>
  </si>
  <si>
    <t xml:space="preserve">dos mil </t>
  </si>
  <si>
    <t xml:space="preserve">dos </t>
  </si>
  <si>
    <t xml:space="preserve">dos mil un </t>
  </si>
  <si>
    <t xml:space="preserve">tres </t>
  </si>
  <si>
    <t>marzo</t>
  </si>
  <si>
    <t xml:space="preserve">dos mil dos </t>
  </si>
  <si>
    <t xml:space="preserve">cuatro </t>
  </si>
  <si>
    <t>abril</t>
  </si>
  <si>
    <t xml:space="preserve">dos mil tres </t>
  </si>
  <si>
    <t xml:space="preserve">cinco </t>
  </si>
  <si>
    <t>mayo</t>
  </si>
  <si>
    <t xml:space="preserve">dos mil cuatro </t>
  </si>
  <si>
    <t xml:space="preserve">seis </t>
  </si>
  <si>
    <t>junio</t>
  </si>
  <si>
    <t xml:space="preserve">dos mil cinco </t>
  </si>
  <si>
    <t xml:space="preserve">siete </t>
  </si>
  <si>
    <t>julio</t>
  </si>
  <si>
    <t xml:space="preserve">dos mil seis </t>
  </si>
  <si>
    <t xml:space="preserve">ocho </t>
  </si>
  <si>
    <t>agosto</t>
  </si>
  <si>
    <t xml:space="preserve">dos mil siete </t>
  </si>
  <si>
    <t xml:space="preserve">nueve </t>
  </si>
  <si>
    <t>setiembre</t>
  </si>
  <si>
    <t xml:space="preserve">dos mil ocho </t>
  </si>
  <si>
    <t xml:space="preserve">diez </t>
  </si>
  <si>
    <t>octubre</t>
  </si>
  <si>
    <t xml:space="preserve">dos mil nueve </t>
  </si>
  <si>
    <t xml:space="preserve">once </t>
  </si>
  <si>
    <t>noviembre</t>
  </si>
  <si>
    <t xml:space="preserve">dos mil diez </t>
  </si>
  <si>
    <t xml:space="preserve">doce </t>
  </si>
  <si>
    <t>diciembre</t>
  </si>
  <si>
    <t xml:space="preserve">dos mil once </t>
  </si>
  <si>
    <t xml:space="preserve">trece </t>
  </si>
  <si>
    <t xml:space="preserve">dos mil doce </t>
  </si>
  <si>
    <t xml:space="preserve">catorce </t>
  </si>
  <si>
    <t xml:space="preserve">dos mil trece </t>
  </si>
  <si>
    <t xml:space="preserve">quince </t>
  </si>
  <si>
    <t xml:space="preserve">dos mil catorce </t>
  </si>
  <si>
    <t xml:space="preserve">dieciseis </t>
  </si>
  <si>
    <t xml:space="preserve">dos mil quince </t>
  </si>
  <si>
    <t xml:space="preserve">diecisiete </t>
  </si>
  <si>
    <t xml:space="preserve">dos mil dieciseis </t>
  </si>
  <si>
    <t xml:space="preserve">dieciocho </t>
  </si>
  <si>
    <t xml:space="preserve">dos mil diecisiete </t>
  </si>
  <si>
    <t xml:space="preserve">diecinueve </t>
  </si>
  <si>
    <t xml:space="preserve">dos mil dieciocho </t>
  </si>
  <si>
    <t xml:space="preserve">veinte </t>
  </si>
  <si>
    <t xml:space="preserve">dos mil diecinueve </t>
  </si>
  <si>
    <t xml:space="preserve">veintiun </t>
  </si>
  <si>
    <t xml:space="preserve">dos mil veinte </t>
  </si>
  <si>
    <t xml:space="preserve">veintidos </t>
  </si>
  <si>
    <t xml:space="preserve">dos mil veintiun </t>
  </si>
  <si>
    <t xml:space="preserve">veintitres </t>
  </si>
  <si>
    <t xml:space="preserve">dos mil veintidos </t>
  </si>
  <si>
    <t xml:space="preserve">veinticuatro </t>
  </si>
  <si>
    <t xml:space="preserve">veinticinco </t>
  </si>
  <si>
    <t xml:space="preserve">dos mil veinticuatro </t>
  </si>
  <si>
    <t xml:space="preserve">veintiseis </t>
  </si>
  <si>
    <t xml:space="preserve">dos mil veinticinco </t>
  </si>
  <si>
    <t xml:space="preserve">veintisiete </t>
  </si>
  <si>
    <t xml:space="preserve">dos mil veintiseis </t>
  </si>
  <si>
    <t xml:space="preserve">veintiocho </t>
  </si>
  <si>
    <t xml:space="preserve">dos mil veintisiete </t>
  </si>
  <si>
    <t xml:space="preserve">veintinueve </t>
  </si>
  <si>
    <t xml:space="preserve">dos mil veintiocho </t>
  </si>
  <si>
    <t xml:space="preserve">treinta </t>
  </si>
  <si>
    <t xml:space="preserve">dos mil veintinueve </t>
  </si>
  <si>
    <t xml:space="preserve">treinta y un </t>
  </si>
  <si>
    <t xml:space="preserve">dos mil treinta </t>
  </si>
  <si>
    <t>AV. BOLIVAR NRO. 795 (CDRA 7 DE BOLIVAR) LIMA - LIMA - PUEBLO LIBRE (MAGDALENA VIEJA)</t>
  </si>
  <si>
    <t>PUEBLO LLIBRE</t>
  </si>
  <si>
    <t>CAL.LAS ACACIAS NRO. 176 C.POB.STA.MARIA HUACHIPA (2 CUADRAS CEMENTERIO MAFRE,KM8 R.PRIALE) LIMA - LIMA - LURIGANCHO</t>
  </si>
  <si>
    <t>LOPEZ DE CASTILLA PEREZ ROSAS VERONICA</t>
  </si>
  <si>
    <t xml:space="preserve">00326054	</t>
  </si>
  <si>
    <t>ROUILLON GARCIA FELIPE HORACIO JUAN</t>
  </si>
  <si>
    <t>ROUILLON ARROSPIDE JOSE FELIPE</t>
  </si>
  <si>
    <t>PALMA HEREDIA RAFAEL EDUARDO</t>
  </si>
  <si>
    <t>ALVARADO MARTIN JAVIER RODRIGO</t>
  </si>
  <si>
    <t>PUCHOC MALMA JOSE LUIS</t>
  </si>
  <si>
    <t>CAL.D MZA. J LOTE. 5 URB. NIEVERIA LIMA - LIMA - LURIGANCHO</t>
  </si>
  <si>
    <t>EVANGELISTA LAZARO MARIBEL</t>
  </si>
  <si>
    <t>CAL.4 MZA. I1 LOTE. 47 A.H. VENTANILLA ALTA (ALT.CDRA.3 DE VENTANILLA ALTA) PROV. CONST. DEL CALLAO - PROV. CONST. DEL CALLAO - VENTANILLA</t>
  </si>
  <si>
    <t>JR. LAS RIMARINAS NRO. 149 LIMA - LIMA - SAN JUAN DE LURIGANCHO</t>
  </si>
  <si>
    <t>CAL.TACNA NRO. 385 COO. LA CALICHERA (ENTRADA AÑO NUEVO KM14.5) LIMA - LIMA - COMAS</t>
  </si>
  <si>
    <t>AV. TUPAC AMARU NRO. 546 URB. C M DE PRADO (FRENTE A ISTP CARLOS CUETO FERNANDINI) LIMA - LIMA - COMAS</t>
  </si>
  <si>
    <t>DOMICILIO</t>
  </si>
  <si>
    <t>CELULAR</t>
  </si>
  <si>
    <t>CORREO</t>
  </si>
  <si>
    <t>ESPECIALIDAD</t>
  </si>
  <si>
    <t>EMPRESA</t>
  </si>
  <si>
    <t>S1</t>
  </si>
  <si>
    <t>PRIMERO</t>
  </si>
  <si>
    <t>CUARTO</t>
  </si>
  <si>
    <t>TERCER</t>
  </si>
  <si>
    <t>QUINTO</t>
  </si>
  <si>
    <t>SEXTO</t>
  </si>
  <si>
    <t>SEPTIMO</t>
  </si>
  <si>
    <t>OCTAVO</t>
  </si>
  <si>
    <t>AV. PROCERES DE LA INDEPENDENCIA NRO. 1940 (3ER PISO) LIMA - LIMA - SAN JUAN DE LURIGANCHO</t>
  </si>
  <si>
    <t>AGUA ALCANTARILLADO Y OBRAS SOCIEDAD ANONIMA CERRADA - AGALOBRAS S.A.C.</t>
  </si>
  <si>
    <t>PJ. RAUL VILLARAN PASQUEL NRO. 397 INT. 2 URB. LA VIÑA (CRUCE CON AV DEL AIRE Y ROSA TORO) LIMA - LIMA - SAN LUIS</t>
  </si>
  <si>
    <t>JR. MONTEVIDEO NRO. 1075 INT. 106 LIMA - LIMA - LIMA</t>
  </si>
  <si>
    <t>SANTILLAN JARAMILLO DIEGO ARMANDO</t>
  </si>
  <si>
    <t>SANTILLAN JARAMILLO FAYE JAZMINE</t>
  </si>
  <si>
    <t>GERENTE DE COMERCIALIZACION</t>
  </si>
  <si>
    <t>…</t>
  </si>
  <si>
    <t>CAL.MALDONADO NRO. 258 URB. PANAMERICANA NORTE LIMA - LIMA - LOS OLIVOS</t>
  </si>
  <si>
    <t>ÑAHUI TOFEÑO JAVIER</t>
  </si>
  <si>
    <t>AV. ALAMEDA SUR NRO. 362 URB. VILLA MARINA (ALTURA GRIFO LA CHIRA) LIMA - LIMA - CHORRILLOS</t>
  </si>
  <si>
    <t>AV. NICOLAS AYLLON NRO. 3570 URB. VILLA SANTA ANITA LIMA - LIMA - ATE</t>
  </si>
  <si>
    <t xml:space="preserve">14669743	</t>
  </si>
  <si>
    <t>AV. HUARANGAL MZA. E-4 LOTE. 5A C.P. ZAPALLAL ALTO 1ERA ETAPA LIMA - LIMA - PUENTE PIEDRA</t>
  </si>
  <si>
    <t>REGISTRO DE DATOS</t>
  </si>
  <si>
    <t>EDAD</t>
  </si>
  <si>
    <t>CFP/ UFP</t>
  </si>
  <si>
    <t>REGION</t>
  </si>
  <si>
    <t>ALUMNO</t>
  </si>
  <si>
    <t>ITEM</t>
  </si>
  <si>
    <t>NOMBRE REPR.</t>
  </si>
  <si>
    <t>DNI. REPR.</t>
  </si>
  <si>
    <t>SUNARP</t>
  </si>
  <si>
    <t>NASCA CORPORACION SAC</t>
  </si>
  <si>
    <t>HERMILIO VALDIZAN NRO. 164 DPTO. 204 (ENTRE CDRAS 19 Y 20 DE AV BRASIL) LIMA - LIMA - JESUS MARIA</t>
  </si>
  <si>
    <t>CHAVEZ PALACIOS NESTOR HUGO</t>
  </si>
  <si>
    <t>Columna1</t>
  </si>
  <si>
    <t>CAJATAMBO</t>
  </si>
  <si>
    <t>COPA</t>
  </si>
  <si>
    <t>GORGOR</t>
  </si>
  <si>
    <t>HUANCAPON</t>
  </si>
  <si>
    <t>MANAS</t>
  </si>
  <si>
    <t>CALANGO</t>
  </si>
  <si>
    <t>COAYLLO</t>
  </si>
  <si>
    <t>PACARAN</t>
  </si>
  <si>
    <t>SANTA CRUZ DE FLORES</t>
  </si>
  <si>
    <t>SAN VICENTE CAÑETE</t>
  </si>
  <si>
    <t>CANTA</t>
  </si>
  <si>
    <t>ARAHUAY</t>
  </si>
  <si>
    <t>HUAMANTANGA</t>
  </si>
  <si>
    <t>HUAROS</t>
  </si>
  <si>
    <t>LACHAQUI</t>
  </si>
  <si>
    <t>SAN BUENAVENTURA</t>
  </si>
  <si>
    <t>SANTA ROSA DE QUIQUES</t>
  </si>
  <si>
    <t>ATAVILLOS ALTO</t>
  </si>
  <si>
    <t>ATAVILLOS BAJO</t>
  </si>
  <si>
    <t>IHUARI</t>
  </si>
  <si>
    <t>LAMPIAN</t>
  </si>
  <si>
    <t>SAN MIGUEL DE ACOS</t>
  </si>
  <si>
    <t>SANTA CRUZ DE ANDAMARCA</t>
  </si>
  <si>
    <t>SUMBILCA</t>
  </si>
  <si>
    <t>VEINTISIETE DE NOVIEMBRE</t>
  </si>
  <si>
    <t>ANTIOQUIA</t>
  </si>
  <si>
    <t>CALLAHUANCA</t>
  </si>
  <si>
    <t>CARAMPOMA</t>
  </si>
  <si>
    <t>CUENCA</t>
  </si>
  <si>
    <t>HUACHUPAMPA</t>
  </si>
  <si>
    <t>HUANZA</t>
  </si>
  <si>
    <t>LAHUAYTAMBO</t>
  </si>
  <si>
    <t>LANGA</t>
  </si>
  <si>
    <t>LARAOS</t>
  </si>
  <si>
    <t>MARIATANA</t>
  </si>
  <si>
    <t>MATUCANA</t>
  </si>
  <si>
    <t>SAN ANDRES DE TUPICOCHA</t>
  </si>
  <si>
    <t>SAN BARTOLOME</t>
  </si>
  <si>
    <t>SAN DAMIAN</t>
  </si>
  <si>
    <t>SANGALLAYA</t>
  </si>
  <si>
    <t>SAN JUAN DE IRIS</t>
  </si>
  <si>
    <t>SAN JUAN DE TANTARANCHE</t>
  </si>
  <si>
    <t>SAN LORTENZO DE QUINTI</t>
  </si>
  <si>
    <t>SAN MATEO DE OTAO</t>
  </si>
  <si>
    <t>SAN PEDRO DE CASTA</t>
  </si>
  <si>
    <t>SAN PEDRO DE HUANCAYRE</t>
  </si>
  <si>
    <t>SANTIAGO DE ANCHUCAYA</t>
  </si>
  <si>
    <t>SANTIAGO DE TUNA</t>
  </si>
  <si>
    <t>SANTO DOMINGO DE LOS OLLEROS</t>
  </si>
  <si>
    <t>AMBAR</t>
  </si>
  <si>
    <t>CHECRAS</t>
  </si>
  <si>
    <t>LEONCIO PRADO</t>
  </si>
  <si>
    <t>PACCHO</t>
  </si>
  <si>
    <t>INPEDENDENCIA</t>
  </si>
  <si>
    <t>SANTA MARIA DEL MAR</t>
  </si>
  <si>
    <t>ANDAJES</t>
  </si>
  <si>
    <t>CAUJUL</t>
  </si>
  <si>
    <t>NAVAN</t>
  </si>
  <si>
    <t>PACHANGARA</t>
  </si>
  <si>
    <t>YAUYOS</t>
  </si>
  <si>
    <t>ALIS</t>
  </si>
  <si>
    <t>AYAUCA</t>
  </si>
  <si>
    <t>AYAVIRI</t>
  </si>
  <si>
    <t>AZANGARO</t>
  </si>
  <si>
    <t>CACRA</t>
  </si>
  <si>
    <t>CARANIA</t>
  </si>
  <si>
    <t>CATAHUASI</t>
  </si>
  <si>
    <t>CHOCOS</t>
  </si>
  <si>
    <t>COCHAS</t>
  </si>
  <si>
    <t>COLONIA</t>
  </si>
  <si>
    <t>HONGOS</t>
  </si>
  <si>
    <t>HUAMPARA</t>
  </si>
  <si>
    <t>HUANCAYA</t>
  </si>
  <si>
    <t>HUAÑEC</t>
  </si>
  <si>
    <t>HUANGASCAR</t>
  </si>
  <si>
    <t>HUANTAN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</si>
  <si>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</si>
  <si>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</si>
  <si>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</si>
  <si>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</si>
  <si>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</si>
  <si>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</si>
  <si>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</si>
  <si>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</si>
  <si>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</si>
  <si>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</si>
  <si>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TUPE</t>
  </si>
  <si>
    <t>VIÑAC</t>
  </si>
  <si>
    <t>VITIS</t>
  </si>
  <si>
    <t>CAL.LAS MAGNOLIAS MZA. G1 LOTE. 14 URB. JAZMINES DEL NARANJAL LIMA - LIMA - SAN MARTIN DE PORRES</t>
  </si>
  <si>
    <t>PJ. 3 MZA. C LOTE. 10 A.V. LOS ALAMOS DE PRIALE DE CAMPOY LIMA - LIMA - SAN JUAN DE LURIGANCHO</t>
  </si>
  <si>
    <t xml:space="preserve">	TARRILLO SIESA GUILLERMO AGAPITO</t>
  </si>
  <si>
    <t>CAR.ANTIGUA PANAMERICANA SUR KM. 33 (A 500 METROS D CRUCE LURIN CON PACHACAMA) LIMA - LIMA - LURIN</t>
  </si>
  <si>
    <t>ELABORACIÓN Y CONSERVACIÓN DE CARNE</t>
  </si>
  <si>
    <t>MAURICIO LA CRUZ JOSE LUIS</t>
  </si>
  <si>
    <t>BENDEZU CHALCO LELIS E.</t>
  </si>
  <si>
    <t>CAR.PANAMERICANA SUR KM. 200 EL PEDREGAL (ANTES CARRETERA PANAMERICANA SUR KM. 202) ICA - CHINCHA - CHINCHA BAJA</t>
  </si>
  <si>
    <t>FABRICACIÓN DE ARTÍCULOS DE PUNTO Y GANCHILLO</t>
  </si>
  <si>
    <t>GERVASONI FLOREZ ESTRADA GIANFRANCO</t>
  </si>
  <si>
    <t>BRICEÑO VILLENA JOSE RICARDO MARTIN</t>
  </si>
  <si>
    <t>QUIROZ GARCIA ROBERTO ARMANDO</t>
  </si>
  <si>
    <t>PEÑA FLORES CRISHTIAN HENRY</t>
  </si>
  <si>
    <t>JR. PARURO 1401, GALERIA SHOPPING CENTER - TIENDA 214 - CERCADO DE LIMA</t>
  </si>
  <si>
    <t>1341452@senati.pe</t>
  </si>
  <si>
    <t xml:space="preserve">Asociación el golf de carabayllo mz G lt4 </t>
  </si>
  <si>
    <t>Hora de inicio</t>
  </si>
  <si>
    <t>Hora de finalización</t>
  </si>
  <si>
    <t>Correo electrónico</t>
  </si>
  <si>
    <t>Nombre</t>
  </si>
  <si>
    <t>SIGLA</t>
  </si>
  <si>
    <t>ELECTRONICO</t>
  </si>
  <si>
    <t>MECATRONICO</t>
  </si>
  <si>
    <t>INSTRUMENTISTA</t>
  </si>
  <si>
    <t>CONTROLISTA</t>
  </si>
  <si>
    <t>DIST.</t>
  </si>
  <si>
    <t>DNI R.</t>
  </si>
  <si>
    <t>REPRESENT.</t>
  </si>
  <si>
    <t>DIST. SUNARP</t>
  </si>
  <si>
    <t>CAL.VIDAL GENERAL FRANCISCO NRO. 1047 URB. AZCONA LIMA - LIMA - BREÑA</t>
  </si>
  <si>
    <t>CAL.LOS EBANISTAS NRO. 102 URB. EL ARTESANO LIMA - LIMA - ATE</t>
  </si>
  <si>
    <t>OTROS PERSONA NATURAL</t>
  </si>
  <si>
    <t>LAGOS ANCALLA TIMOTEO</t>
  </si>
  <si>
    <t>RUIZ NUÑEZ JUAN ENRIQUE</t>
  </si>
  <si>
    <t>MEJIA ALEGRE FERNANDO NEMESIO</t>
  </si>
  <si>
    <t>JR. PARURO NRO. 1314 INT. 126 LIMA - LIMA - LIMA</t>
  </si>
  <si>
    <t>PJ. SAENZ PEÑA NRO. 167 LIMA - LIMA - BREÑA</t>
  </si>
  <si>
    <t>GIUSTI KELLER LUIS WALTER</t>
  </si>
  <si>
    <t>AV. ARGENTINA NRO. 2085 URB. PLAYA RIMAC PROV. CONST. DEL CALLAO - PROV. CONST. DEL CALLAO - CALLAO</t>
  </si>
  <si>
    <t>BOTTGER GARFIAS OTTO CHRISTIAN FEDERICO</t>
  </si>
  <si>
    <t>LITUMA SANCHEZ CHECA LUIS GERMAN</t>
  </si>
  <si>
    <t>VAN DEN HEUVEL GERARDUS THEODORUS</t>
  </si>
  <si>
    <t>AV. CHILLON LOTE. 50 B OTR. COMAS (ALTURA PARADERO CHACRA CERRO) LIMA - LIMA - COMAS</t>
  </si>
  <si>
    <t>ASCENSORES GS&amp;F SOCIEDAD ANONIMA CERRADA-ASCENSORES GS&amp;F S.A.C.</t>
  </si>
  <si>
    <t>CAL.RICARDO ANGULO NRO. 856 URB. CORPAC (MINISTERIO DEL INTERIOR) LIMA - LIMA - SAN ISIDRO</t>
  </si>
  <si>
    <t>FISCHMANN ZAVALA PEDRO FEDERICO</t>
  </si>
  <si>
    <t>GOMEZ SANCHEZ MIRANDA LUIS ENRIQUE</t>
  </si>
  <si>
    <t>FLOURP SOLUCIONES S.R.L.</t>
  </si>
  <si>
    <t>CAL.ORION MZA. D LOTE. 16 OTR. PARQUE INDUSTRIAL EL ASESOR LIMA - LIMA - ATE</t>
  </si>
  <si>
    <t>URPI CACERES AYDEE</t>
  </si>
  <si>
    <t>ANITA FOOD SA</t>
  </si>
  <si>
    <t>CAR.CARRETERA CENTRAL NRO. 869 Z.I. SANTA ANITA (KM. 2.4 CARRETERA CENTRAL) LIMA - LIMA - SANTA ANITA</t>
  </si>
  <si>
    <t xml:space="preserve"> ELABORACIÓN DE MACARRONES, FIDEOS, ALCUZCUZ Y PRODUCTOS FARINÁCEOS SIMILARES</t>
  </si>
  <si>
    <t>SALOMON SALOMON LUIS FERNANDO</t>
  </si>
  <si>
    <t>SALOMON SABAT OSCAR ALDO</t>
  </si>
  <si>
    <t>SALOMON SALOMON JOHANNA CECILIA</t>
  </si>
  <si>
    <t>JR. TIAHUANACO NRO. 1500 URB. ZARATE (ALT. CDRA 15 DE AV. GRAN CHIMU) LIMA - LIMA - SAN JUAN DE LURIGANCHO</t>
  </si>
  <si>
    <t>JR. JOSE DE LA MAR MZA. H LOTE. 3-3A SEC. RUSTICO SAN EUGENIO LIMA - LIMA - LURIGANCHO</t>
  </si>
  <si>
    <t>ATLAS HYDRAULICS PERU S.A.C</t>
  </si>
  <si>
    <t>AV. CALCA NRO. 248 URB. 27 DE ABRIL LIMA - LIMA - ATE</t>
  </si>
  <si>
    <t>HUERTA ESPINOZA BENJAMIN ALBERTO</t>
  </si>
  <si>
    <t>AYL FRIOCORP S.A.C</t>
  </si>
  <si>
    <t>AV. MARAÑON MZA. 6 LOTE. 7 A.H. LAURA CALLER LIMA - LIMA - LOS OLIVOS</t>
  </si>
  <si>
    <t>CHACON CACERES LUIS ENRIQUE</t>
  </si>
  <si>
    <t>ARCE GAMARRA LUZ ANIVEL</t>
  </si>
  <si>
    <t xml:space="preserve">JR. ARMENDARIS 301 </t>
  </si>
  <si>
    <t>IMSERCO E.I.R.L.</t>
  </si>
  <si>
    <t>JR. JOSÉ DE CANTERAC NRO. 462 DPTO. 22 (ALTURA DE LA CUADRA 9 DE LA AV. BRASIL.) LIMA - LIMA - JESUS MARIA</t>
  </si>
  <si>
    <t>RAMIREZ VASQUEZ SEGUNDO ALEJANDRO</t>
  </si>
  <si>
    <t>C&amp;F CONSTRUCCIONES METALICAS S.A.C.</t>
  </si>
  <si>
    <t>CAL.TARATA NRO. 269 URB. LEURO (OFICINA 206) LIMA - LIMA - MIRAFLORES</t>
  </si>
  <si>
    <t>REYNA RODRIGUEZ MARIA KATYA</t>
  </si>
  <si>
    <t>CISNEROS OLANO LUIS EDUARDO</t>
  </si>
  <si>
    <t>MELDEP S.A.C.</t>
  </si>
  <si>
    <t>CAL.5 MZA. D LOTE. 08 A.H. IMPERIO LIMA - LIMA - SAN JUAN DE MIRAFLORES</t>
  </si>
  <si>
    <t>ÑAHUIS CANCHO EDWIN</t>
  </si>
  <si>
    <t>DIGENDA S.A.C.</t>
  </si>
  <si>
    <t>CAL.AZUCENAS MZA. A LOTE. 11 URB. COOP. MARAÑON LIMA - LIMA - ATE</t>
  </si>
  <si>
    <t>CANO LAZARO ENOC CARLOS</t>
  </si>
  <si>
    <t>MZA. C LOTE. 36 COO. COVITI LIMA - LIMA - SAN MARTIN DE PORRES</t>
  </si>
  <si>
    <t>FIRST CONTROL E.I.R.L</t>
  </si>
  <si>
    <t>JR. MANUEL GONZALES PRADA NRO. 1025 URB. SAN JORGE SC. UNO LIMA - LIMA - SURQUILLO</t>
  </si>
  <si>
    <t>AV. A MZA. 189 LOTE. 63 A.H. SAN MARTIN DE PORRES LIMA - LIMA - LOS OLIVOS</t>
  </si>
  <si>
    <t>ELECTROMECHANICAL PROJECTS AND SOLUTIONS PERU SOCIEDAD ANONIMA CERRADA - ELPROS PERU S.A.C.</t>
  </si>
  <si>
    <t>MZA. D LOTE. 13 A.V. LOS GIRASOLES LIMA - LIMA - PACHACAMAC</t>
  </si>
  <si>
    <t>CHUQUIHUANGA VALLE HILDER</t>
  </si>
  <si>
    <t>CAL.CALLE COLLASUYO SUB LT B MZA. B URB. LOS AYLLUS (FINAL DE LA CUADRA 2, LADO IZQUIERDO 297) LIMA - LIMA - ATE</t>
  </si>
  <si>
    <t>COMPAñIA EMBOTELLADORA SUDAMERICANA SOCIEDAD ANONIMA -COEMSUD S.A</t>
  </si>
  <si>
    <t>CAL.VIA MALECON MZA. H LOTE. 16 ASOC. DE VIVIENDA CHILLON (2 ETAP-ALT. PARADERO 17-FTE A CAMPO FE) LIMA - LIMA - PUENTE PIEDRA</t>
  </si>
  <si>
    <t>CAL.LOS TORNOS NRO. 195 URB. NARANJAL LIMA - LIMA - INDEPENDENCIA</t>
  </si>
  <si>
    <t>AV. ELMER FAUCETT NRO. 3551 (A 02 CUADRAS DEL AEROPUERTO) PROV. CONST. DEL CALLAO - PROV. CONST. DEL CALLAO - CALLAO</t>
  </si>
  <si>
    <t>FABRICACIÓN DE APARATOS DE USO DOMÉSTICO</t>
  </si>
  <si>
    <t>MZA. J16 LOTE. 12 COO. URPI LIMA - LIMA - SAN JUAN DE LURIGANCHO</t>
  </si>
  <si>
    <t>AFJ - EFICIENCIA TECNOLOGICA E.I.R.L. - AFJ - ETEC E.I.R.L.</t>
  </si>
  <si>
    <t>CAL.MANUEL DUATO MZA. B LOTE. 2 DPTO. 601 URB. MULERIA NORTE (ESPALDA DE LA MUNICIPALIDAD DE LOS OLIVO) LIMA - LIMA - LOS OLIVOS</t>
  </si>
  <si>
    <t>GAYOSA LUDEÑA ABEL ABRAHAM</t>
  </si>
  <si>
    <t>AV. SAN MARTIN DE PORRES MZA. F LOTE. 5 URB. LOS ROBLES DE ATE II (COSTADO DEL CONDOMINIO DEL SOL) LIMA - LIMA - ATE</t>
  </si>
  <si>
    <t>ECHIA SOLANO JARED DAVID</t>
  </si>
  <si>
    <t>AV. DANIEL ALCIDES CARRION NRO. 316 URB. SANTA CLARA (ALT. COLEGIO SANTA ELENA) LIMA - LIMA - ATE</t>
  </si>
  <si>
    <t>JR. JORGE CHAVEZ NRO. 370 URB. CHACRA COLORADA (L 3) LIMA - LIMA - BREÑA</t>
  </si>
  <si>
    <t>AV. Guillermo Dansey N 417 psj. C Tda. 1006 - 1er piso C.C. - Plaza Ferretero</t>
  </si>
  <si>
    <t>SERVIMAQ DEL PERU S.A.C.</t>
  </si>
  <si>
    <t>PERUANA DE ENERGIA Y COMBUSTIBLES SOCIEDAD ANONIMA CERRADA</t>
  </si>
  <si>
    <t>AV. UNIVERSITARIA NORTE NRO. 5646 URB. VILLA SOL LIMA - LIMA - LOS OLIVOS</t>
  </si>
  <si>
    <t>A &amp; A ESTABILIZADORES S.A.C.</t>
  </si>
  <si>
    <t>A &amp; A FABRICORP S.A.C</t>
  </si>
  <si>
    <t>A &amp; C SERVICIOS ELECTROMECANICOS INDUSTRIALES S.A.C.</t>
  </si>
  <si>
    <t>A JAIME ROJAS REPRESENTACIONES GRLES S A</t>
  </si>
  <si>
    <t>A&amp;M TECNOLOGIAS DE INFORMACION S.A.C.</t>
  </si>
  <si>
    <t>AFBA SERVICE MOTORS E.I.R.L.</t>
  </si>
  <si>
    <t>MZA. A LOTE. 11A ASC. LOS GIRASOLES (AV. SAN JOSE CON AV. NARANJAL) LIMA - LIMA - SAN MARTIN DE PORRES</t>
  </si>
  <si>
    <t>ALITANTA S.A.C.</t>
  </si>
  <si>
    <t>ASVID ENGINEERING SOCIEDAD ANONIMA CERRADA</t>
  </si>
  <si>
    <t>AUTO TOP TOOLS S.A.C.</t>
  </si>
  <si>
    <t>BARJA Y VASQUEZ INGENIERIOS EJECUTORES DE SERVICIOS MULTIPLES INDUSTRIALES SOCIEDAD ANONIMA CERRADA</t>
  </si>
  <si>
    <t>BOOSTER GROUP PERU SAC</t>
  </si>
  <si>
    <t>CAL.SANTO TOMAS MZA. M1 LOTE. 18 URB. VILLA MARINA LIMA - LIMA - CHORRILLOS</t>
  </si>
  <si>
    <t>AV. SAN EUGENIO NRO. 911 URB. SANTA CATALINA LIMA - LIMA - LA VICTORIA</t>
  </si>
  <si>
    <t>CDA INGENIEROS DEL PERU SAC</t>
  </si>
  <si>
    <t>COMERCIAL ALIMENTICIA S.A.C.</t>
  </si>
  <si>
    <t>CAL.MERCURIO NRO. 129 P.J. SAN GABRIEL BAJO (ZONA SANTA ROSA) LIMA - LIMA - VILLA MARIA DEL TRIUNFO</t>
  </si>
  <si>
    <t>CONSORCIO ELECTROCLIMA S.R.L.</t>
  </si>
  <si>
    <t>CORPORACION TURISTICA PERUANA S.A.C</t>
  </si>
  <si>
    <t>D &amp; G GROUP OF COMPANIES S.A.C.-D &amp; G GROUCOMSAC</t>
  </si>
  <si>
    <t>DUCTOS INDUSTRIALES CUEVA S.A.C.</t>
  </si>
  <si>
    <t>E &amp; C AUTOMATION E.I.R.L.</t>
  </si>
  <si>
    <t>E &amp; R INVERSIONES PRIME LABELS S.A.C.</t>
  </si>
  <si>
    <t>ECHEVARRIA ZEVALLOS MANUEL JESUS</t>
  </si>
  <si>
    <t>ELECOM PROYECTOS Y SERVICIOS GENERALES S.A.C</t>
  </si>
  <si>
    <t>ELECTROSELL PERU E.I.R.L</t>
  </si>
  <si>
    <t>ELETEX COMPANY S.A.C.</t>
  </si>
  <si>
    <t>ESCUELA SUP.PRIV.SERGIO BERNALES E.I.R.L</t>
  </si>
  <si>
    <t>AV. DIONISIO DERTEANO NRO. 144 INT. P19 URB. SANTA ANA LIMA - LIMA - SAN ISIDRO</t>
  </si>
  <si>
    <t>FARES TECHNOLOGY S.A.C.</t>
  </si>
  <si>
    <t>FLF SOLUCIONES TECNICAS S.A.C</t>
  </si>
  <si>
    <t>GALVEZ ATOCHE PROYECTOS Y MANTENIMIENTOS S.A.C.</t>
  </si>
  <si>
    <t>GRUPO D´PALMA S.A.C.</t>
  </si>
  <si>
    <t>HUAMAN ACHAICA LOURDES</t>
  </si>
  <si>
    <t>ID AUTOMATION S.A.C.</t>
  </si>
  <si>
    <t>INGENIERIA, AUTOMATIZACIÓN Y CONTROLES INDUSTRIALES S.A.C.</t>
  </si>
  <si>
    <t>AV. MANCO CAPAC NRO. 1200 URB. CARMEN DE LA LEGUA PROV. CONST. DEL CALLAO - PROV. CONST. DEL CALLAO - CARMEN DE LA LEGUA REYNOSO</t>
  </si>
  <si>
    <t>INNOVACION DIGITAL PERU E.I.R.L.</t>
  </si>
  <si>
    <t>INTEGRACION ELECTRICA Y ELECTRONICA S.A.C.</t>
  </si>
  <si>
    <t>INVERSIONES &amp; SERVICIOS GENERALES TUCTO SOCIEDAD ANONIMA CERRADA</t>
  </si>
  <si>
    <t>INVERSIONES CLERMONT S.A.C.</t>
  </si>
  <si>
    <t>J &amp; S INGENIEROS CONSULTORES E.I.R.L.</t>
  </si>
  <si>
    <t>J.C. CONTRATISTAS GENERALES EIRL</t>
  </si>
  <si>
    <t>JIMENO FLORES JAVIER</t>
  </si>
  <si>
    <t>CAL.11 MZA. 187 LOTE. 21 A.H. SAN MARTIN DE PORRES (PISO 1) LIMA - LIMA - LOS OLIVOS</t>
  </si>
  <si>
    <t>JR ELECTRONICS PERU E.I.R.L.</t>
  </si>
  <si>
    <t>KABEMOD INDUSTRIA E.I.R.L.</t>
  </si>
  <si>
    <t>KLIMA CONTROL S.A.C.</t>
  </si>
  <si>
    <t>LOGIX SOLUTION S.A.C.</t>
  </si>
  <si>
    <t>MADERA TRANSFORMADA S.A.</t>
  </si>
  <si>
    <t>CAL.EL CRISOL MZA. E LOTE. 08 P.IND PARQUE INDUSTRIAL (CRUCE AV.PACHACUTEC CON AV. EL SOL) LIMA - LIMA - VILLA EL SALVADOR</t>
  </si>
  <si>
    <t>JR. LAS ADELFAS NRO. 670 URB. LAS FLORES (PISO 3. ALT PRDERO 3 DE LAS FLORES) LIMA - LIMA - SAN JUAN DE LURIGANCHO</t>
  </si>
  <si>
    <t>MOVITECNICA S A</t>
  </si>
  <si>
    <t>PROYECTOS DE INGENIERÍA Y SERVICIOS ELÉCTRICOS PERÚ E.I.R.L.</t>
  </si>
  <si>
    <t>R Y M COLD E.I.R.L</t>
  </si>
  <si>
    <t>RA &amp; AL ASOCIADOS S.A.C.</t>
  </si>
  <si>
    <t>REBOBINADOS INDUSTRIALES Y MANTENIMIENTO GENERALES S.A.C.</t>
  </si>
  <si>
    <t>RED POWER S.A.C.</t>
  </si>
  <si>
    <t>CAR.VENTANILLA NRO. KM25 (AUTOPISTA VENTANILLA) PROV. CONST. DEL CALLAO - PROV. CONST. DEL CALLAO - VENTANILLA</t>
  </si>
  <si>
    <t>SERVICIOS COMPRESORES Y SURTIDORES SOCIEDAD ANONIMA CERRADA - SERCOSURT S.A.C.</t>
  </si>
  <si>
    <t>AV. ARICA NRO. 1301 INT. 101 URB. AZCONA LIMA - LIMA - BREÑA</t>
  </si>
  <si>
    <t>SERVICIOS ELECTRICOS INDUSTRIALES Y REBOBINADOS CRISTOBAL S.A.C</t>
  </si>
  <si>
    <t>SERVICIOS ELECTRICOS OPTIMOS S.A.C.</t>
  </si>
  <si>
    <t>SERVICIOS TECNICOS ESPECIALIZADOS V &amp; E E.I.R.L.</t>
  </si>
  <si>
    <t>SERVICIOS TECNICOS INDUSTRIALES Y MULTIFUNCIONALES DEL PERU E.I.R.L.</t>
  </si>
  <si>
    <t>SINERGIA INGENIERIA Y CONSTRUCCION S.A.C.</t>
  </si>
  <si>
    <t>SOLUCIONES INTEGRALES FRIGORIFICAS PERU S.A.C.</t>
  </si>
  <si>
    <t>MZA. B LOTE. 7 ASC. EL PARAISO DE HUACHIPA LIMA - LIMA - LURIGANCHO</t>
  </si>
  <si>
    <t>SUPPLIER &amp; SERVICE CORPORATION S.A.C.</t>
  </si>
  <si>
    <t>TECHNICAL COMMERCIAL ADVISOR SAC TECOAD SAC</t>
  </si>
  <si>
    <t>TECNOLOGIA DESARROLLO Y MEDICION SOCIEDAD COMERCIAL DE RESPONSABIILIDAD LIMITADA TDEM S.R.L.</t>
  </si>
  <si>
    <t>CAL.LAS TUNAS NRO. 303 INT. 301 URB. EL NARANJAL LIMA - LIMA - INDEPENDENCIA</t>
  </si>
  <si>
    <t>JR. FEDERICO VILLAREAL NRO. 187 LIMA - LIMA - BREÑA</t>
  </si>
  <si>
    <t>JR. SANTA MARINA MZA. C3 LOTE. 13 URB. SANTA LUISA LIMA - LIMA - SAN MARTIN DE PORRES</t>
  </si>
  <si>
    <t>AV. B SANTA ROSA, LT. 17 Y 18 MZA. T1 URB. LOS MOLINOS LIMA - LIMA - CARABAYLLO</t>
  </si>
  <si>
    <t>CAL.DOS DE MAYO NRO. 263 BALNEARIO ANCON (ESPALDA DEL MALECON) LIMA - LIMA - ANCON</t>
  </si>
  <si>
    <t>AV. UNIVERSITARIA NORTE NRO. 5346 URB. SAN EULOGIO (CRUSE AV. UNIVERSITARIA Y PARRAL) LIMA - LIMA - COMAS</t>
  </si>
  <si>
    <t>PUEBLO LIBRE</t>
  </si>
  <si>
    <t>PIATEC SOCIEDAD ANONIMA CERRADA - PIATEC S.A.C.</t>
  </si>
  <si>
    <t>CAL.PUNO NRO. 316 DPTO. 301 CND. LAS TORRES DE MIRAFLORES (BLOQUE 4) AREQUIPA - AREQUIPA - MIRAFLORES</t>
  </si>
  <si>
    <t>CAL.LOS ANGELES NRO. 387 LIMA - HUARAL - HUARAL</t>
  </si>
  <si>
    <t>U&amp;T CONTRATISTAS GENERALES SAC</t>
  </si>
  <si>
    <t>MZA. J LOTE. 12 ASOC. SAN CARLOS (ALTURA GRIFO BUENOS AMIGOS) LIMA - LIMA - SANTA ANITA</t>
  </si>
  <si>
    <t>GALLO HUAYTALLA WILDER</t>
  </si>
  <si>
    <t>SUSCRITO DIA</t>
  </si>
  <si>
    <t>SUSCRITO MES</t>
  </si>
  <si>
    <t>SUSCRITO AÑO</t>
  </si>
  <si>
    <t>CONVENIO</t>
  </si>
  <si>
    <t>convenio de colaboración mutua.</t>
  </si>
  <si>
    <t>convenio de vínculo laboral en la empresa.</t>
  </si>
  <si>
    <t xml:space="preserve">TIPO </t>
  </si>
  <si>
    <t>CCM</t>
  </si>
  <si>
    <t>AVL</t>
  </si>
  <si>
    <t>JR. METEORO NRO. 392 URB. LOS CIPRESES (ALT CDRA 16 DE AV ALBORADA) LIMA - LIMA - LIMA</t>
  </si>
  <si>
    <t>AV. AVIACION NRO. 4249 INT. 2 URB. CAPEBCO LIMA - LIMA - SURQUILLO</t>
  </si>
  <si>
    <t>GUERRA GOMEZ JOSE CARLOS</t>
  </si>
  <si>
    <t>AV. ALFONSO UGARTE 1821 MZA. A LOTE. 2 ASC. DE VIVIENDA LAS 4 PALMERAS LIMA - LIMA - ATE</t>
  </si>
  <si>
    <t>R. CHICLAYO MZA. 2G LOTE. 7 P.J. JOSE OLAYA (ELMER FAUCETT PTE RIMAC) PROV. CONST. DEL CALLAO - PROV. CONST. DEL CALLAO - CALLAO</t>
  </si>
  <si>
    <t>FABRICACIÓN DE OTROS PRODUCTOS ELABORADOS DE METAL N.C.P.</t>
  </si>
  <si>
    <t>FECHA TEXTO</t>
  </si>
  <si>
    <t>TEXTO DIA</t>
  </si>
  <si>
    <t>CAPE</t>
  </si>
  <si>
    <t>convenio con predominio en la empresa.</t>
  </si>
  <si>
    <t>JR. CRISTOBAL DE PERALTA NORT NRO. 820 URB. SAN IDELFONSO LIMA - LIMA - SANTIAGO DE SURCO</t>
  </si>
  <si>
    <t>SALAZAR MIRANDA FABIOLA DEL CARMEN</t>
  </si>
  <si>
    <t>PAIVA ZEGARRA ANGELICA MARIA</t>
  </si>
  <si>
    <t>SALAS RIZO PATRON ENRIQUE LUIS</t>
  </si>
  <si>
    <t>DURAN CHENEAUX JORGE MARTIN</t>
  </si>
  <si>
    <t>DELGADO PUENTE CARLOS ALFONSO</t>
  </si>
  <si>
    <t>TORO RUIZ SANDRA JANET</t>
  </si>
  <si>
    <t>RAMIREZ DEL VILLAR LOPEZ DE ROMAÑA EDUARDO JOSE ALBERTO</t>
  </si>
  <si>
    <t>QUISPE SAIRE RUTH JANET</t>
  </si>
  <si>
    <t>CAL.4 MZA. Z LOTE. 18 URB. LAS FRESAS (KM.28.5 DE LA PANAMERICANA NORTE) LIMA - LIMA - PUENTE PIEDRA</t>
  </si>
  <si>
    <t>ELECTRÓNICA INDUSTRIAL (TI)</t>
  </si>
  <si>
    <t>ZONAL LIMA - CALLAO</t>
  </si>
  <si>
    <t>ELECTRICIDAD INDUSTRIAL (DUAL)</t>
  </si>
  <si>
    <t>INSTRUMENTACIÓN Y CONTROL DE PROCESOS INDUSTRIALES</t>
  </si>
  <si>
    <t>REFRIGERACIÓN Y CLIMATIZACIÓN INDUSTRIAL</t>
  </si>
  <si>
    <t>MECATRÓNICA INDUSTRIAL (TECI)</t>
  </si>
  <si>
    <t>MATEO CONSULTORES S.A.C.</t>
  </si>
  <si>
    <t>PJ. L HERRERA NRO. 240 LIMA - LIMA - MIRAFLORES</t>
  </si>
  <si>
    <t>MONTALVO SUAREZ MIGUEL ANGEL</t>
  </si>
  <si>
    <t>15 de Junio de 2023</t>
  </si>
  <si>
    <t>CORPORACION KLLPA PERU S.A.C.</t>
  </si>
  <si>
    <t>AV. PASEO DE LA REPUBLICA NRO. 5970 DPTO. 1710 URB. PROLONGACION BENAVIDES LIMA - LIMA - MIRAFLORES</t>
  </si>
  <si>
    <t>PACHECO SANCHEZ MAGDA ROCIO</t>
  </si>
  <si>
    <t>CAL.S/N MZA. E2 LOTE. 10 A.V. SANTA LUZMILA (ENTRE 22 DE AGOSTO Y GERARDO UNGER) LIMA - LIMA - COMAS</t>
  </si>
  <si>
    <t>CASTRO MENACHO ALEX NEMECIO</t>
  </si>
  <si>
    <t>MZA. V LOTE. 23 URB. VIRGEN DEL ROSARIO LIMA - LIMA - SAN MARTIN DE PORRES</t>
  </si>
  <si>
    <t>ARROYO SALGADO LUIS MIGUEL FABIAN</t>
  </si>
  <si>
    <t>...</t>
  </si>
  <si>
    <t>AV. CARLOS IZAGUIRRE MZA. F LOTE. 5 URB. ARIZONA LIMA - LIMA - SAN MARTIN DE PORRES</t>
  </si>
  <si>
    <t>LAMBRUSCHINI TARAZONA PERCY JESUS</t>
  </si>
  <si>
    <t>AV. UNIVERSITARIA CUADRA 42 MZA. H LOTE. 10 ASC. ROSARIO DEL NORTE LIMA - LIMA - SAN MARTIN DE PORRES</t>
  </si>
  <si>
    <t>ARRIZ RODRIGUEZ LUIS ENRIQUE</t>
  </si>
  <si>
    <t>JR. MERCURIO NRO. 7502 URB. SOL DE ORO LIMA - LIMA - LOS OLIVOS</t>
  </si>
  <si>
    <t>OTRAS ACTIVIDADES DE ATENCIÓN DE LA SALUD HUMANA</t>
  </si>
  <si>
    <t>TOLENTINO BRANCACHO JUAN GABRIEL</t>
  </si>
  <si>
    <t>AV. ANTUNEZ DE MAYOLO NRO. 2453 LIMA - LIMA - SAN MARTIN DE PORRES</t>
  </si>
  <si>
    <t>PATIÑO RAMIREZ VICTOR MARTIN</t>
  </si>
  <si>
    <t>JR. TAHUANTINSUYO NRO. 1562 URB. ZARATE LIMA - LIMA - SAN JUAN DE LURIGANCHO</t>
  </si>
  <si>
    <t>ARENAS LINARES HUBER FERNANDO</t>
  </si>
  <si>
    <t xml:space="preserve">	12169680</t>
  </si>
  <si>
    <t>ARENAS SALAS HUBER MISAEL</t>
  </si>
  <si>
    <t>ORIHUELA CANCHANYA EFRAIN</t>
  </si>
  <si>
    <t>MZA. C LOTE. 39 PROG.VIV.AMPL.MAYORAZGO LIMA - LIMA - SAN MARTIN DE PORRES</t>
  </si>
  <si>
    <t>OTRAS ACTIVIDADES DE TECNOLOGÍA DE LA INFORMACIÓN Y DE SERVICIOS INFORMÁTICOS</t>
  </si>
  <si>
    <t>APARICIO PONCE DANIEL MOISES</t>
  </si>
  <si>
    <t xml:space="preserve">	13447847</t>
  </si>
  <si>
    <t>OTRAS ACTIVIDADES DE TELECOMUNICACIONES</t>
  </si>
  <si>
    <t>AV. TOMAS VALLE MZA. E LOTE. 10 URB. SAN AMADEO DE GARAGAY LIMA - LIMA - SAN MARTIN DE PORRES</t>
  </si>
  <si>
    <t>VENTA DE PARTES, PIEZAS Y ACCESORIOS PARA VEHÍCULOS AUTOMOTORES</t>
  </si>
  <si>
    <t>CERNA MEZA LUCERO BEATRIZ</t>
  </si>
  <si>
    <t>MANUFACTURA JOPISA S.A.</t>
  </si>
  <si>
    <t>CAL.LAS RETAMAS NRO. 334 URB. LOS RECAUDADORES LIMA - LIMA - ATE</t>
  </si>
  <si>
    <t>VARGAS RAMIREZ KAMINO ANTHONELL</t>
  </si>
  <si>
    <t xml:space="preserve">	11908788</t>
  </si>
  <si>
    <t>AV. BOLIVAR NRO. 2150 DPTO. 101 BLQ. 28 (FRENTE AL COMERCIO) LIMA - LIMA - PUEBLO LIBRE (MAGDALENA VIEJA)</t>
  </si>
  <si>
    <t>VILLANUEVA ROJAS SANTOS JORGE</t>
  </si>
  <si>
    <t xml:space="preserve">	11405245</t>
  </si>
  <si>
    <t>CAL.LA MILLA NRO. 204 URB. LA MILLA (LA MILLA 204-202) LIMA - LIMA - SAN MARTIN DE PORRES</t>
  </si>
  <si>
    <t>CAMPANA CONCHA KARINA</t>
  </si>
  <si>
    <t>PJ. CESAR VALLEJO MZA. 2 LOTE. 3 A.H. MUNICIPAL CHILLON (ALT. DEL EX DEPOSITO DE LA CRISTAL) LIMA - LIMA - LOS OLIVOS</t>
  </si>
  <si>
    <t>PUMARICA RAMIREZ MARIO AGUSTIN</t>
  </si>
  <si>
    <t xml:space="preserve">	13050687</t>
  </si>
  <si>
    <t>JOAQUIN EDUARDO INTEGRADORES ELECTRICOS E.I.R.L. - JE INTEGRADORES ELECTRICOS E.I.R.L.</t>
  </si>
  <si>
    <t>GARCIA CERRON EDUARDO MARTIN</t>
  </si>
  <si>
    <t>MCORP S.A.C</t>
  </si>
  <si>
    <t>AV. PEDRO VENTURO NRO. 505 URB. RESIDENCIAL HIGUERETA LIMA - LIMA - SANTIAGO DE SURCO</t>
  </si>
  <si>
    <t>SASIN CRISOSTOMO EMERSON</t>
  </si>
  <si>
    <t>CRISOSTOMO BENDEZU MIGUEL ANGEL</t>
  </si>
  <si>
    <t>JR. VIZCARDO Y GUZMAN NRO. 168 APV. LOS LIBERTADORES (ALT. CRUCE TOMAS VALLE CON A. GAMARRA) LIMA - LIMA - SAN MARTIN DE PORRES</t>
  </si>
  <si>
    <t>ACTIVIDADES DE TELECOMUNICACIONES ALÁMBRICAS</t>
  </si>
  <si>
    <t>MEDINA CASTILLO JUAN PEDRO</t>
  </si>
  <si>
    <t>AV. HUSARES DE JUNIN NRO. 311 FND. OYAGUE LIMA - LIMA - JESUS MARIA</t>
  </si>
  <si>
    <t>LOLOY LOPEZ NICOLAS</t>
  </si>
  <si>
    <t>10480547484 </t>
  </si>
  <si>
    <t>MEZA MAGUIÑO, LUIS ENRIQUE</t>
  </si>
  <si>
    <t>CALLE. LOS ALMENDROS  144 - LIMA - HUARAL - HUARAL</t>
  </si>
  <si>
    <t>MZA. P LOTE. 4 A.H. MARGINAL ASOC PRO VIVIENDA SICUANI LIMA - LIMA - ATE</t>
  </si>
  <si>
    <t>RIOS BELLIDO RAFAEL</t>
  </si>
  <si>
    <t>AV. CANADA NRO. 3673 URB. VILLA JARDIN LIMA - LIMA - SAN LUIS</t>
  </si>
  <si>
    <t>ROMERO ROJAS LISET MILAGROS</t>
  </si>
  <si>
    <t>ARHUATA SUCA ALEXANDER HANS</t>
  </si>
  <si>
    <t>CAL.CIPRESES NRO. 159 URB. VALDIVIEZO LIMA - LIMA - SAN MARTIN DE PORRES</t>
  </si>
  <si>
    <t>CORPORACION VICTORIANO GARCIA COLLANTES S.A.C.</t>
  </si>
  <si>
    <t>PJ. M. GRAU NRO. 737 (ALT. MCDO GRAN CAQUETA. AV. M. GRAU) LIMA - LIMA - SAN MARTIN DE PORRES</t>
  </si>
  <si>
    <t>GARCIA COLLANTES VICTORIANO BELTRAN</t>
  </si>
  <si>
    <t>JR. CONTI MZA. F10 LOTE. 33 URB. 10 OCTUBRE 2DA ETAPA LIMA - LIMA - SAN JUAN DE LURIGANCHO</t>
  </si>
  <si>
    <t>CERVANTES ROMERO LUIS GUSTAVO</t>
  </si>
  <si>
    <t>JR. LOS JASPES NRO. 221 ASOC.VIV.ROSARIO DEL NORT LIMA - LIMA - SAN MARTIN DE PORRES</t>
  </si>
  <si>
    <t>LEON JIMENEZ ERIC</t>
  </si>
  <si>
    <t>MZA. 79 LOTE. 3-A A.H. SANTA ROSA LIMA - LIMA - PUENTE PIEDRA</t>
  </si>
  <si>
    <t>CABRERA CHOQUE LUIS CARLOS</t>
  </si>
  <si>
    <t>CAR.CENTRAL KM. 10.5 URB. SANTA CLARA LIMA - LIMA - ATE</t>
  </si>
  <si>
    <t>ELABORACIÓN DE ALMIDONES Y PRODUCTOS DERIVADOS DEL ALMIDÓN</t>
  </si>
  <si>
    <t>AHUMADA NEGRON IVAN AUGUSTO</t>
  </si>
  <si>
    <t>SANCHEZ ALVARADO CARLOS RAUL</t>
  </si>
  <si>
    <t>MEDINA DAZA JULIO ENRIQUE</t>
  </si>
  <si>
    <t>AIRLIFE PERU S.A.C.</t>
  </si>
  <si>
    <t>AV. JAVIER PRADO ESTE NRO. 4483 URB. NEPTUNO (FRENTE AL JOCKEY PLAZA) LIMA - LIMA - SANTIAGO DE SURCO</t>
  </si>
  <si>
    <t xml:space="preserve"> ALQUILER Y ARRENDAMIENTO DE OTROS TIPOS DE MAQUINARIA, EQUIPO Y BIENES TANGIBLES</t>
  </si>
  <si>
    <t>VENEGAS ARAVENA CLAUDIO MAURICIO</t>
  </si>
  <si>
    <t>LIMA CAVADA CARLOS ARTURO</t>
  </si>
  <si>
    <t>CUMSILLE BRAVO RENE MAURICIO ENRIQUE</t>
  </si>
  <si>
    <t>MZA. F' LOTE. 24 URB. POP. CONAFOVICER GRUPO 13 LIMA - LIMA - VILLA EL SALVADOR</t>
  </si>
  <si>
    <t>RUMICHE YAMUNAQUE GLOBER STIVEN</t>
  </si>
  <si>
    <t xml:space="preserve">	14088765</t>
  </si>
  <si>
    <t>JR. CAMINO REAL NRO. 1801 INT. 15B URB. PARQUE INDUSTRIAL SAN PEDRITO LIMA - LIMA - SANTIAGO DE SURCO</t>
  </si>
  <si>
    <t>RUIZ LUNA LUIS ERNESTO</t>
  </si>
  <si>
    <t>SALAS ZULOAGA ANTONIO CESAR</t>
  </si>
  <si>
    <t>SERV AGUA POTAB Y ALCANT DE LIMA-SEDAPAL</t>
  </si>
  <si>
    <t>AUTOP.RAMIRO PRIALE NRO. 210 LA ATARJEA (KM. 1 AUTOPISTA RAMIRO PRIALE) LIMA - LIMA - EL AGUSTINO</t>
  </si>
  <si>
    <t>CAPTACIÓN, TRATAMIENTO Y DISTRIBUCIÓN DE AGUA</t>
  </si>
  <si>
    <t>VEGA BALTODANO NEIL MICHAEL</t>
  </si>
  <si>
    <t>DEL SOLAR REYNAGA JULIO CESAR</t>
  </si>
  <si>
    <t>AV. CENTENARIO NRO. 269 LIMA - LIMA - BREÑA</t>
  </si>
  <si>
    <t>OLIVOS ZULOETA ELEODORO</t>
  </si>
  <si>
    <t>CAL.53 MZA. BBB2 LOTE. 5 URB. LA FLORESTA DE PRO LIMA - LIMA - LOS OLIVOS</t>
  </si>
  <si>
    <t>SIFUENTES PEÑA GROVER FERNANDO</t>
  </si>
  <si>
    <t>JR. CUTERVO NRO. 1747 URB. CHACRA RÍOS NORTE (CRUCE AV. VENEZUELA CON AV. TINGO MARÍA) LIMA - LIMA - LIMA</t>
  </si>
  <si>
    <t>ZAMATA COLQUE PAUL NESTOR</t>
  </si>
  <si>
    <t>SALAZAR ACUÑA NORMA JERALDINE</t>
  </si>
  <si>
    <t>MZA. N LOTE. 09 ASC. DE PROP. SAN GABRIEL LIMA - LIMA - SAN JUAN DE LURIGANCHO</t>
  </si>
  <si>
    <t>CARDENAS BEDON ALAN ALEX</t>
  </si>
  <si>
    <t>METAL RAID PERU S.A.C.</t>
  </si>
  <si>
    <t>MZA. N LOTE. 149 ZONA EL PORVENIR LOS GRAMADALES (KM 33 PAN. NORTE PARADERO LAS VIÑAS) LIMA - LIMA - PUENTE PIEDRA</t>
  </si>
  <si>
    <t xml:space="preserve"> FABRICACION DE PRODUCTOS METALICOS PARA USO ESTRUCTURAL</t>
  </si>
  <si>
    <t>MENDOZA MARQUINA ORLANDO ALEXANDER</t>
  </si>
  <si>
    <t>AV. PROCERES DE INDEPENDENCIA NRO. 3000 INT. G-7 URB. CANTO GRANDE (C.C. MULTIPLAZA, FTE. A RADIO PATRULLA) LIMA - LIMA - LIMA</t>
  </si>
  <si>
    <t>PUZA HUAMANI ELISABET</t>
  </si>
  <si>
    <t>CRISTOBAL TRAVEZAÑO WILLIAMS HERNAN</t>
  </si>
  <si>
    <t>INDUTEX S.A.C.</t>
  </si>
  <si>
    <t>CAL.CORPAC NRO. 593 Z.I. CORPAC (ALTURA CDRA. 38 AV. ELMER FAUCETT) PROV. CONST. DEL CALLAO - PROV. CONST. DEL CALLAO - CALLAO</t>
  </si>
  <si>
    <t xml:space="preserve"> FABRICACIÓN DE OTROS PRODUCTOS MINERALES NO METÁLICOS N.C.P.</t>
  </si>
  <si>
    <t>GONZALES CONCEPCION RICARDO JAVIER</t>
  </si>
  <si>
    <t>VARGAS ZUÑIGA JOSE ALBERTO</t>
  </si>
  <si>
    <t>ISLAS CHALCO JOSE LUIS</t>
  </si>
  <si>
    <t>SALINAS VALLE SEBASTIAN JOSE</t>
  </si>
  <si>
    <t>SV MANAGEMENT S.A.C.</t>
  </si>
  <si>
    <t>AV. AV 15 DE JULIO NRO. 46 A.H. HUAYCAN ZONA C 46-47 (COLEGIO FE ALERIA) LIMA - LIMA - ATE</t>
  </si>
  <si>
    <t>LANDA GALARZA JESUS ANDERSON</t>
  </si>
  <si>
    <t>URB. LOS LIBERTADORES JR. TOMAS COCHRANE 485 LIMA - LIMA - SAN MARTIN DE PORRES</t>
  </si>
  <si>
    <t>PARC RUST CAJAMARQUILLA LOTE. 1C PARCELA NRO 1 (II ETAPA AV CHOSICA KM 3.8 FABRICA FAME) LIMA - LIMA - LURIGANCHO</t>
  </si>
  <si>
    <t>FABRICACIÓN DE CUBIERTAS Y CÁMARAS DE CAUCHO; RECAUCHUTADO Y RENOVACIÓN DE CUBIERTAS DE CAUCHO</t>
  </si>
  <si>
    <t>LINO SALAS JOSE ELOY</t>
  </si>
  <si>
    <t>LINO SALAS JAIME RICHARD</t>
  </si>
  <si>
    <t>SUB-GERENTE</t>
  </si>
  <si>
    <t>HOSPITAL NACIONAL ARZOBISPO LOAYZA</t>
  </si>
  <si>
    <t>AV. ALFONSO UGARTE NRO. 848 LIMA - LIMA - LIMA</t>
  </si>
  <si>
    <t>MONTENEGRO BAÑOS SEGUNDO APOLINAR</t>
  </si>
  <si>
    <t>DIRECTOR EJECUTIVO</t>
  </si>
  <si>
    <t>JR. G. NUMALLONA NRO. 350 LIMA - LIMA - SAN JUAN DE MIRAFLORES</t>
  </si>
  <si>
    <t>ACTIVIDADES INMOBILIARIAS REALIZADAS A CAMBIO DE UNA RETRIBUCIÓN O POR CONTRATA</t>
  </si>
  <si>
    <t>ARCOS CARHUANINA DANIEL ALFREDO</t>
  </si>
  <si>
    <t>ANKOST PERU S.A.</t>
  </si>
  <si>
    <t>CAL.MANUEL GONZALES PRADA NRO. 473 URB. CENTRO POBLADO SANTA CLARA LIMA - LIMA - ATE</t>
  </si>
  <si>
    <t>PAREDES QUISPE LUIS KONO</t>
  </si>
  <si>
    <t>CAL.LOS GAVILANES NRO. 344 DPTO. 304 URB. EL AGUILA PROV. CONST. DEL CALLAO - PROV. CONST. DEL CALLAO - BELLAVISTA</t>
  </si>
  <si>
    <t>LOO ARROYO RUDY CRISTIAN</t>
  </si>
  <si>
    <t>20600485777 </t>
  </si>
  <si>
    <t>AV. CAUDIVILLA MZA. T1 LOTE. 12 URB. RESIDENCIAL LUCYANA DE CARABAYLLO (AL COSTADO COLEGIO JUAN PABLO PEREGRINO) LIMA - LIMA - CARABAYLLO</t>
  </si>
  <si>
    <t>AV. JAVIER PRADO OESTE NRO. 757 INT. 1306 URB. SAN FELIPE LIMA - LIMA - MAGDALENA DEL MAR</t>
  </si>
  <si>
    <t>P.A. PERU S.A.C.</t>
  </si>
  <si>
    <t xml:space="preserve"> MAGDALENA DEL MAR</t>
  </si>
  <si>
    <t>MEJIA CANALES WILMER CESAR</t>
  </si>
  <si>
    <t>PERDOMO BONILLA ANGELA MARIA</t>
  </si>
  <si>
    <t>CAL.HUASCAR NRO. 1095 URB. LA PERLA ALTA PROV. CONST. DEL CALLAO - PROV. CONST. DEL CALLAO - LA PERLA</t>
  </si>
  <si>
    <t>FERNANDEZ SUAREZ MARIA DEL CARMEN</t>
  </si>
  <si>
    <t>AV. DOMINGO ORUE NRO. 261 DPTO. 203 EDIFICIO 9-4 SURQUILLO - DAMMERT LIMA - LIMA - SURQUILLO</t>
  </si>
  <si>
    <t>CANALES SAENZ DANIELA RUTH</t>
  </si>
  <si>
    <t>AV. AGUSTIN LA ROSA LOZANO MZA. B1 LOTE. 12 URB. SAN IGNACIO DE LOYOLA LIMA - LIMA - SANTIAGO DE SURCO</t>
  </si>
  <si>
    <t>RAMOS ROSALES RICHARD JHONNY</t>
  </si>
  <si>
    <t>OMEGA ELECTROMECHANICS SOCIEDAD ANONIMA CERRADA - OMEGA E S.A.C.</t>
  </si>
  <si>
    <t>AV. VICTOR MALASQUEZ NRO. A2-2 A.H. VISTA ALEGRE DE MANCHAY (A 1 CUADRA DE LA CANCHA DE VISTA ALEGRE) LIMA - LIMA - PACHACAMAC</t>
  </si>
  <si>
    <t>CAMPANA LEIVA WILY ARTURO</t>
  </si>
  <si>
    <t>AV. BOCANEGRA NRO. 476 URB. BOCANEGRA PROV. CONST. DEL CALLAO - PROV. CONST. DEL CALLAO - CALLAO</t>
  </si>
  <si>
    <t>OTIURA CANEPA JAVIER</t>
  </si>
  <si>
    <t>OTIURA CANEPA LUIS ROBERTO</t>
  </si>
  <si>
    <t>OTIURA CANEPA ENRIQUE NESTOR</t>
  </si>
  <si>
    <t>JR. CARHUAZ NRO. 464 DPTO. 102 URB. CHACRA COLORADA LIMA - LIMA - BREÑA</t>
  </si>
  <si>
    <t>URIBE HUAYTA CARLOS ARMANDO</t>
  </si>
  <si>
    <t>ZARACHO FERNANDEZ ELIANA</t>
  </si>
  <si>
    <t>AV. UNIVERSITARIA S/N MZA. I LOTE. 7 DPTO. 502 URB. PARQUE DE VILLA SOL (ENTRE MARAÑON Y VILLA SOL) LIMA - LIMA - LOS OLIVOS</t>
  </si>
  <si>
    <t>SOLIS GUTIERREZ JULIO FERNANDO</t>
  </si>
  <si>
    <t>MONTEZA AGUILAR JHESLYN JHOKAMY</t>
  </si>
  <si>
    <t>CAL.J MZA. E2 LOTE. 9 Z.I. CIUDAD DE PACHACUTEC II (AV N. GAMBETA ALT OFIC PERU POSIBLE) PROV. CONST. DEL CALLAO - PROV. CONST. DEL CALLAO - VENTANILLA</t>
  </si>
  <si>
    <t>DE LA CRUZ YOKOWARI VICTOR MANUEL</t>
  </si>
  <si>
    <t>MIL SOLUCIONES PERU S.A.C. - MIL SOLUCIONES PERU S.A.C.</t>
  </si>
  <si>
    <t>AV. GUILLERMO DANSEY NRO. 411 INT. 2087 CENTRO PLAZA FERRETERO PABELLON B 2DO. PISO LIMA - LIMA - LIMA</t>
  </si>
  <si>
    <t>JESUS CLAROS MIGUEL LEONCIO</t>
  </si>
  <si>
    <t>AV. LA MOLINA NRO. 3365 INT. 003 (EN EDIFICIO LAS GOLONDRINAS) LIMA - LIMA - LA MOLINA</t>
  </si>
  <si>
    <t>LOPEZ MUÑOZ CESAR TONY</t>
  </si>
  <si>
    <t>ATECEN S.A.C</t>
  </si>
  <si>
    <t>CAL.CAL.B MZA. C LOTE. 33 URB. INDUSTRIAL PANAMERICANA (AL FRENTE DE LA PUERTA C DE MEGAPLAZA) LIMA - LIMA - INDEPENDENCIA</t>
  </si>
  <si>
    <t>HERRERA HUAMAN GERMAN AUGUSTO</t>
  </si>
  <si>
    <t>ALCANTARA DELGADILLO JOSE LUIS</t>
  </si>
  <si>
    <t>AV. ALAMEDA MZA. E LOTE. 24 P.J. RAMÓN CASTILLA (FRENTE AL COLEGIO MARQUESADO) PROV. CONST. DEL CALLAO - PROV. CONST. DEL CALLAO - CALLAO</t>
  </si>
  <si>
    <t>2392 - FABRICACIÓN DE MATERIALES DE CONSTRUCCIÓN DE ARCILLA</t>
  </si>
  <si>
    <t>DIAZ PURIZAGA CESAR ENRIQUE</t>
  </si>
  <si>
    <t>AV. EL PACIFICO NRO. 397 URB. INDUSTRIAL PANAMERICANA NORTE LIMA - LIMA - INDEPENDENCIA</t>
  </si>
  <si>
    <t>2219 - FABRICACIÓN DE OTROS PRODUCTOS DE CAUCHO</t>
  </si>
  <si>
    <t>BENITES DAVILA LIZARDO ARTURO</t>
  </si>
  <si>
    <t>GALBIATI FERRARI DE BENITES MARIA AIDA</t>
  </si>
  <si>
    <t>BENITES GALBIATI DIEGO ARTURO</t>
  </si>
  <si>
    <t>BENITES GALBIATI CLAUDIO LIZARDO</t>
  </si>
  <si>
    <t>CAL.A MZA. A LOTE. 17 AS.NSTRA.SRA.DE LA MERCED (ALT. DE KM 9.3 DE AV.CARRETERA CENTRAL) LIMA - LIMA - ATE</t>
  </si>
  <si>
    <t>4690 - VENTA AL POR MAYOR NO ESPECIALIZADA</t>
  </si>
  <si>
    <t>DUEÑAS DUEÑAS MAXIMO FERNANDO</t>
  </si>
  <si>
    <t>AV. MEXICO NRO. 2204 LIMA - LIMA - LA VICTORIA</t>
  </si>
  <si>
    <t>1079 - ELABORACIÓN DE OTROS PRODUCTOS ALIMENTICIOS N.C.P.</t>
  </si>
  <si>
    <t>VARGAS VDA DE TORO MILADI FELICIA</t>
  </si>
  <si>
    <t>CAL.SN L 4C LOTE. S APV. LA ENSENADA DE CHILLON (FRENTE A LA COMISARIA DE LA ENSENADA) LIMA - LIMA - PUENTE PIEDRA</t>
  </si>
  <si>
    <t>2610 - FABRICACIÓN DE COMPONENTES Y TABLEROS ELECTRÓNICOS</t>
  </si>
  <si>
    <t>LACHIRA MACALUPU PAULA</t>
  </si>
  <si>
    <t>MZA. M LOTE. 38 COO. EL OLIVAR LIMA - LIMA - LOS OLIVOS</t>
  </si>
  <si>
    <t>3320 - INSTALACIÓN DE MAQUINARIA Y EQUIPO INDUSTRIALES</t>
  </si>
  <si>
    <t>CABALLERO PEDREROS WILBER JESUS</t>
  </si>
  <si>
    <t>CAL.AMADOR MERINO REYNA NRO. 267 INT. 902 (EDIFICIO PARQUE PLAZA) LIMA - LIMA - SAN ISIDRO</t>
  </si>
  <si>
    <t>7110 - ACTIVIDADES DE ARQUITECTURA E INGENIERÍA Y ACTIVIDADES CONEXAS DE CONSULTORÍA TÉCNICA</t>
  </si>
  <si>
    <t>SANCHEZ DE LAMADRID POVEDA FERNANDO JERONIMO</t>
  </si>
  <si>
    <t>YUNTA TOLEDO FRANCISCO JAVIER</t>
  </si>
  <si>
    <t>BLANCO ABEJON DANIEL</t>
  </si>
  <si>
    <t>001439222</t>
  </si>
  <si>
    <t>GARCIA GONZALEZ BAUTISTA</t>
  </si>
  <si>
    <t xml:space="preserve">
MZA. E LOTE. 5-6 URB. LA FLORIDA LIMA - LIMA - CARABAYLLO</t>
  </si>
  <si>
    <t>2790 - FABRICACIÓN DE OTROS TIPOS DE EQUIPO ELÉCTRICO</t>
  </si>
  <si>
    <t>ESCOBAR POMA EDISON BRYAN</t>
  </si>
  <si>
    <t>AV. MINERALES NRO. 349 Z.I. CERCADO DE LIMA LIMA - LIMA - LIMA</t>
  </si>
  <si>
    <t>2599 - FABRICACIÓN DE OTROS PRODUCTOS ELABORADOS DE METAL N.C.P.</t>
  </si>
  <si>
    <t>07222605</t>
  </si>
  <si>
    <t>MERINO CABALLERO ALFREDO ABEL</t>
  </si>
  <si>
    <t>08259976</t>
  </si>
  <si>
    <t>MARTINEZ CASTILLO ROBERTO CARLOS</t>
  </si>
  <si>
    <t>31654817</t>
  </si>
  <si>
    <t>46577282</t>
  </si>
  <si>
    <t>4321 - INSTALACIONES ELÉCTRICAS</t>
  </si>
  <si>
    <t>2710 - FABRICACIÓN DE MOTORES, GENERADORES Y TRANSFORMADORES ELÉCTRICOS Y APARATOS DE DISTRIBUCIÓN Y CONTROL DE LA ENERGÍA ELÉCTRICA</t>
  </si>
  <si>
    <t>42813640</t>
  </si>
  <si>
    <t>VIDALON PEREZ FERNANDO</t>
  </si>
  <si>
    <t>3312 - REPARACIÓN DE MAQUINARIA</t>
  </si>
  <si>
    <t>CHUQUIHUANGA LLACSAHUANGA NILS</t>
  </si>
  <si>
    <t>09991409</t>
  </si>
  <si>
    <t>BENITO AGUILAR ALVARO FORTUNATO</t>
  </si>
  <si>
    <t>CAR.ANTIGUA PANAMERICANA SUR KM. 38.2 LOTE. 3 FND. LAS SALINAS LIMA - LIMA - LURIN</t>
  </si>
  <si>
    <t>4510 - VENTA DE VEHÍCULOS AUTOMOTORES</t>
  </si>
  <si>
    <t>06788421</t>
  </si>
  <si>
    <t>ALVARADO PAZ VICTOR HUGO</t>
  </si>
  <si>
    <t>08226325</t>
  </si>
  <si>
    <t>08256115</t>
  </si>
  <si>
    <t>GARCIA BEJAR HECTOR RAUL</t>
  </si>
  <si>
    <t xml:space="preserve">MZA. C LOTE. 15 APV. ASOC VIVI. CHICMABAMBA 2 DA (AV TOMAS VALLE Y DOMINICOS) LIMA - LIMA - SAN MARTIN DE PORRES
MZA. C LOTE. 15 APV. ASOC VIVI. CHICMABAMBA 2 DA (AV TOMAS VALLE Y DOMINICOS) LIMA - LIMA - SAN MARTIN DE PORRES
</t>
  </si>
  <si>
    <t>TIRADO GUERRERO JOE ROBIN</t>
  </si>
  <si>
    <t>MZA. C LOTE. 44 DPTO. 01 INT. 01 URB. VIRGEN DE COCHARCAS (ALTURA AV.NICOLAS DE PIEROLA KM. 9.50) LIMA - LIMA - ATE</t>
  </si>
  <si>
    <t>3530 - SUMINISTRO DE VAPOR Y DE AIRE ACONDICIONADO</t>
  </si>
  <si>
    <t>RAMOS HUARIPAUCAR RANIN</t>
  </si>
  <si>
    <t>CAL.MOLLOCMARCA NRO. 366 (SCT 0243 MZT 008,1ERA CDRA DE FAUCETT) LIMA - LIMA - SAN MIGUEL</t>
  </si>
  <si>
    <t>AVELLANEDA ROMANI DE OCHANTE MARIA SALOME</t>
  </si>
  <si>
    <t>AV. SAN LUIS NRO. 1950 DPTO. 601 URB. SAN BORJA LIMA - LIMA - SAN BORJA</t>
  </si>
  <si>
    <t>3091 - FABRICACIÓN DE MOTOCICLETAS</t>
  </si>
  <si>
    <t>08030046</t>
  </si>
  <si>
    <t>ALDANA NIETO CARLOS MANUEL</t>
  </si>
  <si>
    <t>10224630</t>
  </si>
  <si>
    <t>UGARTE CORNEJO OSWALDO ENRIQUE</t>
  </si>
  <si>
    <t>000119965</t>
  </si>
  <si>
    <t>WANG XIANG QING</t>
  </si>
  <si>
    <t>9609 - OTRAS ACTIVIDADES DE SERVICIOS PERSONALES N.C.P.</t>
  </si>
  <si>
    <t>AV. LAS TORRES MZA. K LOTE. 1D URB. PARCELA DE LA ZONA NORTE DE LA PARCELA BAJA LIMA - LIMA - LURIGANCHO</t>
  </si>
  <si>
    <t>GONZALES GAMONAL YHONS YEAT</t>
  </si>
  <si>
    <t>CAL.FERMIN TANGUIS NRO. 145 URB. SANTA CATALINA (PISO 12) LIMA - LIMA - LA VICTORIA</t>
  </si>
  <si>
    <t>9329 - OTRAS ACTIVIDADES DE ESPARCIMIENTO Y RECREATIVAS N.C.P.</t>
  </si>
  <si>
    <t>08241071</t>
  </si>
  <si>
    <t>ZIGHELBOIM KLEIN DANIEL WALTER</t>
  </si>
  <si>
    <t>08244869</t>
  </si>
  <si>
    <t>LOSTAUNAU FLORES ROBERTO LUIS HUGO</t>
  </si>
  <si>
    <t>09375095</t>
  </si>
  <si>
    <t>MANZANARES PRIETO ROSARIO MILAGROS</t>
  </si>
  <si>
    <t>10555911</t>
  </si>
  <si>
    <t>WAGNER SARMIENTO ERWIN ADOLPH</t>
  </si>
  <si>
    <t>LADO DESIGN SOCIEDAD ANONIMA CERRADA - LADO DESIGN S.A.C.</t>
  </si>
  <si>
    <t>AV. CAMINO REAL NRO. 348 INT. 1104 LIMA - LIMA - SAN ISIDRO</t>
  </si>
  <si>
    <t>7410 - ACTIVIDADES ESPECIALIZADAS DE DISEÑO</t>
  </si>
  <si>
    <t>AV. LAS LOMAS NRO. 780 URB. ZARATE (2M) LIMA - LIMA - SAN JUAN DE LURIGANCHO</t>
  </si>
  <si>
    <t>8299 - OTRAS ACTIVIDADES DE SERVICIOS DE APOYO A LAS EMPRESAS N.C.P.</t>
  </si>
  <si>
    <t>10353541</t>
  </si>
  <si>
    <t>TUESTA LAZO BETTSY ROSA AMELIA</t>
  </si>
  <si>
    <t>TUESTA LAZO WILSON</t>
  </si>
  <si>
    <t xml:space="preserve">	GERENTE DE COMERCIALIZACIÓN</t>
  </si>
  <si>
    <t>MZA. D LOTE. 3 A.H. PESQUERO II PACHACUTEC PROV. CONST. DEL CALLAO - PROV. CONST. DEL CALLAO - VENTANILLA</t>
  </si>
  <si>
    <t>4322 - INSTALACIONES DE FONTANERÍA, CALEFACCIÓN Y AIRE ACONDICIONADO</t>
  </si>
  <si>
    <t>PICON RAMOS DAVIS</t>
  </si>
  <si>
    <t>AV. JORGE BASADRE GROHMANN NRO. 233 INT. 301 URB. FUNDO CONDE DE SAN ISIDRO LIMA - LIMA - SAN ISIDRO</t>
  </si>
  <si>
    <t>4659 - VENTA AL POR MAYOR DE OTROS TIPOS DE MAQUINARIA Y EQUIPO</t>
  </si>
  <si>
    <t>41108767</t>
  </si>
  <si>
    <t>VEGA SANCA ALVARO FORTUNATO</t>
  </si>
  <si>
    <t>41718102</t>
  </si>
  <si>
    <t>BALLON PICON PABLO JESUS</t>
  </si>
  <si>
    <t>000645624</t>
  </si>
  <si>
    <t>CASTRO ALARCON SAMUEL ALFREDO</t>
  </si>
  <si>
    <t>MZA. K5 LOTE. 19 A.H. LICENCIADOS DE VENTANILLA (A UNA CUADRA DEL PARADERO LICENCIADOS) PROV. CONST. DEL CALLAO - PROV. CONST. DEL CALLAO - VENTANILLA</t>
  </si>
  <si>
    <t>44781521</t>
  </si>
  <si>
    <t>MIRANDA LOZADA ALEX GIANFRANCO</t>
  </si>
  <si>
    <t>BBTI S.A.C.</t>
  </si>
  <si>
    <t>CAL.6 MZA. D LOTE. 13 URB. INDUSTRIAL GRIMAN (ALT. DE LIMA CARGO CITY) PROV. CONST. DEL CALLAO - PROV. CONST. DEL CALLAO - CALLAO</t>
  </si>
  <si>
    <t>46920214</t>
  </si>
  <si>
    <t>CHUNG SANCHEZ KENJI ALBERTO</t>
  </si>
  <si>
    <t>2829 - FABRICACIÓN DE OTROS TIPOS DE MAQUINARIA DE USO ESPECIAL</t>
  </si>
  <si>
    <t>GENSOLLEN MORENO JAIME JESUS</t>
  </si>
  <si>
    <t>HYDRATEK PERU S.R.L.</t>
  </si>
  <si>
    <t>JR. ACOMAYO NRO. 456 INT. 110 (ALT.AV.ARGENTINA CON CARCAMO) LIMA - LIMA - LIMA</t>
  </si>
  <si>
    <t>MEDINA CAJA EDWIN</t>
  </si>
  <si>
    <t>SPERTA S.A.C.</t>
  </si>
  <si>
    <t>AV. MARISCAL OSCAR R. BENAVIDES NRO. 1783 INT. 302 URB. LA TRINIDAD LIMA - LIMA - LIMA</t>
  </si>
  <si>
    <t>3520 - FABRICACIÓN DE GAS; DISTRIBUCIÓN DE COMBUSTIBLES GASEOSOS POR TUBERÍAS</t>
  </si>
  <si>
    <t>06669722</t>
  </si>
  <si>
    <t>ZEVALLOS VALDIVIA MIKE ROBERT</t>
  </si>
  <si>
    <t>70753566</t>
  </si>
  <si>
    <t>ZEVALLOS AGUINAGA ARANZA</t>
  </si>
  <si>
    <t>ARTIPEL EMPRESA INDIVIDUAL DE RESPONSABILIDAD LIMITADA</t>
  </si>
  <si>
    <t>AV. CAJAMARQUILLA NRO. 824 URB. ZARATE LIMA - LIMA - SAN JUAN DE LURIGANCHO</t>
  </si>
  <si>
    <t>4772 - VENTA AL POR MENOR DE PRODUCTOS FARMACÉUTICOS Y MÉDICOS, COSMÉTICOS Y ARTÍCULOS DE TOCADOR EN COMERCIOS ESPECIALIZADOS</t>
  </si>
  <si>
    <t>SOSA FUENTES JULIO CESAR</t>
  </si>
  <si>
    <t>MZA. A LOTE. 9 ASC. REPUBLICA DE FRANCIA LIMA - LIMA - VILLA EL SALVADOR</t>
  </si>
  <si>
    <t>2812 - FABRICACIÓN DE EQUIPO DE PROPULSIÓN DE FLUIDOS</t>
  </si>
  <si>
    <t>ROJAS HECHAIZ ANDRES AVELINO</t>
  </si>
  <si>
    <t>AV. CIRCUNVALACION MZA. L LOTE. 03 APV. LA CAPITANA-HUACHIPA LIMA - LIMA - LURIGANCHO</t>
  </si>
  <si>
    <t>4641 - VENTA AL POR MAYOR DE PRODUCTOS TEXTILES, PRENDAS DE VESTIR Y CALZADO</t>
  </si>
  <si>
    <t>07679104</t>
  </si>
  <si>
    <t>GUERRA PEREZ FIDEL AURELIO</t>
  </si>
  <si>
    <t>AV. 2 MZA. G1 LOTE. 22 URB. SAN ANTONIO DE CARAPONGO LIMA - LIMA - LURIGANCHO</t>
  </si>
  <si>
    <t>2420 - FABRICACIÓN DE PRODUCTOS PRIMARIOS DE METALES PRECIOSOS Y OTROS METALES NO FERROSOS</t>
  </si>
  <si>
    <t>CHACNAMA SIVINCHA AGUSTIN HUGO</t>
  </si>
  <si>
    <t>PRL JORGE CHAVEZ NRO. 365 (ENTRE INCA RIPAC- OSVALDO BARRETO) JUNIN - HUANCAYO - EL TAMBO</t>
  </si>
  <si>
    <t>41395261</t>
  </si>
  <si>
    <t>HUAMAN HUARICAPCHA RASET</t>
  </si>
  <si>
    <t>QUIQUIA LOZANO CHRISTIAN DAVID</t>
  </si>
  <si>
    <t>42285769</t>
  </si>
  <si>
    <t>HUARI ALVA IVAN PATRICIO</t>
  </si>
  <si>
    <t>20024870</t>
  </si>
  <si>
    <t>LEONARDO CARHUAZ IVAN WILLIAM</t>
  </si>
  <si>
    <t>JR. PACHITEA NRO. 126 LIMA - LIMA - LIMA</t>
  </si>
  <si>
    <t>7310 - PUBLICIDAD</t>
  </si>
  <si>
    <t>PACCORI CANCHANYA EDGAR INOCENCIO</t>
  </si>
  <si>
    <t>JR. LOS PINOS NRO. 308 URB. CAMACHO (DOS CDRAS DE WONG DE CAMACHO) LIMA - LIMA - LA MOLINA</t>
  </si>
  <si>
    <t>4921 - TRANSPORTE URBANO Y SUBURBANO DE PASAJEROS POR VÍA TERRESTRE</t>
  </si>
  <si>
    <t>09987747</t>
  </si>
  <si>
    <t>BARBOZA MORENO WALTER ENRIQUE</t>
  </si>
  <si>
    <t>72979821</t>
  </si>
  <si>
    <t>PEREZ FLORES MACIEL ALEXANDRA</t>
  </si>
  <si>
    <t>9511 - REPARACIÓN DE ORDENADORES Y EQUIPO PERIFÉRICO</t>
  </si>
  <si>
    <t>46455264</t>
  </si>
  <si>
    <t>PJ. HERNAN VELARDE NRO. 172 INT. 107 CERCADO DE LIMA LIMA - LIMA - LIMA</t>
  </si>
  <si>
    <t>08170437</t>
  </si>
  <si>
    <t>SALVADOR LEON VICTOR FELICIANO</t>
  </si>
  <si>
    <t>INTELECTRIC S.A.C.</t>
  </si>
  <si>
    <t>JR. VENUS NRO. 1176 URB. LA LUZ (ENTRE BERTELLO Y MARIANO CORNEJO) LIMA - LIMA - LIMA</t>
  </si>
  <si>
    <t>MAGUIÑA ZAMORA ALDO ELISEO</t>
  </si>
  <si>
    <t>JR. GUZMAN BLANCO MZA. S6 LOTE. 9 MARISCAL CACERES LIMA - LIMA - SAN JUAN DE LURIGANCHO</t>
  </si>
  <si>
    <t>8010 - ACTIVIDADES DE SEGURIDAD PRIVADA</t>
  </si>
  <si>
    <t>CALLA SOTO JOSE ANTONIO</t>
  </si>
  <si>
    <t>CAL.HUAYLLABAMBA MZA. E-1 LOTE. 34 COO. 27 DE ABRIL LIMA - LIMA - ATE</t>
  </si>
  <si>
    <t>2013 - FABRICACIÓN DE PLÁSTICOS Y CAUCHO SINTÉTICO EN FORMAS PRIMARIAS</t>
  </si>
  <si>
    <t>09175838</t>
  </si>
  <si>
    <t>PRADO MEDINA DE MALLQUI YOLANDA ISABEL</t>
  </si>
  <si>
    <t>09398555</t>
  </si>
  <si>
    <t>MALLQUI PRADO JORGE LUIS</t>
  </si>
  <si>
    <t>AV. SAN JUAN NRO. 615 URB. CENTRO INDUSTRIAL Y COMERCIAL CASTILLA (CERCA AL OVALO ARRIOLA) LIMA - LIMA - SAN LUIS</t>
  </si>
  <si>
    <t>LIU SUN FUXIANG</t>
  </si>
  <si>
    <t>TECNOLOGIAS MAYUMI E.I.R.L.</t>
  </si>
  <si>
    <t>MZA. C LOTE. 1 ASC. VIRGEN DE GUADALUPE (PARCEL 7-C) LIMA - LIMA - LURIGANCHO</t>
  </si>
  <si>
    <t>4759 - VENTA AL POR MENOR DE APARATOS ELÉCTRICOS DE USO DOMÉSTICO, MUEBLES, EQU. DE ILUMINACIÓN Y OTROS ENSERES EN COM. ESPECIALIZADOS</t>
  </si>
  <si>
    <t>CALIZAYA ROQUE RENE RICHARD</t>
  </si>
  <si>
    <t xml:space="preserve">LIMA </t>
  </si>
  <si>
    <t>JR. PACHITEA NRO. 183 INT. 204 (ENTRE JR.CARABAYA Y BELEN LIMA CERCADO) LIMA - LIMA - LIMA</t>
  </si>
  <si>
    <t>MZA. A LOTE. 2 OTR. PROGRAMACION DE VIVIENDA RESIDENCIAL LOS PINOS DE SANTA ROSA (CRUCE AV. CANTA CALLAO Y AV. IZAGUIRRE) LIMA - LIMA - SAN MARTIN DE PORRES</t>
  </si>
  <si>
    <t>2816 - FABRICACIÓN DE EQUIPO DE ELEVACIÓN Y MANIPULACIÓN</t>
  </si>
  <si>
    <t>41793799</t>
  </si>
  <si>
    <t>RODRIGUEZ BUSTAMANTE DORA JOVANNA</t>
  </si>
  <si>
    <t>45715958</t>
  </si>
  <si>
    <t>RODRIGUEZ BUSTAMANTE EBNER</t>
  </si>
  <si>
    <t>A &amp; J ASSOCIATES SOCIEDAD ANONIMA CERRADA</t>
  </si>
  <si>
    <t>PRO.FORTALEZA NRO. 421 URB. ANDAHUAYLAS LIMA - LIMA - SANTA ANITA</t>
  </si>
  <si>
    <t>42954084</t>
  </si>
  <si>
    <t>46670890</t>
  </si>
  <si>
    <t>PALOMINO SILVERA JOEL DAVID</t>
  </si>
  <si>
    <t>1391 - FABRICACIÓN DE TEJIDOS DE PUNTO Y GANCHILLO</t>
  </si>
  <si>
    <t>06206162</t>
  </si>
  <si>
    <t>SILVA VIOLETA DAVID FERNANDO</t>
  </si>
  <si>
    <t>GERENTE EJECUTIVO</t>
  </si>
  <si>
    <t>00195340</t>
  </si>
  <si>
    <t>10303549</t>
  </si>
  <si>
    <t>CUEVAS VILLA SANTOS ANANIAS</t>
  </si>
  <si>
    <t>CAL.SAN FERNANDO NRO. 225 URB. SANTA LUISA (PASANDO UNIVERSIDAD CESAR VALLEJO PANAM) LIMA - LIMA - LOS OLIVOS</t>
  </si>
  <si>
    <t>2511 - FABRICACION DE PRODUCTOS METALICOS PARA USO ESTRUCTURAL</t>
  </si>
  <si>
    <t>ROSALES ASENCIOS ELIO CASZELI</t>
  </si>
  <si>
    <t xml:space="preserve">	12017098</t>
  </si>
  <si>
    <t>CAM SERVICIOS DEL PERU S.A.</t>
  </si>
  <si>
    <t xml:space="preserve">
AV. PASEO DE LA REPUBLICA NRO. 3617 URB. MALIBU (PISO 18) LIMA - LIMA - SAN ISIDRO</t>
  </si>
  <si>
    <t>06040850</t>
  </si>
  <si>
    <t>GALVEZ FIGUEROA BEATRIZ AMELIA</t>
  </si>
  <si>
    <t xml:space="preserve">	APODERADO</t>
  </si>
  <si>
    <t>13456087</t>
  </si>
  <si>
    <t>LAM FLORES OMAR TED FRANCISCO</t>
  </si>
  <si>
    <t>4663 - VENTA AL POR MAYOR DE MATERIALES DE CONSTRUCCIÓN, ARTÍCULOS DE FERRETERÍA Y EQUIPO Y MATERIALES DE FONTANERÍA Y CALEFACCIÓN</t>
  </si>
  <si>
    <t>QUEZADA CORONADO, LUIS ANGEL</t>
  </si>
  <si>
    <t>FLORES ARQUIÑO, MITCHEL GUILLERMO</t>
  </si>
  <si>
    <t>93098 - OTRAS ACTIVID.DE TIPO SERVICIO NCP</t>
  </si>
  <si>
    <t>JR. JOSE GABRIEL AGUILAR 475- URB SAN AGUSTIN - LIMA - LIMA - COMAS</t>
  </si>
  <si>
    <t>ANTIGUA PANAMERICANA SUR KM. 33 - PARADERO CASETA - LIMA - LIMA - LURIN</t>
  </si>
  <si>
    <t xml:space="preserve">
AV. BENJAMIN FRANKLIN NRO. 280 URB. INDUSTRIAL SANTA ROSA (2 CUADRAS MERCADO SANTA ROSA) LIMA - LIMA - ATE</t>
  </si>
  <si>
    <t>3319 - REPARACIÓN DE OTROS TIPOS DE EQUIPO</t>
  </si>
  <si>
    <t xml:space="preserve">	CARRILLO QUIROZ ALFREDO ANDRES</t>
  </si>
  <si>
    <t>11690074</t>
  </si>
  <si>
    <t>MOGOLLON MARAVI, HUMBERTO LEONARDO</t>
  </si>
  <si>
    <t>CALLE CAJAY MZ. D3 LT. 47 URB. LOS NARANJOS - LIMA - LIMA - LOS OLIVOS</t>
  </si>
  <si>
    <t>AV. MORRO SOLAR NRO. 2522 URB. RESIDENCIAL MONTERRICO LIMA - LIMA - SANTIAGO DE SURCO</t>
  </si>
  <si>
    <t>4290 - CONSTRUCCIÓN DE OTRAS OBRAS DE INGENIERÍA CIVIL</t>
  </si>
  <si>
    <t>09938002</t>
  </si>
  <si>
    <t>LIMASCCA - JUAN JOSE</t>
  </si>
  <si>
    <t xml:space="preserve">	TITULAR-GERENTE</t>
  </si>
  <si>
    <t>13618276</t>
  </si>
  <si>
    <t>AV. GENERAL CESAR CANEVARO NRO. 979 URB. RISSO LIMA - LIMA - LINCE</t>
  </si>
  <si>
    <t xml:space="preserve">	BALAREZO DAVILA JOSE MARIA</t>
  </si>
  <si>
    <t>13962824</t>
  </si>
  <si>
    <t xml:space="preserve">
AV. VENEZUELA NRO. 625 INT. 812 LIMA - LIMA - BREÑA</t>
  </si>
  <si>
    <t>ACURIO USCA MANUEL JESUS</t>
  </si>
  <si>
    <t>11932696</t>
  </si>
  <si>
    <t>JR. ZORRITOS NRO. 859 DPTO. 404 URB. CHACRA COLORADA (TORRE 6) LIMA - LIMA - BREÑA</t>
  </si>
  <si>
    <t>45524353</t>
  </si>
  <si>
    <t>MALQUE MORILLAS DE URCIA GABRIELA MARGORT</t>
  </si>
  <si>
    <t xml:space="preserve">
CAL.LAS TORONJAS NRO. 471 URB. EL NARANJAL LIMA - LIMA - INDEPENDENCIA</t>
  </si>
  <si>
    <t>09913407</t>
  </si>
  <si>
    <t>MEZARINA MARTINEZ EDUARDO</t>
  </si>
  <si>
    <t xml:space="preserve">	GERENTE DE OPERACIONES</t>
  </si>
  <si>
    <t>11862384</t>
  </si>
  <si>
    <t>10617343</t>
  </si>
  <si>
    <t>DIAZ LUCIANO ELIZA</t>
  </si>
  <si>
    <t>9521 - REPARACIÓN DE APARATOS ELECTRÓNICOS DE CONSUMO</t>
  </si>
  <si>
    <t>47696754</t>
  </si>
  <si>
    <t>MEJIA CORDERO YONATAN BENJAMIN</t>
  </si>
  <si>
    <t>14364687</t>
  </si>
  <si>
    <t>CAL.CASTROVIRREYNA NRO. 869 URB. PROVEEDORES UNIDOS (A DOS CDRAS DE TINGO MARIA) LIMA - LIMA - BREÑA</t>
  </si>
  <si>
    <t>45897018</t>
  </si>
  <si>
    <t xml:space="preserve">	RUBINA ZAVALA JUAN EDUARDO</t>
  </si>
  <si>
    <t>12925259</t>
  </si>
  <si>
    <t>JR. MRCAL. A JOSE DE SUCRE NRO. 793 INT. 404 (ESQ. PROLONGACION JR. AYACUCHO Nº355) LIMA - LIMA - SAN MIGUEL</t>
  </si>
  <si>
    <t xml:space="preserve"> 8299 - OTRAS ACTIVIDADES DE SERVICIOS DE APOYO A LAS EMPRESAS N.C.P.</t>
  </si>
  <si>
    <t>ONTIVEROS HUAROTO EDDY LEONEL</t>
  </si>
  <si>
    <t xml:space="preserve">	70349259</t>
  </si>
  <si>
    <t>JR. LAS MARGARITAS NRO. 111 URB. LOS VIÑEDOS DE CARABAYLLO (CRUCE AV CARABAYLLO Y AV HONDURAS) LIMA - LIMA - COMAS</t>
  </si>
  <si>
    <t xml:space="preserve">	SANCHEZ MEDINA MIGUEL ANGEL</t>
  </si>
  <si>
    <t>12721477</t>
  </si>
  <si>
    <t>COLD LINE INVERSIONES SAC</t>
  </si>
  <si>
    <t xml:space="preserve">	TOVAR OCHOA PABLO ROBERTO</t>
  </si>
  <si>
    <t>12816915</t>
  </si>
  <si>
    <t>REFRIAIRE S.A.C.</t>
  </si>
  <si>
    <t>MZA. D30 LOTE. 3 A.H. BOCANEGRA SECTOR 3 PROV. CONST. DEL CALLAO - PROV. CONST. DEL CALLAO - CALLAO</t>
  </si>
  <si>
    <t xml:space="preserve">	MANRIQUE SANCHEZ JHENNER ERNESTO</t>
  </si>
  <si>
    <t>70268736</t>
  </si>
  <si>
    <t>T &amp; T FRUITS S.A.</t>
  </si>
  <si>
    <t>JR. LAS PLEYADES NRO. 333 URB. LA CAMPIÑA LIMA - LIMA - CHORRILLOS</t>
  </si>
  <si>
    <t>1030 - ELABORACIÓN Y CONSERVACIÓN DE FRUTAS, LEGUMBRES Y HORTALIZAS</t>
  </si>
  <si>
    <t>TAVERA NEGRON JAIME ALBERTO</t>
  </si>
  <si>
    <t>09993158</t>
  </si>
  <si>
    <t>BACA CAVASSA JORGE CARLOS</t>
  </si>
  <si>
    <t>AV. LOS FICUS MZA. 02 LOTE. 4 A.H. VISTA ALEGRE DE VILLA LIMA - LIMA - CHORRILLOS</t>
  </si>
  <si>
    <t>10086465</t>
  </si>
  <si>
    <t>ASIS RAYMUNDO RICHARD GUSTAVO</t>
  </si>
  <si>
    <t>12555880</t>
  </si>
  <si>
    <t>CAL.27 SECTOR IV MZA. R LOTE. 6 URB. ANTONIA MORENO DE CÁCERES PROV. CONST. DEL CALLAO - PROV. CONST. DEL CALLAO - VENTANILLA</t>
  </si>
  <si>
    <t xml:space="preserve">	JANAMPA PARIONA YOEL JAIME</t>
  </si>
  <si>
    <t>13441579</t>
  </si>
  <si>
    <t>AV. CONTRALMIRANTE MORA NRO. 1102 BASE NAVAL PROV. CONST. DEL CALLAO - PROV. CONST. DEL CALLAO - CALLAO</t>
  </si>
  <si>
    <t>3011 - CONSTRUCCIÓN DE BUQUES Y ENTIDADES FLOTANTES</t>
  </si>
  <si>
    <t>09055960</t>
  </si>
  <si>
    <t>SARAVIA CABALLERO JAIME RONALD</t>
  </si>
  <si>
    <t>70200366</t>
  </si>
  <si>
    <t>25605345</t>
  </si>
  <si>
    <t xml:space="preserve">	BEGAZO RAMIREZ RAUL FELIX</t>
  </si>
  <si>
    <t>43560660</t>
  </si>
  <si>
    <t>BENAVIDES IRAOLA CESAR AUGUSTO</t>
  </si>
  <si>
    <t>45599699</t>
  </si>
  <si>
    <t xml:space="preserve">	DE LA CRUZ ROQUE CARLOS ALBERTO</t>
  </si>
  <si>
    <t>VEND S.A.C.</t>
  </si>
  <si>
    <t>CAL.ABELARDO QUIÑONES NRO. 186 URB. FUNDO BOCANEGRA PROV. CONST. DEL CALLAO - PROV. CONST. DEL CALLAO - CALLAO</t>
  </si>
  <si>
    <t>4799 - OTRAS ACTIVIDADES DE VENTA AL POR MENOR NO REALIZADAS EN COMERCIOS, PUESTOS DE VENTA O MERCADOS</t>
  </si>
  <si>
    <t>09147597</t>
  </si>
  <si>
    <t>MALPARTIDA DEL POZO CARLO EDUARDO</t>
  </si>
  <si>
    <t>00565180</t>
  </si>
  <si>
    <t>10714089</t>
  </si>
  <si>
    <t>GUTIERREZ ZUÑIGA LUIS ALBERTO</t>
  </si>
  <si>
    <t>70619091</t>
  </si>
  <si>
    <t>GONZALES REGALADO LULUBETH ESTHER</t>
  </si>
  <si>
    <t>001828543</t>
  </si>
  <si>
    <t>YANEZ SERRANO KEVIN HENRRY</t>
  </si>
  <si>
    <t>ALBENSA SERVICIOS GENERALES S.R.LTDA</t>
  </si>
  <si>
    <t>CAL.MARTE NRO. 267 URB. OLIMPO 1RA ETAPA (ALT. CDRA 12 AV. LOS QUECHUAS) LIMA - LIMA - ATE</t>
  </si>
  <si>
    <t>4923 - TRANSPORTE DE CARGA POR CARRETERA</t>
  </si>
  <si>
    <t>06602510</t>
  </si>
  <si>
    <t>ALBENGRIN HASSINGER ORLANDO</t>
  </si>
  <si>
    <t>03011283</t>
  </si>
  <si>
    <t xml:space="preserve">
AV. ARGENTINA NRO. 6037 Z.I. INDUSTRIAL (A 3 CDRAS DE LA AV.UNIVERSITARIA) PROV. CONST. DEL CALLAO - PROV. CONST. DEL CALLAO - CARMEN DE LA LEGUA REYNOSO</t>
  </si>
  <si>
    <t>2211 - FABRICACIÓN DE CUBIERTAS Y CÁMARAS DE CAUCHO; RECAUCHUTADO Y RENOVACIÓN DE CUBIERTAS DE CAUCHO</t>
  </si>
  <si>
    <t xml:space="preserve">	OTROS PERSONA NATURAL</t>
  </si>
  <si>
    <t>11008413</t>
  </si>
  <si>
    <t>15368358</t>
  </si>
  <si>
    <t>NUÑEZ CAYCHO YRMA ROSSANA</t>
  </si>
  <si>
    <t>CONTADOR</t>
  </si>
  <si>
    <t>40015122</t>
  </si>
  <si>
    <t>NUÑEZ CORREA MARIO FERNANDO</t>
  </si>
  <si>
    <t>41490890</t>
  </si>
  <si>
    <t>43662441</t>
  </si>
  <si>
    <t>SARAVIA CHUMBIAUCA ARTURO ISRAEL</t>
  </si>
  <si>
    <t>GARCIA HARO EDUARDO ALFREDO</t>
  </si>
  <si>
    <t xml:space="preserve">
AV. CORONEL NESTOR GAMBETTA NRO. 6815 PROV. CONST. DEL CALLAO - PROV. CONST. DEL CALLAO - CALLAO</t>
  </si>
  <si>
    <t>2030 - FABRICACIÓN DE FIBRAS ARTIFICIALES</t>
  </si>
  <si>
    <t>07269795</t>
  </si>
  <si>
    <t>BARRIOS GARCIA LUIS JAVIER</t>
  </si>
  <si>
    <t>03011276</t>
  </si>
  <si>
    <t>07272101</t>
  </si>
  <si>
    <t>SILVA SILVA ALBERTO MIGUEL</t>
  </si>
  <si>
    <t>07818226</t>
  </si>
  <si>
    <t>07920510</t>
  </si>
  <si>
    <t>ZAMBRANO BURGA JULIO ALEJANDRO</t>
  </si>
  <si>
    <t>09174048</t>
  </si>
  <si>
    <t>09344338</t>
  </si>
  <si>
    <t>PICCINI VELARDE JUAN FERNANDO</t>
  </si>
  <si>
    <t>09863053</t>
  </si>
  <si>
    <t>MUENTE KUNIGAMI PERCY</t>
  </si>
  <si>
    <t>42020235</t>
  </si>
  <si>
    <t>46148235</t>
  </si>
  <si>
    <t>000362801</t>
  </si>
  <si>
    <t>DUNCAN IAN AGAR</t>
  </si>
  <si>
    <t>001762922</t>
  </si>
  <si>
    <t>ZENTENO SORUCO MARCELO NILO</t>
  </si>
  <si>
    <t xml:space="preserve">
JR. RECUAY NRO. 159 URB. CHACRA COLORADA LIMA - LIMA - BREÑA</t>
  </si>
  <si>
    <t>4652 - VENTA AL POR MAYOR DE EQUIPO, PARTES Y PIEZAS ELECTRÓNICOS Y DE TELECOMUNICACIONES</t>
  </si>
  <si>
    <t xml:space="preserve">	CHAMPAC MANCO JUAN ORLANDO</t>
  </si>
  <si>
    <t>00513571</t>
  </si>
  <si>
    <t>40168569</t>
  </si>
  <si>
    <t xml:space="preserve">	VILCHEZ VILLANUEVA DANIEL ANGEL</t>
  </si>
  <si>
    <t>12391019</t>
  </si>
  <si>
    <t>AV. 12 DE OCTUBRE NRO. 1665 URB. LOS LIBERTADORES (CRUCE AV ANGELICA GAMARRA CON 12 DE OCT) LIMA - LIMA - SAN MARTIN DE PORRES</t>
  </si>
  <si>
    <t>4520 - MANTENIMIENTO Y REPARACIÓN DE VEHÍCULOS AUTOMOTORES</t>
  </si>
  <si>
    <t>45985754</t>
  </si>
  <si>
    <t xml:space="preserve">	CALDERON HUARCAYA JAIME JOSE</t>
  </si>
  <si>
    <t>14133847</t>
  </si>
  <si>
    <t xml:space="preserve">
CAL.38 MZA. I LOTE. 18 URB. SAN AGUSTIN 2ETP LIMA - LIMA - COMAS</t>
  </si>
  <si>
    <t>4773 - VENTA AL POR MENOR DE OTROS PRODUCTOS NUEVOS EN COMERCIOS ESPECIALIZADOS</t>
  </si>
  <si>
    <t>SANCHEZ RELUZ PERCY LEONEL</t>
  </si>
  <si>
    <t>12510192</t>
  </si>
  <si>
    <t xml:space="preserve">
AV. MARISCAL OSCAR R. BENAVIDES NRO. 206 INT. 2060 URB. LIMA INDUSTRIAL (CENTRO COMERCIAL) LIMA - LIMA - LIMA</t>
  </si>
  <si>
    <t>44423935</t>
  </si>
  <si>
    <t>MENDOZA REBATTA VICTOR ANTONIO</t>
  </si>
  <si>
    <t xml:space="preserve">	GERENTE</t>
  </si>
  <si>
    <t>14148613</t>
  </si>
  <si>
    <t>JR. SANTA MARIA NRO. 339 URB. PALAO ET. DOS LIMA - LIMA - SAN MARTIN DE PORRES</t>
  </si>
  <si>
    <t>7210 - INVESTIGACIONES Y DESARROLLO EXPERIMENTAL EN EL CAMPO DE LAS CIENCIAS NATURALES Y LA INGENIERÍA</t>
  </si>
  <si>
    <t xml:space="preserve">	ARAUJO CAMPOS ALAN WIL</t>
  </si>
  <si>
    <t>13899459</t>
  </si>
  <si>
    <t>MZA. F LOTE. 27 A.H. PORTALES DE SANTA ROSA (CRUCE DE AV. DOMINICOS C/ AV. SANTA ROSA) LIMA - LIMA - SAN MARTIN DE PORRES</t>
  </si>
  <si>
    <t>QUISPE GARCIA JULIO CESAR</t>
  </si>
  <si>
    <t>13620217</t>
  </si>
  <si>
    <t>PROYECTO PILOTO NUEVO PACHACUTEC MZA. W1 LOTE. 7 GRU. RESIDENCIAL E4 - SECTOR E PROV. CONST. DEL CALLAO - PROV. CONST. DEL CALLAO - VENTANILLA</t>
  </si>
  <si>
    <t>VENTILLA</t>
  </si>
  <si>
    <t>PANDURO LABAJOS MAX</t>
  </si>
  <si>
    <t>70390724</t>
  </si>
  <si>
    <t>PANDURO LABAJOS ALAN</t>
  </si>
  <si>
    <t>JR. LAS MAGNOLIAS NRO. 270 INT. 1-GP URB. LOS JAZMINES LIMA - LIMA - SAN JUAN DE LURIGANCHO</t>
  </si>
  <si>
    <t>6190 - OTRAS ACTIVIDADES DE TELECOMUNICACIONES</t>
  </si>
  <si>
    <t>DE LA CRUZ VELASQUEZ FREDDY JULIO</t>
  </si>
  <si>
    <t>13121436</t>
  </si>
  <si>
    <t>ALIMENTOS FINOS DEL PACIFICO S.A.</t>
  </si>
  <si>
    <t>CAL.BAHIA PARACAS NRO. S/N Z.I. LOS FERROLES - CALLAO (INTERSEC. AV. CENTENARIO Y BAHIA PARACAS) PROV. CONST. DEL CALLAO - PROV. CONST. DEL CALLAO - CALLAO</t>
  </si>
  <si>
    <t>1020 - ELABORACIÓN Y CONSERVACIÓN DE PESCADO, CRUSTÁCEOS Y MOLUSCOS</t>
  </si>
  <si>
    <t>07042653</t>
  </si>
  <si>
    <t xml:space="preserve">	VALENZUELA MEJIA CARLOS A.</t>
  </si>
  <si>
    <t>70220106</t>
  </si>
  <si>
    <t>AV. SANTUARIO NRO. 1323 URB. ZARATE (1323-1325 ALT CDRA 12 DE LA AVDA CHIMU) LIMA - LIMA - SAN JUAN DE LURIGANCHO</t>
  </si>
  <si>
    <t>1410 - FABRICACIÓN DE PRENDAS DE VESTIR, EXCEPTO PRENDAS DE PIEL</t>
  </si>
  <si>
    <t>06106053</t>
  </si>
  <si>
    <t>ORTIZ SANCHEZ MANUEL NERI</t>
  </si>
  <si>
    <t xml:space="preserve">	00892025</t>
  </si>
  <si>
    <t>06165905</t>
  </si>
  <si>
    <t>FLORES CONISLLA ROSAURO</t>
  </si>
  <si>
    <t>06221995</t>
  </si>
  <si>
    <t>FLORES CONISLLA AQUILINO</t>
  </si>
  <si>
    <t>06760342</t>
  </si>
  <si>
    <t xml:space="preserve">	LOPEZ NIÑO DE GUZMAN GUSTAVO DONATO</t>
  </si>
  <si>
    <t>09322990</t>
  </si>
  <si>
    <t>FLORES CONISLLA MANUEL ISMAEL</t>
  </si>
  <si>
    <t>RAVATEK E.I.R.L.</t>
  </si>
  <si>
    <t>JR. PARURO NRO. 1389 DPTO. 303 LIMA - LIMA - LIMA</t>
  </si>
  <si>
    <t>10818232</t>
  </si>
  <si>
    <t xml:space="preserve">	VALENCIA CARHUACHUCO RAFAEL</t>
  </si>
  <si>
    <t>13017248</t>
  </si>
  <si>
    <t xml:space="preserve">
AV. HEROES DEL ALTO CENEPA NRO. 563 URB. CHACRA CERRO (LT7 ALT KM 22.5 PAN.NORTE EX AV TRAPICHE) LIMA - LIMA - COMAS</t>
  </si>
  <si>
    <t>2220 - FABRICACIÓN DE PRODUCTOS DE PLÁSTICO</t>
  </si>
  <si>
    <t>07614888</t>
  </si>
  <si>
    <t>UCHUYA SANCHEZ JOSE LUIS</t>
  </si>
  <si>
    <t>11117967</t>
  </si>
  <si>
    <t>MZA. A LOTE. 30 A.H. LOS GIRASOLES (ALT DE COMISARIA DE ANCON) LIMA - LIMA - ANCON</t>
  </si>
  <si>
    <t>45038707</t>
  </si>
  <si>
    <t xml:space="preserve">	ALBERCA TICLIA CARLOS MANUEL</t>
  </si>
  <si>
    <t>13522527</t>
  </si>
  <si>
    <t>ESPIRITU QUISPE JOSE LUIS</t>
  </si>
  <si>
    <t>ESPIRITU QUISPE, JOSE LUIS</t>
  </si>
  <si>
    <t>JR. PARURO 1310 INT. 324 - LIMA - LIMA - LIMA</t>
  </si>
  <si>
    <t>YSARBE MENDOZA, JONAS</t>
  </si>
  <si>
    <t>9601 - LAVADO Y LIMPIEZA, INCLUIDA LA LIMPIEZA EN SECO, DE PRODUCTOS TEXTILES Y DE PIEL</t>
  </si>
  <si>
    <t>AV.CIRCUNVALACION MZ "L" LOTE 35 HUACHIPA - LIMA - LIMA - LURIGANCHO</t>
  </si>
  <si>
    <t>ESCRIBA GRANDE MARCO ANTONIO</t>
  </si>
  <si>
    <t>ESCRIBA GRANDE, MARCO ANTONIO</t>
  </si>
  <si>
    <t>LT. 40 E AV. SANTA ANA S/N EX FUNDO CHACRA CERRO - LIMA - LIMA - COMAS</t>
  </si>
  <si>
    <t>CAR.AUTOPISTA ANCON KM. 28 (PANAMERICANA NORTE) LIMA - LIMA - PUENTE PIEDRA</t>
  </si>
  <si>
    <t>2029 - FABRICACIÓN DE OTROS PRODUCTOS QUÍMICOS N.C.P.</t>
  </si>
  <si>
    <t>06368112</t>
  </si>
  <si>
    <t>BERNARD VALDERRAMA BEPPI PIERO MARTIN</t>
  </si>
  <si>
    <t>11038454</t>
  </si>
  <si>
    <t>06938412</t>
  </si>
  <si>
    <t xml:space="preserve">	AGUIRRE SOSA WILDER SUIBERTO</t>
  </si>
  <si>
    <t>07875038</t>
  </si>
  <si>
    <t>VILLANUEVA BELLO LUIS ANDRES</t>
  </si>
  <si>
    <t>09225268</t>
  </si>
  <si>
    <t>BERNARD VALDERRAMA URSULA MARTINA</t>
  </si>
  <si>
    <t>09538015</t>
  </si>
  <si>
    <t>MAZUELOS WOOLCOTT EDUARDO MANUEL</t>
  </si>
  <si>
    <t>09751408</t>
  </si>
  <si>
    <t>SCHENONE HUAMAN BRUNO RAFAEL</t>
  </si>
  <si>
    <t>41522530</t>
  </si>
  <si>
    <t>HUAMAN UBILLUS BENJAMIN AUGUSTO</t>
  </si>
  <si>
    <t>JR. RIOBAMBA NRO. 1550 INT. A URB. PERU LIMA - LIMA - SAN MARTIN DE PORRES</t>
  </si>
  <si>
    <t>42253379</t>
  </si>
  <si>
    <t xml:space="preserve">	MARQUEZ CUADROS JOSE LUIS</t>
  </si>
  <si>
    <t>14642652</t>
  </si>
  <si>
    <t>JR. LAS GRAVAS NRO. 1853 (URB. FLORES 78) LIMA - LIMA - SAN JUAN DE LURIGANCHO</t>
  </si>
  <si>
    <t>10675758</t>
  </si>
  <si>
    <t xml:space="preserve">	ABELINO PEREZ DANTE WINDELVAND</t>
  </si>
  <si>
    <t>12785048</t>
  </si>
  <si>
    <t>CAL.CIRO ALEGRIA NRO. 260 A.H. FEDERICO VILLAREAL LIMA - LIMA - COMAS</t>
  </si>
  <si>
    <t>41541183</t>
  </si>
  <si>
    <t>TEJADA HUANQUI JOSMELL</t>
  </si>
  <si>
    <t>12211327</t>
  </si>
  <si>
    <t>42366831</t>
  </si>
  <si>
    <t>LEON ROJAS DE TEJADA BERTHA POLONIA</t>
  </si>
  <si>
    <t xml:space="preserve">	GERENTE ADMINISTRATIVO</t>
  </si>
  <si>
    <t>CAL.INTERNA- CONDOMINIO MAYEL NRO. S/N URB. LA RONCADORA UNIDAD 25 (TERMINANDO CEMENTERIO STA CLARA) LIMA - LIMA - ATE</t>
  </si>
  <si>
    <t>4752 - VENTA AL POR MENOR DE ARTÍCULOS DE FERRETERÍA, PINTURAS Y PRODUCTOS DE VIDRIO EN COMERCIOS ESPECIALIZADOS</t>
  </si>
  <si>
    <t xml:space="preserve">	GUEVARA TRAUCO RONAL SEGUNDO</t>
  </si>
  <si>
    <t>13362990</t>
  </si>
  <si>
    <t xml:space="preserve">
JR. RIO CHOTANO NRO. 5308 URB. VILLA DEL NORTE LIMA - LIMA - LOS OLIVOS</t>
  </si>
  <si>
    <t>7490 - OTRAS ACTIVIDADES PROFESIONALES, CIENTÍFICAS Y TÉCNICAS N.C.P.</t>
  </si>
  <si>
    <t xml:space="preserve">	REYES YZAGUIRRE WILFREDO JESUS</t>
  </si>
  <si>
    <t>13051748</t>
  </si>
  <si>
    <t>CAL.AMADOR MERINO REYNA NRO. 198 URB. JARDIN LIMA - LIMA - SAN ISIDRO</t>
  </si>
  <si>
    <t>2393 - FABRICACIÓN DE OTROS PRODUCTOS DE PORCELANA Y DE CERÁMICA</t>
  </si>
  <si>
    <t>03689290</t>
  </si>
  <si>
    <t>RAYGADA MENDOZA LUCIANA</t>
  </si>
  <si>
    <t>11014965</t>
  </si>
  <si>
    <t>07188431</t>
  </si>
  <si>
    <t>VERME GIANNONI JUAN CARLOS</t>
  </si>
  <si>
    <t>08263424</t>
  </si>
  <si>
    <t>BERAUN CADENILLAS PEDRO ANTONIO</t>
  </si>
  <si>
    <t>09844006</t>
  </si>
  <si>
    <t>BAUTISTA CASAS JUVENAL ESTANISLAO</t>
  </si>
  <si>
    <t>09955702</t>
  </si>
  <si>
    <t>MEZA FLORES CARLOS AUGUSTO</t>
  </si>
  <si>
    <t>10147538</t>
  </si>
  <si>
    <t>SHACK YALTA DAVID MARTIN</t>
  </si>
  <si>
    <t>10809570</t>
  </si>
  <si>
    <t>MENENDEZ ZEPPILLI PEDRO GONZALO</t>
  </si>
  <si>
    <t>15588513</t>
  </si>
  <si>
    <t xml:space="preserve">	MORAN SANTA CRUZ JOSE ALFREDO</t>
  </si>
  <si>
    <t>40665214</t>
  </si>
  <si>
    <t>DE VINATEA MUÑOZ NAJAR GONZALO ANDRES</t>
  </si>
  <si>
    <t>43563532</t>
  </si>
  <si>
    <t>BÄR INFANTES RICARDO JOSE</t>
  </si>
  <si>
    <t>44293356</t>
  </si>
  <si>
    <t>ALTAMIRANO LEON JORGE EDSON</t>
  </si>
  <si>
    <t>000280391</t>
  </si>
  <si>
    <t xml:space="preserve">	OLIVIER PATRICK DOMINIQUE MARIE</t>
  </si>
  <si>
    <t>OL SERVICIOS GENERALES S.R.L.</t>
  </si>
  <si>
    <t>AV. CESAR GENERAL CESAR CANEVARO NRO. 979 URB. DEL FUNDO LOBATON LIMA - LIMA - LINCE</t>
  </si>
  <si>
    <t>8129 - OTRAS ACTIVIDADES DE LIMPIEZA DE EDIFICIOS Y DE INSTALACIONES INDUSTRIALES</t>
  </si>
  <si>
    <t>06985320</t>
  </si>
  <si>
    <t xml:space="preserve">	QUISPE VASQUEZ JOSE ANTONIO</t>
  </si>
  <si>
    <t>11144431</t>
  </si>
  <si>
    <t>AV. CIRCUNVALACION MZA. L LOTE. 37 A URB. LA CAPITANA LIMA - LIMA - LURIGANCHO</t>
  </si>
  <si>
    <t xml:space="preserve">	DIAZ REYNOSO JUAN CARLOS</t>
  </si>
  <si>
    <t xml:space="preserve">	MEZA SALAS LINOD EDITH</t>
  </si>
  <si>
    <t>1920 - FABRICACIÓN DE PRODUCTOS DE LA REFINACIÓN DEL PETRÓLEO</t>
  </si>
  <si>
    <t>09642605</t>
  </si>
  <si>
    <t>GAMBA VALEGA CESAR MARTIN</t>
  </si>
  <si>
    <t>70200394</t>
  </si>
  <si>
    <t>10080008</t>
  </si>
  <si>
    <t>REYES RUIZ JOSE GREGORIO</t>
  </si>
  <si>
    <t>10263237</t>
  </si>
  <si>
    <t xml:space="preserve">	GUZMAN SOLORZANO JUAN PABLO</t>
  </si>
  <si>
    <t>APODERADO ESPECIFICO</t>
  </si>
  <si>
    <t>10345917</t>
  </si>
  <si>
    <t>LOAYZA HERNANDEZ JOSE LUIS</t>
  </si>
  <si>
    <t>001861970</t>
  </si>
  <si>
    <t xml:space="preserve">	DE LA CALLE FERNANDEZ JULIAN AGUSTIN</t>
  </si>
  <si>
    <t>JAIME FERNANDEZ-CUESTA LUCA DE TENA</t>
  </si>
  <si>
    <t>20373697720</t>
  </si>
  <si>
    <t>GRUPO REPSOL DEL PERU S.A.C.</t>
  </si>
  <si>
    <t>F. INICIO</t>
  </si>
  <si>
    <t>F. TERMINO</t>
  </si>
  <si>
    <t>MODALIDAD</t>
  </si>
  <si>
    <t>1</t>
  </si>
  <si>
    <t>2023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</si>
  <si>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</si>
  <si>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</si>
  <si>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</si>
  <si>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</si>
  <si>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</si>
  <si>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</si>
  <si>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</si>
  <si>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</si>
  <si>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</si>
  <si>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</si>
  <si>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</si>
  <si>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</si>
  <si>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</si>
  <si>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</si>
  <si>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</si>
  <si>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</si>
  <si>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</si>
  <si>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</si>
  <si>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</si>
  <si>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</si>
  <si>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</si>
  <si>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</si>
  <si>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</si>
  <si>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2024</t>
  </si>
  <si>
    <t>2025</t>
  </si>
  <si>
    <t>2026</t>
  </si>
  <si>
    <t>2027</t>
  </si>
  <si>
    <t>2028</t>
  </si>
  <si>
    <t>2029</t>
  </si>
  <si>
    <t>2030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</si>
  <si>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</si>
  <si>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</si>
  <si>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</si>
  <si>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</si>
  <si>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</si>
  <si>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</si>
  <si>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</si>
  <si>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</si>
  <si>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</si>
  <si>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</si>
  <si>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</si>
  <si>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</si>
  <si>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</si>
  <si>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</si>
  <si>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</si>
  <si>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</si>
  <si>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</si>
  <si>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</si>
  <si>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</si>
  <si>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</si>
  <si>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</si>
  <si>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</si>
  <si>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</si>
  <si>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</si>
  <si>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</si>
  <si>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</si>
  <si>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</si>
  <si>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</si>
  <si>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</si>
  <si>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</si>
  <si>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REGISTRO GENERAL</t>
  </si>
  <si>
    <t>1811 - IMPRESIÓN</t>
  </si>
  <si>
    <t>4530 - VENTA DE PARTES, PIEZAS Y ACCESORIOS PARA VEHÍCULOS AUTOMOTORES</t>
  </si>
  <si>
    <t>1812 - ACTIVIDADES DE SERVICIOS RELACIONADAS CON LA IMPRESIÓN</t>
  </si>
  <si>
    <t>6910 - ACTIVIDADES JURÍDICAS</t>
  </si>
  <si>
    <t>1520 - FABRICACIÓN DE CALZADO</t>
  </si>
  <si>
    <t>4721 - VENTA AL POR MENOR DE ALIMENTOS EN COMERCIOS ESPECIALIZADOS</t>
  </si>
  <si>
    <t>74996 - OTRAS ACTIVIDADES EMPRESARIALES NCP.</t>
  </si>
  <si>
    <t>2432 - FUNDICIÓN DE METALES NO FERROSOS</t>
  </si>
  <si>
    <t>4390 - OTRAS ACTIVIDADES ESPECIALIZADAS DE CONSTRUCCIÓN</t>
  </si>
  <si>
    <t>4711 - VENTA AL POR MENOR EN COMERCIOS NO ESPECIALIZADOS CON PREDOMINIO DE LA VENTA DE ALIMENTOS, BEBIDAS O TABACO</t>
  </si>
  <si>
    <t>4630 - VENTA AL POR MAYOR DE ALIMENTOS, BEBIDAS Y TABACO</t>
  </si>
  <si>
    <t>4741 - VENTA AL POR MENOR DE ORDENADORES, EQUIPO PERIFÉRICO, PROGRAMA DE INFORM. Y EQU. DE TELEC. EN COMERCIOS ESPECIALIZADOS</t>
  </si>
  <si>
    <t>1071 - ELABORACIÓN DE PRODUCTOS DE PANADERÍA</t>
  </si>
  <si>
    <t>4329 - OTRAS INSTALACIONES PARA OBRAS DE CONSTRUCCIÓN</t>
  </si>
  <si>
    <t>4761 - VENTA AL POR MENOR DE LIBROS, PERIÓDICOS Y ARTÍCULOS DE PAPELERÍA EN COMERCIOS ESPECIALIZADOS</t>
  </si>
  <si>
    <t>9529 - REPARACIÓN DE OTROS EFECTOS PERSONALES Y ENSERES DOMÉSTICOS</t>
  </si>
  <si>
    <t>3100 - FABRICACIÓN DE MUEBLES</t>
  </si>
  <si>
    <t>3290 - OTRAS INDUSTRIAS MANUFACTURERAS N.C.P.</t>
  </si>
  <si>
    <t>6201 - PROGRAMACIÓN INFORMÁTICA</t>
  </si>
  <si>
    <t>9602 - PELUQUERÍA Y OTROS TRATAMIENTOS DE BELLEZA</t>
  </si>
  <si>
    <t>5610 - ACTIVIDADES DE RESTAURANTES Y DE SERVICIO MÓVIL DE COMIDAS</t>
  </si>
  <si>
    <t>4789 - VENTA AL POR MENOR DE OTROS PRODUCTOS EN PUESTOS DE VENTA Y MERCADOS</t>
  </si>
  <si>
    <t>4719 - OTRAS ACTIVIDADES DE VENTA AL POR MENOR EN COMERCIOS NO ESPECIALIZADOS</t>
  </si>
  <si>
    <t>4649 - VENTA AL POR MAYOR DE OTROS ENSERES DOMÉSTICOS</t>
  </si>
  <si>
    <t>8620 - ACTIVIDADES DE MÉDICOS Y ODONTÓLOGOS</t>
  </si>
  <si>
    <t>5590 - OTRAS ACTIVIDADES DE ALOJAMIENTO</t>
  </si>
  <si>
    <t>7730 - ALQUILER Y ARRENDAMIENTO DE OTROS TIPOS DE MAQUINARIA, EQUIPO Y BIENES TANGIBLES</t>
  </si>
  <si>
    <t>6209 - OTRAS ACTIVIDADES DE TECNOLOGÍA DE LA INFORMACIÓN Y DE SERVICIOS INFORMÁTICOS</t>
  </si>
  <si>
    <t>2822 - FABRICACIÓN DE MAQUINARIA PARA LA CONFORMACIÓN DE METALES Y DE MÁQUINAS HERRAMIENTA</t>
  </si>
  <si>
    <t>6419 - OTROS TIPOS DE INTERMEDIACIÓN MONETARIA</t>
  </si>
  <si>
    <t>1313 - ACABADO DE PRODUCTOS TEXTILES</t>
  </si>
  <si>
    <t>3314 - REPARACIÓN DE EQUIPO ELÉCTRICO</t>
  </si>
  <si>
    <t>3311 - REPARACIÓN DE PRODUCTOS ELABORADOS DE METAL</t>
  </si>
  <si>
    <t>8510 - ENSEÑANZA PREESCOLAR Y PRIMARIA</t>
  </si>
  <si>
    <t>8690 - OTRAS ACTIVIDADES DE ATENCIÓN DE LA SALUD HUMANA</t>
  </si>
  <si>
    <t>4540 - VENTA, MANTENIMIENTO Y REPARACIÓN DE MOTOCICLETAS Y SUS PARTES, PIEZAS Y ACCESORIOS</t>
  </si>
  <si>
    <t>1709 - FABRICACIÓN DE OTROS ARTÍCULOS DE PAPEL Y CARTÓN</t>
  </si>
  <si>
    <t>4791 - VENTA AL POR MENOR POR CORREO Y POR INTERNET</t>
  </si>
  <si>
    <t>8549 - OTROS TIPOS DE ENSEÑANZA N.C.P.</t>
  </si>
  <si>
    <t>4730 - VENTA AL POR MENOR DE COMBUSTIBLES PARA VEHÍCULOS AUTOMOTORES EN COMERCIOS ESPECIALIZADOS</t>
  </si>
  <si>
    <t>2930 - FABRICACIÓN DE PARTES, PIEZAS Y ACCESORIOS PARA VEHÍCULOS AUTOMOTORES</t>
  </si>
  <si>
    <t>4330 - TERMINACIÓN Y ACABADO DE EDIFICIOS</t>
  </si>
  <si>
    <t>TACNA</t>
  </si>
  <si>
    <t>9522 - REPARACIÓN DE APARATOS DE USO DOMÉSTICO Y EQUIPO DOMÉSTICO Y DE JARDINERÍA</t>
  </si>
  <si>
    <t>7020 - ACTIVIDADES DE CONSULTORÍA DE GESTIÓN</t>
  </si>
  <si>
    <t>QUISPE COBEÑAS VICTOR OMAR</t>
  </si>
  <si>
    <t>1622 - FABRICACIÓN DE PARTES Y PIEZAS DE CARPINTERÍA PARA EDIFICIOS Y CONSTRUCCIONES</t>
  </si>
  <si>
    <t>4620 - VENTA AL POR MAYOR DE MATERIAS PRIMAS AGROPECUARIAS Y ANIMALES VIVOS</t>
  </si>
  <si>
    <t>1399 - FABRICACIÓN DE OTROS PRODUCTOS TEXTILES N.C.P.</t>
  </si>
  <si>
    <t>1392 - FABRICACIÓN DE ARTÍCULOS CONFECCIONADOS DE MATERIALES TEXTILES, EXCEPTO PRENDAS DE VESTIR</t>
  </si>
  <si>
    <t>2592 - TRATAMIENTO Y REVESTIMIENTO DE METALES; MAQUINADO</t>
  </si>
  <si>
    <t>2819 - FABRICACIÓN DE OTROS TIPOS DE MAQUINARIA DE USO GENERAL</t>
  </si>
  <si>
    <t>8110 - ACTIVIDADES COMBINADAS DE APOYO A INSTALACIONES</t>
  </si>
  <si>
    <t>6202 - CONSULTORÍA DE INFORMÁTICA Y GESTIÓN DE INSTALACIONES INFORMÁTICAS</t>
  </si>
  <si>
    <t>4922 - OTRAS ACTIVIDADES DE TRANSPORTE POR VÍA TERRESTRE</t>
  </si>
  <si>
    <t>5210 - ALMACENAMIENTO Y DEPÓSITO</t>
  </si>
  <si>
    <t>9499 - ACTIVIDADES DE OTRAS ASOCIACIONES N.C.P.</t>
  </si>
  <si>
    <t>02</t>
  </si>
  <si>
    <t>01</t>
  </si>
  <si>
    <t>03</t>
  </si>
  <si>
    <t>04</t>
  </si>
  <si>
    <t>05</t>
  </si>
  <si>
    <t>06</t>
  </si>
  <si>
    <t>07</t>
  </si>
  <si>
    <t>08</t>
  </si>
  <si>
    <t>09</t>
  </si>
  <si>
    <t>AV. VICTOR ANDRES BELAUNDE NRO. 830 P.J. SEÑOR DE LOS MILAGROS (PARADERO EL POZO) LIMA - LIMA - COMAS</t>
  </si>
  <si>
    <t>09020053</t>
  </si>
  <si>
    <t>SOTO COLLACHAGUA JULIO CESAR</t>
  </si>
  <si>
    <t>13318315</t>
  </si>
  <si>
    <t>INDECO S.A.</t>
  </si>
  <si>
    <t>AV. UNIVERSITARIA SUR NRO. 583 (ALTURA CDRA. 27 AV. ARGENTINA) LIMA - LIMA - LIMA</t>
  </si>
  <si>
    <t>2732 - FABRICACIÓN DE OTROS HILOS Y CABLES ELÉCTRICOS</t>
  </si>
  <si>
    <t>02864943</t>
  </si>
  <si>
    <t>GARCIA RAMIREZ ALEX GUSTAVO</t>
  </si>
  <si>
    <t>03028485</t>
  </si>
  <si>
    <t>08870604</t>
  </si>
  <si>
    <t>GUTIERREZ AVALOS JOSE ALBERTO</t>
  </si>
  <si>
    <t>42710529</t>
  </si>
  <si>
    <t>RUILOBA MORANTE SANTIAGO RAFAEL</t>
  </si>
  <si>
    <t>004417975</t>
  </si>
  <si>
    <t>SILVA MONTERREY LUIS ERNESTO</t>
  </si>
  <si>
    <t>004601964</t>
  </si>
  <si>
    <t>JAIMES FLOREZ OSCAR</t>
  </si>
  <si>
    <t>AV. LURIGANCHO NRO. 1349 URB. ZARATE (MZA. N LOTE 1 - A) LIMA - LIMA - SAN JUAN DE LURIGANCHO</t>
  </si>
  <si>
    <t>09216673</t>
  </si>
  <si>
    <t xml:space="preserve">	DIAZ DIAZ SEGUNDO LUIS</t>
  </si>
  <si>
    <t>11081153</t>
  </si>
  <si>
    <t>METALPREN S A</t>
  </si>
  <si>
    <t>AV. MINERALES NRO. 310 URB. INDUSTRIAL WIESE LIMA - LIMA - LIMA</t>
  </si>
  <si>
    <t>06631851</t>
  </si>
  <si>
    <t>BALARIN DE LA TORRE DANILO G</t>
  </si>
  <si>
    <t xml:space="preserve">	PRESIDENTE DIRECTORIO</t>
  </si>
  <si>
    <t>01258214</t>
  </si>
  <si>
    <t>07245265</t>
  </si>
  <si>
    <t xml:space="preserve">	GRANDA SAMALVIDES JULIO CESAR</t>
  </si>
  <si>
    <t>07252580</t>
  </si>
  <si>
    <t>TORICELLI MACCHIAVELLO GIACOMO RICARDO</t>
  </si>
  <si>
    <t>07806825</t>
  </si>
  <si>
    <t>BALARIN BENAVIDES DANILO</t>
  </si>
  <si>
    <t xml:space="preserve">	DIRECTOR</t>
  </si>
  <si>
    <t>AV. FERROCARRIL NRO. 212 LIMA - BARRANCA - PARAMONGA</t>
  </si>
  <si>
    <t>1072 - ELABORACIÓN DE AZÚCAR</t>
  </si>
  <si>
    <t>06448915</t>
  </si>
  <si>
    <t xml:space="preserve">	WONG SALAZAR RAFAEL RICARDO</t>
  </si>
  <si>
    <t>40008309</t>
  </si>
  <si>
    <t>08253022</t>
  </si>
  <si>
    <t>WONG LU VEGA EDUARDO JAVIER PEDRO</t>
  </si>
  <si>
    <t>08255169</t>
  </si>
  <si>
    <t>WONG LU VEGA ERASMO JESUS ROLANDO</t>
  </si>
  <si>
    <t>08258860</t>
  </si>
  <si>
    <t>WONG LU VEGA EDGARDO LORENZO</t>
  </si>
  <si>
    <t>08260562</t>
  </si>
  <si>
    <t>WONG LU VEGA ERIC AUGUSTO TEODORO</t>
  </si>
  <si>
    <t>08261632</t>
  </si>
  <si>
    <t>WONG LU VEGA EFRAIN ROBERTO TEODORO</t>
  </si>
  <si>
    <t>08803517</t>
  </si>
  <si>
    <t>VALDEZ CORDOVA HUMBERTO ENRIQUE</t>
  </si>
  <si>
    <t>09295781</t>
  </si>
  <si>
    <t>RAVETTINO CABIESES RAFAEL ALEJANDRO</t>
  </si>
  <si>
    <t>09395289</t>
  </si>
  <si>
    <t>FERNANDEZ RONCAGLIOLO JORGE JEFFREY</t>
  </si>
  <si>
    <t>10277763</t>
  </si>
  <si>
    <t>BORJA CORDOVA EDWIN</t>
  </si>
  <si>
    <t>0000251049</t>
  </si>
  <si>
    <t xml:space="preserve">	TELLO SASTOQUE HECTOR ARTURO</t>
  </si>
  <si>
    <t>PROMOTORES ELECTRICOS S A</t>
  </si>
  <si>
    <t xml:space="preserve">
AV. NICOLAS ARRIOLA NRO. 899 URB. SANTA CATALINA LIMA - LIMA - LA VICTORIA</t>
  </si>
  <si>
    <t>09136215</t>
  </si>
  <si>
    <t>MALLQUI NAUPAY JOSE ANGEL</t>
  </si>
  <si>
    <t>03019869</t>
  </si>
  <si>
    <t>09145074</t>
  </si>
  <si>
    <t>MALLQUI NAUPAY MAXIMO ALI</t>
  </si>
  <si>
    <t>09152487</t>
  </si>
  <si>
    <t>MALLQUI NAUPAY DE FRKOVICH BETTY</t>
  </si>
  <si>
    <t>10793333</t>
  </si>
  <si>
    <t>MALLQUI NAUPAY GLORIA LUZ</t>
  </si>
  <si>
    <t>AV. MANUEL OLGUIN NRO. 325 INT. 703 URB. LOS GRANADOS LIMA - LIMA - SANTIAGO DE SURCO</t>
  </si>
  <si>
    <t>0146 - CRÍA DE AVES DE CORRAL</t>
  </si>
  <si>
    <t>07273792</t>
  </si>
  <si>
    <t>VALDEZ BERNOS JAVIER ANTONIO</t>
  </si>
  <si>
    <t>00366439</t>
  </si>
  <si>
    <t>10061985</t>
  </si>
  <si>
    <t>VALDEZ BERNOS RAFAEL</t>
  </si>
  <si>
    <t>10614159</t>
  </si>
  <si>
    <t>VALDEZ GINER JIMENA</t>
  </si>
  <si>
    <t>COMPAÑIA NACIONAL DE CHOCOLATES DE PERU S.A.</t>
  </si>
  <si>
    <t>AV. MAQUINARIAS NRO. 2360 URB. CONDE DE LAS TORRES LIMA - LIMA - LIMA</t>
  </si>
  <si>
    <t>1073 - ELABORACIÓN DE CACAO Y CHOCOLATE Y DE PRODUCTOS DE CONFITERÍA</t>
  </si>
  <si>
    <t>07880314</t>
  </si>
  <si>
    <t>YEP OKA JESUS HIDEKI</t>
  </si>
  <si>
    <t>11953116</t>
  </si>
  <si>
    <t>10065342</t>
  </si>
  <si>
    <t>BENDEZU TELLO SYLVIA ISABEL</t>
  </si>
  <si>
    <t>40590300</t>
  </si>
  <si>
    <t>BLAS SOSA FAUSTO ALEJANDRO</t>
  </si>
  <si>
    <t>SANDOVAL RODRIGUEZ JOEL EFRAIN</t>
  </si>
  <si>
    <t>FERNANDEZ VILLA RUBEN ALONSO</t>
  </si>
  <si>
    <t>AV. NESTOR GAMBETA NRO. 6429 PROV. CONST. DEL CALLAO - PROV. CONST. DEL CALLAO - CALLAO</t>
  </si>
  <si>
    <t>2410 - INDUSTRIAS BÁSICAS DE HIERRO Y ACERO</t>
  </si>
  <si>
    <t>06752375</t>
  </si>
  <si>
    <t>VERASTEGUI PEÑA DOLI AMPARO</t>
  </si>
  <si>
    <t>70626724</t>
  </si>
  <si>
    <t>07094607</t>
  </si>
  <si>
    <t>ORTIZ RIVERA LIDIA FERNANDINA</t>
  </si>
  <si>
    <t>07786382</t>
  </si>
  <si>
    <t xml:space="preserve">	MUÑOZ RODRIGUEZ LA ROSA FERNANDO JOSE</t>
  </si>
  <si>
    <t>08203634</t>
  </si>
  <si>
    <t xml:space="preserve">	SALINI ESPINOZA ROSE MARIE</t>
  </si>
  <si>
    <t>25592443</t>
  </si>
  <si>
    <t>ROMERO VIENA LUIS ALBERTO</t>
  </si>
  <si>
    <t>08240901</t>
  </si>
  <si>
    <t>GALLOFRE CASSADO MANUEL ANTONIO</t>
  </si>
  <si>
    <t>JR. SAN FERNANDO NRO. 225 URB. SANTA LUISA (ALTURA PUENTE SANTA LUISA) LIMA - LIMA - LOS OLIVOS</t>
  </si>
  <si>
    <t xml:space="preserve">	RAMIREZ CHUNGA LUIS ALBERTO</t>
  </si>
  <si>
    <t>11764021</t>
  </si>
  <si>
    <t>MZA. G LOTE. 18 URB. SANTA ROSITA DE ATE II ETAPA (PISO 2 - ALT. LAS TORRES DE CERES) LIMA - LIMA - ATE</t>
  </si>
  <si>
    <t>ARIAS GONZALES LUIS ALBERTO</t>
  </si>
  <si>
    <t>13897683</t>
  </si>
  <si>
    <t>PREMIUM TECHNOLOGY S.A.C - PTECH S.A.C</t>
  </si>
  <si>
    <t>12081060</t>
  </si>
  <si>
    <t>AV. SANTO TORIBIO NRO. 173 DPTO. 1002 URB. CENTRO EMPRESARIAL REAL (EDIFICIO REAL OCHO, FRENTE AL SWISSOTEL) LIMA - LIMA - SAN ISIDRO</t>
  </si>
  <si>
    <t>0910 - ACTIVIDADES DE APOYO PARA LA EXTRACCIÓN DE PETRÓLEO Y GAS NATURAL</t>
  </si>
  <si>
    <t>02603743</t>
  </si>
  <si>
    <t xml:space="preserve">	MIRANDA HERRADA WILSON OSCAR</t>
  </si>
  <si>
    <t>12930309</t>
  </si>
  <si>
    <t>03834735</t>
  </si>
  <si>
    <t>GUANILO FRANCO ROBERTO FERNANDO</t>
  </si>
  <si>
    <t>03883096</t>
  </si>
  <si>
    <t>VALIENTE PANTA DENISSE NICOLL</t>
  </si>
  <si>
    <t>07865570</t>
  </si>
  <si>
    <t>DENEGRI SILVA MARIA PAZ</t>
  </si>
  <si>
    <t>AV. CAJAMARQUILLA NRO. 1085 URB. ZARATE LIMA - LIMA - SAN JUAN DE LURIGANCHO</t>
  </si>
  <si>
    <t>1312 - TEJEDURA DE PRODUCTOS TEXTILES</t>
  </si>
  <si>
    <t>07857780</t>
  </si>
  <si>
    <t xml:space="preserve">	MUFARECH NEMY JORGE YAMIL</t>
  </si>
  <si>
    <t>00009113</t>
  </si>
  <si>
    <t>09257221</t>
  </si>
  <si>
    <t xml:space="preserve">	FARFAN VIGIL SUSANA DEL CARMEN MARIA</t>
  </si>
  <si>
    <t>09335592</t>
  </si>
  <si>
    <t>ROCCA SOTOMARINO ULDARICO HUGO</t>
  </si>
  <si>
    <t>09384655</t>
  </si>
  <si>
    <t>MUFARECH BERTELLO JORGE JOSE ANGELO</t>
  </si>
  <si>
    <t>09412848</t>
  </si>
  <si>
    <t>MAYHUASCA MEJIA FRANK JESUS</t>
  </si>
  <si>
    <t>10372192</t>
  </si>
  <si>
    <t>TARAZONA PALMA ROBERTO CARLOS</t>
  </si>
  <si>
    <t>10782289</t>
  </si>
  <si>
    <t>MILLA TORRES DANTE MARTIN</t>
  </si>
  <si>
    <t>40719208</t>
  </si>
  <si>
    <t>MUFARECH BERTELLO ANGIELINA AZIZE</t>
  </si>
  <si>
    <t>DANELIUC PESLAR ESTEVAN</t>
  </si>
  <si>
    <t>10304189</t>
  </si>
  <si>
    <t>10507131</t>
  </si>
  <si>
    <t xml:space="preserve">	FOJI OSCO MERY LUCIA</t>
  </si>
  <si>
    <t xml:space="preserve">	SUB-GERENTE</t>
  </si>
  <si>
    <t>60001253</t>
  </si>
  <si>
    <t>10507132</t>
  </si>
  <si>
    <t xml:space="preserve">	RAMIREZ BARBOZA ROBERTO</t>
  </si>
  <si>
    <t>HD SERVICIOS &amp; SOLUCIONES EN INGENIERIA S.A.C.</t>
  </si>
  <si>
    <t xml:space="preserve">
MZA. E LOTE. 8 URB. SAN REMO ET. DOS LIMA - LIMA - SAN MARTIN DE PORRES</t>
  </si>
  <si>
    <t>45043250</t>
  </si>
  <si>
    <t xml:space="preserve">	CHAFLOQUE RODRIGUEZ RICARDO GIOMANI</t>
  </si>
  <si>
    <t>70689800</t>
  </si>
  <si>
    <t>PJ. LAS MALVINAS MZA. 37A LOTE. 08 LIMA - LIMA - SAN JUAN DE LURIGANCHO</t>
  </si>
  <si>
    <t>SAN JUAN LURIGANCHO</t>
  </si>
  <si>
    <t>47129593</t>
  </si>
  <si>
    <t xml:space="preserve">	OCHOA CHOQUE ANDREA SILVIA</t>
  </si>
  <si>
    <t>MZA. B LOTE. 40 A.H. LADERAS DEL CHILLON LIMA - LIMA - PUENTE PIEDRA</t>
  </si>
  <si>
    <t>48700911</t>
  </si>
  <si>
    <t>RODRIGUEZ ENCARNACION ISAURA ANGELICA</t>
  </si>
  <si>
    <t>13925367</t>
  </si>
  <si>
    <t>ASESORIAS GLOBALES EMPRESARIALES E.I.R.L.</t>
  </si>
  <si>
    <t>JR. ORBEGOSO NRO. 243 (C.C. GUIZADO RECORD PLAZA) LIMA - LIMA - BREÑA</t>
  </si>
  <si>
    <t>10742623</t>
  </si>
  <si>
    <t>LAZARO RAMOS DESCARTES EDISON</t>
  </si>
  <si>
    <t>14153796</t>
  </si>
  <si>
    <t>AV. ALFONSO UGARTE NRO. 725 COO. EMILIANO MORAN DE LA CADENA LIMA - LIMA - SANTIAGO DE SURCO</t>
  </si>
  <si>
    <t>GUTIERREZ SOTELO HERNAN LUIS</t>
  </si>
  <si>
    <t>13796850</t>
  </si>
  <si>
    <t>AGUIRRE GONZALES YONATHAN AGAPITO</t>
  </si>
  <si>
    <t xml:space="preserve">
JR. PIURA NRO. 612 URB. LA LIBERTAD LIMA - LIMA - COMAS</t>
  </si>
  <si>
    <t>MARTINEZ MARQUEZ HILLARY DIANA</t>
  </si>
  <si>
    <t>14650701</t>
  </si>
  <si>
    <t>4530 - VENTA DE PARTES, PIEZAS Y ACCESORIOS PARA VEHÍCULOS</t>
  </si>
  <si>
    <t>40579568</t>
  </si>
  <si>
    <t xml:space="preserve">	NAVARRO GONZALES WALTER</t>
  </si>
  <si>
    <t>12866846</t>
  </si>
  <si>
    <t>NAVARRO GONZALES RICHAR</t>
  </si>
  <si>
    <t xml:space="preserve">	TABRAJ TORRES KELLY VANESA</t>
  </si>
  <si>
    <t xml:space="preserve">
MZA. D LOTE. 20 OTR. PROVIV ROSARIO DE COPACABANA LIMA - LIMA - PUENTE PIEDRA</t>
  </si>
  <si>
    <t>4220 - CONSTRUCCIÓN DE PROYECTOS DE SERVICIO PÚBLICO</t>
  </si>
  <si>
    <t>NAVARRO CALLE CHRISTIAN BERLY</t>
  </si>
  <si>
    <t>13764822</t>
  </si>
  <si>
    <t>AV. LA ENCALADA NRO. 290 URB. C.C. MONTERRICO (ENTRE AV. PRIMAVERA Y ENCALADA) LIMA - LIMA - SANTIAGO DE SURCO</t>
  </si>
  <si>
    <t>08263229</t>
  </si>
  <si>
    <t>ADRIANZEN CUENCA OSCAR ALBERTO</t>
  </si>
  <si>
    <t>12060012</t>
  </si>
  <si>
    <t>09377574</t>
  </si>
  <si>
    <t xml:space="preserve">	KHALILIEH SILVA GABRIEL SAMIR</t>
  </si>
  <si>
    <t>41338186</t>
  </si>
  <si>
    <t>PERAMAS DE LA FUENTE JOSE FELIX</t>
  </si>
  <si>
    <t>41367335</t>
  </si>
  <si>
    <t>NEWTON PORTH CHRISTIAN ALEXANDER</t>
  </si>
  <si>
    <t>AGP PERU S.A.C.</t>
  </si>
  <si>
    <t>AV. GUILLERMO DANSEY NRO. 2016 (AV. GUILLERMO DANSEY 155-ALT. 19 DE COLO) LIMA - LIMA - LIMA</t>
  </si>
  <si>
    <t>2310 - FABRICACIÓN DE VIDRIO Y PRODUCTOS DE VIDRIO</t>
  </si>
  <si>
    <t>05377620</t>
  </si>
  <si>
    <t xml:space="preserve">	GOCHE DIAZ HANS LEONARDO</t>
  </si>
  <si>
    <t>11702874</t>
  </si>
  <si>
    <t>10319626</t>
  </si>
  <si>
    <t>ARCAYA BRAVO FLAVIO EMILIO</t>
  </si>
  <si>
    <t>40013816</t>
  </si>
  <si>
    <t xml:space="preserve">	GUERRA BACILIO CATHERINE CLAUDIA</t>
  </si>
  <si>
    <t>42705050</t>
  </si>
  <si>
    <t>MARTINEZ PALOMINO PATRICIA CLAUDIA</t>
  </si>
  <si>
    <t>001077307</t>
  </si>
  <si>
    <t>BONILLA ROJAS RICARDO</t>
  </si>
  <si>
    <t>001467406</t>
  </si>
  <si>
    <t>DOS SANTOS ROSA ADRIANO</t>
  </si>
  <si>
    <t>001513916</t>
  </si>
  <si>
    <t>MERIDA HERNANDEZ TOMAS ANTONIO</t>
  </si>
  <si>
    <t>002209248</t>
  </si>
  <si>
    <t xml:space="preserve">	NICCOLINI KRACHLER ALEJANDRO MARTIN</t>
  </si>
  <si>
    <t>002738301</t>
  </si>
  <si>
    <t xml:space="preserve">	CURVELLO MICHEVIZ CESAR AUGUSTO</t>
  </si>
  <si>
    <t xml:space="preserve">
AV. BENJAMÍN FRANKLIN NRO. 300 URB. MANUEL SEOANE CORRALES LIMA - LIMA - ATE</t>
  </si>
  <si>
    <t>09925715</t>
  </si>
  <si>
    <t xml:space="preserve">	CAMPOS ZACARIAS MARCO ANTONIO</t>
  </si>
  <si>
    <t>CFP / UFP</t>
  </si>
  <si>
    <t>CAR.VIA DE EVITAMIENTO NRO. 1784 Z.I. LZ IND STA ROSA (ENTRE CARRETERA CENTRAL Y JAVIER PRADO) LIMA - LIMA - ATE</t>
  </si>
  <si>
    <t>07780055</t>
  </si>
  <si>
    <t>GARCIA DIENSTMAIER JORGE ERNESTO</t>
  </si>
  <si>
    <t>01652583</t>
  </si>
  <si>
    <t>07808805</t>
  </si>
  <si>
    <t>PESTANA CHAVEZ KATIA ANA</t>
  </si>
  <si>
    <t xml:space="preserve">	SUZUKI YUZURIHA LUIS MANUEL</t>
  </si>
  <si>
    <t>42132765</t>
  </si>
  <si>
    <t>GARCIA PESTANA SEBASTIAN</t>
  </si>
  <si>
    <t>JEPKOM SERVICIOS &amp; PROYECTOS SOCIEDAD ANONIMA CERRADA-JEPKOM S&amp; P S.A.C</t>
  </si>
  <si>
    <t>JR. AMANCAES NRO. 160 URB. LA ALBORADA ET. UNO LIMA - LIMA - COMAS</t>
  </si>
  <si>
    <t>40864452</t>
  </si>
  <si>
    <t>SANCHEZ CHAVEZ KAREM IVETTE</t>
  </si>
  <si>
    <t>13445552</t>
  </si>
  <si>
    <t>MZA. B LOTE. 12 A.H. CENT. POBLADO EL PORVENIR (KM.33.5 P.N.--FRENTE LUBRICANTES) LIMA - LIMA - PUENTE PIEDRA</t>
  </si>
  <si>
    <t>09528626</t>
  </si>
  <si>
    <t xml:space="preserve">	ACUÑA ALBITES FRANCISCO CESAR</t>
  </si>
  <si>
    <t>TECNOLOGIA PROYECTOS TERMICOS ELECTRO MECANICOS S.R.L.</t>
  </si>
  <si>
    <t>AV. SANTA MARIA MZA. G LOTE. 08 A.H. SANTA CRUZ DEL NORTE (AV ENCALADA DE SAN DIEGO-ESPALDA GRIFO) LIMA - LIMA - SAN MARTIN DE PORRES</t>
  </si>
  <si>
    <t>08603850</t>
  </si>
  <si>
    <t xml:space="preserve">	ROJAS PEREZ LEONCIO</t>
  </si>
  <si>
    <t>11329348</t>
  </si>
  <si>
    <t>JR. SAN HERNAN NRO. 224 DPTO. 101 URB. SANTA LUISA 2DA ETAPA LIMA - LIMA - LOS OLIVOS</t>
  </si>
  <si>
    <t>21867583</t>
  </si>
  <si>
    <t xml:space="preserve">	PACHAS REQUENA JOSE EDUARDO</t>
  </si>
  <si>
    <t>12696786</t>
  </si>
  <si>
    <t xml:space="preserve">
JR. SAN GERVACIO NRO. 165 U. PO. SAN JUAN BAUTISTA LIMA - LIMA - COMAS</t>
  </si>
  <si>
    <t>09989264</t>
  </si>
  <si>
    <t>MOLINA MENDOZA VICTOR</t>
  </si>
  <si>
    <t>12581463</t>
  </si>
  <si>
    <t xml:space="preserve">
JR. JOSE DE LA MAR NRO. 357 URB. SANTA LUZMILA (4TO PISO) LIMA - LIMA - COMAS</t>
  </si>
  <si>
    <t>40653953</t>
  </si>
  <si>
    <t xml:space="preserve">	ARELLANO CHUICA CHRISTIAN WANNER</t>
  </si>
  <si>
    <t>13066905</t>
  </si>
  <si>
    <t>ELECTRO SERVI'S WIROSAHO E.I.R.L</t>
  </si>
  <si>
    <t>HORNA DAVILA SOYLA MERCEDES</t>
  </si>
  <si>
    <t xml:space="preserve">	TITULAR GERENTE</t>
  </si>
  <si>
    <t>11394095</t>
  </si>
  <si>
    <t>JR. PACHITEA NRO. 294 CERCADO DE LIMA LIMA - LIMA - LIMA</t>
  </si>
  <si>
    <t>47898946</t>
  </si>
  <si>
    <t xml:space="preserve">	GUTIERREZ QUISPE MARIANO</t>
  </si>
  <si>
    <t>12931336</t>
  </si>
  <si>
    <t>CAL.CARLOS NUÑEZ DEL ARCO NRO. 153 URB. INDUSTRIAL LA CHALACA PROV. CONST. DEL CALLAO - PROV. CONST. DEL CALLAO - CALLAO</t>
  </si>
  <si>
    <t>07431596</t>
  </si>
  <si>
    <t>VASQUEZ RODRIGUEZ SEGUNDO GERMAN</t>
  </si>
  <si>
    <t xml:space="preserve">	11241206</t>
  </si>
  <si>
    <t>MODULTECH E.I.R.L.</t>
  </si>
  <si>
    <t>40587538</t>
  </si>
  <si>
    <t>MELGAR CARHUAS MAYRA KARIN</t>
  </si>
  <si>
    <t>12157634</t>
  </si>
  <si>
    <t>INGENIERIA INDUSTRIAL Y PROYECTOS EMPRESA INDIVIDUAL DE RESPONSABILIDAD LIMITADA INDUSPRO E.I.R.L</t>
  </si>
  <si>
    <t>JR. PACHITEA NRO. 353 INT. A (MEDIA CDRA DE LAMPA Y PACHITEA) LIMA - LIMA - LIMA</t>
  </si>
  <si>
    <t>44402412</t>
  </si>
  <si>
    <t xml:space="preserve">	GUTIERREZ GOMERO EDITH JACKELINE</t>
  </si>
  <si>
    <t xml:space="preserve">	11824256</t>
  </si>
  <si>
    <t>AV. PARQUE ZONAL MZA. O LOTE. 06 URB. SANTO DOMINGO 12AVA ETAPA (ALTURA DE PARADERO 39 DE AV CONDORCANQUI) LIMA - LIMA - CARABAYLLO</t>
  </si>
  <si>
    <t>45473950</t>
  </si>
  <si>
    <t>CUEVA ZAMUDIO EVER EDWIN</t>
  </si>
  <si>
    <t>AV. 25 DE SEPTIEMBRE MZA. N1 LOTE. 24 URB. JARDINES DE SHANGRILA LIMA - LIMA - PUENTE PIEDRA</t>
  </si>
  <si>
    <t xml:space="preserve">	RAYME CASTILLO REMO</t>
  </si>
  <si>
    <t>14671711</t>
  </si>
  <si>
    <t>JR. HIPOLITO UNANUE NRO. 373 URB. SAN AGUSTIN (CRUCE MICAELA BASTIDAS CON TUPAC AMARU) LIMA - LIMA - COMAS</t>
  </si>
  <si>
    <t xml:space="preserve">	12021641</t>
  </si>
  <si>
    <t>LLAJA VERGARAY EDWIN ORLANDO</t>
  </si>
  <si>
    <t>CAL.MARCOS FARFAN NRO. 3325 URB. IND.PANAMERICANA NORTE (ALT.FARM.INDEPENDENCIA) LIMA - LIMA - SAN MARTIN DE PORRES</t>
  </si>
  <si>
    <t>RODRIGUEZ JAYO WILLIAM</t>
  </si>
  <si>
    <t>12247492</t>
  </si>
  <si>
    <t>BATERIAS ALFA SOCIEDAD ANONIMA</t>
  </si>
  <si>
    <t>AV. LAS AZUCENAS MZA. F LOTE. 5 ASOCIACION CHILLON (1RA ENTRADA DE PRO -CAMINO A LA ENSENADA) LIMA - LIMA - PUENTE PIEDRA</t>
  </si>
  <si>
    <t>2720 - FABRICACIÓN DE PILAS, BATERÍAS Y ACUMULADORES</t>
  </si>
  <si>
    <t>45011542</t>
  </si>
  <si>
    <t xml:space="preserve">	QUILLAY CASTILLO VICTOR JUNIOR</t>
  </si>
  <si>
    <t>11923389</t>
  </si>
  <si>
    <t xml:space="preserve">
MZA. G LOTE. 11 APV. BACILIO LOPEZ SILVA (CRUCE DE AV. LOS ALISOS Y NESTOR GAMBETA) PROV. CONST. DEL CALLAO - PROV. CONST. DEL CALLAO - CALLAO</t>
  </si>
  <si>
    <t>3315 - REPARACIÓN DE EQUIPO DE TRANSPORTE, EXCEPTO VEHÍCULOS AUTOMOTORES</t>
  </si>
  <si>
    <t>TELLO LIÑAN DE ARANDA YESENIA ADIS</t>
  </si>
  <si>
    <t>70548715</t>
  </si>
  <si>
    <t>ARANDA PEREZ DANY ALDO</t>
  </si>
  <si>
    <t>CAR.CENTRAL NRO. 1315 URB. SANTA ANITA 1ER SECT. (KM.3) LIMA - LIMA - SANTA ANITA</t>
  </si>
  <si>
    <t>2100 - FABRICACIÓN DE PRODUCTOS FARMACÉUTICOS, SUSTANCIAS QUÍMICAS MEDICINALES Y PRODUCTOS BOTÁNICOS DE USO FARMACÉUTICO</t>
  </si>
  <si>
    <t>07690498</t>
  </si>
  <si>
    <t>GALLEGOS SALAZAR ZOILA FELICITAS</t>
  </si>
  <si>
    <t>00359912</t>
  </si>
  <si>
    <t>10784170</t>
  </si>
  <si>
    <t>SALDAÑA CISNEROS FLOR DE MARIA</t>
  </si>
  <si>
    <t>29540106</t>
  </si>
  <si>
    <t xml:space="preserve">	HUAMAN DELGADO SERAPIO SAUL</t>
  </si>
  <si>
    <t>42697514</t>
  </si>
  <si>
    <t xml:space="preserve">	PEREZ CHAVES MARTIN</t>
  </si>
  <si>
    <t>42996736</t>
  </si>
  <si>
    <t>PEREZ CHAVES FERNANDA</t>
  </si>
  <si>
    <t>46762601</t>
  </si>
  <si>
    <t xml:space="preserve">	PORTUGAL REIBEL JOSE CHRISTOPHER</t>
  </si>
  <si>
    <t>80250350</t>
  </si>
  <si>
    <t>SANCHEZ CASTRO JORGE CHRISTIAN RODRIGO</t>
  </si>
  <si>
    <t>C &amp; V SERVICIOS GENERALES INDUSTRIALES S.R.L.</t>
  </si>
  <si>
    <t>CAL.JUANA RIOFRIO NRO. 174 URB. PANDO ET. CUATRO LIMA - LIMA - SAN MIGUEL</t>
  </si>
  <si>
    <t>VALDERRAMA MANRIQUE PABLO CESAR</t>
  </si>
  <si>
    <t>ACMAR SERVICE E.I.R.L.</t>
  </si>
  <si>
    <t xml:space="preserve">
AV. SARA SARA MZA. E LOTE. 14 A.H. PUYUSCA LIMA - LIMA - VILLA MARIA DEL TRIUNFO</t>
  </si>
  <si>
    <t xml:space="preserve">	ACUÑA ARCOS YONY ULISES</t>
  </si>
  <si>
    <t>14642699</t>
  </si>
  <si>
    <t>SERVICIOS GLOBALES FLORES ASESORES S.R.L.</t>
  </si>
  <si>
    <t xml:space="preserve">
CAL.VILLA CHILCA MZA. B LOTE. 2 A.H. VILLA CHILCA (200MTS DEL TANQUE DE SEDAPAL) LIMA - LIMA - INDEPENDENCIA</t>
  </si>
  <si>
    <t xml:space="preserve">	FLORES OSORIO ROSMELL WILFREDO</t>
  </si>
  <si>
    <t>11042773</t>
  </si>
  <si>
    <t>PASCO</t>
  </si>
  <si>
    <t>AV. NESTOR GAMBETA NRO. 5349 PROV. CONST. DEL CALLAO - PROV. CONST. DEL CALLAO - CALLAO</t>
  </si>
  <si>
    <t>07916871</t>
  </si>
  <si>
    <t xml:space="preserve">	VIVANCO VALDEZ IVAN MARTIN</t>
  </si>
  <si>
    <t>70201197</t>
  </si>
  <si>
    <t>08150402</t>
  </si>
  <si>
    <t xml:space="preserve">	FLORES CHUMAN ROCIO ESMERALDA</t>
  </si>
  <si>
    <t>09387504</t>
  </si>
  <si>
    <t>BÜRGER BOPST UWE FRED HERBERT</t>
  </si>
  <si>
    <t>45086157</t>
  </si>
  <si>
    <t>GUERRA BALLESTEROS SERGIO GABRIEL</t>
  </si>
  <si>
    <t>40818555</t>
  </si>
  <si>
    <t>000176373</t>
  </si>
  <si>
    <t>BÜRGER PETER HERBERT</t>
  </si>
  <si>
    <t xml:space="preserve">dos mil veintitrés </t>
  </si>
  <si>
    <t>JNIGECE S.A.C.</t>
  </si>
  <si>
    <t xml:space="preserve">
JR. AYACUCHO NRO. 242 LIMA - HUARAL - CHANCAY</t>
  </si>
  <si>
    <t xml:space="preserve">	FIGUEROA CADENAS JONNY ERIK</t>
  </si>
  <si>
    <t xml:space="preserve">	60136697</t>
  </si>
  <si>
    <t>CAL.EL ROSARIO NRO. 685 (ALT. CDRA 6 DE AV. SAN MARTIN) LIMA - LIMA - SAN JUAN DE LURIGANCHO</t>
  </si>
  <si>
    <t>09321719</t>
  </si>
  <si>
    <t>GUTIERREZ QUEHUARUCHO AGUSTIN</t>
  </si>
  <si>
    <t xml:space="preserve">	00058270</t>
  </si>
  <si>
    <t>A &amp; J REFRIGERACION S.A.C.</t>
  </si>
  <si>
    <t xml:space="preserve">
CAL.CARLOS GERMAN AMEZAGA NRO. 288 URB. SAN JUAN (A UNA CUADRA DE PEDRO SILVA) LIMA - LIMA - SAN JUAN DE MIRAFLORES</t>
  </si>
  <si>
    <t>PELAEZ CARDENAS JOSE LUIS</t>
  </si>
  <si>
    <t xml:space="preserve">
AV. PRODUCCION NACIONAL NRO. 188 URB. LA VILLA LIMA - LIMA - CHORRILLOS</t>
  </si>
  <si>
    <t>2023 - FABRICACIÓN DE JABONES Y DETERGENTES, PREPARADOS PARA LIMPIAR Y PULIR, PERFUMES Y PREPARADOS DE TOCADOR</t>
  </si>
  <si>
    <t>07820115</t>
  </si>
  <si>
    <t xml:space="preserve">	BIBER SERPA MICHEL MAX EMILIO</t>
  </si>
  <si>
    <t>11065088</t>
  </si>
  <si>
    <t>08768716</t>
  </si>
  <si>
    <t xml:space="preserve">	MORALES VALENTÍN MAGDALENA SOFIA</t>
  </si>
  <si>
    <t>08830045</t>
  </si>
  <si>
    <t>BARRIONUEVO DELGADO MARIA MERCEDES</t>
  </si>
  <si>
    <t>09175712</t>
  </si>
  <si>
    <t>ASPILLAGA PLENGE JUAN ALFONSO RAMON CARLOS ALFREDO</t>
  </si>
  <si>
    <t>09313858</t>
  </si>
  <si>
    <t>PAREDES TUMBA JAIME MANUEL</t>
  </si>
  <si>
    <t>09340304</t>
  </si>
  <si>
    <t xml:space="preserve">	FEBRES SARMIENTO VERONICA CECILIA</t>
  </si>
  <si>
    <t>09750066</t>
  </si>
  <si>
    <t xml:space="preserve">	PEREZ GUBBINS ALFREDO LUIS MIGUEL EDUARDO</t>
  </si>
  <si>
    <t>09765245</t>
  </si>
  <si>
    <t xml:space="preserve">	BENAVIDES GONZALES DE DAVILA ANGELICA MARIA</t>
  </si>
  <si>
    <t>10553076</t>
  </si>
  <si>
    <t xml:space="preserve">	RUCHMAN LAZO PAOLA VIRGINIA</t>
  </si>
  <si>
    <t>10638478</t>
  </si>
  <si>
    <t xml:space="preserve">	GUERRA SANGUINETI MARCO ALONSO</t>
  </si>
  <si>
    <t>40041753</t>
  </si>
  <si>
    <t>MORANTE VALLEJOS RENZO MARIO</t>
  </si>
  <si>
    <t>40702128</t>
  </si>
  <si>
    <t xml:space="preserve">	WINKELRIED FERNANDEZ CARLOS ANDRES</t>
  </si>
  <si>
    <t>41165691</t>
  </si>
  <si>
    <t xml:space="preserve">	ARBOCCO MORALES LUIGI MARCO</t>
  </si>
  <si>
    <t>41543527</t>
  </si>
  <si>
    <t>RUIZ HUARINGA KATHERINE SOLEDAD</t>
  </si>
  <si>
    <t>42160089</t>
  </si>
  <si>
    <t>ORTIZ MARQUEZ JAVIER EDUARDO</t>
  </si>
  <si>
    <t>42766550</t>
  </si>
  <si>
    <t xml:space="preserve">	VERDEGUER VIER ANDREA</t>
  </si>
  <si>
    <t>43045711</t>
  </si>
  <si>
    <t xml:space="preserve">	TOLEDO CHOQUEHUANCA DIANA VICTORIA</t>
  </si>
  <si>
    <t>44128774</t>
  </si>
  <si>
    <t xml:space="preserve">	RIERA ANGELES EDUARDO MARTIN</t>
  </si>
  <si>
    <t>44296822</t>
  </si>
  <si>
    <t>TEJERINA CHAVEZ MARIA GRAZIA</t>
  </si>
  <si>
    <t>000628941</t>
  </si>
  <si>
    <t>JARAMILLO SAA PATRICIO DAVID</t>
  </si>
  <si>
    <t>A.M.B. INGENIERIA Y PROYECTOS SAC</t>
  </si>
  <si>
    <t>MZA. O LOTE. 25 URB. ROSALUZ (AQLT KM 28.5 PANAM NORTE, COLE ROSALUZ) LIMA - LIMA - PUENTE PIEDRA</t>
  </si>
  <si>
    <t>43092691</t>
  </si>
  <si>
    <t>ROBLES MENDOZA MIGUEL ANGEL</t>
  </si>
  <si>
    <t>44370428</t>
  </si>
  <si>
    <t xml:space="preserve">	ROBLES MENDOZA EVA YUDITH</t>
  </si>
  <si>
    <t>AIRAELECTRIC S.A.C.</t>
  </si>
  <si>
    <t xml:space="preserve">
CAL.MARTE MZA. A LOTE. 05 A.V. URB EL BOSQUE (KM 28.5 DE LA PANAMERICANA NORTE) LIMA - LIMA - PUENTE PIEDRA</t>
  </si>
  <si>
    <t xml:space="preserve">	LAVERIAN HERRERA LENIN CHARLES</t>
  </si>
  <si>
    <t>13735030</t>
  </si>
  <si>
    <t xml:space="preserve">
JR. EL HEROISMO NRO. 7981 URB. PRO LIMA - LIMA - LOS OLIVOS</t>
  </si>
  <si>
    <t>QUIROZ ESPINO JEAN KAREL</t>
  </si>
  <si>
    <t xml:space="preserve">
AV. REPUBLICA DE PANAMA NRO. 3030 (FRENTE AL BANCO CONTINENTAL) LIMA - LIMA - SAN ISIDRO</t>
  </si>
  <si>
    <t>9200 - ACTIVIDADES DE JUEGOS DE AZAR Y APUESTAS</t>
  </si>
  <si>
    <t>06354352</t>
  </si>
  <si>
    <t xml:space="preserve">	SAM LAM ANDRES</t>
  </si>
  <si>
    <t>11871964</t>
  </si>
  <si>
    <t>06487112</t>
  </si>
  <si>
    <t xml:space="preserve">	SAM LAM FERNANDO ENRIQUE</t>
  </si>
  <si>
    <t>06602517</t>
  </si>
  <si>
    <t xml:space="preserve">	SAM CAM JOSE PERCY</t>
  </si>
  <si>
    <t>09302951</t>
  </si>
  <si>
    <t xml:space="preserve">	LI WUANG JAIME MARTIN</t>
  </si>
  <si>
    <t>09751946</t>
  </si>
  <si>
    <t>SAM YUEN CARMEN</t>
  </si>
  <si>
    <t>10320079</t>
  </si>
  <si>
    <t xml:space="preserve">	SAM YUEN SYDNEY</t>
  </si>
  <si>
    <t>29691643</t>
  </si>
  <si>
    <t xml:space="preserve">	SAM YUEN JOSE</t>
  </si>
  <si>
    <t>FVM GENERAL INTEGRATION PERU S.A.C.</t>
  </si>
  <si>
    <t xml:space="preserve">
CAL.SAN LORENZO NRO. 148 A.H. MARTIR JOSE OLAYA LIMA - LIMA - INDEPENDENCIA</t>
  </si>
  <si>
    <t>70222298</t>
  </si>
  <si>
    <t>FLORES VALVERDE MICHAEELL</t>
  </si>
  <si>
    <t>14641970</t>
  </si>
  <si>
    <t>AV. TOMAS VALLE MZA. J1 LOTE. 9A A.H. DANIEL ALCIDES CARRION (ENTRE AV TOMAS VALLE Y AV UNIVERSITARIA) LIMA - LIMA - LOS OLIVOS</t>
  </si>
  <si>
    <t>25732577</t>
  </si>
  <si>
    <t xml:space="preserve">	GALVEZ ILLACONZA VICTOR</t>
  </si>
  <si>
    <t xml:space="preserve">	11773655</t>
  </si>
  <si>
    <t xml:space="preserve">
AV. JAPON MZA. B LOTE. 9 URB. EL ALAMO (ALTURA CDRA 15 EX AV BERTELLO) PROV. CONST. DEL CALLAO - PROV. CONST. DEL CALLAO - CALLAO</t>
  </si>
  <si>
    <t>40226744</t>
  </si>
  <si>
    <t xml:space="preserve">	GRANADOS SOTELO FREDY DANTE</t>
  </si>
  <si>
    <t xml:space="preserve">	13232148</t>
  </si>
  <si>
    <t>"SISTEMAS Y CONTROLES S.A.C."</t>
  </si>
  <si>
    <t xml:space="preserve">
MZA. M LOTE. 03 A.H. PLANTA ALAMEDA (SEGUNDA LOZA DE PLANTA ALAMEDA) LIMA - BARRANCA - PARAMONGA</t>
  </si>
  <si>
    <t>VEGA ESCOBEDO ERICKA ANITA</t>
  </si>
  <si>
    <t>80163045</t>
  </si>
  <si>
    <t xml:space="preserve">
JR. EL HEROISMO MZA. H5 LOTE. 06 URB. PRO 2DA ETAPA (ALT. COMISARIA DE PRO) LIMA - LIMA - LOS OLIVOS</t>
  </si>
  <si>
    <t xml:space="preserve">	AZAÑA CAPILLO JUDITH MARIBEL</t>
  </si>
  <si>
    <t>13589169</t>
  </si>
  <si>
    <t>TAQUIRI SOLUTIONS INDUSTRIAL S.A.C.</t>
  </si>
  <si>
    <t xml:space="preserve">
CAL.LOS LAGOS MZA. R LOTE. 1 ASC. CASCADAS DE JAVIER PRADO (CRUCE CA BELIN CON PR JAVIER PRADO) LIMA - LIMA - ATE</t>
  </si>
  <si>
    <t>3510 - GENERACIÓN, TRANSMISIÓN Y DISTRIBUCIÓN DE ENERGÍA ELÉCTRICA</t>
  </si>
  <si>
    <t xml:space="preserve">	RODRIGUEZ TAQUIRE FRANKLIN JUVENAL</t>
  </si>
  <si>
    <t>15132036</t>
  </si>
  <si>
    <t>BARBIERI CONTRATISTAS GENERALES S.A.C.</t>
  </si>
  <si>
    <t xml:space="preserve">
MZA. B LOTE. 10 URB. VILLA SANTA ANITA LIMA - LIMA - SANTA ANITA</t>
  </si>
  <si>
    <t>09804006</t>
  </si>
  <si>
    <t>BARBIERI GALLO JAIME ABEL</t>
  </si>
  <si>
    <t>14305254</t>
  </si>
  <si>
    <t>74366492</t>
  </si>
  <si>
    <t xml:space="preserve">	ACEVEDO NUÑEZ EDGAR RICARDO</t>
  </si>
  <si>
    <t>PJ. LARRABURE NRO. 158 (ESPALDA DE LA UNIV.FEDERICO VIRRARREAL) LIMA - LIMA - LIMA</t>
  </si>
  <si>
    <t xml:space="preserve">	JESUS CLAROS FAUSTINO FILOMENO</t>
  </si>
  <si>
    <t>12820125</t>
  </si>
  <si>
    <t xml:space="preserve">
JR. JUAN CASTILLA NRO. 1103 URB. ZONA D LIMA - LIMA - SAN JUAN DE MIRAFLORES</t>
  </si>
  <si>
    <t>4100 - CONSTRUCCIÓN DE EDIFICIOS</t>
  </si>
  <si>
    <t xml:space="preserve">	GOICOCHEA DIAZ ALQUIMIDES</t>
  </si>
  <si>
    <t xml:space="preserve">
CAL.117 MZA. Q1 LOTE. 10A C.P. RINCONADA ALTA LIMA - LIMA - PACHACAMAC</t>
  </si>
  <si>
    <t>PACHACUTEC</t>
  </si>
  <si>
    <t>21869070</t>
  </si>
  <si>
    <t xml:space="preserve">	ESTRADA SILVA JULIO CESAR</t>
  </si>
  <si>
    <t>14233089</t>
  </si>
  <si>
    <t>45186353</t>
  </si>
  <si>
    <t>SILVA FELIX JAMES ROLLINSTHON</t>
  </si>
  <si>
    <t xml:space="preserve">	SUB GERENTE</t>
  </si>
  <si>
    <t>LOGINDUSTRIAS S.R.L.</t>
  </si>
  <si>
    <t xml:space="preserve">
CAL.MARQUES DE TORRE TAGLE NRO. 357 INT. 601 LIMA - LIMA - MIRAFLORES</t>
  </si>
  <si>
    <t>08234511</t>
  </si>
  <si>
    <t>INGUNZA MONTERO ELIZABETH</t>
  </si>
  <si>
    <t>00465909</t>
  </si>
  <si>
    <t>AV. EL ZINC MZA. D LOTE. 47 URB. INDUSTRIAL INFANTAS (A 2 CUADRAS DEL PARADERO TRES POSTES) LIMA - LIMA - LOS OLIVOS</t>
  </si>
  <si>
    <t>21463346</t>
  </si>
  <si>
    <t xml:space="preserve">	SALCEDO CABEZAS LUIS ALBERTO</t>
  </si>
  <si>
    <t xml:space="preserve">	CONTRERAS SOLIS RICHAR PETER</t>
  </si>
  <si>
    <t xml:space="preserve">	12547215</t>
  </si>
  <si>
    <t>WESLER S.A.C.</t>
  </si>
  <si>
    <t>CAL.MANUEL MATTOS BONIFAZ NRO. 332 URB. SAN AMADEO DE GARAGAY (ESPALDA DE IDAT AV. TOMÁS VALLE. PISO 1.) LIMA - LIMA - SAN MARTIN DE PORRES</t>
  </si>
  <si>
    <t>MAUCAYLLE PALOMINO YOLER</t>
  </si>
  <si>
    <t>14037745</t>
  </si>
  <si>
    <t>MZA. B LOTE. 15 C.P. MIGUEL GRAU (PRLG.ROOSVELT-ESPALDA DE MECANICA ORE) LIMA - HUARAL - CHANCAY</t>
  </si>
  <si>
    <t xml:space="preserve">	CASTILLO NIZAMA PERCY NELSON</t>
  </si>
  <si>
    <t>60090111</t>
  </si>
  <si>
    <t>INDUSTRIAS TEXTILES DE SUD AMERICA S.A.C</t>
  </si>
  <si>
    <t>AV. SEPARADORA INDUSTRIAL NRO. 2583 URB. SANTA RAQUEL LIMA - LIMA - ATE</t>
  </si>
  <si>
    <t>1311 - PREPARACIÓN E HILATURA DE FIBRAS TEXTILES</t>
  </si>
  <si>
    <t>08774881</t>
  </si>
  <si>
    <t>00623717</t>
  </si>
  <si>
    <t>09399394</t>
  </si>
  <si>
    <t>10470488</t>
  </si>
  <si>
    <t>GERENTE DE VENTAS</t>
  </si>
  <si>
    <t>CROSATO BRUNI DANTE MARIO</t>
  </si>
  <si>
    <t>CAL.LOS PINOS DE SANTA ROS MZA. I LOTE. 8 APV. LOS PINOS DE SANTA ROSA LIMA - LIMA - SAN MARTIN DE PORRES</t>
  </si>
  <si>
    <t>09746972</t>
  </si>
  <si>
    <t xml:space="preserve">	QUIÑONES VILLAFANA LUIS FELIPE</t>
  </si>
  <si>
    <t>AV. SAN MARTIN DE PORRAS NRO. 673 URB. CANTO GRANDE (ALTURA AV. WIESE CDRA. 36) LIMA - LIMA - SAN JUAN DE LURIGANCHO</t>
  </si>
  <si>
    <t>06139159</t>
  </si>
  <si>
    <t xml:space="preserve">	COSTAMAGNA CANDIA ALEJANDRO</t>
  </si>
  <si>
    <t>11158629</t>
  </si>
  <si>
    <t>08320902</t>
  </si>
  <si>
    <t xml:space="preserve">	REYES MIRANDA CARLOS ALBERTO</t>
  </si>
  <si>
    <t>CAL.1 MZA. B LOTE. 19 DPTO. 402 URB. PALOMINO (FRENTE A LA FABRICA DONOFRIO) LIMA - LIMA - LIMA</t>
  </si>
  <si>
    <t>46968439</t>
  </si>
  <si>
    <t>AYLLON VERASTEGUI ROGER JUNIOR</t>
  </si>
  <si>
    <t xml:space="preserve">	13969911</t>
  </si>
  <si>
    <t>INDUSTRIAS EMALEXA S.A.C.</t>
  </si>
  <si>
    <t>CAL.03 KM. E MZA. 5 URB. VILLA LOS ANGELES (.) PROV. CONST. DEL CALLAO - PROV. CONST. DEL CALLAO - CALLAO</t>
  </si>
  <si>
    <t>44714358</t>
  </si>
  <si>
    <t xml:space="preserve">	BRICEÑO CORDOVA MAXIMO GETULIO</t>
  </si>
  <si>
    <t>70602779</t>
  </si>
  <si>
    <t>40636433</t>
  </si>
  <si>
    <t>BOLAÑOS CRUZ JORGE ARMANDO</t>
  </si>
  <si>
    <t>12113336</t>
  </si>
  <si>
    <t>CAL.BASILIO LOPEZ MZA. H LOTE. 52 URB. COSTA MAR PROV. CONST. DEL CALLAO - PROV. CONST. DEL CALLAO - CALLAO</t>
  </si>
  <si>
    <t>45429479</t>
  </si>
  <si>
    <t xml:space="preserve">	CALAPUJA ISUIZA ADDERLI HENRY</t>
  </si>
  <si>
    <t>13854931</t>
  </si>
  <si>
    <t xml:space="preserve">	FALCON PORTILLA BRENDA PAOLA</t>
  </si>
  <si>
    <t>DURATECH PERU S.A.C.</t>
  </si>
  <si>
    <t xml:space="preserve">
MZA. B30 LOTE. 8 1B OTR. ASOCIACION HUERTOS DE TUNGASUKA (ESPALDAS DE ANYSA A 2 CUADRAS DE REMANSO) LIMA - LIMA - CARABAYLLO</t>
  </si>
  <si>
    <t>25754302</t>
  </si>
  <si>
    <t>CARRANZA CASTAÑEDA CARLOS ALBERTO</t>
  </si>
  <si>
    <t>14578023</t>
  </si>
  <si>
    <t>J.D.ELECTROMECANICA E.I.R.L.</t>
  </si>
  <si>
    <t>CAL.CORICANCHA NRO. 140 LIMA - LIMA - CHORRILLOS</t>
  </si>
  <si>
    <t>07962869</t>
  </si>
  <si>
    <t>FLORES RODRIGUEZ CLOTILDE ELENA</t>
  </si>
  <si>
    <t xml:space="preserve">	MARTINEZ RIVERA RICARDO MARIANO</t>
  </si>
  <si>
    <t>FOREST - ELECTROMECHANIC SOLUTION EIRL</t>
  </si>
  <si>
    <t>CAL.1 MZA. F LOTE. 22 AMADEO GARAGAY LIMA - LIMA - SAN MARTIN DE PORRES</t>
  </si>
  <si>
    <t>IPARRAGUIRRE CANALES SAMIR OSWALDO</t>
  </si>
  <si>
    <t>13991610</t>
  </si>
  <si>
    <t>DOMINIONPERU SOLUCIONES Y SERVICIOS S.A.C. - DOMINIONPERU S.A.C.</t>
  </si>
  <si>
    <t>02863992</t>
  </si>
  <si>
    <t>VEGA IPARRAGUIRRE JUAN EDUARDO</t>
  </si>
  <si>
    <t>12806959</t>
  </si>
  <si>
    <t>06770389</t>
  </si>
  <si>
    <t>CORDOVA VEGA ERNESTO</t>
  </si>
  <si>
    <t>000898875</t>
  </si>
  <si>
    <t xml:space="preserve">	PRADERA LANZA GERMAN</t>
  </si>
  <si>
    <t>AV. SANTA MARIA NRO. 296 URB. LA AURORA (CRDA 21 DE LA AV. NICOLAS AYLLON) LIMA - LIMA - ATE</t>
  </si>
  <si>
    <t>20049411</t>
  </si>
  <si>
    <t>VILLALVA MUNIVE DANTE REYDO</t>
  </si>
  <si>
    <t>02009196</t>
  </si>
  <si>
    <t>SOLUCIONES INDUSTRIALES TEI S.A.C.</t>
  </si>
  <si>
    <t>AV. REPUBLICA DE ARGENTINA NRO. 523 INT. H5 URB. LIMA INDUSTRIAL LIMA - LIMA - LIMA</t>
  </si>
  <si>
    <t>70431510</t>
  </si>
  <si>
    <t>CALLE GAVILAN AIDA PIANELLA</t>
  </si>
  <si>
    <t>14244618</t>
  </si>
  <si>
    <t>AV. PRIMAVERA NRO. 1310 INT. 401 LIMA - LIMA - SANTIAGO DE SURCO</t>
  </si>
  <si>
    <t>INDACOCHEA HARM NICOLAS</t>
  </si>
  <si>
    <t>13918067</t>
  </si>
  <si>
    <t>M &amp; R ELECTRIC INDUSTRIALS E.I.R.L.</t>
  </si>
  <si>
    <t xml:space="preserve">
CAL.LOS COMBATIENTES NRO. 490 URB. CRUZ DEL PERDON LAMBAYEQUE - CHICLAYO - CHICLAYO</t>
  </si>
  <si>
    <t>REYES PERALTA MERCEDES DEL ROSARIO</t>
  </si>
  <si>
    <t xml:space="preserve">
AV. MARISC.OSCAR R.BENAVIDES NRO. 1617 (EX COLONIAL 1617) LIMA - LIMA - LIMA</t>
  </si>
  <si>
    <t>10881779</t>
  </si>
  <si>
    <t>ALBITREZ ORTIZ MARISOL ROCIO</t>
  </si>
  <si>
    <t>11931315</t>
  </si>
  <si>
    <t xml:space="preserve">
CAL.ARTEMISA MZA. R LOTE. 15 URB. OLIMPO LIMA - LIMA - ATE</t>
  </si>
  <si>
    <t>43579382</t>
  </si>
  <si>
    <t>GUEVARA VASQUEZ MARIA DEL CARMEN</t>
  </si>
  <si>
    <t>14293706</t>
  </si>
  <si>
    <t xml:space="preserve">
MZA. A LOTE. 01 URB. VILLA UNIVERSITARIA LIMA - LIMA - SAN MARTIN DE PORRES</t>
  </si>
  <si>
    <t xml:space="preserve">	CARRASCAL GUZMAN FREDDY RICHARD</t>
  </si>
  <si>
    <t>13552773</t>
  </si>
  <si>
    <t>INDUSTRIAS J C ZUñIGA E.I.R.L.</t>
  </si>
  <si>
    <t>JR. REQUENA MZA. A LOTE. 28 URB. SANTA ROSA (COMITE 34) PROV. CONST. DEL CALLAO - PROV. CONST. DEL CALLAO - CALLAO</t>
  </si>
  <si>
    <t xml:space="preserve">	ZUÑIGA MURILLO JUAN CARLOS</t>
  </si>
  <si>
    <t xml:space="preserve">
CAL.5 MZA. F1 LOTE. 14 ASC. SAN VALENTIN LIMA - LIMA - LURIGANCHO</t>
  </si>
  <si>
    <t>HUAMAN ARTICA JANINO RODOLFO</t>
  </si>
  <si>
    <t>14858412</t>
  </si>
  <si>
    <t>07341398</t>
  </si>
  <si>
    <t>FIGUEROA LAURENTE VIRGILIO DEMETRIO</t>
  </si>
  <si>
    <t>10697361</t>
  </si>
  <si>
    <t>PENADILLO FIGUEROA RUBI ALEX</t>
  </si>
  <si>
    <t>KALLPA MANUFACTURAS S.A.C.</t>
  </si>
  <si>
    <t>AV. DE LAS TORRES NRO. 453 URB. LOS SAUCES (ESPALDA CLINICA SAN JUAN DE DIOS) LIMA - LIMA - ATE</t>
  </si>
  <si>
    <t>10003780</t>
  </si>
  <si>
    <t>GUERRA CHOMBO DE SAN ROMAN IRENE SEBASTIANA</t>
  </si>
  <si>
    <t>14581902</t>
  </si>
  <si>
    <t>SAN ROMAN GUERRA CAROLINA</t>
  </si>
  <si>
    <t>GERENTE ADJUNTO</t>
  </si>
  <si>
    <t>OB INGENIEROS E.I.R.L.</t>
  </si>
  <si>
    <t xml:space="preserve">
JR. IGNACIO TOROTE NRO. 695 DPTO. 4 LIMA - LIMA - LOS OLIVOS</t>
  </si>
  <si>
    <t>ORTEGA BRIOSO CARLOS ALBERTO</t>
  </si>
  <si>
    <t xml:space="preserve">
AV. NUGGET NRO. 165 URB. IND.FUNDO PUENTE LIMA - LIMA - EL AGUSTINO</t>
  </si>
  <si>
    <t>07183595</t>
  </si>
  <si>
    <t>HERRERA PAREDES JAVIER EDUARDO</t>
  </si>
  <si>
    <t>12005431</t>
  </si>
  <si>
    <t>CENTRO NACIONAL DE TECNOLOGIA 3D S.A.C - CENATEC 3D S.A.C</t>
  </si>
  <si>
    <t>CAL.LOS JAZMINES MZA. G LOTE. 13 INT. 2 COO. TALAVERA DE LA REYNA LIMA - LIMA - EL AGUSTINO</t>
  </si>
  <si>
    <t>CASTILLA PACHAS JUNIOR MIGUEL</t>
  </si>
  <si>
    <t>14336710</t>
  </si>
  <si>
    <t>MZA. E LOTE. 15 A.V. VILLA SAN LUIS (FRENTE A PLAZA VEA DE SANTA CLARA) LIMA - LIMA - ATE</t>
  </si>
  <si>
    <t>41330681</t>
  </si>
  <si>
    <t>VASQUEZ VILLARAN ALEJANDRO</t>
  </si>
  <si>
    <t>PJ. CHINCHA NRO. 140 P.J. JOSE CARLOS MARIATEGUI LIMA - LIMA - VILLA MARIA DEL TRIUNFO</t>
  </si>
  <si>
    <t>08958205</t>
  </si>
  <si>
    <t>SOTO GODOY JOSE LUIS</t>
  </si>
  <si>
    <t>13984409</t>
  </si>
  <si>
    <t xml:space="preserve">
AV. UNIVERSITARIA NRO. 420 URB. PERU LIMA - LIMA - SAN MARTIN DE PORRES</t>
  </si>
  <si>
    <t>44825380</t>
  </si>
  <si>
    <t xml:space="preserve">	GONZALES ABAN NIKE TELLO</t>
  </si>
  <si>
    <t>14721173</t>
  </si>
  <si>
    <t>LUAR INGENIERIA Y PROYECTOS S.A.C</t>
  </si>
  <si>
    <t xml:space="preserve">
PJ. PS 1 MZA. J LOTE. 18 APV. ENCANTADA DEL VALLE - OQUENDO PROV. CONST. DEL CALLAO - PROV. CONST. DEL CALLAO - CALLAO</t>
  </si>
  <si>
    <t>40586341</t>
  </si>
  <si>
    <t xml:space="preserve">	LULO ARONI ELBER GALDINO</t>
  </si>
  <si>
    <t>13429333</t>
  </si>
  <si>
    <t xml:space="preserve">
CAL.CHINCHON NRO. 830 INT. 701 URB. JARDIN LIMA - LIMA - SAN ISIDRO</t>
  </si>
  <si>
    <t>45689182</t>
  </si>
  <si>
    <t>CASTILLO MELGAREJO JESUS ALFREDO</t>
  </si>
  <si>
    <t>14300733</t>
  </si>
  <si>
    <t xml:space="preserve">
CAL.86 MZA. R-2 LOTE. 25 S. LUZMIL 2A ET LIMA - LIMA - COMAS</t>
  </si>
  <si>
    <t>40740007</t>
  </si>
  <si>
    <t>DONAYRE ROSALES KARINA MILAGROS</t>
  </si>
  <si>
    <t>13596046</t>
  </si>
  <si>
    <t xml:space="preserve"> MECANICA ENERGIA TELECOMUNICACION Y CONSTRUCCION SOCIEDAD ANONIMA CERRADA - METELCON S.A.C.</t>
  </si>
  <si>
    <t>AV. CENTRAL MZA. I8 LOTE. 13 A.H. ATUSPARIA LIMA - LIMA - SAN JUAN DE LURIGANCHO</t>
  </si>
  <si>
    <t>40479595</t>
  </si>
  <si>
    <t xml:space="preserve">	FIGUEROA CASTRO JOSE AMADOR</t>
  </si>
  <si>
    <t>13662848</t>
  </si>
  <si>
    <t xml:space="preserve">
MZA. B LOTE. 19 A.V. 14 DE ABRIL LIMA - LIMA - ATE</t>
  </si>
  <si>
    <t>46873006</t>
  </si>
  <si>
    <t>VILA DE LA CRUZ LIZETH</t>
  </si>
  <si>
    <t>14454290</t>
  </si>
  <si>
    <t>PICOY CALERO CRISTHIAN HAMMERLY</t>
  </si>
  <si>
    <t xml:space="preserve">
CAL.6 MZA. F LOTE. 6 URB. LOS PRODUCTORES (PIS 1 ENTRE METROPOLITANA Y HUAROCHIRI) LIMA - LIMA - SANTA ANITA</t>
  </si>
  <si>
    <t xml:space="preserve">	GUTIERREZ GONZALES LUIS ENRIQUE</t>
  </si>
  <si>
    <t>11964952</t>
  </si>
  <si>
    <t>JR. LAS OXALIDAS NRO. 2488 URB. SAN IGNACIO (1º PISO) LIMA - LIMA - SAN JUAN DE LURIGANCHO</t>
  </si>
  <si>
    <t xml:space="preserve">	VENTURA GRANDEZ JOSE CARLOS</t>
  </si>
  <si>
    <t>13147363</t>
  </si>
  <si>
    <t xml:space="preserve">
AV. ARGENTINA NRO. 327 INT. E-5 C.C.LA BELLOTA (PSJE 4 SECUNDARIO) LIMA - LIMA - LIMA</t>
  </si>
  <si>
    <t xml:space="preserve">	MANAYAY VILLANUEVA YENI MARGOTH</t>
  </si>
  <si>
    <t xml:space="preserve">	12866451</t>
  </si>
  <si>
    <t xml:space="preserve">
AV. COLONIAL NRO. 212 INT. 1060 (CC PLAZA FERRETERO) LIMA - LIMA - LIMA</t>
  </si>
  <si>
    <t xml:space="preserve">	PUMA MORALES JOSE LUIS</t>
  </si>
  <si>
    <t>14950829</t>
  </si>
  <si>
    <t>JAMFE SERVICIOS GENERALES S.A.C.</t>
  </si>
  <si>
    <t xml:space="preserve">
MZA. 5 LOTE. 27 A.H. ARRIBA PERU LIMA - LIMA - SAN JUAN DE LURIGANCHO</t>
  </si>
  <si>
    <t xml:space="preserve">	ENEQUE BARDALES ARIANA GUADALUPE</t>
  </si>
  <si>
    <t>14758976</t>
  </si>
  <si>
    <t>EPLI S.A.C.</t>
  </si>
  <si>
    <t>JR. TARAPOTO NRO. 1157 LIMA - LIMA - BREÑA</t>
  </si>
  <si>
    <t>08228581</t>
  </si>
  <si>
    <t>SKURA GUN DE LEBOVICH ETICA</t>
  </si>
  <si>
    <t>01403176</t>
  </si>
  <si>
    <t>43134717</t>
  </si>
  <si>
    <t xml:space="preserve">	LEBOVICH ELI</t>
  </si>
  <si>
    <t>CAL.LOS NOGALES MZA. A LOTE. 17-G INT. 201 URB. CANTO BELLO (2DO PISO) LIMA - LIMA - SAN JUAN DE LURIGANCHO</t>
  </si>
  <si>
    <t xml:space="preserve">	ABAD NUÑEZ MIGUEL ANGEL</t>
  </si>
  <si>
    <t>12477517</t>
  </si>
  <si>
    <t>SOCIEDAD ELECTRO INDUSTRIAL LIMA SOCIEDAD ANONIMA CERRADA - SOCEILIM S.A.C.</t>
  </si>
  <si>
    <t>MZA. K LOTE. 25 A.H. HUSARES DE JUNIN (ALT. CDRA. 24 AV. JOSE GRANDA) LIMA - LIMA - SAN MARTIN DE PORRES</t>
  </si>
  <si>
    <t>CHAVEZ CAMPOMANES GERARDO</t>
  </si>
  <si>
    <t>12484259</t>
  </si>
  <si>
    <t>JR. CARABAYA NRO. 1007 CERCADO DE LIMA LIMA - LIMA - LIMA</t>
  </si>
  <si>
    <t xml:space="preserve">	ANGULO CALDERON LUIS ERNESTO</t>
  </si>
  <si>
    <t xml:space="preserve">	12767922</t>
  </si>
  <si>
    <t>CAL.FERNANDEZ DANIEL MZA. O LOTE. 12 URB. PANAMERICANA NORTE LIMA - LIMA - LOS OLIVOS</t>
  </si>
  <si>
    <t>10532635</t>
  </si>
  <si>
    <t>ROMERO GALVEZ ABEL</t>
  </si>
  <si>
    <t>13980034</t>
  </si>
  <si>
    <t xml:space="preserve">
CAL.ERNESTO DIEZ CANSECO NRO. 778 URB. MIRAFLORES LIMA - LIMA - MIRAFLORES</t>
  </si>
  <si>
    <t>08753007</t>
  </si>
  <si>
    <t>CUADROS JIMENEZ DE CISNEROS, ANDRES</t>
  </si>
  <si>
    <t>11177760</t>
  </si>
  <si>
    <t>ALSI PERU S.A.C.</t>
  </si>
  <si>
    <t xml:space="preserve">
CAL.LA PROSPERIDAD NRO. 407 URB. PRO ET. UNO LIMA - LIMA - LOS OLIVOS</t>
  </si>
  <si>
    <t>45129372</t>
  </si>
  <si>
    <t xml:space="preserve">	ALARCON VASQUEZ DEYVER</t>
  </si>
  <si>
    <t>13913653</t>
  </si>
  <si>
    <t>INSTITUTO DE TERAPIA MANUAL Y QUIROPRACTICA DE PERU E.I.R.L.</t>
  </si>
  <si>
    <t xml:space="preserve">
AV. UNIVERSITARIA NRO. 698 LIMA - LIMA - SAN MARTIN DE PORRES</t>
  </si>
  <si>
    <t>14083667</t>
  </si>
  <si>
    <t>LIZARRAGA TOLEDO WILLAN BARTONI</t>
  </si>
  <si>
    <t xml:space="preserve">
JR. JOSE PARDO NRO. 130 (ALT.KM 18.5 DE LA AV. TUPAC AMARU) LIMA - LIMA - CARABAYLLO</t>
  </si>
  <si>
    <t>14843280</t>
  </si>
  <si>
    <t>FENIX EMPRESA ADMINISTRADORA DE INMUEBLES S.A.C.</t>
  </si>
  <si>
    <t>JR. MONTE ROSA NRO. 271 INT. 9D URB. CHACARILLA DEL ESTANQUE LIMA - LIMA - SANTIAGO DE SURCO</t>
  </si>
  <si>
    <t>06778975</t>
  </si>
  <si>
    <t>RABANAL QUIROGA NESTOR RAUL</t>
  </si>
  <si>
    <t>13234920</t>
  </si>
  <si>
    <t>CAILLOMA NRO. 714 INT. 208 (P2 / ESQ COLMENA Y CAILLOMA) LIMA - LIMA - LIMA</t>
  </si>
  <si>
    <t>08662854</t>
  </si>
  <si>
    <t>DELGADO SARMIENTO HUGO SANTIAGO</t>
  </si>
  <si>
    <t>11687824</t>
  </si>
  <si>
    <t>AV. EL SANTUARIO NRO. 1119 Z.I. ZARATE (ALT.CUADRA 12 AV.GRAN CHIMU) LIMA - LIMA - SAN JUAN DE LURIGANCHO</t>
  </si>
  <si>
    <t>08746699</t>
  </si>
  <si>
    <t>ABUSADA SUMAR VICTOR ANDRES</t>
  </si>
  <si>
    <t>03018703</t>
  </si>
  <si>
    <t>08746701</t>
  </si>
  <si>
    <t>ABUSADA SUMAR MAURICE FERNANDO</t>
  </si>
  <si>
    <t>08746709</t>
  </si>
  <si>
    <t xml:space="preserve">	ABUSADA SUMAR BENJAMIN</t>
  </si>
  <si>
    <t>CAL.FELIPE PINGLO NRO. 180 URB. MIGUEL GRAU LIMA - LIMA - SAN MARTIN DE PORRES</t>
  </si>
  <si>
    <t>43261696</t>
  </si>
  <si>
    <t>URBANO CURI DANIEL FREUD</t>
  </si>
  <si>
    <t>13923413</t>
  </si>
  <si>
    <t>ELECTRICIDAD Y ELECTRONICA INDUSTRIAL MC E.I.R.L.</t>
  </si>
  <si>
    <t xml:space="preserve">
AV. SAN PABLO CDRA 6 NRO. 675 INT. 2 URB. SAN PABLO LIMA - LIMA - LA VICTORIA</t>
  </si>
  <si>
    <t>09882324</t>
  </si>
  <si>
    <t xml:space="preserve">	CORTEZ SUAREZ MARIO MARCELINO</t>
  </si>
  <si>
    <t>14491290</t>
  </si>
  <si>
    <t xml:space="preserve">	RENTERIA GUTIERREZ ROBERTO GUILLERMO</t>
  </si>
  <si>
    <t>11987377</t>
  </si>
  <si>
    <t>AV. UNIVERSITARIA MZA. B LOTE. 05 APV. MARIA DE LOS ANGELES LIMA - LIMA - CARABAYLLO</t>
  </si>
  <si>
    <t xml:space="preserve">	VALDEZ COLAN JOE ALEXANDER</t>
  </si>
  <si>
    <t>11476169</t>
  </si>
  <si>
    <t xml:space="preserve">
AV. ANGAMOS ESTE NRO. 1805 INT. P10 (PISO 10 OF 5 Y PISO 11 OF 6A) LIMA - LIMA - SURQUILLO</t>
  </si>
  <si>
    <t>06075346</t>
  </si>
  <si>
    <t>CORDOVA SERPA DORA VIRGINIA</t>
  </si>
  <si>
    <t>11301888</t>
  </si>
  <si>
    <t>07852478</t>
  </si>
  <si>
    <t>EYZAGUIRRE BROU JOAN PATRICIA</t>
  </si>
  <si>
    <t>08202522</t>
  </si>
  <si>
    <t xml:space="preserve">	VEGA MENENDEZ MARIA CECILIA</t>
  </si>
  <si>
    <t>08972674</t>
  </si>
  <si>
    <t>DIAZ QUINTO MARIBEL ELIZABETH</t>
  </si>
  <si>
    <t>10612546</t>
  </si>
  <si>
    <t>RAMBERG ARNILLAS JOHANN</t>
  </si>
  <si>
    <t>40659527</t>
  </si>
  <si>
    <t xml:space="preserve">	SCHIAFFINO SALAZAR GIOVANNA</t>
  </si>
  <si>
    <t>40673061</t>
  </si>
  <si>
    <t xml:space="preserve">	GOITIZOLO AIRALDI SEBASTIAN</t>
  </si>
  <si>
    <t>41319880</t>
  </si>
  <si>
    <t xml:space="preserve">	GOMERO AYALA ALAN ROBERTO</t>
  </si>
  <si>
    <t>41453644</t>
  </si>
  <si>
    <t xml:space="preserve">	BOBADILLA LA MADRID MIGUEL ANGEL</t>
  </si>
  <si>
    <t>POWERTEC S.A.C.</t>
  </si>
  <si>
    <t>CAL.EL OLIVAR MZA. B1 LOTE. 02 URB. SANTA ROSA DEL NARANJAL (ALT. CRUCE AV. NARANJAL Y AV. UNIVERSITA) LIMA - LIMA - LOS OLIVOS</t>
  </si>
  <si>
    <t>CUEVA CIERTO YOVANA</t>
  </si>
  <si>
    <t>12865334</t>
  </si>
  <si>
    <t xml:space="preserve">
CAL.CERES NRO. 385 URB. VENTURA ROSSI LIMA - LIMA - RIMAC</t>
  </si>
  <si>
    <t>CUBAS MEJIA CESAR HUMBERTO</t>
  </si>
  <si>
    <t>13405538</t>
  </si>
  <si>
    <t>JR. GIRASOL MZA. J1 LOTE. 02 URB. POP ASOC.VIV SAN FRANCISCO DE CAYRAN LIMA - LIMA - SAN MARTIN DE PORRES</t>
  </si>
  <si>
    <t>40017696</t>
  </si>
  <si>
    <t xml:space="preserve">	CHERO MASIAS DICK HENRY</t>
  </si>
  <si>
    <t>13890364</t>
  </si>
  <si>
    <t>TELKOM NETWORK S.A.C.</t>
  </si>
  <si>
    <t xml:space="preserve">
MZA. J LOTE. 42 URB. LOS NISPEROS LIMA - LIMA - SAN MARTIN DE PORRES</t>
  </si>
  <si>
    <t xml:space="preserve">	PEREZ GORDILLO CESAR ALFREDO</t>
  </si>
  <si>
    <t xml:space="preserve">	70547917</t>
  </si>
  <si>
    <t>CAL.INTIHUATANA NRO. 182 COO. UNIVERSAL (FRENTE AL PARQUE LA FAMILIA) LIMA - LIMA - SANTA ANITA</t>
  </si>
  <si>
    <t>46675082</t>
  </si>
  <si>
    <t>OROYA AYALA ESTEFANY SALOME</t>
  </si>
  <si>
    <t>13654142</t>
  </si>
  <si>
    <t>AV. JAVIER PRADO ESTE NRO. 996 DPTO. 301 URB. EL PALOMAR (COSTADO CLINICA RICARDO PALMA) LIMA - LIMA - SAN ISIDRO</t>
  </si>
  <si>
    <t>19970591</t>
  </si>
  <si>
    <t>AGUILAR ENRIQUEZ HUMBERTO</t>
  </si>
  <si>
    <t>11593402</t>
  </si>
  <si>
    <t xml:space="preserve">	AGUILAR ENRIQUEZ JOSE LUIS</t>
  </si>
  <si>
    <t>FABRIMSA SRL</t>
  </si>
  <si>
    <t xml:space="preserve">
MZA. 002 LOTE. 24 URB. LA HACIENDA LIMA - LIMA - LOS OLIVOS</t>
  </si>
  <si>
    <t>CUBA SIFUENTES MARCOS ESTANISLAO</t>
  </si>
  <si>
    <t>11743842</t>
  </si>
  <si>
    <t>CORPORACION BELCEN S.A.C. - BELCEN S.A.C.</t>
  </si>
  <si>
    <t xml:space="preserve">
AV. ASTURIAS NRO. 331 LIMA - LIMA - ATE</t>
  </si>
  <si>
    <t>23098932</t>
  </si>
  <si>
    <t xml:space="preserve">	BELTRAN SALINAS CLUTELDO</t>
  </si>
  <si>
    <t>13809933</t>
  </si>
  <si>
    <t>75915438</t>
  </si>
  <si>
    <t>BELTRAN CENZANO WILLIAMS</t>
  </si>
  <si>
    <t>JR. UCAYALI NRO. 5681 URB. VILLA DEL NORTE LIMA - LIMA - LOS OLIVOS</t>
  </si>
  <si>
    <t>42453690</t>
  </si>
  <si>
    <t xml:space="preserve">	GELDRES DE LOS SANTOS DANIEL ELIEZER</t>
  </si>
  <si>
    <t>14710532</t>
  </si>
  <si>
    <t>CAL.SIN NOMBRE MZA. M LOTE. 31 URB. SAN JUAN DE DIOS (AV. ANTUNEZ DE MAYOLO Y AV.CARLOS IZAG) LIMA - LIMA - SAN MARTIN DE PORRES</t>
  </si>
  <si>
    <t>22266809</t>
  </si>
  <si>
    <t>GUILLEN FARFAN JUAN JESUS</t>
  </si>
  <si>
    <t>11829987</t>
  </si>
  <si>
    <t>22300392</t>
  </si>
  <si>
    <t xml:space="preserve">	GUILLEN HERNANDEZ JUAN JESUS</t>
  </si>
  <si>
    <t>AV. VENEZUELA NRO. 5197 INT. 804H (FRENTE AL HOSPITAL NAVAL) LIMA - LIMA - SAN MIGUEL</t>
  </si>
  <si>
    <t>43345151</t>
  </si>
  <si>
    <t>MEDINA ENRIQUEZ MARCO ANTONIO</t>
  </si>
  <si>
    <t>14544077</t>
  </si>
  <si>
    <t>CAL.LO SAUCES MZA. E LOTE. 3A A.H. AGUSTINO 3RA ZONA LIMA - LIMA - EL AGUSTINO</t>
  </si>
  <si>
    <t>40134658</t>
  </si>
  <si>
    <t xml:space="preserve">	ROSALES VEGA LISANDRO ANIVAL</t>
  </si>
  <si>
    <t>13361492</t>
  </si>
  <si>
    <t>MATERIALES Y PROYECTOS PARA LA INDUSTRIA E.I.R.L.</t>
  </si>
  <si>
    <t>CAL.LAS AMATISTAS CUADRA 4 MZA. F1 LOTE. 1 INT. 203 URB. ROSARIO DEL NORTE (ALTURA DE LA CUADRA 15 DE LOS ALISOS) LIMA - LIMA - SAN MARTIN DE PORRES</t>
  </si>
  <si>
    <t>10197259</t>
  </si>
  <si>
    <t>PAREDES VILLAGARAY MITCHELL HENRY</t>
  </si>
  <si>
    <t>12865682</t>
  </si>
  <si>
    <t>PLASTICOS Y METALES MEGALUZ S.A.C.</t>
  </si>
  <si>
    <t>AV. SINCHI ROCA MZA. J LOTE. 7 APV. SECTOR EL PEDREGAL (VIA A HUACHIPA) LIMA - LIMA - SAN JUAN DE LURIGANCHO</t>
  </si>
  <si>
    <t>CHOQUEHUANCA PALOMARES KARL EDWIN</t>
  </si>
  <si>
    <t>12294662</t>
  </si>
  <si>
    <t>EQUIPAMIENTO INSTRUMENTACIÓN INDUSTRIAS Y LABORATORIOS SAC - EQUINLAB SAC</t>
  </si>
  <si>
    <t>AV. UNIVERSITARIA NRO. 2786 LIMA - LIMA - LOS OLIVOS</t>
  </si>
  <si>
    <t>FLORES RIVADENEYRA JOSE ALEXANDER</t>
  </si>
  <si>
    <t xml:space="preserve">	GERENTE GENERA</t>
  </si>
  <si>
    <t>13550769</t>
  </si>
  <si>
    <t>AV. ALFREDO BENAVIDES NRO. 768 INT. 1106 (CRUCE DE VIA EXPRESA CON AV. BENAVIDES) LIMA - LIMA - MIRAFLORES</t>
  </si>
  <si>
    <t>8020 - ACTIVIDADES DE SERVICIOS DE SISTEMAS DE SEGURIDAD</t>
  </si>
  <si>
    <t>02016214</t>
  </si>
  <si>
    <t>JL TOURS E.I.R.L. - JLT E.I.R.L.</t>
  </si>
  <si>
    <t xml:space="preserve">
AV. AYACUCHO NRO. 1331 INT. 101G URB. LIGUARIA (FRENTE SANGUCHERIA MACARIO) LIMA - LIMA - SANTIAGO DE SURCO</t>
  </si>
  <si>
    <t>08235119</t>
  </si>
  <si>
    <t>LOPEZ CASTRO JORGE ALBERTO</t>
  </si>
  <si>
    <t>14159980</t>
  </si>
  <si>
    <t>JR. IGNACIO MERINO NRO. 3707 URB. PANAMERICANA LIMA - LIMA - LOS OLIVOS</t>
  </si>
  <si>
    <t>07484067</t>
  </si>
  <si>
    <t>LAZARO BALBOA JHONY RAUL</t>
  </si>
  <si>
    <t>14310197</t>
  </si>
  <si>
    <t>JR. MONZON NRO. 220 URB. SAN GABRIEL LIMA - LIMA - VILLA MARIA DEL TRIUNFO</t>
  </si>
  <si>
    <t>41001195</t>
  </si>
  <si>
    <t xml:space="preserve">	MEDINA ROJAS ALEX GUILLERMO</t>
  </si>
  <si>
    <t>13176948</t>
  </si>
  <si>
    <t>PJ. LAS LILAS 350 MZA. D5 LOTE. 16 URB. PRIMAVERA LIMA - LIMA - SANTA ANITA</t>
  </si>
  <si>
    <t xml:space="preserve">	FLORES GUEVARA KELVIN</t>
  </si>
  <si>
    <t>13447787</t>
  </si>
  <si>
    <t>INGENIERIA ELECTRICA SANTOYO E.I.R.L IELECSAN E.I.R.L</t>
  </si>
  <si>
    <t>AV. LAS PALMAS MZA. N LOTE. 8 URB. LADERAS DE PACHACAMAC (ALT PISCINA SANTA ISABEL) LIMA - LIMA - PACHACAMAC</t>
  </si>
  <si>
    <t>SANTOYO QUIÑONES RICHARD EDUARDO</t>
  </si>
  <si>
    <t>13631301</t>
  </si>
  <si>
    <t>TCREA SOLUCIONES S.A.C.</t>
  </si>
  <si>
    <t>AV. UNIVERSITARIA NRO. 2764 (CRUZE AV UNIVERSITARIA CON ANGELICA GAMA) LIMA - LIMA - LOS OLIVOS</t>
  </si>
  <si>
    <t>09437744</t>
  </si>
  <si>
    <t xml:space="preserve">	CORTEZ LANDEO PATRICIA DEL PILAR</t>
  </si>
  <si>
    <t>12084431</t>
  </si>
  <si>
    <t>MZA. B LOTE. 06 A.H. JENNY BUMACHAR DE KOURI PROV. CONST. DEL CALLAO - PROV. CONST. DEL CALLAO - VENTANILLA</t>
  </si>
  <si>
    <t>MORA QUISPE ROBERTO LUILLE</t>
  </si>
  <si>
    <t>14219024</t>
  </si>
  <si>
    <t>FLOW CONTROL AND MEASUREMENT VALVES S.A.C. - FCM VALVES S.A.C.</t>
  </si>
  <si>
    <t>PONCE MAZA CESAR AUGUSTO</t>
  </si>
  <si>
    <t>14706066</t>
  </si>
  <si>
    <t xml:space="preserve">
JR. LOS HUERTOS NRO. 295 URB. LAS FLORES DE LIMA LIMA - LIMA - SAN JUAN DE LURIGANCHO</t>
  </si>
  <si>
    <t>SANTA CRUZ MORY YHONNY</t>
  </si>
  <si>
    <t xml:space="preserve">	14389205</t>
  </si>
  <si>
    <t>LOY SING S.A.C.</t>
  </si>
  <si>
    <t>AV. JAVIER PRADO OESTE NRO. 1650 (JAVIER PRADO OESTE CON LAS FLORES) LIMA - LIMA - SAN ISIDRO</t>
  </si>
  <si>
    <t>07886254</t>
  </si>
  <si>
    <t>DULANTO ORE MIRIAN ELENA</t>
  </si>
  <si>
    <t>12138381</t>
  </si>
  <si>
    <t>08182788</t>
  </si>
  <si>
    <t xml:space="preserve">	TENICELA HUBY LUIS ANTONIO</t>
  </si>
  <si>
    <t>08799044</t>
  </si>
  <si>
    <t>VALEGA DURAND INGRID MARIA IRENE</t>
  </si>
  <si>
    <t>09179067</t>
  </si>
  <si>
    <t xml:space="preserve">	DE FERRARI MORELLO ALFREDO</t>
  </si>
  <si>
    <t>09342797</t>
  </si>
  <si>
    <t>NORIEGA BENTIN GUSTAVO JOSE</t>
  </si>
  <si>
    <t>10305165</t>
  </si>
  <si>
    <t>SANCHEZ FIORENTINI JUAN CARLOS</t>
  </si>
  <si>
    <t>10802903</t>
  </si>
  <si>
    <t>CHAVEZ RODRIGUEZ RENATO MARIANO</t>
  </si>
  <si>
    <t>10867356</t>
  </si>
  <si>
    <t>ISASI RUIZ ELDREDGE RODRIGO ALONSO</t>
  </si>
  <si>
    <t>40088656</t>
  </si>
  <si>
    <t>RUESTA CIEZA CLAUDIA ALEXANDRA</t>
  </si>
  <si>
    <t>40154705</t>
  </si>
  <si>
    <t xml:space="preserve">	CAZORLA AUSEJO RICHARD AURELIO</t>
  </si>
  <si>
    <t>41025027</t>
  </si>
  <si>
    <t>SUMMERS COMPANY MAGGIE ROCIO</t>
  </si>
  <si>
    <t>41970784</t>
  </si>
  <si>
    <t>DE FERRARI GIRALDEZ IGNAZIO</t>
  </si>
  <si>
    <t>43425221</t>
  </si>
  <si>
    <t>HIGA ARAKAWA JESSIE BEATRIZ</t>
  </si>
  <si>
    <t>46865797</t>
  </si>
  <si>
    <t>SEGURA GUERRERO ALICIA MARIELLA</t>
  </si>
  <si>
    <t>72130334</t>
  </si>
  <si>
    <t>CUEVA ARANA LIZETH DE LOS MILAGROS</t>
  </si>
  <si>
    <t>20100123330</t>
  </si>
  <si>
    <t xml:space="preserve">	DELOSI S.A.</t>
  </si>
  <si>
    <t>F &amp; B PROYECTOS Y SERVICIOS GENERALES S.A.C.</t>
  </si>
  <si>
    <t>MZA. A LOTE. 08 ASC. COMUNAL DE LAS FLORES DE JICAMARCA LIMA - LIMA - SAN JUAN DE LURIGANCHO</t>
  </si>
  <si>
    <t>BACA GARCIA FRANKLIN ZENON</t>
  </si>
  <si>
    <t>MANPOWER PROFESSIONAL SERVICES S.A.</t>
  </si>
  <si>
    <t>CAL.MONTEROSA NRO. 233 URB. CHACARILLA DEL ESTANQUE (PISO 11) LIMA - LIMA - SANTIAGO DE SURCO</t>
  </si>
  <si>
    <t>7830 - OTRAS ACTIVIDADES DE DOTACIÓN DE RECURSOS HUMANOS</t>
  </si>
  <si>
    <t>07565468</t>
  </si>
  <si>
    <t xml:space="preserve">	FRANCO CONDE WALTER MARIO</t>
  </si>
  <si>
    <t>12169133</t>
  </si>
  <si>
    <t>09302106</t>
  </si>
  <si>
    <t>NICOLI MENDEL MARCO ANTONIO LEONARDO A</t>
  </si>
  <si>
    <t>10803491</t>
  </si>
  <si>
    <t xml:space="preserve">	SABLICH CARPIO NATALIE ROCIO</t>
  </si>
  <si>
    <t>40377679</t>
  </si>
  <si>
    <t xml:space="preserve">	REYES DEL CASTILLO SEBASTIAN</t>
  </si>
  <si>
    <t>CAL.21 MZA. Y LOTE. 14 URB. COOPIP (AV. ALCIDES VIGO PARADERO COOPIP) LIMA - LIMA - SAN MARTIN DE PORRES</t>
  </si>
  <si>
    <t xml:space="preserve">	ESCOBEDO TANGOA MERCI GISELA</t>
  </si>
  <si>
    <t>12635145</t>
  </si>
  <si>
    <t>S&amp;S MACHINE SAC</t>
  </si>
  <si>
    <t xml:space="preserve">	SOSA ORDOÑEZ DANTE GILDO</t>
  </si>
  <si>
    <t>AV. VENEZUELA NRO. 2850 URB. ELIO (PUERTAS 3040,3046) LIMA - LIMA - LIMA</t>
  </si>
  <si>
    <t>1061 - ELABORACIÓN DE PRODUCTOS DE MOLINERÍA</t>
  </si>
  <si>
    <t>10278001</t>
  </si>
  <si>
    <t xml:space="preserve">	BUDGE ROCA FRANCISCO JOSE BENJAMIN</t>
  </si>
  <si>
    <t>11012778</t>
  </si>
  <si>
    <t>18092028</t>
  </si>
  <si>
    <t>DE BRACAMONTE GALVEZ TULIO DANIEL</t>
  </si>
  <si>
    <t>40638680</t>
  </si>
  <si>
    <t>MONTANCHEZ GALINDO CHRISTIAN ALBERTO</t>
  </si>
  <si>
    <t xml:space="preserve">	CONTADOR</t>
  </si>
  <si>
    <t>41352409</t>
  </si>
  <si>
    <t>TUEROS DEVOTTO JEAN PAUL</t>
  </si>
  <si>
    <t>43070933</t>
  </si>
  <si>
    <t xml:space="preserve">	RIVAS ONEGLIO MELISSA CAROLINA</t>
  </si>
  <si>
    <t>001346770</t>
  </si>
  <si>
    <t xml:space="preserve">	FERNANDEZ CUELLAR PEDRO JESUS</t>
  </si>
  <si>
    <t>002069015</t>
  </si>
  <si>
    <t xml:space="preserve">	MEDINA MEZA FELIPE JAVIER</t>
  </si>
  <si>
    <t>TDENERGY SOCIEDAD ANONIMA CERRADA</t>
  </si>
  <si>
    <t xml:space="preserve">
BL. LOS NOGALES NRO. 4 DPTO. 103 LOS PARQUES DEL AGUSTINO (ALTURA DE TOTTUS EL AGUSTINO) LIMA - LIMA - EL AGUSTINO</t>
  </si>
  <si>
    <t xml:space="preserve"> 7110 - ACTIVIDADES DE ARQUITECTURA E INGENIERÍA Y ACTIVIDADES CONEXAS DE CONSULTORÍA TÉCNICA</t>
  </si>
  <si>
    <t>10204206</t>
  </si>
  <si>
    <t>ALEJANDRO CARHUAMACA VICTOR RAFAEL</t>
  </si>
  <si>
    <t>11848259</t>
  </si>
  <si>
    <t>AV. EL PACIFICO NRO. 501 URB. INDUSTRIAL PANAMERICANA NORTE LIMA - LIMA - INDEPENDENCIA</t>
  </si>
  <si>
    <t>DIAZ TITO JOSE LUIS</t>
  </si>
  <si>
    <t>FAST DYE S.A.C.</t>
  </si>
  <si>
    <t xml:space="preserve">
AV. LOS CISNES MZA. E2 LOTE. 18 URB. EL CLUB II ETAPA LIMA - LIMA - LURIGANCHO</t>
  </si>
  <si>
    <t xml:space="preserve">	ZEGARRA VALERA RICHARD JESUS</t>
  </si>
  <si>
    <t xml:space="preserve">	12423216</t>
  </si>
  <si>
    <t xml:space="preserve">	RIFAI GIL NADER</t>
  </si>
  <si>
    <t xml:space="preserve">
AV. JOAQUIN CAPELO NRO. 3032 URB. MIRONES BAJO (ALT.CRUCE AV.UNIVERS.CON AV.M DUAREZ) LIMA - LIMA - LIMA</t>
  </si>
  <si>
    <t>BUSTAMANTE SEDANO CHRISTIAN ALEX</t>
  </si>
  <si>
    <t xml:space="preserve">	12038167</t>
  </si>
  <si>
    <t>PJ. EL SOL NRO. 220 PROV. CONST. DEL CALLAO - PROV. CONST. DEL CALLAO - CALLAO</t>
  </si>
  <si>
    <t>06361035</t>
  </si>
  <si>
    <t xml:space="preserve">	WESTRING JUNGE GEORGE PETER</t>
  </si>
  <si>
    <t xml:space="preserve">	11047073</t>
  </si>
  <si>
    <t>07716771</t>
  </si>
  <si>
    <t>RUIZ FIGUEROA JULIO CESAR</t>
  </si>
  <si>
    <t>10354169</t>
  </si>
  <si>
    <t xml:space="preserve">	CAJALEON EVANGELISTA EVER EDGARD</t>
  </si>
  <si>
    <t>29563216</t>
  </si>
  <si>
    <t xml:space="preserve">	RIVERA LINARES ARTURO RAMIRO</t>
  </si>
  <si>
    <t>GRUPO FORTE S.A.C.</t>
  </si>
  <si>
    <t>AV. ALEXANDER FLEMING NRO. 412 DPTO. T II URB. INDUSTRIAL SANTA ROSA LIMA - LIMA - ATE</t>
  </si>
  <si>
    <t>2593 - FABRICACIÓN DE ARTÍCULOS DE CUCHILLERÍA, HERRAMIENTAS DE MANO Y ARTÍCULOS DE FERRETERÍA</t>
  </si>
  <si>
    <t>09679431</t>
  </si>
  <si>
    <t xml:space="preserve">	KOMATSUDANI TASATO ERMES JOSE</t>
  </si>
  <si>
    <t xml:space="preserve">	APODERADO ESPECIFICO</t>
  </si>
  <si>
    <t>12338277</t>
  </si>
  <si>
    <t>70149394</t>
  </si>
  <si>
    <t xml:space="preserve">	MENDOZA CHARQUI JAZMIN VIVIAN</t>
  </si>
  <si>
    <t>AV. LOS PRECURSORES NRO. 260 Z.I. VENTANILLA PROV. CONST. DEL CALLAO - PROV. CONST. DEL CALLAO - VENTANILLA</t>
  </si>
  <si>
    <t>1394 - FABRICACIÓN DE CUERDAS, CORDELES, BRAMANTES Y REDES</t>
  </si>
  <si>
    <t>08229593</t>
  </si>
  <si>
    <t xml:space="preserve">	RIZO PATRON BELGRANO CARLOS ALBERTO</t>
  </si>
  <si>
    <t xml:space="preserve">	DIRECTOR GENERAL</t>
  </si>
  <si>
    <t>03012354</t>
  </si>
  <si>
    <t>09340341</t>
  </si>
  <si>
    <t xml:space="preserve">	RIZO PATRON RUIZ DE SOMOCURCIO ALFONSO</t>
  </si>
  <si>
    <t>10220199</t>
  </si>
  <si>
    <t xml:space="preserve">	RIZO PATRON RUIZ DE SOMOCURCIO GUSTAVO ADOLFO</t>
  </si>
  <si>
    <t>000113681</t>
  </si>
  <si>
    <t xml:space="preserve">	BADINOTTI ROBERTO RENATO</t>
  </si>
  <si>
    <t>AA3930248</t>
  </si>
  <si>
    <t xml:space="preserve">	TIZZONI GIANANGELO PAOLO</t>
  </si>
  <si>
    <t>YA2958319</t>
  </si>
  <si>
    <t xml:space="preserve">	BADINOTTI CARLO ANDREA</t>
  </si>
  <si>
    <t>YA3941230</t>
  </si>
  <si>
    <t xml:space="preserve">	BADINOTTI GIANCARLO WALTER</t>
  </si>
  <si>
    <t>CAL.ENRIQUE PALACIOS NRO. 335 (ALTURA CDRA. 50 AV. AREQUIPA PISO 4) LIMA - LIMA - MIRAFLORES</t>
  </si>
  <si>
    <t>2011 - FABRICACIÓN DE SUSTANCIAS QUÍMICAS BÁSICAS</t>
  </si>
  <si>
    <t>12304256</t>
  </si>
  <si>
    <t>08235953</t>
  </si>
  <si>
    <t xml:space="preserve">	FERRAND DEL BUSTO RAFAEL MARIO</t>
  </si>
  <si>
    <t>08237108</t>
  </si>
  <si>
    <t>FERRAND DEL BUSTO FELIPE CIRILO</t>
  </si>
  <si>
    <t>09886180</t>
  </si>
  <si>
    <t>FERNANDEZ BURGOS SEGUNDO ALFONSO</t>
  </si>
  <si>
    <t>GERENTE DE PRODUCCIÓN</t>
  </si>
  <si>
    <t xml:space="preserve">
AV. NUGGET NRO. 360 (NROS.360,362 Y 364) LIMA - LIMA - EL AGUSTINO</t>
  </si>
  <si>
    <t>06604797</t>
  </si>
  <si>
    <t>ESPINOZA CASTRO CARLOS LEOMANT</t>
  </si>
  <si>
    <t>14063113</t>
  </si>
  <si>
    <t xml:space="preserve"> MANUFACTURAS INDUSTRIALES DEL CAUCHO Y PRODUCTOS QUIMICOS S.A.C.</t>
  </si>
  <si>
    <t xml:space="preserve">
JR. PARIHUANCA NRO. 675 URB. EL PARQUE NARANJAL LIMA - LIMA - LOS OLIVOS</t>
  </si>
  <si>
    <t>08461756</t>
  </si>
  <si>
    <t xml:space="preserve">	MARQUINA BRAVO EDGAR FABIAN</t>
  </si>
  <si>
    <t>00998834</t>
  </si>
  <si>
    <t>08608501</t>
  </si>
  <si>
    <t>HERVIAS GUERRA DE MARQUINA CLEOFE DINA</t>
  </si>
  <si>
    <t>LAMINADOS S.A.C.</t>
  </si>
  <si>
    <t>AV. EL PACIFICO NRO. 200 Z.I. PANAMERICANA NORTE (CRUZE CON AV. INDUSTRIAL-MEGAPLAZA) LIMA - LIMA - INDEPENDENCIA</t>
  </si>
  <si>
    <t>08253188</t>
  </si>
  <si>
    <t>GALBIATI FERRARI FABRIZIO AMEDEO ALFREDO</t>
  </si>
  <si>
    <t xml:space="preserve">01392883	</t>
  </si>
  <si>
    <t>08267932</t>
  </si>
  <si>
    <t>08267933</t>
  </si>
  <si>
    <t>09342224</t>
  </si>
  <si>
    <t xml:space="preserve">	CABRERA COLARETA DE BENITES NADINA YSABEL LILIANA</t>
  </si>
  <si>
    <t>10222667</t>
  </si>
  <si>
    <t>10545105</t>
  </si>
  <si>
    <t>46020170</t>
  </si>
  <si>
    <t xml:space="preserve">	BENITES GALBIATI CARLO MARTIN</t>
  </si>
  <si>
    <t>AV. OSCAR BENAVIDES NRO. 1861 Z.I. EX COLONIAL LIMA - LIMA - LIMA</t>
  </si>
  <si>
    <t>GUTIERREZ TITO WILLIAN JESUS</t>
  </si>
  <si>
    <t>12715599</t>
  </si>
  <si>
    <t>06765999</t>
  </si>
  <si>
    <t>02257556</t>
  </si>
  <si>
    <t xml:space="preserve">	CHUQUIURE ESPINOZA MONICA LILIANA</t>
  </si>
  <si>
    <t xml:space="preserve">
AV. OSCAR R BENAVIDES NRO. 1215 LIMA - LIMA - LIMA</t>
  </si>
  <si>
    <t>09866105</t>
  </si>
  <si>
    <t xml:space="preserve">	RICCI LUDOWIEG ESTEFANIA SUSANA</t>
  </si>
  <si>
    <t>09866413</t>
  </si>
  <si>
    <t>RICCI LUDOWIEG MARIO MIGUEL</t>
  </si>
  <si>
    <t>RELAMPAGO INDUSTRIAL SERVICE E.I.R.L</t>
  </si>
  <si>
    <t>MZA. B LOTE. 7 A.V. RESIDENCIAL SANTO DOMINGO LIMA - LIMA - ATE</t>
  </si>
  <si>
    <t>SALVADOR GOMEZ DE LA TORRE ANGEL DAVID</t>
  </si>
  <si>
    <t>14903936</t>
  </si>
  <si>
    <t>AV. ARGENTINA NRO. 4215 Z.I. CALLAO PROV. CONST. DEL CALLAO - PROV. CONST. DEL CALLAO - CALLAO</t>
  </si>
  <si>
    <t>08223129</t>
  </si>
  <si>
    <t>FIOCCO BLOISA VICTOR GENARO</t>
  </si>
  <si>
    <t>70003686</t>
  </si>
  <si>
    <t>08234172</t>
  </si>
  <si>
    <t>FIOCCO BLOISA ORLANDO IGNACIO</t>
  </si>
  <si>
    <t>08260400</t>
  </si>
  <si>
    <t>FUNDICION CENTRAL S A</t>
  </si>
  <si>
    <t>10614503</t>
  </si>
  <si>
    <t>09632797</t>
  </si>
  <si>
    <t>JR. NICOLAS DE PIEROLA NRO. 915 P.J. LA LIBERTAD (ALT PARAD.PUNO -ALT DE LA OR DE COMAS) LIMA - LIMA - COMAS</t>
  </si>
  <si>
    <t>09477167</t>
  </si>
  <si>
    <t>AVILA SANCHEZ GUIDO HIGOR</t>
  </si>
  <si>
    <t>00014249</t>
  </si>
  <si>
    <t>CORPORACION DE REFRIGERACION RIMAC S.A.C.</t>
  </si>
  <si>
    <t xml:space="preserve">
MZA. S5 LOTE. 35 A.H. JOSE CARLOS MARIATEGUI LIMA - LIMA - SAN JUAN DE LURIGANCHO</t>
  </si>
  <si>
    <t>41876524</t>
  </si>
  <si>
    <t>RIMAC HUILLCA LINDER SIMEON</t>
  </si>
  <si>
    <t>14526736</t>
  </si>
  <si>
    <t>MZA. A LOTE. 28 URB. STA ROSITA DE ATE I ETAPA (ALT. PARDERO FINAL E.T. ETO LINEA B) LIMA - LIMA - ATE</t>
  </si>
  <si>
    <t xml:space="preserve">	ALVAREZ TACCI WALTER RAUL</t>
  </si>
  <si>
    <t>LUMENS ENERGY E.I.R.L</t>
  </si>
  <si>
    <t xml:space="preserve">
CAL.CUSCO NRO. 410 URB. ORBEA LIMA - LIMA - MAGDALENA DEL MAR</t>
  </si>
  <si>
    <t>06771391</t>
  </si>
  <si>
    <t xml:space="preserve">	MONROY GUTIERREZ LUIS ALBERTO</t>
  </si>
  <si>
    <t>70688222</t>
  </si>
  <si>
    <t>MZA. I LOTE. 08 URB. PRO- NOVENO SECTOR -TERCERA ETAPA (A DOS CUADRAS DE REVISIONES TECNICAS) LIMA - LIMA - SAN MARTIN DE PORRES</t>
  </si>
  <si>
    <t>07401241</t>
  </si>
  <si>
    <t>MOSCOSO SALCEDO ALBERTO MAGNO</t>
  </si>
  <si>
    <t>JR. YUNGAY NRO. 1841 URB. CHACRA RIOS (ALT CUADRA 22 AV. VENEZUELA) LIMA - LIMA - LIMA</t>
  </si>
  <si>
    <t>FERNANDEZ CHOQUE LUZ ELVIRA</t>
  </si>
  <si>
    <t>12582243</t>
  </si>
  <si>
    <t>FECHA</t>
  </si>
  <si>
    <t>FRIOTEK SOCIEDAD ANONIMA CERRADA</t>
  </si>
  <si>
    <t xml:space="preserve">
AV. EL ZINC NRO. 183 URB. INDUSTRIAL INFANTAS LIMA - LIMA - LOS OLIVOS</t>
  </si>
  <si>
    <t>40681918</t>
  </si>
  <si>
    <t>TORREJON NORIEGA RONALD ROSALIO</t>
  </si>
  <si>
    <t>12410365</t>
  </si>
  <si>
    <t>INGELREF S.A.C</t>
  </si>
  <si>
    <t>MZA. C LOTE. 11-B URB. LOS ROSALES DE LIMA (CRUCE CARLOS IZAGUIRRE CON CANTACALLAO) LIMA - LIMA - SAN MARTIN DE PORRES</t>
  </si>
  <si>
    <t>09275860</t>
  </si>
  <si>
    <t>DIAZ LAVI JUAN</t>
  </si>
  <si>
    <t>13367321</t>
  </si>
  <si>
    <t xml:space="preserve">	TICLLAS CARHUAMACA ROLANDO</t>
  </si>
  <si>
    <t>12948546</t>
  </si>
  <si>
    <t>JCR EXPRESS E.I.R.L.</t>
  </si>
  <si>
    <t xml:space="preserve">
JR. MARCOS FARFAN NRO. 3341 URB. INDUSTRIAL PANAMERICANA NORTE LIMA - LIMA - SAN MARTIN DE PORRES</t>
  </si>
  <si>
    <t>10428594</t>
  </si>
  <si>
    <t>CHACON ROSALES JULIO CESAR</t>
  </si>
  <si>
    <t>12557305</t>
  </si>
  <si>
    <t>CAL.13 MZA. T LOTE. 2D URB. SANTA ANA (FRENTE PARQUE SANTA ANA) LIMA - LIMA - LOS OLIVOS</t>
  </si>
  <si>
    <t>07418998</t>
  </si>
  <si>
    <t>PEREZ PEREZ OSCAR LUIS</t>
  </si>
  <si>
    <t>03005557</t>
  </si>
  <si>
    <t>SERVICIOS INDUSTRIALES ELECTRICOS REBOBINADOS S.A.C. - SERINELEC REBOBINADOS S.A.C.</t>
  </si>
  <si>
    <t>CAL.JOSE SANCHEZ LAGOMARSINO NRO. 1750 URB. CHACRA RIOS NORTE LIMA - LIMA - LIMA</t>
  </si>
  <si>
    <t xml:space="preserve">	RAMIREZ FARIAS MANUEL</t>
  </si>
  <si>
    <t>13391275</t>
  </si>
  <si>
    <t>UNIPROJECT INGENIEROS S.A.C.</t>
  </si>
  <si>
    <t xml:space="preserve">
MZA. G LOTE. 28 A.H. DOCE DE AGOSTO LIMA - LIMA - LOS OLIVOS</t>
  </si>
  <si>
    <t xml:space="preserve">	JIMENEZ MACAZANA EDUARDO FABIO</t>
  </si>
  <si>
    <t>15076257</t>
  </si>
  <si>
    <t>CAL.SANTA ROSA MZA. C LOTE. 04 AS. DE VIV. VISTA ALEGRE (PARCELA F COSTADO HOSTAL POSADA DEL REY) LIMA - LIMA - COMAS</t>
  </si>
  <si>
    <t xml:space="preserve">	PARIONA HUAMANI CARLOS ENRIQUE</t>
  </si>
  <si>
    <t>12950615</t>
  </si>
  <si>
    <t>MINING AND METALLURGICAL SERVICES EO S.A.C</t>
  </si>
  <si>
    <t>KM. 36 MZA. J LOTE. 6-D AS.PEQ.PEC.LAS MAGNOLIAS (ASOC. PEQUEÑOS AGRICULTORES Y PECUARIOS) LIMA - LIMA - PUENTE PIEDRA</t>
  </si>
  <si>
    <t>OYOLA CORONADO ENRRIS ANTONIO</t>
  </si>
  <si>
    <t>12962237</t>
  </si>
  <si>
    <t>PQUE MARIA DE LOS ANGELES NRO. 136 URB. VILLA LOS ANGELES (FTE AL MEGAPLAZA) LIMA - LIMA - LOS OLIVOS</t>
  </si>
  <si>
    <t>3600 - CAPTACIÓN, TRATAMIENTO Y DISTRIBUCIÓN DE AGUA</t>
  </si>
  <si>
    <t>08665802</t>
  </si>
  <si>
    <t>UTRILLA SALAZAR GLORIA CARMEN</t>
  </si>
  <si>
    <t>GERENTE GRAL.</t>
  </si>
  <si>
    <t>11048214</t>
  </si>
  <si>
    <t xml:space="preserve">	CRISOLES ESCATE SILVIO F.</t>
  </si>
  <si>
    <t>GERENTE TECNICO</t>
  </si>
  <si>
    <t>GP METROLOGIA E INSTRUMENTACION S.A.C. - GPMI S.A.C.</t>
  </si>
  <si>
    <t xml:space="preserve">
CAL.LAS VERDOLAGAS NRO. 716 COO. LAS FLORES LIMA - LIMA - SAN JUAN DE LURIGANCHO</t>
  </si>
  <si>
    <t xml:space="preserve">	OSCANOA SANCHEZ BRENDA ARACELI</t>
  </si>
  <si>
    <t>14358451</t>
  </si>
  <si>
    <t>AV. BOLOGNESI NRO. 550 (A UNA CDRA DEL OVALO SANTA ANITA) LIMA - LIMA - SANTA ANITA</t>
  </si>
  <si>
    <t>07610057</t>
  </si>
  <si>
    <t>VASQUEZ PINEDO ERWIN DARIO</t>
  </si>
  <si>
    <t>00025925</t>
  </si>
  <si>
    <t>10279260</t>
  </si>
  <si>
    <t xml:space="preserve">	ASTUDILLO CORNEJO MIRKO JOSE ANTONIO</t>
  </si>
  <si>
    <t>10586016</t>
  </si>
  <si>
    <t>KAMEKO HIGA JAZMIN HITOMI</t>
  </si>
  <si>
    <t>40320448</t>
  </si>
  <si>
    <t xml:space="preserve">	CARHUAYO ROSELLO CRISTINA ZOILA</t>
  </si>
  <si>
    <t>42342809</t>
  </si>
  <si>
    <t>ZEGARRA VILLAR NELLY RAQUEL</t>
  </si>
  <si>
    <t>46697447</t>
  </si>
  <si>
    <t>BUSTAMANTE MORE ANASILVIA ADELA</t>
  </si>
  <si>
    <t>JR. JORGE CHAVEZ NRO. 1589 URB. AZCONA LIMA - LIMA - BREÑA</t>
  </si>
  <si>
    <t>45977853</t>
  </si>
  <si>
    <t>QUISPE RAMOS ZOMELY JUNIOR</t>
  </si>
  <si>
    <t>14021574</t>
  </si>
  <si>
    <t>AV. ELMER FAUCETT NRO. 353 URB. MARANGA LIMA - LIMA - SAN MIGUEL</t>
  </si>
  <si>
    <t>07252492</t>
  </si>
  <si>
    <t>CAMPOS MONTEOLIVO DAVID FRANCO</t>
  </si>
  <si>
    <t>11798546</t>
  </si>
  <si>
    <t>TRITEMPLEX SOCIEDAD ANONIMA-TRITEMPLEX S.A.</t>
  </si>
  <si>
    <t xml:space="preserve">
AV. LOS ROSALES NRO. 555 COO. VEINTISIETE DE ABRIL LIMA - LIMA - SANTA ANITA</t>
  </si>
  <si>
    <t>15843504</t>
  </si>
  <si>
    <t xml:space="preserve">	CONDE TORRES JORGE EDUARDO</t>
  </si>
  <si>
    <t>13899409</t>
  </si>
  <si>
    <t xml:space="preserve">
AV. AV SAN LUIS NRO. 1986 INT. 308 URB. SAN BORJA LIMA - LIMA - SAN BORJA</t>
  </si>
  <si>
    <t>07811676</t>
  </si>
  <si>
    <t xml:space="preserve">	VALDIVIA CHACON MARIO GONZALO FELIPE</t>
  </si>
  <si>
    <t>01215477</t>
  </si>
  <si>
    <t>08800839</t>
  </si>
  <si>
    <t>BOTTO SIFUENTES WILFREDO GREGORIO</t>
  </si>
  <si>
    <t>25523024</t>
  </si>
  <si>
    <t>CARRERO HURTADO EDUARDO MARTIN</t>
  </si>
  <si>
    <t xml:space="preserve">
CAL.EL MANGANESO NRO. 210 URB. VILLA INFANTAS LIMA - LIMA - LOS OLIVOS</t>
  </si>
  <si>
    <t>05394584</t>
  </si>
  <si>
    <t xml:space="preserve">	SANCHEZ DOZA MARLY VIOLETA</t>
  </si>
  <si>
    <t>15101830</t>
  </si>
  <si>
    <t xml:space="preserve">
JR. SAN MARTIN MZA. B LOTE. 7 A.H. NUEVO SAN JOSE LIMA - LIMA - COMAS</t>
  </si>
  <si>
    <t>LAMADRID ALCANTARA RENAN SAMIR</t>
  </si>
  <si>
    <t>14958142</t>
  </si>
  <si>
    <t>NBA ELECTRIC S.A.C.</t>
  </si>
  <si>
    <t>AV. LOS PINOS MZA. E LOTE. 17A ASC. SHANGRILLA LIMA - LIMA - PUENTE PIEDRA</t>
  </si>
  <si>
    <t>14630443</t>
  </si>
  <si>
    <t>CAMPOS MARTINEZ JOHN MICHEL</t>
  </si>
  <si>
    <t>CORPORACION PLASTIC ROCA E.I.R.L.</t>
  </si>
  <si>
    <t>LAS ISABELITAS ESQ. PSJE ALEJANDRO MZA. G LOTE. 3-J URB. SANTA MARTHA LIMA - LIMA - ATE</t>
  </si>
  <si>
    <t xml:space="preserve">	ROCA FELIX MARCIAL</t>
  </si>
  <si>
    <t>13776764</t>
  </si>
  <si>
    <t xml:space="preserve">
CAL.MARIA CURIE NRO. 286 Z.I. SANTA ROSA LIMA - LIMA - ATE</t>
  </si>
  <si>
    <t>06694479</t>
  </si>
  <si>
    <t>01289144</t>
  </si>
  <si>
    <t>07638749</t>
  </si>
  <si>
    <t>VALDIVIA CORNEJO CARLOS ALBERTO</t>
  </si>
  <si>
    <t>08241010</t>
  </si>
  <si>
    <t>10491892</t>
  </si>
  <si>
    <t>MOLLA MARTINEZ PAMELA</t>
  </si>
  <si>
    <t>000170383</t>
  </si>
  <si>
    <t>MOLLA ENGUIDANOS ENRIQUE</t>
  </si>
  <si>
    <t>SOLUCIONES ELECTRONICAS GHM S.A.C.</t>
  </si>
  <si>
    <t xml:space="preserve">
JR. POMABAMBA NRO. 1353 URB. LOS PINARES LIMA - LIMA - LOS OLIVOS</t>
  </si>
  <si>
    <t>41067955</t>
  </si>
  <si>
    <t>HUIZA MALARIN GERONIMO JOAQUIN</t>
  </si>
  <si>
    <t>13184220</t>
  </si>
  <si>
    <t xml:space="preserve">
AV. SANTA ROSA NRO. 370 URB. SANTA ANITA (PASANDO 3 CDRAS DEL OVALO DE SANTA ANITA) LIMA - LIMA - SANTA ANITA</t>
  </si>
  <si>
    <t>43013451</t>
  </si>
  <si>
    <t>FUNG VELASQUEZ LUIS GUSTAVO</t>
  </si>
  <si>
    <t>11143193</t>
  </si>
  <si>
    <t xml:space="preserve">	FUNG VELASQUEZ JORGE RAFAEL</t>
  </si>
  <si>
    <t xml:space="preserve">	FUNG VELASQUEZ OSCAR SANTIAGO</t>
  </si>
  <si>
    <t>TELSEN INGENIEROS S.R.L.</t>
  </si>
  <si>
    <t>J &amp; P GROUP ENGINEERS S.A.C.</t>
  </si>
  <si>
    <t>AV. GUILLERMO DANSEY NRO. 429 OTR. AV. LIMA - LIMA - LIMA</t>
  </si>
  <si>
    <t>44883105</t>
  </si>
  <si>
    <t>ATIRO ZUÑIGA ANGELICA NOELIA</t>
  </si>
  <si>
    <t xml:space="preserve">
JR. FEDERICO BARRETO NRO. 281 URB. MONTECARMELO (ENTRE AV CANADA Y PARINACOCHAS) LIMA - LIMA - LA VICTORIA</t>
  </si>
  <si>
    <t xml:space="preserve">	TORRES PEÑA FERNANDO DAVID</t>
  </si>
  <si>
    <t xml:space="preserve">
CAL.EL AMARGON NRO. 3955 URB. LAS PALMERAS (ENTRE CUADRA 10 Y 11 DE CARLOS IZAGUIRRE) LIMA - LIMA - LOS OLIVOS</t>
  </si>
  <si>
    <t>75813439</t>
  </si>
  <si>
    <t xml:space="preserve">	ROMANI VASQUEZ MARCO ANTONIO</t>
  </si>
  <si>
    <t xml:space="preserve">	14843037</t>
  </si>
  <si>
    <t xml:space="preserve">
CAL.RAYMUNDO CARCAMO NRO. 1003 URB. SANTA CATALINA (2DO PISO) LIMA - LIMA - LA VICTORIA</t>
  </si>
  <si>
    <t>32928844</t>
  </si>
  <si>
    <t>ANICAMA BRAVO JOSE ALFREDO</t>
  </si>
  <si>
    <t>12895342</t>
  </si>
  <si>
    <t>CONSTRUCCIONES GENERALES SAINTCORP E.I.R.L.</t>
  </si>
  <si>
    <t>MZA. D LOTE. 24 COO. VIVIENDAS DE LOS TRABAJADORES DEL INSTITUTO NACIONAL DE SALUD LIMA - LIMA - CHORRILLOS</t>
  </si>
  <si>
    <t>48793891</t>
  </si>
  <si>
    <t xml:space="preserve">	SANTA MARIA YOMONA KAREN</t>
  </si>
  <si>
    <t>14860846</t>
  </si>
  <si>
    <t>JR. JOSE CARLOS MARIATEGUI NRO. 217 URB. LA PASCANA LIMA - LIMA - COMAS</t>
  </si>
  <si>
    <t>43456412</t>
  </si>
  <si>
    <t xml:space="preserve">	CCORISE MESCO EDISON</t>
  </si>
  <si>
    <t>12785040</t>
  </si>
  <si>
    <t xml:space="preserve">
JR. LAS PALTAS NRO. 3910 URB. NARANJAL LIMA - LIMA - SAN MARTIN DE PORRES</t>
  </si>
  <si>
    <t xml:space="preserve">	CHUQUIMAJO MORENO IVAN MARTIN</t>
  </si>
  <si>
    <t>INELSER GROUP S.A.C.</t>
  </si>
  <si>
    <t>SECTOR LA GRAMA MZA. J LOTE. 01A A.V. LUCES DEL SOL (ALT CUADRA 15 AV BUENOS AIRES) LIMA - LIMA - PUENTE PIEDRA</t>
  </si>
  <si>
    <t xml:space="preserve">	CASTRO PEREYRA JESUS ARMANDO</t>
  </si>
  <si>
    <t>14321824</t>
  </si>
  <si>
    <t>AV. SANTA ROSA MZA. F LOTE. 7-D URB. CANTO GRANDE LIMA - LIMA - SAN JUAN DE LURIGANCHO</t>
  </si>
  <si>
    <t>46180172</t>
  </si>
  <si>
    <t xml:space="preserve">	RIVERA QUISPE JOHEL WILLIAM</t>
  </si>
  <si>
    <t>14607557</t>
  </si>
  <si>
    <t xml:space="preserve">
MZA. H1 LOTE. 8 INT. REF ENACE (SUB LOTE 30) LIMA - LIMA - CARABAYLLO</t>
  </si>
  <si>
    <t>42597983</t>
  </si>
  <si>
    <t>VALDIVIA SALVADOR RENZO</t>
  </si>
  <si>
    <t>13943587</t>
  </si>
  <si>
    <t>CAL.LAS CAMELIAS NRO. 511 INT. 401 LIMA - LIMA - SAN ISIDRO</t>
  </si>
  <si>
    <t>10059543</t>
  </si>
  <si>
    <t>AYMAR VARGAS SARAH ELIZABETH</t>
  </si>
  <si>
    <t>01207237</t>
  </si>
  <si>
    <t>MZA. F1 LOTE. A C.P. RIO SECO LIMA - LIMA - CIENEGUILLA</t>
  </si>
  <si>
    <t>43717649</t>
  </si>
  <si>
    <t>MONDRAGON SARANGO ALGHIERE</t>
  </si>
  <si>
    <t>70445866</t>
  </si>
  <si>
    <t xml:space="preserve">
CAL.HUASCAR NRO. 132 DPTO. 301 INT. B URB. SAN IGNACIO (OVALO BALTA) LIMA - LIMA - BARRANCO</t>
  </si>
  <si>
    <t>40243555</t>
  </si>
  <si>
    <t>GUTIERREZ LOPEZ ALEX VIRGILIO</t>
  </si>
  <si>
    <t>13697034</t>
  </si>
  <si>
    <t>SERVICIOS GENERALES LID S.A.C.</t>
  </si>
  <si>
    <t xml:space="preserve">
AV. ALAMEDA DOÑA JULIA MZA. J1 LOTE. 5 URB. LOS HUERTOS DE VILLA (ESQUINA CON ALAMEDA SAN LORENZO) LIMA - LIMA - CHORRILLOS</t>
  </si>
  <si>
    <t>09429889</t>
  </si>
  <si>
    <t xml:space="preserve">	BARREDA CRUZ JORGE JUAN</t>
  </si>
  <si>
    <t>12101538</t>
  </si>
  <si>
    <t>TECMENN INGENIERIA ELECTRICA S.A.C.</t>
  </si>
  <si>
    <t>JR. LAMAS NRO. 407 LIMA - LIMA - LA VICTORIA</t>
  </si>
  <si>
    <t>44059331</t>
  </si>
  <si>
    <t xml:space="preserve">	MALLQUI ALCOCER RAFAEL ANGEL</t>
  </si>
  <si>
    <t>15016142</t>
  </si>
  <si>
    <t>JR. SAN CARLOS NRO. 242 URB. CERCADO LIMA - LIMA - SURQUILLO</t>
  </si>
  <si>
    <t>08815760</t>
  </si>
  <si>
    <t xml:space="preserve">	CALLE CERVAN MARCELINO</t>
  </si>
  <si>
    <t>12224046</t>
  </si>
  <si>
    <t xml:space="preserve">
MZA. K2 LOTE. 5 BRISAS DE HUACHIPA LIMA - LIMA - LURIGANCHO</t>
  </si>
  <si>
    <t>40759817</t>
  </si>
  <si>
    <t xml:space="preserve">	CUZCANO HUALLANCA CARLOS RAFAEL</t>
  </si>
  <si>
    <t>14383313</t>
  </si>
  <si>
    <t xml:space="preserve">
CAL.PORTADA DEL SOL NRO. 722 URB. ZARATE LIMA - LIMA - SAN JUAN DE LURIGANCHO</t>
  </si>
  <si>
    <t>2813 - FABRICACIÓN DE OTRAS BOMBAS, COMPRESORES, GRIFOS Y VÁLVULAS</t>
  </si>
  <si>
    <t>000860967</t>
  </si>
  <si>
    <t>JOERK OLIVER</t>
  </si>
  <si>
    <t>11024228</t>
  </si>
  <si>
    <t>40702120</t>
  </si>
  <si>
    <t>TOLEDO MOSQUERA CARLOS MIGUEL</t>
  </si>
  <si>
    <t>10295079</t>
  </si>
  <si>
    <t>MENDIETA CARDENAS MANUEL JESUS</t>
  </si>
  <si>
    <t>07969262</t>
  </si>
  <si>
    <t xml:space="preserve">	ESQUERRE PEREZ MANUEL RICARDO</t>
  </si>
  <si>
    <t>07880508</t>
  </si>
  <si>
    <t>SPITTLER LINDENBERG THOMAS AUREL</t>
  </si>
  <si>
    <t>07809648</t>
  </si>
  <si>
    <t>BARNABY RODRIGUEZ JAIME PELAYO</t>
  </si>
  <si>
    <t>07592002</t>
  </si>
  <si>
    <t xml:space="preserve">	VALLADARES TERRAZOS CARLOS ALBERTO</t>
  </si>
  <si>
    <t>02869263</t>
  </si>
  <si>
    <t>JUAREZ SALDARRIAGA JOHN FITZGERALD</t>
  </si>
  <si>
    <t xml:space="preserve">
JR. EL SODIO NRO. 152 Z.I. ZONA INDUSTRIAL INFANTAS LIMA - LIMA - LOS OLIVOS</t>
  </si>
  <si>
    <t>VALCARCEL MENDOZA DANILO</t>
  </si>
  <si>
    <t>12418386</t>
  </si>
  <si>
    <t xml:space="preserve">	PEREIRA BOITANO GIULIANO RAFAEL</t>
  </si>
  <si>
    <t xml:space="preserve">
AV. LURIGANCHO NRO. 626 URB. AZCARRUZ BAJO LIMA - LIMA - SAN JUAN DE LURIGANCHO</t>
  </si>
  <si>
    <t xml:space="preserve">	MARROQUIN FARFAN ROEMER NEIL</t>
  </si>
  <si>
    <t>13022750</t>
  </si>
  <si>
    <t xml:space="preserve">
JR. MANUEL A. ODRIA NRO. 346 COO. 27 DE ABRIL (SECT.08 ALT.CDRA.1 AV.LOS TELARES) LIMA - LIMA - ATE</t>
  </si>
  <si>
    <t>09167987</t>
  </si>
  <si>
    <t>JARUFE SABAT LUIS RICARDO</t>
  </si>
  <si>
    <t>00511080</t>
  </si>
  <si>
    <t>08248803</t>
  </si>
  <si>
    <t xml:space="preserve">	JARUFE SABAT ANDRES EMILIO</t>
  </si>
  <si>
    <t xml:space="preserve">	GERENTE EJECUTIVO</t>
  </si>
  <si>
    <t xml:space="preserve">
CAL.CINCO NRO. 115 Z.I. VULCANO LIMA - LIMA - ATE</t>
  </si>
  <si>
    <t>09751750</t>
  </si>
  <si>
    <t xml:space="preserve">	ORTIZ DE ZEVALLOS FERRAND FERNANDO ENRIQUE</t>
  </si>
  <si>
    <t>11004012</t>
  </si>
  <si>
    <t>08768507</t>
  </si>
  <si>
    <t>HIJAR DIOS JULIO ARISTIDES</t>
  </si>
  <si>
    <t>08187141</t>
  </si>
  <si>
    <t xml:space="preserve">	CHOY MOC BENJAMIN</t>
  </si>
  <si>
    <t>07933213</t>
  </si>
  <si>
    <t>07922572</t>
  </si>
  <si>
    <t xml:space="preserve">	HAYASHI KONAMI LUIS ALBERTO</t>
  </si>
  <si>
    <t>CAL.BENOZZO GOZZOLI NORTE NRO. 601 INT. C URB. LAS MAGNOLIAS LIMA - LIMA - SAN BORJA</t>
  </si>
  <si>
    <t>FIGUEROA OBREGON MIRIAM MARLENE</t>
  </si>
  <si>
    <t>14863945</t>
  </si>
  <si>
    <t>FIRAGA SOCIEDAD ANONIMA CERRADA - FIRAGA S.A.C.</t>
  </si>
  <si>
    <t xml:space="preserve">
AV. OSCAR R. BENAVIDES NRO. 355 URB. EL PINO LIMA - LIMA - SAN LUIS</t>
  </si>
  <si>
    <t>ESPINOZA NANO ALEXS ALBERTO</t>
  </si>
  <si>
    <t>13442551</t>
  </si>
  <si>
    <t xml:space="preserve">
CAL.EL CEREZO NRO. 219 DPTO. 201 URB. LA CALERA DE LA MERCED (CALLE ALFA Y OMEGA CON EL CEREZO) LIMA - LIMA - SURQUILLO</t>
  </si>
  <si>
    <t>41497239</t>
  </si>
  <si>
    <t xml:space="preserve">	SILVA MEJIA WILLIAM ALAN</t>
  </si>
  <si>
    <t>13317947</t>
  </si>
  <si>
    <t>10595834</t>
  </si>
  <si>
    <t xml:space="preserve">	LINO SALVADOR JUAN CARLOS</t>
  </si>
  <si>
    <t>PJ. HUASCAR MZA. 116 LOTE. 8 SEC. B LIMA - LIMA - SAN JUAN DE LURIGANCHO</t>
  </si>
  <si>
    <t>41683703</t>
  </si>
  <si>
    <t xml:space="preserve">	AMBROSIO ESPINOZA ABEL</t>
  </si>
  <si>
    <t>13570611</t>
  </si>
  <si>
    <t>CAL.LOS PLASTICOS NRO. 174 URB. IND.VULCANO 2DA ETAPA (ENTRE AV LOS INGENIEROS Y COL.LA MERCED) LIMA - LIMA - ATE</t>
  </si>
  <si>
    <t>07293034</t>
  </si>
  <si>
    <t xml:space="preserve">	ROBLES CHAVEZ JOSE ARTURO</t>
  </si>
  <si>
    <t>01350404</t>
  </si>
  <si>
    <t>INDUSTRIAS RAMOSA E.I.R.L</t>
  </si>
  <si>
    <t xml:space="preserve">
PJ. CENTRAL NRO. 180 COO. OBRERO DEL RIMAC LIMA - LIMA - RIMAC</t>
  </si>
  <si>
    <t>10182606</t>
  </si>
  <si>
    <t xml:space="preserve">	RAMOS CONDORI LUCIANO ANDRES</t>
  </si>
  <si>
    <t>03005309</t>
  </si>
  <si>
    <t>CAL.LERIDA NRO. 233 INT. 3 URB. MAYORAZGO LIMA - LIMA - ATE</t>
  </si>
  <si>
    <t>06308722</t>
  </si>
  <si>
    <t>LEON ESCALANTE AMERICO</t>
  </si>
  <si>
    <t>14483883</t>
  </si>
  <si>
    <t xml:space="preserve">
MZA. N LOTE. 179 URB. LEONCIO PRADO LIMA - LIMA - PUENTE PIEDRA</t>
  </si>
  <si>
    <t>47762546</t>
  </si>
  <si>
    <t>CONTRERAS MORILLO PEDRO JUAN</t>
  </si>
  <si>
    <t>IZACORP SISTEMAS DE GRUA E.I.R.L.</t>
  </si>
  <si>
    <t>AV. SEPARADORA INDUSTRIAL NRO. 973 URB. OLIMPO ET. DOS LIMA - LIMA - ATE</t>
  </si>
  <si>
    <t>29529097</t>
  </si>
  <si>
    <t>ESCALANTE CORNEJO JHON MAX</t>
  </si>
  <si>
    <t>14717787</t>
  </si>
  <si>
    <t>JR. LUIS FELIPE VILLARAN NRO. 315 URB. CHACARILLA SANTA CRUZ LIMA - LIMA - SAN ISIDRO</t>
  </si>
  <si>
    <t>42868763</t>
  </si>
  <si>
    <t>SCHROTH HARTH CHRISTINE</t>
  </si>
  <si>
    <t>11234717</t>
  </si>
  <si>
    <t>40715079</t>
  </si>
  <si>
    <t xml:space="preserve">	SCHROTH HARTH WALTER ALEXANDER</t>
  </si>
  <si>
    <t>40442911</t>
  </si>
  <si>
    <t>DIAZ ARANA JOSE ANTONIO</t>
  </si>
  <si>
    <t>09137730</t>
  </si>
  <si>
    <t>SCHROTH DEL CAMPO WALTER AUGUSTO</t>
  </si>
  <si>
    <t xml:space="preserve">	PRESIDENTE</t>
  </si>
  <si>
    <t>07793344</t>
  </si>
  <si>
    <t>MURDOCH LOPEZ MARIA MARTHA</t>
  </si>
  <si>
    <t xml:space="preserve">
CAL.2 DE MAYO MZA. H LOTE. 05 A.H. G.DE MOR.ELIANE KARP'DE T LIMA - LIMA - CARABAYLLO</t>
  </si>
  <si>
    <t>2826 - FABRICACIÓN DE MAQUINARIA PARA LA ELABORACIÓN DE PRODUCTOS TEXTILES, PRENDAS DE VESTIR Y CUEROS</t>
  </si>
  <si>
    <t xml:space="preserve">	RIVERA LOPEZ IVAN JANSSEN</t>
  </si>
  <si>
    <t>12635848</t>
  </si>
  <si>
    <t>PJ. ARRIBA PERU MZA. 4 LOTE. 24 (CALLE SN) LIMA - LIMA - SAN JUAN DE LURIGANCHO</t>
  </si>
  <si>
    <t>2591 - FORJA, PRENSADO, ESTAMPADO Y LAMINADO DE METALES; PULVIMETALURGIA</t>
  </si>
  <si>
    <t>SUAREZ ACOSTA IRBIN</t>
  </si>
  <si>
    <t>13367851</t>
  </si>
  <si>
    <t>AV. ZORRITOS NRO. 1399 DPTO. 102 (BLOQUE 3 MZ C LOTE 6) LIMA - LIMA - LIMA</t>
  </si>
  <si>
    <t>FARFAN REQUENA JHOAN DAVID</t>
  </si>
  <si>
    <t>14321020</t>
  </si>
  <si>
    <t>06691907</t>
  </si>
  <si>
    <t>SHIMABUKURO INAMI JUAN</t>
  </si>
  <si>
    <t>00162892</t>
  </si>
  <si>
    <t>06641508</t>
  </si>
  <si>
    <t xml:space="preserve">	HAMADA ONAGA OCTAVIO LAWRENCE</t>
  </si>
  <si>
    <t>JR. OCEANO ARTICO NRO. 315 URB. SANTA CONSTANZA (FRENTE A JOCKEY PLAZA) LIMA - LIMA - SANTIAGO DE SURCO</t>
  </si>
  <si>
    <t>10682439</t>
  </si>
  <si>
    <t xml:space="preserve">	HUAMAN BOBADILLA MIGUEL</t>
  </si>
  <si>
    <t>14030130</t>
  </si>
  <si>
    <t>PJ. OROPESA MZA. 4K LOTE. 10 A.H. SAN FSCO. LIMA - LIMA - VILLA MARIA DEL TRIUNFO</t>
  </si>
  <si>
    <t>ALMEYDA VILLANUEVA BRYAN ALEJANDRO</t>
  </si>
  <si>
    <t>14644434</t>
  </si>
  <si>
    <t xml:space="preserve">
AV. PASEO DE LA REPUBLICA NRO. 1479 URB. BALCONCILLO (POR LA EMPRESA LUZ DE SUR) LIMA - LIMA - LA VICTORIA</t>
  </si>
  <si>
    <t>40909285</t>
  </si>
  <si>
    <t xml:space="preserve">	YPANAQUE CHUMPITAZ ANTONY JULIO</t>
  </si>
  <si>
    <t>00009342</t>
  </si>
  <si>
    <t>004121611</t>
  </si>
  <si>
    <t>ANTUNES GELLIS EDUARDO</t>
  </si>
  <si>
    <t>CORPORACION DE TRABAJADORES PIGATI S.A.</t>
  </si>
  <si>
    <t xml:space="preserve">
MZA. A LOTE. 4 ASC. HUERTA GRANJA AYLLU (ALT. DE CEMENTOS INKA) LIMA - LIMA - LURIGANCHO</t>
  </si>
  <si>
    <t>09484335</t>
  </si>
  <si>
    <t xml:space="preserve">	HUAYNASI MACHACA EMILIANO FELICIANO</t>
  </si>
  <si>
    <t>11176467</t>
  </si>
  <si>
    <t xml:space="preserve">
AV. SANGARARA MZA. D1 LOTE. 15 URB. EL PINAR (1RA ETAPA COMAS) LIMA - LIMA - COMAS</t>
  </si>
  <si>
    <t>47455110</t>
  </si>
  <si>
    <t>RAYMUNDO ÑAHUIN GINO</t>
  </si>
  <si>
    <t>13776535</t>
  </si>
  <si>
    <t>DACA PERU S.A.C</t>
  </si>
  <si>
    <t xml:space="preserve">
CAL.ERNESTO GUEVARA NRO. 327 INT. B URB. UNIVERSAL (2º PISO A 2 CDRS. DE LA MUNICIPALIDAD) LIMA - LIMA - SANTA ANITA</t>
  </si>
  <si>
    <t>09810572</t>
  </si>
  <si>
    <t xml:space="preserve">	ESTELA CALIXTO ALAN YEMBER</t>
  </si>
  <si>
    <t>11939793</t>
  </si>
  <si>
    <t xml:space="preserve">
CAL.PASIONARIAS NRO. 1149 URB. JARDINES (ALT. BRITANICO-ALT. CD 3 BARTOLOME) LIMA - LIMA - SAN MARTIN DE PORRES</t>
  </si>
  <si>
    <t>10862606</t>
  </si>
  <si>
    <t xml:space="preserve">	CACHAY MONTOYA ESTHER NATALI</t>
  </si>
  <si>
    <t>CAL.LAS ENCINAS NRO. 245 URB. JOSE GALVEZ (ALT DE LA ESTACION DE TOMAS VALLE) LIMA - LIMA - INDEPENDENCIA</t>
  </si>
  <si>
    <t>09041978</t>
  </si>
  <si>
    <t xml:space="preserve">	TRONCOS TAPIA GILMA ISABEL</t>
  </si>
  <si>
    <t xml:space="preserve">
AV. DEL PINAR NRO. 180 INT. 202 URB. CHACARILLA DEL ESTANQUE LIMA - LIMA - SANTIAGO DE SURCO</t>
  </si>
  <si>
    <t>44801319</t>
  </si>
  <si>
    <t xml:space="preserve">	MELENDEZ RAVENNA YOY ALLISON</t>
  </si>
  <si>
    <t>13627773</t>
  </si>
  <si>
    <t>46940505</t>
  </si>
  <si>
    <t>RAMIREZ GRADOS CHRISTIAN CARLOS EDUARDO</t>
  </si>
  <si>
    <t>ELECTRICIDAD INGENIERIA Y COMERCIO E.I.R.L</t>
  </si>
  <si>
    <t xml:space="preserve">
CAL.H MZA. I LOTE. 3 URB. PRO INDUSTRIAL (ALT REVISIONES TECNICAS) LIMA - LIMA - SAN MARTIN DE PORRES</t>
  </si>
  <si>
    <t xml:space="preserve">	CASTRO ANDRADE FEDERICO BADIK</t>
  </si>
  <si>
    <t>11579414</t>
  </si>
  <si>
    <t xml:space="preserve">
CAL.LAS BALSAS NRO. 167 URB. SAN JUAN BAUTISTA (FRENTE A LA UNIVERSIDAD SN JUAN BAUTISTA) LIMA - LIMA - CHORRILLOS</t>
  </si>
  <si>
    <t>10151792</t>
  </si>
  <si>
    <t xml:space="preserve">	SIERLECKI SOENENS PEDRO PABLO</t>
  </si>
  <si>
    <t>12514024</t>
  </si>
  <si>
    <t>47424396</t>
  </si>
  <si>
    <t>LYON RIERA JUAN ENRIQUE</t>
  </si>
  <si>
    <t>COMPONENTES Y SERVICIOS ELECTRICOS LMG SAC - COMSER LMG SAC</t>
  </si>
  <si>
    <t xml:space="preserve">
AV. CUETO URBANO MZA. B LOTE. 19 A.H. PUEBLO LIBRE LIMA - LIMA - LURIGANCHO</t>
  </si>
  <si>
    <t>43207215</t>
  </si>
  <si>
    <t xml:space="preserve">	VILCAPOMA QUISPE HERNAN MEYER</t>
  </si>
  <si>
    <t>13003330</t>
  </si>
  <si>
    <t>SUBESTACIONES ELECTRICAS S.A.</t>
  </si>
  <si>
    <t xml:space="preserve">
JR. DARIO VALDIZAN NRO. 265 DPTO. B URB. INGENIERIA (2DO PISO ALTURA CDRA 3 Y 4 HABICH) LIMA - LIMA - SAN MARTIN DE PORRES</t>
  </si>
  <si>
    <t>06735519</t>
  </si>
  <si>
    <t xml:space="preserve">	TIRADO ALVAREZ ROSA MERCEDES</t>
  </si>
  <si>
    <t>11010198</t>
  </si>
  <si>
    <t>45114633</t>
  </si>
  <si>
    <t xml:space="preserve">	BARTOLO TIRADO ELEAZAR ITZVAN</t>
  </si>
  <si>
    <t xml:space="preserve">
CAL.SALAVERRY NRO. 105 URB. AEROPUERTO PROV. CONST. DEL CALLAO - PROV. CONST. DEL CALLAO - CALLAO</t>
  </si>
  <si>
    <t>72093654</t>
  </si>
  <si>
    <t>BEINGOLEA CARRION LAURA DIANA</t>
  </si>
  <si>
    <t>13298275</t>
  </si>
  <si>
    <t xml:space="preserve">
CAL.2 D LOTE. 21 APV. NAZARETH DE NARANJAL (ENTRE LA AV NARANJAL CON PACASMAYO) LIMA - LIMA - SAN MARTIN DE PORRES</t>
  </si>
  <si>
    <t>41437105</t>
  </si>
  <si>
    <t>PUXE GUEVARA ANGELICA MARGARET</t>
  </si>
  <si>
    <t>13795423</t>
  </si>
  <si>
    <t>JR. BAMBAS NRO. 408 (ALT CDRA 9 DE JR AZANGARO) LIMA - LIMA - LIMA</t>
  </si>
  <si>
    <t>44253627</t>
  </si>
  <si>
    <t>CRIALES RAMOS PAULO CESAR</t>
  </si>
  <si>
    <t>13611021</t>
  </si>
  <si>
    <t>HYDREX MANTENIMIENTO Y SERVICIOS S.A.C.</t>
  </si>
  <si>
    <t xml:space="preserve">
AV. 07 DE JUNIO NRO. 273 URB. ALTOS FICUS (1CDRA CENTRO BANCARIO CARRETERA CENTRAL) LIMA - LIMA - SANTA ANITA</t>
  </si>
  <si>
    <t>08240045</t>
  </si>
  <si>
    <t>HONORES MEDINA MIGUEL</t>
  </si>
  <si>
    <t>12765631</t>
  </si>
  <si>
    <t>CAL.LOS GAVILANES NRO. 344 URB. EL AGUILA PROV. CONST. DEL CALLAO - PROV. CONST. DEL CALLAO - BELLAVISTA</t>
  </si>
  <si>
    <t>25851671</t>
  </si>
  <si>
    <t>LOO ARROYO ANA ELIZABETH</t>
  </si>
  <si>
    <t>AFS CONSUMO SOCIEDAD ANONIMA CERRADA-AFS CONSUMO S.A.C.</t>
  </si>
  <si>
    <t xml:space="preserve">
CAL.LA TAZA NRO. 147 INT. B1 URB. CHACRA CERRO LIMA - LIMA - COMAS</t>
  </si>
  <si>
    <t>25645190</t>
  </si>
  <si>
    <t xml:space="preserve">	MOZOMBITE CAMPOVERDE JORGE HUMBERTO</t>
  </si>
  <si>
    <t>13920969</t>
  </si>
  <si>
    <t>70006524</t>
  </si>
  <si>
    <t>C &amp; C CONSTRUCTORA REPRESENTACIONES Y SERVICIOS GENERALES S.A.C.</t>
  </si>
  <si>
    <t>CAL.LA PAZ NRO. 136 URB. SICUANI LIMA - LIMA - ATE</t>
  </si>
  <si>
    <t>07615302</t>
  </si>
  <si>
    <t xml:space="preserve">	CASTILLO RODRIGUEZ JORGE LUIS</t>
  </si>
  <si>
    <t xml:space="preserve">
PJ. PROLONGACION CENTENARIO NRO. S/N URB. INDUSTRIAL LOS FERROLES PROV. CONST. DEL CALLAO - PROV. CONST. DEL CALLAO - CALLAO</t>
  </si>
  <si>
    <t>43261304</t>
  </si>
  <si>
    <t>ROMERO CANCHAN FRANCO ADOLFO</t>
  </si>
  <si>
    <t>11745976</t>
  </si>
  <si>
    <t>AUTOMATIZACION Y SERVICIO DE INGENIERIA INDUSTRIAL S.A.C - ASII</t>
  </si>
  <si>
    <t>43113569</t>
  </si>
  <si>
    <t>11519228</t>
  </si>
  <si>
    <t xml:space="preserve">
AV. VICTOR RAUL HAYA DE LA TORRE NRO. 301 URB. SERVICIO MUNICIPAL SAN MIGUEL (AV.HAYA DE LA TORRE CON GRITO DE HUAURA) PROV. CONST. DEL CALLAO - PROV. CONST. DEL CALLAO - LA PERLA</t>
  </si>
  <si>
    <t>25764830</t>
  </si>
  <si>
    <t xml:space="preserve">	ALARCON ACOSTA MARCO ANTONIO</t>
  </si>
  <si>
    <t>12891094</t>
  </si>
  <si>
    <t>2825 - FABRICACIÓN DE MAQUINARIA PARA LA ELABORACIÓN DE ALIMENTOS, BEBIDAS Y TABACO</t>
  </si>
  <si>
    <t xml:space="preserve">
CAL.LINO CORNEJO NRO. 162 DPTO. 3ER INT. B CERCADO DE LIMA LIMA - LIMA - LIMA</t>
  </si>
  <si>
    <t>44776262</t>
  </si>
  <si>
    <t>PUMA ARIAS DENIS EDUARDO</t>
  </si>
  <si>
    <t>12647661</t>
  </si>
  <si>
    <t>Q´ UMA SOLUCIONES GASTRONOMICAS S.A.C.</t>
  </si>
  <si>
    <t xml:space="preserve">
CAL.MANUEL VILDOSO NRO. 852 INT. 1 URB. SANTA CATALINA (COSTADO DE LA PARROQUIA NORBERTO) LIMA - LIMA - LA VICTORIA</t>
  </si>
  <si>
    <t>CORNEJO SOSA PAUL EDINSON</t>
  </si>
  <si>
    <t>SOLUCIONES, INGENIERIA Y REPRESENTACIONES CHAVARRIA E.I.R.L. - S.I.R. CHAVARRIA E.I.R.L.</t>
  </si>
  <si>
    <t xml:space="preserve">
AV. LAS TORRES MZA. B LOTE. 1 ASC. LAS ROSAS VIRGEN DEL CARMEN (ALTURA DEL PARADERO FAMESA) LIMA - LIMA - PUENTE PIEDRA</t>
  </si>
  <si>
    <t>09758784</t>
  </si>
  <si>
    <t>CHAVARRIA FLORES MIGUEL ANGEL</t>
  </si>
  <si>
    <t>MAKBEN SERVICE EMPRESA INDIVIDUAL DE RESPONSABILIDAD LIMITADA - MAK SERVICE E.I.R.L.</t>
  </si>
  <si>
    <t xml:space="preserve">
AV. LAS VEGAS NRO. 911 Z.I. NO MOLESTA (CRUCE CON CALLE AYABACA) LIMA - LIMA - SAN JUAN DE MIRAFLORES</t>
  </si>
  <si>
    <t xml:space="preserve">	BARBAGELATA REATEGUI CARLOS HUMBERTO</t>
  </si>
  <si>
    <t>13500316</t>
  </si>
  <si>
    <t>ITC BUSINESS GROUP PERU S.A.C.</t>
  </si>
  <si>
    <t>MZA. E LOTE. 13 URB. LAS BEGONIAS DE SANTA ROSA LIMA - LIMA - SAN MARTIN DE PORRES</t>
  </si>
  <si>
    <t xml:space="preserve">	REATEGUI DIAZ RICARTE MARTIN</t>
  </si>
  <si>
    <t>14022396</t>
  </si>
  <si>
    <t>GRUPO TCS E.I.R.L.</t>
  </si>
  <si>
    <t xml:space="preserve">
JR. ROOSEVELT NRO. 570 LIMA - LIMA - SANTIAGO DE SURCO</t>
  </si>
  <si>
    <t xml:space="preserve">SANTIAGO DE SURCO
</t>
  </si>
  <si>
    <t>RODRIGUEZ GONZALES RICARDO MARTIN</t>
  </si>
  <si>
    <t>15238018</t>
  </si>
  <si>
    <t>ANATEL S.A.C.</t>
  </si>
  <si>
    <t xml:space="preserve">
AV. CANTO GRANDE NRO. 592 COO. LAS FLORES LIMA - LIMA - SAN JUAN DE LURIGANCHO</t>
  </si>
  <si>
    <t>13471323</t>
  </si>
  <si>
    <t>DESATEC PERU SRL</t>
  </si>
  <si>
    <t>LORETO</t>
  </si>
  <si>
    <t>JCG SYSTEM S.A.C.</t>
  </si>
  <si>
    <t>INFINITO SOLUTION SOCIEDAD ANONIMA CERRADA</t>
  </si>
  <si>
    <t>ASOCIACION UBUNTU JOVENES VOLUNTARIOS PERU</t>
  </si>
  <si>
    <t>MZA. F LOTE. 25 A.H. PAMPA LOS OLIVARES VILLA LETICIA CAJAMARQUILLA LIMA - LIMA - LURIGANCHO</t>
  </si>
  <si>
    <t>FORESTAL SANTA ROSA S.A.C.</t>
  </si>
  <si>
    <t>TECNOLOGICA DE ALIMENTOS S.A.</t>
  </si>
  <si>
    <t>COMPANY OF SERVICE ASCENSORES S.A.C</t>
  </si>
  <si>
    <t>EXPORTADORA ROMEX S.A.</t>
  </si>
  <si>
    <t>FARMAGRO S A</t>
  </si>
  <si>
    <t>INDUSTRIAL SYSTEMS OF PERU E.I.R.L.</t>
  </si>
  <si>
    <t>RESELEC DEL PERU E.I.R.L.</t>
  </si>
  <si>
    <t>ARIS INDUSTRIAL S.A.</t>
  </si>
  <si>
    <t>AUTOMATION SOLUTIONS &amp; PROCESSES CONTROL S.R.L.</t>
  </si>
  <si>
    <t>FIBRAS INDUSTRIALES S A</t>
  </si>
  <si>
    <t>P&amp;D ANDINA ALIMENTOS S.A.</t>
  </si>
  <si>
    <t>ADV NETWORKING &amp; SECURITY S.A.C.</t>
  </si>
  <si>
    <t>CONSTRUCTORA &amp; CALIDAD S.A.C.</t>
  </si>
  <si>
    <t>MEYIM SOCIEDAD ANONIMA CERRADA</t>
  </si>
  <si>
    <t>SG NORMAS TECNICAS EMPLEADAS A LA CALIDAD S.R.L.</t>
  </si>
  <si>
    <t>GRUPO INSAGA S.A.C.</t>
  </si>
  <si>
    <t>PROTEGOPERU SISTEMAS DE SEGURIDAD ELECTRONICA E.I.R.L.</t>
  </si>
  <si>
    <t>CLINICA JESUS DEL NORTE SOCIEDAD ANONIMA CERRADA</t>
  </si>
  <si>
    <t>PLASTICOS NACIONALES S A</t>
  </si>
  <si>
    <t>VULCANO INGENIEROS CONSTRUCTORES E.I.R.L.</t>
  </si>
  <si>
    <t>NEGOCIOS MAXIMO EMPRESA INDIVIDUAL DE RESPONSABILIDAD LIMITADA</t>
  </si>
  <si>
    <t>ESCONTRATISTA S.A.C.</t>
  </si>
  <si>
    <t>INDUSTRIAL YALE DEL PERU S.A.C.</t>
  </si>
  <si>
    <t>QORY SERVICIOS INDUSTRIALES GENERALES S.A.C. - QORY SERV. IND. GRALES S.A.C.</t>
  </si>
  <si>
    <t>PRE FABRICASAS PALOMINO SAC PREFAPSAC</t>
  </si>
  <si>
    <t>SODEXO PERU S.A.C.</t>
  </si>
  <si>
    <t>BIBLIOTECA NACIONAL DEL PERU</t>
  </si>
  <si>
    <t>DEPOSITOS S.A.C.</t>
  </si>
  <si>
    <t>L &amp; M TABLECORP INDUSTRIAL S.R.L.</t>
  </si>
  <si>
    <t>ERCON INDUSTRIAS S.A.C.</t>
  </si>
  <si>
    <t>SEESMATRONIC SAC</t>
  </si>
  <si>
    <t>MAQUINARIAS Y SERVICIOS MR S.A.C.</t>
  </si>
  <si>
    <t>TERPEL PERU S.A.C.</t>
  </si>
  <si>
    <t>CESAR INGENIERIA Y CONSTRUCCION E.I.R.L.</t>
  </si>
  <si>
    <t>ELECTRONID´S INGENIERIA Y SERVICIOS SOCIEDAD ANONIMA CERRADA</t>
  </si>
  <si>
    <t>FABRICACIONES Y SERVICIOS ELECTRO-ELECTRONICOS S.A.C.</t>
  </si>
  <si>
    <t>SERVICIOS GENERALES KMB E.I.R.L.</t>
  </si>
  <si>
    <t>SOLUCIONES INTEGRALES ESPINOZA QUIROZ E.I.R.L.</t>
  </si>
  <si>
    <t>GLOBAL IMPORT PERU SOCIEDAD ANONIMA CERRADA</t>
  </si>
  <si>
    <t>ETMM SAN MARTIN DE PORRES E.I.R.L.</t>
  </si>
  <si>
    <t>JC ELECTRIC PERU S.A.C.</t>
  </si>
  <si>
    <t>INSTITUCION EDUCATIVA PRIVADA NUESTRA SEÑORA DE LAS MERCEDES SOCIEDAD ANONIMA CERRADA</t>
  </si>
  <si>
    <t>PLASTICO TECNOLOGIA &amp; INGENIERIA S.A.C.</t>
  </si>
  <si>
    <t>SERVICIOS INTEGRALES EMPRESARIALES SIEM S.A.C.</t>
  </si>
  <si>
    <t>ASOCIACION CULTURAL IMPACTO</t>
  </si>
  <si>
    <t>TRICOT FINE S.A.</t>
  </si>
  <si>
    <t>ARREDONDO INGENIEROS S.A.C.</t>
  </si>
  <si>
    <t>ACS SOLUTIONS PERU S.A.</t>
  </si>
  <si>
    <t>CALIBRATEC S.A.C.</t>
  </si>
  <si>
    <t>GENERAL ENERGY SOLUTIONS S.A.C.</t>
  </si>
  <si>
    <t>AUTOMATIZACION VV INGENIEROS PERU S.A.C.</t>
  </si>
  <si>
    <t>CONSORCIO FLUIDOS &amp; PROCESOS S.A.C.</t>
  </si>
  <si>
    <t>INDUSTRIA HOJA VERDE E.I.R.L.</t>
  </si>
  <si>
    <t>MATRICERIA Y SERVICIOS GENERALES LA ENSENADA SOCIEDAD ANONIMA CERRADA</t>
  </si>
  <si>
    <t>SERVICIOS DE AGUA CONTRA INCENDIO S.A.C.</t>
  </si>
  <si>
    <t>SERVICIOS Y PROYECTOS ELECTRICOS DEL PERU S.A.C. - SEPREL PERU S.A.C.</t>
  </si>
  <si>
    <t>TRANSFORMACIONES ESPINOZA E.I.R.L.</t>
  </si>
  <si>
    <t>HYM CONTROLS S.A.C</t>
  </si>
  <si>
    <t>TYR PROYECTOS-MANTENIMIENTO S.A.C</t>
  </si>
  <si>
    <t>MV INDUSTRIAL ELECTRONICS SOLUTIONS E.I.R.L.</t>
  </si>
  <si>
    <t>SERVIELECT SERVICIOS S.A.C.</t>
  </si>
  <si>
    <t>ASCENSORES OTOYA S.A.C.</t>
  </si>
  <si>
    <t>UNIDAD EJECUTORA 020:SANIDAD DE LA PNP</t>
  </si>
  <si>
    <t>AYBAR HESSE Y CALDERON DE LA BARCA CONSULTORES S.A.C.</t>
  </si>
  <si>
    <t>MINERA DEISI S.A.C.</t>
  </si>
  <si>
    <t>MUNICIPALIDAD DISTRITAL DE SANTA MARIA</t>
  </si>
  <si>
    <t>PROFAMEL INGENIEROS S.A.C.</t>
  </si>
  <si>
    <t>VULCANO METALS S.A.C.</t>
  </si>
  <si>
    <t>ETSA ELECTRONICS PERU S.A.C.</t>
  </si>
  <si>
    <t>ELEVADORES SUDAMERICANOS S.A.C. - ELESUD S.A.C.</t>
  </si>
  <si>
    <t>IMPORTACIONES ELECTRONICAS S.A.C.</t>
  </si>
  <si>
    <t>ELECTRONICA CHAVEZ S.C.R.L.</t>
  </si>
  <si>
    <t>EMUSA PERU S.A.C.</t>
  </si>
  <si>
    <t>CENTRO INTEGRAL ESTETICO Y PODOLOGICO E.I.R.L.</t>
  </si>
  <si>
    <t>DIVEIMPORT S.A.</t>
  </si>
  <si>
    <t>INVERSIONES MAC 2020 E.I.R.L.</t>
  </si>
  <si>
    <t>UNIVERSO INFORMATICO S.A.C.</t>
  </si>
  <si>
    <t>B&amp;K ELECTRIC S.A.C.</t>
  </si>
  <si>
    <t>P &amp; R ELECTRO INDUSTRIAL S.A.C.</t>
  </si>
  <si>
    <t>COOL IMPORT SOCIEDAD ANONIMA CERRADA</t>
  </si>
  <si>
    <t>DISTRIBUCIONES DIESEL PERU S.A.C.</t>
  </si>
  <si>
    <t>MAGENSA MATERIALES GENERALES S.A.C.</t>
  </si>
  <si>
    <t>JADESA E.I.R.L.</t>
  </si>
  <si>
    <t>BOV INGENIEROS SOCIEDAD ANONIMA CERRADA - BOV INGENIEROS S.A.C.</t>
  </si>
  <si>
    <t>CAL.LAMBDA NRO. 295 URB. PARQUE INTERNACIONAL (CRUCE CALLE LAMBDA CON CALLE OMICRON) PROV. CONST. DEL CALLAO - PROV. CONST. DEL CALLAO - CALLAO</t>
  </si>
  <si>
    <t>GNM INDUSTRIAL PLASTIC SOCIEDAD ANONIMA CERRADA</t>
  </si>
  <si>
    <t>SALES Y DERIVADOS DE COBRE SA</t>
  </si>
  <si>
    <t>COMPAÑIA KAYSER S.A.C</t>
  </si>
  <si>
    <t>SINCHI ALIMENTOS S.A.C.</t>
  </si>
  <si>
    <t>UNIDOS ASCENSORES S.A.C.</t>
  </si>
  <si>
    <t>AVR CONSULTING S.A.C.</t>
  </si>
  <si>
    <t>SERVICIOS ELECTRICOS GRALES Y ANEXOS SRL</t>
  </si>
  <si>
    <t>SOLUCIONES INTEGRALES FAST ELEVATOR S.A.C.</t>
  </si>
  <si>
    <t>GMASSA E.I.R.L.</t>
  </si>
  <si>
    <t>TRUPAL S.A.</t>
  </si>
  <si>
    <t>IBENTEL S.A.C</t>
  </si>
  <si>
    <t>HAMID SOCIEDAD ANONIMA CERRADA</t>
  </si>
  <si>
    <t>PINTURAS DEL PERU S.A.</t>
  </si>
  <si>
    <t>METALICAS UNION S.A.</t>
  </si>
  <si>
    <t>HOUSEMART PERU S.A.C.</t>
  </si>
  <si>
    <t>INDUSTRIAS EIZAPLAST S.R.L.</t>
  </si>
  <si>
    <t>TEYCER INGENIERIA ELECTRICA E.I.R.L.</t>
  </si>
  <si>
    <t>JHAD INGENIEROS SOCIEDAD ANONIMA CERRADA-JHAD INGENIEROS S.A.C.</t>
  </si>
  <si>
    <t>BUY&amp;GO IMPORT EXPORT S.A.C.</t>
  </si>
  <si>
    <t>HFP HYDRAULIC SOCIEDAD ANONIMA CERRADA - HFP HYDRAULIC S.A.C.</t>
  </si>
  <si>
    <t>MEXICHEM PERU S.A.</t>
  </si>
  <si>
    <t>ENVASES DE VIDRIO SAC</t>
  </si>
  <si>
    <t>SOINTECH S.A.C.</t>
  </si>
  <si>
    <t>MUNICIPALIDAD DISTRITAL DE IMPERIAL</t>
  </si>
  <si>
    <t>P.R. ASCENSORES S.A.C.</t>
  </si>
  <si>
    <t>SERVICIO PROFESIONAL INTEGRAL PERU SOCIEDAD ANONIMA CERRADA SERPROIN PERU SAC</t>
  </si>
  <si>
    <t>AEROLINEA DEL CARIBE-PERU S.A.C. - AERCARIBE-PERU S.A.C.</t>
  </si>
  <si>
    <t>FRENO S A</t>
  </si>
  <si>
    <t>OEM CONTROLS S.A.C</t>
  </si>
  <si>
    <t>FAMOMEM E.I.R.L.</t>
  </si>
  <si>
    <t>JALMA SOLUCIONES INTEGRALES S.A.C.</t>
  </si>
  <si>
    <t>CAL.AUGUSTO GONZALES OLAECHEA NRO. 1492 URB. ELIO 3RA ET. (ALT CDRA 26 AV VENEZUELA) LIMA - LIMA - LIMA</t>
  </si>
  <si>
    <t>METROLOGIA E INGENIERIA LINO S.A.C.</t>
  </si>
  <si>
    <t>MONDELEZ PERU S.A.</t>
  </si>
  <si>
    <t>SOLDAMUNDO IMPORTACIONES S.A.C.</t>
  </si>
  <si>
    <t>TECHNOLOGY CONTROLS S.A.C.</t>
  </si>
  <si>
    <t>VIPLASTIC PERU S.A.C</t>
  </si>
  <si>
    <t>ILUMINACION Y DISEÑO ELECTRONICO INDUSTRIAL PERU S.A.C.</t>
  </si>
  <si>
    <t>JARA RESISTENCIAS S R L</t>
  </si>
  <si>
    <t>COMPAÑIA MOLINERA DEL CENTRO S.A./CIA. MOLINERA DEL CENTRO S.A.</t>
  </si>
  <si>
    <t>NERNET AUTOMATION SYSTEMS S.A.C.</t>
  </si>
  <si>
    <t>PRINTCOR S.A.C.</t>
  </si>
  <si>
    <t>ESPECIALIZACION EN PROTECCION INTELIGENTE E.I.R.L-ESPPI E.I.R.L.</t>
  </si>
  <si>
    <t>AQUATERMICA SERVICIOS GENERALES S.A.C.</t>
  </si>
  <si>
    <t>JIMSAO INGENIERIA Y PROYECTOS S.R.L</t>
  </si>
  <si>
    <t>LAZY ROOM INGENIERIA ESPECIALIZADA Y CONSTRUCCION E.I.R.L.</t>
  </si>
  <si>
    <t>ESENCIAS QUIMICAS S A C</t>
  </si>
  <si>
    <t>CORPORACION JAP SAC</t>
  </si>
  <si>
    <t>AMERICAN CATERING S.A.C.</t>
  </si>
  <si>
    <t>BAUHAUS PERU ARQUITECTOS &amp; INGENIEROS S.A.C</t>
  </si>
  <si>
    <t>HARSCO METALS PERU S.A.</t>
  </si>
  <si>
    <t>DUBAU PERU SOCIEDAD ANONIMA CERRADA - DUBAU PERU S.A.C.</t>
  </si>
  <si>
    <t>INTECSERES INGENIEROS S.A.C.</t>
  </si>
  <si>
    <t>SERVICIO REVOLUCIONARIO HOSPITALARIO SOCIEDAD ANONIMA CERRADA - SRH S.A.C.</t>
  </si>
  <si>
    <t>SERVICIOS AEROPORTUARIOS ANDINOS S.A</t>
  </si>
  <si>
    <t>ARSOU GROUP S.A.C.</t>
  </si>
  <si>
    <t>BCL - CORPORACION MECATRONICA S.A.C.</t>
  </si>
  <si>
    <t>KAZUKI CONSULTORIA Y CONSTRUCCION S.A.C</t>
  </si>
  <si>
    <t>MOBIUS COMPANY S.A.C.</t>
  </si>
  <si>
    <t>EXPORTADORA EL SOL S.A.C.</t>
  </si>
  <si>
    <t>INDUSTRY &amp; LOGISTICS MANAGEMENT SOCIEDAD ANONIMA</t>
  </si>
  <si>
    <t>LA COLONIAL FABRICA DE HILOS S A</t>
  </si>
  <si>
    <t>TROY TRADING INTERNATIONAL S.A.</t>
  </si>
  <si>
    <t>FIRE CONTROL INGENIEROS S.A.C.</t>
  </si>
  <si>
    <t>MACROMEDICA SOCIEDAD ANONIMA</t>
  </si>
  <si>
    <t>CPJ INGENIERIA PROYECTOS Y CONSTRUCCION S.A.C.</t>
  </si>
  <si>
    <t>NAZ INGENIERIA ELECTRICA SOCIEDAD ANONIMA CERRADA - NAZ INGENIERIA ELECTRICA S.A.C.</t>
  </si>
  <si>
    <t>JR. FRANCISCO DE ORELLANA NRO. 294 DPTO. 101 URB. LA ESMERALDA LIMA - LIMA - BREÑA</t>
  </si>
  <si>
    <t>HIDROCYR COMPANY S.A.C.</t>
  </si>
  <si>
    <t>LABORATORIO DIESEL OPTI-PARTS S.A.C.</t>
  </si>
  <si>
    <t>IMCETRON S.R.LTDA.</t>
  </si>
  <si>
    <t>CAJAMARCA</t>
  </si>
  <si>
    <t>PERU CONTROLS SYSTEM S.A.C</t>
  </si>
  <si>
    <t>V ROSALES CONTRATISTAS E.I.R.L.</t>
  </si>
  <si>
    <t>A-IBAR MANUFACTURAS METALICAS SOCIEDAD COMERCIAL DE RESPONSABILIDAD LIMITADA - A-IBAR S.R.L.</t>
  </si>
  <si>
    <t>LARI CONTRATISTAS S.A.C.</t>
  </si>
  <si>
    <t>SERVICIO Y FABRICACION DE GABINETES SOCIEDAD ANONIMA CERRADA - SERFAGAB SAC</t>
  </si>
  <si>
    <t>CENTRO MÉDICO ODONTOLÓGICO AMERICANO SOCIEDAD ANONIMA CERRADA</t>
  </si>
  <si>
    <t>BGR SOLUCIONES INDUSTRIALES E.I.R.L.</t>
  </si>
  <si>
    <t>GRUPO G &amp; S CORPORATION S.A.C.</t>
  </si>
  <si>
    <t>GRUPO HIDRAULICA S.A.C.</t>
  </si>
  <si>
    <t>DELGADO TECNOLOGIA ELECTROELECTRONICA INGENIEROS E.I.R.L.</t>
  </si>
  <si>
    <t>AV. EL BOSQUE MZA. J2 LOTE. 23 URB. JOSE OLAYA LIMA - LIMA - SANTIAGO DE SURCO</t>
  </si>
  <si>
    <t>E &amp; J CONSOL E.I.R.L.</t>
  </si>
  <si>
    <t>JAC ENERGIA Y CONTROL S.A.C.</t>
  </si>
  <si>
    <t>FRACTALIA PERU SOCIEDAD ANONIMA</t>
  </si>
  <si>
    <t>UNIFLEX DEL PERU S.A.</t>
  </si>
  <si>
    <t>GRUPO CRV INGENIEROS SOCIEDAD ANONIMA CERRADA - GRUPO CRV INGENIEROS S.A.C.</t>
  </si>
  <si>
    <t>G Y P SOLUTION E.I.R.L.</t>
  </si>
  <si>
    <t>QUALITY BEEF SOCIEDAD ANONIMA CERRADA</t>
  </si>
  <si>
    <t>PLASTICOS DAVID E.I.R.L.</t>
  </si>
  <si>
    <t>TECHMA INGENIEROS S.A.C.</t>
  </si>
  <si>
    <t>CORPORACION PC HELP DEL PERU E.I.R.L</t>
  </si>
  <si>
    <t>VMWARE SISTEMA INTEGRAL DE SEGURIDAD S.A.C.-VMWARESIS S.A.C.</t>
  </si>
  <si>
    <t>OCA CALIDAD MEDIO AMBIENTE Y SEGURIDAD DEL PERU S.A.C.</t>
  </si>
  <si>
    <t>SOLUCIONES CORPORATIVAS GASTROTEC S.A.C.</t>
  </si>
  <si>
    <t>ALIMENCORP SOCIEDAD ANONIMA CERRADA</t>
  </si>
  <si>
    <t>AVILA MANTENIMIENTOS GENERALES S.A.C.</t>
  </si>
  <si>
    <t>AIR INGENIERIA AMBIENTAL S.A.C.</t>
  </si>
  <si>
    <t>DINUT S.A.C.</t>
  </si>
  <si>
    <t>GRIFO ZAVALA MJ E.I.R.L.</t>
  </si>
  <si>
    <t>KEY PACKAGING SERVICES S.A.C.</t>
  </si>
  <si>
    <t>GANP MULTISERVICIOS PERU S.A.C.</t>
  </si>
  <si>
    <t>HUANCAVELICA</t>
  </si>
  <si>
    <t>SATELCOM PERU S.A.C.</t>
  </si>
  <si>
    <t>SOLUCIONES EXACTAS AUTOMATIZACION Y MANTENIMIENTO S.R.L.-SOLEX AUTOMATIZACION Y MANTENIMIENTO S.R.L.</t>
  </si>
  <si>
    <t>WC INGENIERIA DE LA CLIMATIZACION S.A.C.</t>
  </si>
  <si>
    <t>ORION ENTERPRISES S.A.C.</t>
  </si>
  <si>
    <t>CAL.SANTANDER NRO. 186 DPTO. 401 (A ESPALDA DEL COLEGIO DE ABOGADOS) LIMA - LIMA - MIRAFLORES</t>
  </si>
  <si>
    <t>AV. EMANCIPACION NRO. 153 INT. 307 CERCADO DE LIMA LIMA - LIMA - LIMA</t>
  </si>
  <si>
    <t>07069506</t>
  </si>
  <si>
    <t>OCAMPO MOLERO ARTURO</t>
  </si>
  <si>
    <t>09504088</t>
  </si>
  <si>
    <t xml:space="preserve">	MARTINEZ TICLA MAX AQUINO</t>
  </si>
  <si>
    <t>CAL.HORACIO PATIÑO NRO. 888 URB. LA VIÑA (PARADERO LA VIÑA) LIMA - LIMA - SAN LUIS</t>
  </si>
  <si>
    <t>SALAZAR ALDAZABAL KURT DAVID</t>
  </si>
  <si>
    <t>12794903</t>
  </si>
  <si>
    <t>JR. LAS CAMPANILLAS NRO. 203 URB. SANTA ISABEL (ALT ESTADIO RICARDO PALMA AV SAN MARTIN) LIMA - LIMA - CARABAYLLO</t>
  </si>
  <si>
    <t>ATOCHE LARA ARELIS ROSARIO</t>
  </si>
  <si>
    <t>13391166</t>
  </si>
  <si>
    <t>AV. UNIVERSITARIA MZA. B LOTE. 05 P.V. MARIA DE LOS ANGELES (PARALELO A LA AV. TUPAC AMARU KM 21.5) LIMA - LIMA - CARABAYLLO</t>
  </si>
  <si>
    <t xml:space="preserve">	VALDEZ COLAN JORCK ALEXANDER</t>
  </si>
  <si>
    <t>14400736</t>
  </si>
  <si>
    <t>MZA. G LOTE. 21 A.F. LOS JARDINES LIMA - LIMA - SAN JUAN DE LURIGANCHO</t>
  </si>
  <si>
    <t>HIDALGO VARGAS JACQUELINE REBECA</t>
  </si>
  <si>
    <t>AV. VIA DE EVITAMIENTO NRO. 1333 URB. EL PARQUE DE MONTERRICO LIMA - LIMA - ATE</t>
  </si>
  <si>
    <t>10494170</t>
  </si>
  <si>
    <t xml:space="preserve">	VIDAL HUAMAN IVO ALFREDO</t>
  </si>
  <si>
    <t>11553024</t>
  </si>
  <si>
    <t xml:space="preserve">
CAL.1 MZA. B LOTE. 37 URB. ALAMEDA DE ATE 1RA. ETAPA (FRENTE AL PARQUE Nº 1 ALAMEDA DE ATE) LIMA - LIMA - ATE</t>
  </si>
  <si>
    <t>09280480</t>
  </si>
  <si>
    <t xml:space="preserve">	LOPEZ LUCUMI JUAN ARCADIO</t>
  </si>
  <si>
    <t>12946186</t>
  </si>
  <si>
    <t>06707950</t>
  </si>
  <si>
    <t xml:space="preserve">	ZARATE MALQUI MARIA ELENA</t>
  </si>
  <si>
    <t>13530267</t>
  </si>
  <si>
    <t xml:space="preserve">
CAL.JOSE MARIANO ARCE NRO. 493 (ALT DE LA CUADRA 10 DE LA AV. BOLIVAR) LIMA - LIMA - PUEBLO LIBRE (MAGDALENA VIEJA)</t>
  </si>
  <si>
    <t>09246947</t>
  </si>
  <si>
    <t xml:space="preserve">	YAURI OTERO EVARISTO</t>
  </si>
  <si>
    <t xml:space="preserve">	GERENTE GRAL.</t>
  </si>
  <si>
    <t>11394209</t>
  </si>
  <si>
    <t>10126544</t>
  </si>
  <si>
    <t>RETAMOZO CARPIO MARCO ANTONIO</t>
  </si>
  <si>
    <t>CAL.HUERTA GUINEA CALLE 10 TERCER PISO NRO. 217 URB. RIMAC LIMA - LIMA - RIMAC</t>
  </si>
  <si>
    <t>77345521</t>
  </si>
  <si>
    <t>MONDRAGON JIMENEZ CELIA</t>
  </si>
  <si>
    <t>14014520</t>
  </si>
  <si>
    <t xml:space="preserve">
AV. SAN JUAN MZA. A LOTE. 16 URB. SANTA MARTHA (ALT.EX FAB.SURGE POR LINEA FERREA) LIMA - LIMA - ATE</t>
  </si>
  <si>
    <t>07102825</t>
  </si>
  <si>
    <t>LANDEO MANRIQUE JOSE MELQUIADES</t>
  </si>
  <si>
    <t>11008922</t>
  </si>
  <si>
    <t>07116334</t>
  </si>
  <si>
    <t>LANDEO MANRIQUE RICARDO</t>
  </si>
  <si>
    <t>23258962</t>
  </si>
  <si>
    <t>LANDEO MANRIQUE EDWIN</t>
  </si>
  <si>
    <t>LANDEO MANRIQUE CARLOS</t>
  </si>
  <si>
    <t xml:space="preserve">
CAL.LAS VIOLETAS MZA. A LOTE. 30 ASC. 26 DE MAYO SANTA CLARA LIMA - LIMA - ATE</t>
  </si>
  <si>
    <t>6120 - ACTIVIDADES DE TELECOMUNICACIONES INALÁMBRICAS</t>
  </si>
  <si>
    <t>CARHUAZ MALPARTIDA ULISES SAUL</t>
  </si>
  <si>
    <t>12258063</t>
  </si>
  <si>
    <t xml:space="preserve">
JR. LAS MADRE SELVA MZA. A LOTE. 09 COO. MUSA 3RA ETAPA (ALT. DEPOSITO MUNICIPAL DE LA MOLINA) LIMA - LIMA - LA MOLINA</t>
  </si>
  <si>
    <t xml:space="preserve">	MOYA HUALLPA JUAN JOSE</t>
  </si>
  <si>
    <t>13465905</t>
  </si>
  <si>
    <t>MZA. B LOTE. 30 APV. LOS CEDROS DE OQUENDO (PARQUE LOS CEDROS) PROV. CONST. DEL CALLAO - PROV. CONST. DEL CALLAO - CALLAO</t>
  </si>
  <si>
    <t>43305854</t>
  </si>
  <si>
    <t xml:space="preserve">	PUICAN RAMIREZ MARCO ANTONIO</t>
  </si>
  <si>
    <t>12576327</t>
  </si>
  <si>
    <t xml:space="preserve">
AV. CARLOS IZAGUIRRE NRO. 153 Z.I. NORTE LIMA - LIMA - INDEPENDENCIA</t>
  </si>
  <si>
    <t>8610 - ACTIVIDADES DE HOSPITALES</t>
  </si>
  <si>
    <t>06246159</t>
  </si>
  <si>
    <t>ALVAREZ BLAS JOSE FAUSTINO</t>
  </si>
  <si>
    <t>12077384</t>
  </si>
  <si>
    <t>06598492</t>
  </si>
  <si>
    <t>ROSADO SILVA SARA ELENA</t>
  </si>
  <si>
    <t>10330748</t>
  </si>
  <si>
    <t>VILCHEZ RODRIGUEZ GONZALO ALEJANDRO</t>
  </si>
  <si>
    <t xml:space="preserve">
CAL.FELIPE ZELA NRO. 736 URB. LOS FICUS (PISO 6) LIMA - LIMA - SANTA ANITA</t>
  </si>
  <si>
    <t>13646684</t>
  </si>
  <si>
    <t>CHAVEZ RIVERA ELMER</t>
  </si>
  <si>
    <t xml:space="preserve">
MZA. E LOTE. 19 ASC. VEINTISEIS DE MAYO LIMA - LIMA - ATE</t>
  </si>
  <si>
    <t>MACAVILCA ZAVALA DALILA</t>
  </si>
  <si>
    <t>12242769</t>
  </si>
  <si>
    <t>AGROINDUSTRIAS OSHO S.A.C.</t>
  </si>
  <si>
    <t xml:space="preserve">
CAL.MANUEL ARISPE NRO. 210 Z.I. URB.INDUSTRIAL LA CHALACA (ALTURA CDRA. 2 DE AV. NESTOR GAMBETA) PROV. CONST. DEL CALLAO - PROV. CONST. DEL CALLAO - CALLAO</t>
  </si>
  <si>
    <t>1040 - ELABORACIÓN DE ACEITES Y GRASAS DE ORIGEN VEGETAL Y ANIMAL</t>
  </si>
  <si>
    <t>09750179</t>
  </si>
  <si>
    <t>NAVARRO GRAU VALDERRAMA MIGUEL ENRIQUE</t>
  </si>
  <si>
    <t>12569791</t>
  </si>
  <si>
    <t>43660808</t>
  </si>
  <si>
    <t xml:space="preserve">	LOPEZ CASAVERDE HENRY RODOLFO</t>
  </si>
  <si>
    <t xml:space="preserve">
AV. PERSHING 790-798 NRO. 790 INT. 1410 LIMA - LIMA - MAGDALENA DEL MAR</t>
  </si>
  <si>
    <t>80645141</t>
  </si>
  <si>
    <t xml:space="preserve">	GAMARRA PALACIOS EBIN ISAIAS</t>
  </si>
  <si>
    <t>12838702</t>
  </si>
  <si>
    <t>AV. CUZCO MZA. DB LOTE. 8A SEC. UNION BELLAVISTA LIMA - HUAROCHIRI - SAN ANTONIO</t>
  </si>
  <si>
    <t>41441059</t>
  </si>
  <si>
    <t>MORILLO GUTIERREZ LUIS ALBERTO</t>
  </si>
  <si>
    <t xml:space="preserve">
MZA. L LOTE. 30 URB. ALAMEDA DE EL PINAR LIMA - LIMA - COMAS</t>
  </si>
  <si>
    <t>32661770</t>
  </si>
  <si>
    <t xml:space="preserve">	ALVARADO PEREZ LOURDE ANDREA</t>
  </si>
  <si>
    <t>13380171</t>
  </si>
  <si>
    <t>PJ. PUNTA PLAYUELAS NRO. 172 URB. GERMAN ASTETE PROV. CONST. DEL CALLAO - PROV. CONST. DEL CALLAO - LA PERLA</t>
  </si>
  <si>
    <t>42953907</t>
  </si>
  <si>
    <t>RAZURI STEWART GALA CECILIA SOFIA</t>
  </si>
  <si>
    <t>70496996</t>
  </si>
  <si>
    <t>RAZURI STEWART JOSE LUIS</t>
  </si>
  <si>
    <t>AV. UNIVERSITARIA NRO. 759 URB. EL ROSARIO LIMA - LIMA - SAN MARTIN DE PORRES</t>
  </si>
  <si>
    <t>CERVERA CARHUARICRA GERMAN</t>
  </si>
  <si>
    <t>03011996</t>
  </si>
  <si>
    <t>71814291</t>
  </si>
  <si>
    <t xml:space="preserve">	DELGADO PEREZ ALVARO MAX</t>
  </si>
  <si>
    <t>13216728</t>
  </si>
  <si>
    <t xml:space="preserve">
AV. PASEO DE LA REPUBLICA NRO. 5895 INT. 301 URB. MIRAFLORES LIMA - LIMA - MIRAFLORES</t>
  </si>
  <si>
    <t>07498429</t>
  </si>
  <si>
    <t xml:space="preserve">	VARGAS QUIÑE SANDRA MARIA</t>
  </si>
  <si>
    <t>09852910</t>
  </si>
  <si>
    <t xml:space="preserve">	MEDINA BOLAÑOS HILDA EMPERATRIZ</t>
  </si>
  <si>
    <t>43323630</t>
  </si>
  <si>
    <t>CULQUI MIRES PAUL JESUS</t>
  </si>
  <si>
    <t xml:space="preserve">
MZA. B8 LOTE. 04 URB. ESMERALDA I ETP LIMA - LIMA - CARABAYLLO</t>
  </si>
  <si>
    <t>46994430</t>
  </si>
  <si>
    <t>MEZA DE LA CRUZ LLUVIA RAISSA</t>
  </si>
  <si>
    <t>13351555</t>
  </si>
  <si>
    <t xml:space="preserve">
AV. MARISCAL OSCAR R. BENAVIDES NRO. 1111 DPTO. 206 URB. LIMA INDUSTRIAL LIMA - LIMA - LIMA</t>
  </si>
  <si>
    <t>CHUQUIHUARACA CONCHA CRISTHIAN MANUEL</t>
  </si>
  <si>
    <t>13571645</t>
  </si>
  <si>
    <t xml:space="preserve">
JR. MIGUEL DE LOS RIOS NRO. 1687 CHACRA RIOS NORTE (ALT CDRA 24 AV ARICA) LIMA - LIMA - LIMA</t>
  </si>
  <si>
    <t>40096546</t>
  </si>
  <si>
    <t>CUADROS JIMENEZ CESAR VICTOR</t>
  </si>
  <si>
    <t>11325265</t>
  </si>
  <si>
    <t xml:space="preserve">
JR. PARURO NRO. 1359 INT. 170 (FRENTE FARMACIA PARURO) LIMA - LIMA - LIMA</t>
  </si>
  <si>
    <t>08661360</t>
  </si>
  <si>
    <t xml:space="preserve">
AV. REPUBLICA DE ARGENTINA NRO. 523 INT. F14 URB. LIMA INDUSTRIAL (CENTRO COMERCIAL ACOPROM) LIMA - LIMA - LIMA</t>
  </si>
  <si>
    <t>23171852</t>
  </si>
  <si>
    <t>GARCIA SALAZAR BEATRIZ</t>
  </si>
  <si>
    <t>11148820</t>
  </si>
  <si>
    <t>PUCALLPA</t>
  </si>
  <si>
    <t xml:space="preserve">
AV. BENAVIDES NRO. 430 RES. MIRAFLORES (INTERSECCION DE LA AV.BENAVIDES Y LARCO) LIMA - LIMA - MIRAFLORES</t>
  </si>
  <si>
    <t>07538628</t>
  </si>
  <si>
    <t>11015342</t>
  </si>
  <si>
    <t>LAOS OTAROLA LUIS ERNESTO</t>
  </si>
  <si>
    <t xml:space="preserve">	SANCHEZ GAMARRA SAMUEL GUILLERMO SLOANE</t>
  </si>
  <si>
    <t>BRADE PARACAS S.A.</t>
  </si>
  <si>
    <t xml:space="preserve">
CAL.INDEPENDENCIA NRO. 141 URB. SURQUILLO LIMA - LIMA - MIRAFLORES</t>
  </si>
  <si>
    <t>07727863</t>
  </si>
  <si>
    <t xml:space="preserve">	ROBLES GAVIRIA JUAN CARLOS</t>
  </si>
  <si>
    <t>11023926</t>
  </si>
  <si>
    <t>09394065</t>
  </si>
  <si>
    <t xml:space="preserve">	BRACALE SILVA RICARDO ALEJANDRO</t>
  </si>
  <si>
    <t xml:space="preserve">
AV. EL DERBY NRO. 254 INT. 1705 URB. EL DERBY LIMA - LIMA - SANTIAGO DE SURCO</t>
  </si>
  <si>
    <t>09178606</t>
  </si>
  <si>
    <t xml:space="preserve">	NUÑEZ VILLANUEVA OSCAR LEONARDO</t>
  </si>
  <si>
    <t>00030414</t>
  </si>
  <si>
    <t>09996335</t>
  </si>
  <si>
    <t>MESIA VELA MIRYAM</t>
  </si>
  <si>
    <t>10803371</t>
  </si>
  <si>
    <t xml:space="preserve">	CARRASCO OBREGON ELEAZAR JUAN</t>
  </si>
  <si>
    <t xml:space="preserve">
MZA. G1 LOTE. 2 ASC. LAS AMERICAS LIMA - LIMA - ATE</t>
  </si>
  <si>
    <t>41660839</t>
  </si>
  <si>
    <t xml:space="preserve">	CORTEZ QUISPE JOVER HILLTON</t>
  </si>
  <si>
    <t>13815055</t>
  </si>
  <si>
    <t>25667239</t>
  </si>
  <si>
    <t xml:space="preserve">	ALEGRE TORRES JAVIER ARTURO</t>
  </si>
  <si>
    <t xml:space="preserve">	GERENTE DE FINANZAS</t>
  </si>
  <si>
    <t>11101075</t>
  </si>
  <si>
    <t>CHIMBOTE</t>
  </si>
  <si>
    <t xml:space="preserve">	ESPIRITU BELLIDO LUIS VICTOR</t>
  </si>
  <si>
    <t>AV. PASEO DE LA REPUBLICA NRO. 4675 LIMA - LIMA - SURQUILLO</t>
  </si>
  <si>
    <t>14478180</t>
  </si>
  <si>
    <t>PALMA TELLO OSCAR MIGUEL</t>
  </si>
  <si>
    <t xml:space="preserve">
CAL.LA COLONIA NRO. 116 URB. LA FLORIDA LIMA - LIMA - RIMAC</t>
  </si>
  <si>
    <t>19956063</t>
  </si>
  <si>
    <t>ESPEJO SALAZAR NICEAS JUAN</t>
  </si>
  <si>
    <t>12260373</t>
  </si>
  <si>
    <t>DESMAISON INDUSTRIAL DIESEL S.A.C.</t>
  </si>
  <si>
    <t xml:space="preserve">
CAL.HUAMACHUCO NRO. 915 (ALT.COLEGIO MILITAR LEONCIO PRADO) PROV. CONST. DEL CALLAO - PROV. CONST. DEL CALLAO - LA PERLA</t>
  </si>
  <si>
    <t>09156985</t>
  </si>
  <si>
    <t>DESMAISON VARGAS DANIEL</t>
  </si>
  <si>
    <t>11103150</t>
  </si>
  <si>
    <t>AV. CIRCUNVALACION CLUB GOLF LOS INCAS NRO. 134 INT. 1801 URB. GOLF LOS INCAS (1801 B2 PISO 18 TORRE 2 PATIO PANORAMA) LIMA - LIMA - SANTIAGO DE SURCO</t>
  </si>
  <si>
    <t>42413841</t>
  </si>
  <si>
    <t xml:space="preserve">	MENESES PAGADOR DIEGO ALONZO</t>
  </si>
  <si>
    <t>13941157</t>
  </si>
  <si>
    <t>CAL.LOS JAZMINES MZA. G LOTE. 13 COO. TALAVERA DE LA REYNA LIMA - LIMA - EL AGUSTINO</t>
  </si>
  <si>
    <t>3313 - REPARACIÓN DE EQUIPO ELECTRÓNICO Y ÓPTICO</t>
  </si>
  <si>
    <t>48544568</t>
  </si>
  <si>
    <t xml:space="preserve">	GAMARRA RODRIGUEZ DENNIS MANUEL</t>
  </si>
  <si>
    <t>13593971</t>
  </si>
  <si>
    <t>MZA. M LOTE. 6 SEC. 3 (GRUPO 17) LIMA - LIMA - VILLA EL SALVADOR</t>
  </si>
  <si>
    <t>42509495</t>
  </si>
  <si>
    <t xml:space="preserve">	YAUYO LA MADRID JUAN CARLOS</t>
  </si>
  <si>
    <t>14297564</t>
  </si>
  <si>
    <t>AV. CHILLON LOTE. 50B URB. CHACRACERRO LIMA - LIMA - COMAS</t>
  </si>
  <si>
    <t>7120 - ENSAYOS Y ANÁLISIS TÉCNICOS</t>
  </si>
  <si>
    <t>47901372</t>
  </si>
  <si>
    <t xml:space="preserve">	FLORES MINAYA JOSE ALEJANDRO</t>
  </si>
  <si>
    <t>14523916</t>
  </si>
  <si>
    <t>AV. BOLIVIA NRO. 1109 DPTO. 804 URB. CHACRA COLORADA LIMA - LIMA - BREÑA</t>
  </si>
  <si>
    <t>40608063</t>
  </si>
  <si>
    <t>GUZMAN CRUZ HENRY</t>
  </si>
  <si>
    <t>14941907</t>
  </si>
  <si>
    <t xml:space="preserve">
AV. REPUBLICA DE VENEZUELA NRO. 2040 CERCADO LIMA - LIMA - LIMA</t>
  </si>
  <si>
    <t>06913309</t>
  </si>
  <si>
    <t xml:space="preserve">	LINO PACHECO HERZAN ANTONIO</t>
  </si>
  <si>
    <t>11190141</t>
  </si>
  <si>
    <t xml:space="preserve">
AV. MANUEL OLGUIN NRO. 211 INT. 504 LIMA - LIMA - SANTIAGO DE SURCO</t>
  </si>
  <si>
    <t>07870304</t>
  </si>
  <si>
    <t xml:space="preserve">	VIDAL PALMA ALFONSO JORGE</t>
  </si>
  <si>
    <t>11708135</t>
  </si>
  <si>
    <t>09441645</t>
  </si>
  <si>
    <t xml:space="preserve">	CARREÑO SOLIS ADOLFO JOSEPH</t>
  </si>
  <si>
    <t>40047062</t>
  </si>
  <si>
    <t>ARRESE DE OLARTE LICETTE</t>
  </si>
  <si>
    <t xml:space="preserve">
AV. TAMBORILLO NRO. 729 URB. ALAMEDA DE EL PINAR LIMA - LIMA - COMAS</t>
  </si>
  <si>
    <t>09938916</t>
  </si>
  <si>
    <t xml:space="preserve">	QUISPE QUISPE DANIEL FERNANDO</t>
  </si>
  <si>
    <t xml:space="preserve">
MZA. S2 LOTE. 1 A.H. SAN ALBERTO LIMA - LIMA - LOS OLIVOS</t>
  </si>
  <si>
    <t>41991830</t>
  </si>
  <si>
    <t xml:space="preserve">	CADENAS CUEVA EMANUEL ABSALON</t>
  </si>
  <si>
    <t>12112135</t>
  </si>
  <si>
    <t>MZA. 07 LOTE. 26 URB. MCAL. CACERES (ENTRE AV. CENTRAL- PARADERO 5 DE WIESE) LIMA - LIMA - SAN JUAN DE LURIGANCHO</t>
  </si>
  <si>
    <t>41677104</t>
  </si>
  <si>
    <t xml:space="preserve">	QUIJANO SIERRA DAVID OMAR</t>
  </si>
  <si>
    <t>12635374</t>
  </si>
  <si>
    <t>42528021</t>
  </si>
  <si>
    <t>QUIJANO SIERRA ALAN JIMMY</t>
  </si>
  <si>
    <t>AV. MARISCAL RAMON CASTILLA NRO. 276 DPTO. 301 URB. LAS MAGNOLIAS DE SURCO LIMA - LIMA - SANTIAGO DE SURCO</t>
  </si>
  <si>
    <t>41557091</t>
  </si>
  <si>
    <t>NAVARRO SOLIS JEREMY PERCY</t>
  </si>
  <si>
    <t>13923768</t>
  </si>
  <si>
    <t>CAL.JUAN OLAECHEA ARNAO NRO. 1452 URB. ELIO LIMA - LIMA - LIMA</t>
  </si>
  <si>
    <t>44637033</t>
  </si>
  <si>
    <t xml:space="preserve">	VALDEZ OBREGON MARITZA ROSARIO</t>
  </si>
  <si>
    <t>14440105</t>
  </si>
  <si>
    <t xml:space="preserve">
AV. SEVILLA NRO. 330 INT. 202 LIMA - LIMA - PUEBLO LIBRE (MAGDALENA VIEJA)</t>
  </si>
  <si>
    <t>06804397</t>
  </si>
  <si>
    <t>RIOS COLOMA JOHN JARLAN</t>
  </si>
  <si>
    <t>12509781</t>
  </si>
  <si>
    <t>25628497</t>
  </si>
  <si>
    <t xml:space="preserve">	COLOMA VALLEJOS JUANA ROSA</t>
  </si>
  <si>
    <t xml:space="preserve">	APODERADOL</t>
  </si>
  <si>
    <t xml:space="preserve">
MZA. H LOTE. 16 URB. VILLA MARGARITA LIMA - LIMA - PUENTE PIEDRA</t>
  </si>
  <si>
    <t>10411416</t>
  </si>
  <si>
    <t xml:space="preserve">	VICENTE CARRERA NESTOR ARISTIDES</t>
  </si>
  <si>
    <t>11943183</t>
  </si>
  <si>
    <t>PJ. BETHEL MZA. B LOTE. 5 A.V. VILLA CELIM (COSTADO DE ASOC. EX CONTRY CLUB) LIMA - LIMA - SAN JUAN DE LURIGANCHO</t>
  </si>
  <si>
    <t>44229687</t>
  </si>
  <si>
    <t xml:space="preserve">	COSME ROSALES ANCELMO SOLIM</t>
  </si>
  <si>
    <t>14922465</t>
  </si>
  <si>
    <t>MZA. C LOTE. 27 APV. BAHIA BLANCA DE OQUENDO (ALT.DE TOTTUS DE CANTA CALLAO) PROV. CONST. DEL CALLAO - PROV. CONST. DEL CALLAO - CALLAO</t>
  </si>
  <si>
    <t>45805846</t>
  </si>
  <si>
    <t xml:space="preserve">	BAYLON CAPCHA CESAR</t>
  </si>
  <si>
    <t>AV. LA PAZ NRO. 463 LIMA - LIMA - MIRAFLORES</t>
  </si>
  <si>
    <t>5510 - ACTIVIDADES DE ALOJAMIENTO PARA ESTANCIAS CORTAS</t>
  </si>
  <si>
    <t>07867186</t>
  </si>
  <si>
    <t xml:space="preserve">	BARRIGA BRICEÑO EDUARDO ENRIQUE</t>
  </si>
  <si>
    <t>11445751</t>
  </si>
  <si>
    <t>09942213</t>
  </si>
  <si>
    <t xml:space="preserve">	GUEMBES JIMENEZ MARIA DEL CARMEN CONSUELO</t>
  </si>
  <si>
    <t>45219399</t>
  </si>
  <si>
    <t xml:space="preserve">	URRUNAGA SAN ROMAN DIEGO UMBERTO</t>
  </si>
  <si>
    <t>43749107</t>
  </si>
  <si>
    <t xml:space="preserve">	STOESSEL FLOREZ JUAN ERNESTO</t>
  </si>
  <si>
    <t>MZA. G LOTE. 25 PROGRAMA RESD. LOS OLIVOS (ALT CDRA 39 AV UNIVERSITARIO) LIMA - LIMA - SAN MARTIN DE PORRES</t>
  </si>
  <si>
    <t>09965810</t>
  </si>
  <si>
    <t xml:space="preserve">	RAMIREZ VALVERDE VICTOR</t>
  </si>
  <si>
    <t>11221684</t>
  </si>
  <si>
    <t xml:space="preserve">
CAL.AUGUSTO DURAND NRO. 2721 URB. SAN LUIS (ALTURA CUADRA 19 AV. CIRCUNVALACION) LIMA - LIMA - SAN LUIS</t>
  </si>
  <si>
    <t>09311279</t>
  </si>
  <si>
    <t xml:space="preserve">	HURTADO VALDIVIA NESTOR MOISES</t>
  </si>
  <si>
    <t>13867062</t>
  </si>
  <si>
    <t>JR. C.MOLINO DEL GATO NRO. 388 DPTO. 506 (TORRE I) LIMA - LIMA - LIMA</t>
  </si>
  <si>
    <t>09884295</t>
  </si>
  <si>
    <t xml:space="preserve">	RAMIREZ CANCINO YOLVI CALEB</t>
  </si>
  <si>
    <t>12551489</t>
  </si>
  <si>
    <t>CAL.15 MZA. O4 LOTE. 46 URB. PUERTA DE PRO (AV. ZARAGOZA) LIMA - LIMA - LOS OLIVOS</t>
  </si>
  <si>
    <t>4653 - VENTA AL POR MAYOR DE MAQUINARIA, EQUIPO Y MATERIALES AGROPECUARIOS</t>
  </si>
  <si>
    <t>MONCADA MONTOYA YOLANDA MARIA DE FATIMA</t>
  </si>
  <si>
    <t>14545238</t>
  </si>
  <si>
    <t>AV. COLONIAL NRO. 1679 INT. B (PARADERO DUEÑAS) LIMA - LIMA - LIMA</t>
  </si>
  <si>
    <t>7710 - ALQUILER Y ARRENDAMIENTO DE VEHÍCULOS AUTOMOTORES</t>
  </si>
  <si>
    <t>41087983</t>
  </si>
  <si>
    <t>ARROLLO CAMPOS DARIO EDINSON</t>
  </si>
  <si>
    <t>12308754</t>
  </si>
  <si>
    <t>POLIMEROS Y MANUFACTURAS DEL PERU EMPRESA INDIVIDUAL DE RESPONSABILIDAD LIMITADA</t>
  </si>
  <si>
    <t xml:space="preserve">
CAL.LEONIDAS LA SERRE NRO. 311 URB. EL PINO LIMA - LIMA - SAN LUIS</t>
  </si>
  <si>
    <t>07275028</t>
  </si>
  <si>
    <t>DIAZ CHAVEZ JORGE ANTONIO</t>
  </si>
  <si>
    <t>13908304</t>
  </si>
  <si>
    <t>09753801</t>
  </si>
  <si>
    <t xml:space="preserve">	OTAROLA CUADROS SANDRA MARCELA</t>
  </si>
  <si>
    <t>JR. HUAROCHIRI NRO. 550 URB. LIMA INDUSTRIAL (PLAZA FERRETERO) LIMA - LIMA - LIMA</t>
  </si>
  <si>
    <t>44694162</t>
  </si>
  <si>
    <t xml:space="preserve">	ARTEAGA CASTRO EVIN RONALD</t>
  </si>
  <si>
    <t>AV. SAN JUAN MZA. A LOTE. 20 URB. SANTA MARTHA (MDO PRODUCTORES ATE) LIMA - LIMA - ATE</t>
  </si>
  <si>
    <t>08196460</t>
  </si>
  <si>
    <t xml:space="preserve">	GUERRERO MUNIVE CESAR ALBERTO</t>
  </si>
  <si>
    <t>09163320</t>
  </si>
  <si>
    <t>GUERRERO MUNIVE YUDITH DEL ROSARIO</t>
  </si>
  <si>
    <t>GUERRERO MUNIVE EMMA GUADALUPE</t>
  </si>
  <si>
    <t>CAL.VENTURA GARCIA CALDERON - 2DO PISO NRO. 338 URB. PALERMO (A ESPALDAS CDRA 2 AV RICARDO PALMA) LA LIBERTAD - TRUJILLO - TRUJILLO</t>
  </si>
  <si>
    <t xml:space="preserve">	PAJARES MORENO LUIS WILFREDO</t>
  </si>
  <si>
    <t>11561489</t>
  </si>
  <si>
    <t>ANCELSA S.A.C.</t>
  </si>
  <si>
    <t xml:space="preserve">
PJ. 2 MZA. J LOTE. 7 SEC. 8 (2 CDRAS DE SENATI) LIMA - LIMA - VILLA EL SALVADOR</t>
  </si>
  <si>
    <t>41928122</t>
  </si>
  <si>
    <t xml:space="preserve">	RAMOS MEJIA FILIBERTO</t>
  </si>
  <si>
    <t>13519378</t>
  </si>
  <si>
    <t xml:space="preserve">
CAL.LAS VERTIENTES MZA. A-3 LOTE. 1 URB. PRE URBANA TIPO HUERTA (PORTON VERDE) LIMA - LIMA - VILLA EL SALVADOR</t>
  </si>
  <si>
    <t>08361079</t>
  </si>
  <si>
    <t xml:space="preserve">	PALOMINO OCHOA JULIO</t>
  </si>
  <si>
    <t>11570689</t>
  </si>
  <si>
    <t xml:space="preserve">
AV. INDUSTRIAL NRO. 491 Z.I. LIMA INDUSTRIAL LIMA - LIMA - LIMA</t>
  </si>
  <si>
    <t>06514227</t>
  </si>
  <si>
    <t xml:space="preserve">	BARRIOS TEIXIDOR JAVIER</t>
  </si>
  <si>
    <t>03019843</t>
  </si>
  <si>
    <t>06766142</t>
  </si>
  <si>
    <t xml:space="preserve">	MARAVI FALCON ANGEL MARTIN</t>
  </si>
  <si>
    <t>07876109</t>
  </si>
  <si>
    <t xml:space="preserve">	SALGADO GERBI MAURICIO</t>
  </si>
  <si>
    <t>08043032</t>
  </si>
  <si>
    <t xml:space="preserve">	CONDORI FERNANDEZ RICARDO MARCELINO</t>
  </si>
  <si>
    <t>08133176</t>
  </si>
  <si>
    <t>CABALLERO ROJAS PERCY ERNESTO</t>
  </si>
  <si>
    <t>08566200</t>
  </si>
  <si>
    <t xml:space="preserve">	MACHUCA GARDINI JUAN FRANCISCO</t>
  </si>
  <si>
    <t>10544598</t>
  </si>
  <si>
    <t>BARRIOS TEIXIDOR ENRIQUE ADOLFO</t>
  </si>
  <si>
    <t>41981463</t>
  </si>
  <si>
    <t xml:space="preserve">	CASTRO VIAL ERIK</t>
  </si>
  <si>
    <t>42550570</t>
  </si>
  <si>
    <t>DE RUTTE CORZO GUILLERMO</t>
  </si>
  <si>
    <t>44652737</t>
  </si>
  <si>
    <t>SALAZAR KIKUKAWA SULLY MILUSKA</t>
  </si>
  <si>
    <t>70365983</t>
  </si>
  <si>
    <t xml:space="preserve">	CUYUTUPA LUQUE JORGE CARLOS</t>
  </si>
  <si>
    <t>JR. PACTO ANDINO NRO. 124 URB. LA VILLA LIMA - LIMA - CHORRILLOS</t>
  </si>
  <si>
    <t>12514874</t>
  </si>
  <si>
    <t>08243444</t>
  </si>
  <si>
    <t xml:space="preserve">	LERNER RUB DE FISHMAN KARIN</t>
  </si>
  <si>
    <t>08248239</t>
  </si>
  <si>
    <t>08261226</t>
  </si>
  <si>
    <t xml:space="preserve">	FISHMAN COTLEAR MARCOS SHULIM</t>
  </si>
  <si>
    <t>AV. EVITAMIENTO NRO. 3636 (ALTURA DEL PUENTE NUEVO) LIMA - LIMA - EL AGUSTINO</t>
  </si>
  <si>
    <t>1701 - FABRICACIÓN DE PASTA DE MADERA, PAPEL Y CARTÓN</t>
  </si>
  <si>
    <t>06022135</t>
  </si>
  <si>
    <t>PAREDES SOTELO ROCIO DEL MILAGRO</t>
  </si>
  <si>
    <t xml:space="preserve">	11053335</t>
  </si>
  <si>
    <t>07088334</t>
  </si>
  <si>
    <t>GUILLEN COLQUI HERNAN AMBROSIO</t>
  </si>
  <si>
    <t>07246390</t>
  </si>
  <si>
    <t xml:space="preserve">	ALCOCER TAKAHASHI PATRICIA MARGOT</t>
  </si>
  <si>
    <t>07307689</t>
  </si>
  <si>
    <t xml:space="preserve">	DELGADO NUÑEZ NORVIL RUPERTO</t>
  </si>
  <si>
    <t>07932521</t>
  </si>
  <si>
    <t>07938827</t>
  </si>
  <si>
    <t xml:space="preserve">	MALAGA LUNA ROLANDO FRANCISCO</t>
  </si>
  <si>
    <t>08233127</t>
  </si>
  <si>
    <t>DEVOTO ACHA FERNANDO JORGE</t>
  </si>
  <si>
    <t>09796070</t>
  </si>
  <si>
    <t>MATOS CONTRERAS PEDRO MANUEL</t>
  </si>
  <si>
    <t>09880120</t>
  </si>
  <si>
    <t xml:space="preserve">	BARRIOS DE LA PORTILLA SALVADOR MARTIN</t>
  </si>
  <si>
    <t>25736559</t>
  </si>
  <si>
    <t xml:space="preserve">	GUZMAN ESPICHE LUIS MIGUEL</t>
  </si>
  <si>
    <t>29218239</t>
  </si>
  <si>
    <t xml:space="preserve">	BUSTAMANTE ZEGARRA JUAN RAUL ROBERTO</t>
  </si>
  <si>
    <t>29279009</t>
  </si>
  <si>
    <t xml:space="preserve">	RODRIGUEZ RODRIGUEZ JORGE COLUMBO</t>
  </si>
  <si>
    <t>29366029</t>
  </si>
  <si>
    <t xml:space="preserve">	AQUIZE DIAZ JONNY ROCIO</t>
  </si>
  <si>
    <t>29404054</t>
  </si>
  <si>
    <t xml:space="preserve">	GRANADOS CUSICANQUI JULIO CESAR</t>
  </si>
  <si>
    <t>40697843</t>
  </si>
  <si>
    <t xml:space="preserve">	RODRIGUEZ HUACO CLAUDIO JOSE</t>
  </si>
  <si>
    <t>41043241</t>
  </si>
  <si>
    <t xml:space="preserve">	LANDEO GARCIA JOSE LUIS</t>
  </si>
  <si>
    <t>41741188</t>
  </si>
  <si>
    <t xml:space="preserve">	VARAS RABANAL SILVANA SALETE</t>
  </si>
  <si>
    <t>41783377</t>
  </si>
  <si>
    <t xml:space="preserve">	RAMIREZ PUA ROY DAVIS</t>
  </si>
  <si>
    <t>42020583</t>
  </si>
  <si>
    <t xml:space="preserve">	MARTINEZ SANCHEZ JOSE</t>
  </si>
  <si>
    <t>42042591</t>
  </si>
  <si>
    <t xml:space="preserve">	ROMERO PEREZ LUDWEN CESAR</t>
  </si>
  <si>
    <t>42642721</t>
  </si>
  <si>
    <t xml:space="preserve">	ENCISO CERPA JENNYFHER MILAGROS</t>
  </si>
  <si>
    <t>45437654</t>
  </si>
  <si>
    <t>AGUIRRE BERROCAL JORGE JAIRO</t>
  </si>
  <si>
    <t>MORACHIMO VERA ALDO ANTONIO</t>
  </si>
  <si>
    <t>NAID</t>
  </si>
  <si>
    <t>NALD</t>
  </si>
  <si>
    <t>AMOD</t>
  </si>
  <si>
    <t>MMAD</t>
  </si>
  <si>
    <t>PDSD</t>
  </si>
  <si>
    <t>PIAD</t>
  </si>
  <si>
    <t>PMSD</t>
  </si>
  <si>
    <t>NAED</t>
  </si>
  <si>
    <t>PCBD</t>
  </si>
  <si>
    <t>PVID</t>
  </si>
  <si>
    <t>AMBD</t>
  </si>
  <si>
    <t>AMCD</t>
  </si>
  <si>
    <t>AMTD</t>
  </si>
  <si>
    <t>ECID</t>
  </si>
  <si>
    <t>GDPD</t>
  </si>
  <si>
    <t>GPGD</t>
  </si>
  <si>
    <t>LCAD</t>
  </si>
  <si>
    <t>LOID</t>
  </si>
  <si>
    <t>LPAD</t>
  </si>
  <si>
    <t>LPID</t>
  </si>
  <si>
    <t>MCMD</t>
  </si>
  <si>
    <t>MDMD</t>
  </si>
  <si>
    <t>MECD</t>
  </si>
  <si>
    <t>MFTD</t>
  </si>
  <si>
    <t>MMHD</t>
  </si>
  <si>
    <t>MPID</t>
  </si>
  <si>
    <t>MPTD</t>
  </si>
  <si>
    <t>MSED</t>
  </si>
  <si>
    <t>NSID</t>
  </si>
  <si>
    <t>PDWD</t>
  </si>
  <si>
    <t>PISD</t>
  </si>
  <si>
    <t>PRCD</t>
  </si>
  <si>
    <t>PRID</t>
  </si>
  <si>
    <t>UCOD</t>
  </si>
  <si>
    <t>VCTD</t>
  </si>
  <si>
    <t>VGMD</t>
  </si>
  <si>
    <t>XATD</t>
  </si>
  <si>
    <t>XCTD</t>
  </si>
  <si>
    <t>XMTD</t>
  </si>
  <si>
    <t>YQID</t>
  </si>
  <si>
    <t>EIEG</t>
  </si>
  <si>
    <t>LIAD</t>
  </si>
  <si>
    <t>MIMG</t>
  </si>
  <si>
    <t>PICD</t>
  </si>
  <si>
    <t>PTID</t>
  </si>
  <si>
    <t>YPIG</t>
  </si>
  <si>
    <t>PGDT</t>
  </si>
  <si>
    <t>GDGT</t>
  </si>
  <si>
    <t>MDIT</t>
  </si>
  <si>
    <t>MMPT</t>
  </si>
  <si>
    <t>VDDT</t>
  </si>
  <si>
    <t>XPTT</t>
  </si>
  <si>
    <t>HTAT</t>
  </si>
  <si>
    <t>ADMINISTRACIÓN LOGÍSTICA</t>
  </si>
  <si>
    <t>MECÁNICO AUTOMOTRIZ (DUAL)</t>
  </si>
  <si>
    <t>MEC. DE MANTENIMIENTO (DUAL)</t>
  </si>
  <si>
    <t>DESARROLLO DE SOFTWARE (DUAL)</t>
  </si>
  <si>
    <t>ING SW INTELIG ARTIF (DUAL)</t>
  </si>
  <si>
    <t>TEC.SOP MANT EQ. COMPUT (DUAL)</t>
  </si>
  <si>
    <t>MECATRÓNICA BUSES Y CAMIONES</t>
  </si>
  <si>
    <t>MANT MAQ PES CONSTRUCCIÓN(DUAL</t>
  </si>
  <si>
    <t>MECATRÓNICA AUTOMOTRIZ</t>
  </si>
  <si>
    <t>CONTROL MÁQ. PROC. IND. (DUAL)</t>
  </si>
  <si>
    <t>DISEÑO Y PRODUC DE ANIMA DIGIT</t>
  </si>
  <si>
    <t>PRODUCCIÓN GRÁFICA</t>
  </si>
  <si>
    <t>CTRL CAL PRC IND ALM (DUAL)</t>
  </si>
  <si>
    <t>OPER IND ALIM Y BEBI (DUAL)</t>
  </si>
  <si>
    <t>PROCESADOR DE ALIMENTOS (DUAL)</t>
  </si>
  <si>
    <t>PANIFICADOR INDUSTRIAL (DUAL)</t>
  </si>
  <si>
    <t>MEC. CONSTRUC METÁLICAS (DUAL)</t>
  </si>
  <si>
    <t>DISEÑO Y DESARR MAQ (DUAL)</t>
  </si>
  <si>
    <t>ESTRUCTUR Y CONSTRUC METÁLICAS</t>
  </si>
  <si>
    <t>MECATRON FAB METALM (DUAL)</t>
  </si>
  <si>
    <t>MEC. MÁQUINAS HERRAM. (DUAL)</t>
  </si>
  <si>
    <t>MTTO PLANTAS INDUSTR (DUAL)</t>
  </si>
  <si>
    <t>PROC TECNOLÓGICOS DE SOLDADURA</t>
  </si>
  <si>
    <t>SOLDADOR ESTRUCTURAL (DUAL)</t>
  </si>
  <si>
    <t>SEGURIDAD IND Y PREV DE RIESGO</t>
  </si>
  <si>
    <t>DISEÑO Y DESARROLLO WEB</t>
  </si>
  <si>
    <t>INGENIERÍA DE SOPORTE DE TI</t>
  </si>
  <si>
    <t>REDES DE COMP Y COMUNIC (DUAL)</t>
  </si>
  <si>
    <t>REDES Y SEGURIDAD INFORMATICA</t>
  </si>
  <si>
    <t>COCINERO COM PERU INTERN(DUAL)</t>
  </si>
  <si>
    <t>CONFECCIONISTA TEXTIL (DUAL)</t>
  </si>
  <si>
    <t>DISEÑO Y GESTIÓN MODA (DUAL)</t>
  </si>
  <si>
    <t>ANALISTA DE CALIDAD TEXTIL</t>
  </si>
  <si>
    <t>CONTROL CALIDAD TEXTIL (DUAL)</t>
  </si>
  <si>
    <t>MECATRÓNICA TEXTIL</t>
  </si>
  <si>
    <t>QUÍMICA INDUSTRIAL</t>
  </si>
  <si>
    <t>DISEÑO GRÁFICO DIGITAL</t>
  </si>
  <si>
    <t>DISEÑO GRÁFICO (TI)</t>
  </si>
  <si>
    <t>DISEÑO INDUSTRIAL (TI)</t>
  </si>
  <si>
    <t>MECÁNICA DE PRODUCCIÓN (TI)</t>
  </si>
  <si>
    <t>TEC DIS  DES  PREND DE  VEST</t>
  </si>
  <si>
    <t>PROCESOS PRODUCCIÓN TEXTIL(TI)</t>
  </si>
  <si>
    <t>TECNOLOGÍAS AMBIENTALES (TI)</t>
  </si>
  <si>
    <t>MECÁNICO</t>
  </si>
  <si>
    <t>PANIFICADOR</t>
  </si>
  <si>
    <t>SOLDADOR</t>
  </si>
  <si>
    <t>TÉCNICO</t>
  </si>
  <si>
    <t>CFP HUAURA</t>
  </si>
  <si>
    <t>CFP LUIS CÁCERES GRAZIANI</t>
  </si>
  <si>
    <t>IND-UFP MECANICA AUTOMOTRIZ</t>
  </si>
  <si>
    <t>IND-UFP ARTES GRAFICAS</t>
  </si>
  <si>
    <t>IND-UFP INDUSTRIA ALIMENTARIA</t>
  </si>
  <si>
    <t>IND-UFP METAL MECANICA</t>
  </si>
  <si>
    <t>IND-UFP MEC. DE MANTENIMIENTO</t>
  </si>
  <si>
    <t>IND-ETI</t>
  </si>
  <si>
    <t>IND-UFP TEXTIL</t>
  </si>
  <si>
    <t>CENTRO TECNOLÓGICO AMBIENTAL</t>
  </si>
  <si>
    <t>ESCUELA SUPERIOR DE TECNOLOGIA</t>
  </si>
  <si>
    <t>DISEÑADOR</t>
  </si>
  <si>
    <t>MAUINISTA</t>
  </si>
  <si>
    <t>COCINERO</t>
  </si>
  <si>
    <t>ANALISTA</t>
  </si>
  <si>
    <t>CONTROLADOR</t>
  </si>
  <si>
    <t>ZONAL</t>
  </si>
  <si>
    <t>CUSCO - APURIMAC - MADRE DED DIOS</t>
  </si>
  <si>
    <t>CAJAMARCA - AMAZONAS - SAN MARTIN</t>
  </si>
  <si>
    <t>ICA - AYACUCHO</t>
  </si>
  <si>
    <t>JUNIN - PASCO - HUANCAVELICA</t>
  </si>
  <si>
    <t>MOQUEGUA - TACNA</t>
  </si>
  <si>
    <t>PIURA TUMBES</t>
  </si>
  <si>
    <t>UCAYALI - HUÁNUCO</t>
  </si>
  <si>
    <t>AV. VENEZUELA NRO. 2470 LIMA - LIMA - LIMA</t>
  </si>
  <si>
    <t>10439652</t>
  </si>
  <si>
    <t xml:space="preserve">	OLIVEROS GARBOZA GABRIELA TERESA</t>
  </si>
  <si>
    <t>02006928</t>
  </si>
  <si>
    <t>41552958</t>
  </si>
  <si>
    <t xml:space="preserve">	VELARDE FRIEDL RICARDO ANDRES</t>
  </si>
  <si>
    <t>44588570</t>
  </si>
  <si>
    <t>OROPEZA SEDANO PILAR LUCIA</t>
  </si>
  <si>
    <t>47708779</t>
  </si>
  <si>
    <t xml:space="preserve">	REQUENA OLIVARES MARIA ALEJANDRA</t>
  </si>
  <si>
    <t>47885107</t>
  </si>
  <si>
    <t>RAMOS CAJAS LIBERONY</t>
  </si>
  <si>
    <t>72921865</t>
  </si>
  <si>
    <t xml:space="preserve">	TORRES WENDORFF JUAN LUIS</t>
  </si>
  <si>
    <t>001334851</t>
  </si>
  <si>
    <t>CAMARGO URIBE GINA LIZETHE</t>
  </si>
  <si>
    <t>004662610</t>
  </si>
  <si>
    <t>VILLAMIL BEDOYA WLADIMIR</t>
  </si>
  <si>
    <t xml:space="preserve">
AV. LA PAZ NRO. 131 URB. SANTA MARIA DE HUACHIPA LIMA - LIMA - LURIGANCHO</t>
  </si>
  <si>
    <t>1104 - ELABORACIÓN DE BEBIDAS NO ALCOHÓLICAS; PRODUCCIÓN DE AGUAS MINERALES Y OTRAS AGUAS EMBOTELLADAS</t>
  </si>
  <si>
    <t>08755843</t>
  </si>
  <si>
    <t xml:space="preserve">	CARRION HURTADO RITA NAZARETH</t>
  </si>
  <si>
    <t>14713583</t>
  </si>
  <si>
    <t>CACHAY VARGAS PEDRO PELAGIO</t>
  </si>
  <si>
    <t xml:space="preserve">	LÓPEZ QUIJADA JESÚS ALEXÍS</t>
  </si>
  <si>
    <t>AV. NICOLAS AYLLON NRO. 3252 (50 METROS ANTES DEL OVALO STA ANITA) LIMA - LIMA - ATE</t>
  </si>
  <si>
    <t xml:space="preserve">	RIPAMONTI AGUAD ESTEBAN PIETRO</t>
  </si>
  <si>
    <t>00491047</t>
  </si>
  <si>
    <t>07754715</t>
  </si>
  <si>
    <t xml:space="preserve">	MEINI MENDEZ OSWALDO GUILLERMO ARTURO</t>
  </si>
  <si>
    <t>08800034</t>
  </si>
  <si>
    <t xml:space="preserve">	PIQUERAS LUNA FRANCISCO JAVIER JUAN</t>
  </si>
  <si>
    <t>10304075</t>
  </si>
  <si>
    <t>MAHCHI AGUAD JUAN OMAR</t>
  </si>
  <si>
    <t xml:space="preserve">
AV. BOCANEGRA NRO. 139 URB. BOCANEGRA (CRUCE AV FAUCET CON AV BOCANEGRA) PROV. CONST. DEL CALLAO - PROV. CONST. DEL CALLAO - CALLAO</t>
  </si>
  <si>
    <t>07271049</t>
  </si>
  <si>
    <t>RIOS MORALES ARMANDO</t>
  </si>
  <si>
    <t>08106851</t>
  </si>
  <si>
    <t>ACOSTA HERRERA RAFAEL ROBERTO</t>
  </si>
  <si>
    <t>08720379</t>
  </si>
  <si>
    <t xml:space="preserve">	LLAVE ARRIETA RICARDO BENJAMIN</t>
  </si>
  <si>
    <t xml:space="preserve">
AV. BRIGIDA SILVA DE OCHOA NRO. 239 INT. 703A URB. PANDO II ETAPA LIMA - LIMA - SAN MIGUEL</t>
  </si>
  <si>
    <t xml:space="preserve">	QUIROZ CARDENAS CARLA EVELING</t>
  </si>
  <si>
    <t>13855981</t>
  </si>
  <si>
    <t xml:space="preserve">
JR. GENERAL VIDAL NRO. 597 (ESPALDA HOSPITAL DEL NIñO) LIMA - LIMA - BREÑA</t>
  </si>
  <si>
    <t xml:space="preserve">	RIOS PORTILLA DE RIOS MAGNA TARCILA</t>
  </si>
  <si>
    <t>11760308</t>
  </si>
  <si>
    <t>TECNOFIL S A</t>
  </si>
  <si>
    <t xml:space="preserve">
CAL.ISIDRO BONIFAZ NRO. 471 (COSTADO DE SENATI) LIMA - LIMA - INDEPENDENCIA</t>
  </si>
  <si>
    <t>06521790</t>
  </si>
  <si>
    <t>AGUIRRE ARRIZ RICARDO ARISTIDES</t>
  </si>
  <si>
    <t>01229656</t>
  </si>
  <si>
    <t>09241889</t>
  </si>
  <si>
    <t>SARMIENTO ARAYA ROBINSON OSCAR</t>
  </si>
  <si>
    <t>09375033</t>
  </si>
  <si>
    <t>MAJLUF CUNEO SALVADOR JUAN MIGUEL</t>
  </si>
  <si>
    <t>09866775</t>
  </si>
  <si>
    <t>MAJLUF BRAHIM JOSE ANTONIO</t>
  </si>
  <si>
    <t xml:space="preserve">	MAJLUF BRAHIM MIGUEL MARTIN</t>
  </si>
  <si>
    <t>CICERO PEREIRA DANIEL</t>
  </si>
  <si>
    <t xml:space="preserve">
JR. ECUADOR NRO. 787 (ALT CUADRA 10 AV ARGENTINA) LIMA - LIMA - LIMA</t>
  </si>
  <si>
    <t>06119495</t>
  </si>
  <si>
    <t>LAU FELIX FELICITA ELBA</t>
  </si>
  <si>
    <t>11012839</t>
  </si>
  <si>
    <t>06712747</t>
  </si>
  <si>
    <t>LUJAN QUIROZ DE RIVAS MARIA ROSALINDA</t>
  </si>
  <si>
    <t>07815599</t>
  </si>
  <si>
    <t xml:space="preserve">	GAVIRIA RAYMOND RICARDO</t>
  </si>
  <si>
    <t>07920732</t>
  </si>
  <si>
    <t>KANASHIRO CHINEN LUIS ALBERTO</t>
  </si>
  <si>
    <t>08274925</t>
  </si>
  <si>
    <t>BOGGIANO DE LAS CASAS LUCIANA</t>
  </si>
  <si>
    <t>09180657</t>
  </si>
  <si>
    <t>CATACORA ACOSTA FIDEL HUGO</t>
  </si>
  <si>
    <t>09540100</t>
  </si>
  <si>
    <t>MENDOZA MUJICA KATIA GRISELDA</t>
  </si>
  <si>
    <t>10093085</t>
  </si>
  <si>
    <t>ACOSTA LOPEZ ESTELINDA</t>
  </si>
  <si>
    <t>10296601</t>
  </si>
  <si>
    <t xml:space="preserve">	RIVERA NUÑEZ EDDY LUDWIN</t>
  </si>
  <si>
    <t>40318883</t>
  </si>
  <si>
    <t xml:space="preserve">	MELENDEZ LIMAYLLA ANDY JHON</t>
  </si>
  <si>
    <t>44722199</t>
  </si>
  <si>
    <t>PICASSO ELEJALDE FRANCISCO</t>
  </si>
  <si>
    <t>46086493</t>
  </si>
  <si>
    <t>HURTADO PEREZ RICARDO ARTURO</t>
  </si>
  <si>
    <t xml:space="preserve">
AV. NICOLAS AYLLON NRO. 5695 INT. 405 LIMA - LIMA - ATE</t>
  </si>
  <si>
    <t>07519728</t>
  </si>
  <si>
    <t>NAVARRO MONTEAGUDO ENRIQUE</t>
  </si>
  <si>
    <t>12927744</t>
  </si>
  <si>
    <t>MZA. C LOTE. 12 INT. 2 URB. VILLA UNIVERSITARIA (COLEGIO VILLA AMERICA) LIMA - LIMA - SAN MARTIN DE PORRES</t>
  </si>
  <si>
    <t>46654837</t>
  </si>
  <si>
    <t>VELIZ DAVILA MIGUEL ANGEL</t>
  </si>
  <si>
    <t>14289678</t>
  </si>
  <si>
    <t xml:space="preserve">
CAL.SANTA SOFIA NRO. 163 URB. LOS SAUCES LIMA - LIMA - ATE</t>
  </si>
  <si>
    <t>40714029</t>
  </si>
  <si>
    <t>VALENCIA DEL AGUILA VIVIANA</t>
  </si>
  <si>
    <t>11665803</t>
  </si>
  <si>
    <t>08781675</t>
  </si>
  <si>
    <t xml:space="preserve">	VALENCIA ORRILLO JAIME</t>
  </si>
  <si>
    <t>DEPOSITOS QUIMICOS MINEROS S.A.</t>
  </si>
  <si>
    <t xml:space="preserve">
AV. ENRIQUE MEIGGS NRO. 240 URB. CHACARITAS (1 CDRA PLAZA CONSTITUCION) PROV. CONST. DEL CALLAO - PROV. CONST. DEL CALLAO - CALLAO</t>
  </si>
  <si>
    <t xml:space="preserve">	RODRIGUES MUÑOA JUAN DE DIOS</t>
  </si>
  <si>
    <t>11066531</t>
  </si>
  <si>
    <t>ALVARADO QUEZADA ROMMEL ALONSO</t>
  </si>
  <si>
    <t>09870546</t>
  </si>
  <si>
    <t>GRANTHON VENTURA RENZO</t>
  </si>
  <si>
    <t>09339769</t>
  </si>
  <si>
    <t>INURRITEGUI BURGA CISNEROS CARLOS JOSE</t>
  </si>
  <si>
    <t>07185084</t>
  </si>
  <si>
    <t xml:space="preserve">	VASQUEZ MOLOCHO JOSE ELISEO</t>
  </si>
  <si>
    <t xml:space="preserve">
AV. INCA G. DE LA VEGA NRO. 1348 DPTO. 1B INT. 131 LIMA - LIMA - LIMA</t>
  </si>
  <si>
    <t>08135899</t>
  </si>
  <si>
    <t>LARA VIVAS RAFAEL FABIAN</t>
  </si>
  <si>
    <t>13203070</t>
  </si>
  <si>
    <t xml:space="preserve">
CAL.4 MZA. H LOTE. 07 ASOC LAS CASUARINAS DE ST LIMA - LIMA - SAN MARTIN DE PORRES</t>
  </si>
  <si>
    <t>43411271</t>
  </si>
  <si>
    <t xml:space="preserve">	QUISPE YANQUI EBER</t>
  </si>
  <si>
    <t>13058565</t>
  </si>
  <si>
    <t xml:space="preserve">
AV. SAN JUAN (1°,2°,3° PISO, AZOTEA Y SÓTANO) LOTE. 2 ASC. DE PEQUEÑOS PRODUCTORES DEL FUNDO CHACRA CERRO Y CAUDEVILLA LIMA - LIMA - COMAS</t>
  </si>
  <si>
    <t xml:space="preserve">	PASCO FLORES KAREN MARIANELLA</t>
  </si>
  <si>
    <t>01547224</t>
  </si>
  <si>
    <t>CAL.LOS HELECHOS NRO. 150 URB. SALAMANCA LIMA - LIMA - ATE</t>
  </si>
  <si>
    <t xml:space="preserve">	AYALA VILCHEZ LEONARDO IVAN</t>
  </si>
  <si>
    <t>12679409</t>
  </si>
  <si>
    <t>SALAZAR OBALLE JIMMY DARCY</t>
  </si>
  <si>
    <t xml:space="preserve">
CAL.GUADALUPE NRO. 555 Z.I. MZA. M DPTO. 601 LOTE. A 2A LOT. INDUSTRIAL LA ESTRELLA TORRE H LIMA - LIMA - ATE</t>
  </si>
  <si>
    <t>46755783</t>
  </si>
  <si>
    <t xml:space="preserve">	MIRES ROJAS ELVIS NILTON</t>
  </si>
  <si>
    <t>13978000</t>
  </si>
  <si>
    <t>MZA. 28 LOTE. 18 DPTO. 664 INT. 15 URB. DEL FUNDO MATUTE (ENTRADA POR PROLONGACION PARINACOCHAS) LIMA - LIMA - LA VICTORIA</t>
  </si>
  <si>
    <t>10586741</t>
  </si>
  <si>
    <t xml:space="preserve">	MESIAS NAVARRO VICTOR EDUARDO</t>
  </si>
  <si>
    <t>12468021</t>
  </si>
  <si>
    <t>AV. ARGENTINA NRO. 3065 LIMA - LIMA - LIMA</t>
  </si>
  <si>
    <t>09141213</t>
  </si>
  <si>
    <t xml:space="preserve">	BOURONCLE CARO ANTONIO HUMBERTO</t>
  </si>
  <si>
    <t xml:space="preserve">	11016370</t>
  </si>
  <si>
    <t>08728752</t>
  </si>
  <si>
    <t>PATIÑO PACHAS MARIA ANGELA</t>
  </si>
  <si>
    <t>07786054</t>
  </si>
  <si>
    <t xml:space="preserve">	DIESELDORFF GALARRETA HEINRICH RUDOLF</t>
  </si>
  <si>
    <t>PRESIDENTE DIRECTORIO</t>
  </si>
  <si>
    <t>BOURONCLE CARO MIGUEL ADOLFO</t>
  </si>
  <si>
    <t xml:space="preserve">
JR. UNION NRO. 1198 BAR. ARANJUEZ LA LIBERTAD - TRUJILLO - TRUJILLO</t>
  </si>
  <si>
    <t xml:space="preserve">	GONZALES SALVADOR PEDRO WILSON</t>
  </si>
  <si>
    <t>11333730</t>
  </si>
  <si>
    <t>CAL.BELEN NRO. 334 INT. 6 (FTE CONSULTORIO DR. ROLDAN) LIMA - HUARAL - CHANCAY</t>
  </si>
  <si>
    <t xml:space="preserve">	GARCIA MUÑOZ LOT JARED</t>
  </si>
  <si>
    <t>13150406</t>
  </si>
  <si>
    <t xml:space="preserve">
JR. POMABAMBA NRO. 399 LIMA - LIMA - LIMA</t>
  </si>
  <si>
    <t>40393505</t>
  </si>
  <si>
    <t xml:space="preserve">	AGUILAR CULLAMPE PERSI</t>
  </si>
  <si>
    <t>13149260</t>
  </si>
  <si>
    <t xml:space="preserve">
AV. SIMON BOLIVAR MZA. A LOTE. 04 URB. CUEVA 1ERA ETAPA LIMA - LIMA - PUEBLO LIBRE (MAGDALENA VIEJA)</t>
  </si>
  <si>
    <t>41864499</t>
  </si>
  <si>
    <t>ALBORNOZ CASTILLO CARMEN YOVANA</t>
  </si>
  <si>
    <t>12239487</t>
  </si>
  <si>
    <t xml:space="preserve">
MZA. G LOTE. 6 ASC. SEÑOR DE LA SOLEDAD (A 5 CDRAS DE PISCINA LAS RES RUEDAS) LIMA - LIMA - PUENTE PIEDRA</t>
  </si>
  <si>
    <t>43418765</t>
  </si>
  <si>
    <t>TOVAR JINES OMAR ARTURO</t>
  </si>
  <si>
    <t>13838779</t>
  </si>
  <si>
    <t xml:space="preserve">
JR. PALLCAMARCA NRO. 179 URB. TUPAC AMARU (ALT. CDRA. 6 AV. JOSE G. CONDORCANQUI) LIMA - LIMA - INDEPENDENCIA</t>
  </si>
  <si>
    <t>2814 - FABRICACIÓN DE COJINETES, ENGRANAJES, TRENES DE ENGRANAJES Y PIEZAS DE TRANSMISIÓN</t>
  </si>
  <si>
    <t>10158205</t>
  </si>
  <si>
    <t>DE LA CRUZ RODRIGUEZ EDUARD RUBER</t>
  </si>
  <si>
    <t>12733261</t>
  </si>
  <si>
    <t>09791199</t>
  </si>
  <si>
    <t xml:space="preserve">	DE LA CRUZ RODRIGUEZ HECTOR ROLANDO</t>
  </si>
  <si>
    <t>CAL.LAS FICARIAS NRO. 3828 URB. LAS PALMERAS II ETAPA (ALTURA CUADRA 7 AV CARLOS IZAGUIRRE) LIMA - LIMA - LOS OLIVOS</t>
  </si>
  <si>
    <t>80632188</t>
  </si>
  <si>
    <t>BARRA CANTARO RITA ISABEL</t>
  </si>
  <si>
    <t xml:space="preserve">	13817100</t>
  </si>
  <si>
    <t>43083758</t>
  </si>
  <si>
    <t xml:space="preserve">	RAMOS DIAZ CARMEN DEL PILAR</t>
  </si>
  <si>
    <t>PURIFICARE PERU S.A.C.</t>
  </si>
  <si>
    <t>CAL.LOS TALLADORES NRO. 424 URB. INDUSTRIAL DEL ARTESANO LIMA - LIMA - ATE</t>
  </si>
  <si>
    <t>40675078</t>
  </si>
  <si>
    <t xml:space="preserve">	SULCA QUISPE DE VALENCIA MILDRED</t>
  </si>
  <si>
    <t>13069423</t>
  </si>
  <si>
    <t xml:space="preserve">
CAL.LOS EJES NRO. 101 URB. LA MILLA (ALT.CDRA. 8 DE AV.TOMAS VALLE) LIMA - LIMA - SAN MARTIN DE PORRES</t>
  </si>
  <si>
    <t>11240425</t>
  </si>
  <si>
    <t>08619185</t>
  </si>
  <si>
    <t xml:space="preserve">
MZA. A LOTE. 20 SEC. SECTOR 02, GRUPO 26 LIMA - LIMA - VILLA EL SALVADOR</t>
  </si>
  <si>
    <t xml:space="preserve">	CCORIMANYA HUAMAN CESAR EUGENIO</t>
  </si>
  <si>
    <t>13205953</t>
  </si>
  <si>
    <t>CERNA BUSTAMANTE ELIANA</t>
  </si>
  <si>
    <t>00820989</t>
  </si>
  <si>
    <t>09399978</t>
  </si>
  <si>
    <t>CERNA BUSTAMANTE SANTIAGO ARMANDO</t>
  </si>
  <si>
    <t>07269314</t>
  </si>
  <si>
    <t>BUSTAMANTE SEMINARIO DE CERNA NELLY UMBELINA</t>
  </si>
  <si>
    <t>07269105</t>
  </si>
  <si>
    <t>CERNA AYALA SANTIAGO</t>
  </si>
  <si>
    <t xml:space="preserve">
MZA. A9 LOTE. 28 ASC. DE VIVIENDA EL ROSAL DE SANTA ANITA (ATE VITARTE.ALT EX FABRICA SURGE) LIMA - LIMA - ATE</t>
  </si>
  <si>
    <t>40825027</t>
  </si>
  <si>
    <t>LOBATON GASPAR JOSE ANTONIO</t>
  </si>
  <si>
    <t>12896704</t>
  </si>
  <si>
    <t>AV. TUPAC AMARU NRO. 948 URB. LA LIBERTAD LIMA - LIMA - COMAS</t>
  </si>
  <si>
    <t>44722498</t>
  </si>
  <si>
    <t>FERIA QUISPE HENRY LEONEL</t>
  </si>
  <si>
    <t>13845031</t>
  </si>
  <si>
    <t xml:space="preserve">
MZA. F1 LOTE. 24 URB. SAN DIEGO VIPOL (ALT. KM 22 PNA NORTE) LIMA - LIMA - SAN MARTIN DE PORRES</t>
  </si>
  <si>
    <t>05323915</t>
  </si>
  <si>
    <t xml:space="preserve">	REYNA BALDEON MARIA ERNESTINA</t>
  </si>
  <si>
    <t>12518119</t>
  </si>
  <si>
    <t>MZA. M1 LOTE. 3 P.J. SAN HILARION (ALT.PARADERO 18 DE AV.LAS FLORES) LIMA - LIMA - SAN JUAN DE LURIGANCHO</t>
  </si>
  <si>
    <t>32780943</t>
  </si>
  <si>
    <t>BOCANEGRA CATALAN YIME FRANKLIN</t>
  </si>
  <si>
    <t>11762011</t>
  </si>
  <si>
    <t>JR. FRANCISCO DE ZELA NRO. 1869 INT. 1403 LIMA - LIMA - LINCE</t>
  </si>
  <si>
    <t>40643043</t>
  </si>
  <si>
    <t xml:space="preserve">	ARROYO PALACIOS ALEJANDRO JAVIER</t>
  </si>
  <si>
    <t>13820582</t>
  </si>
  <si>
    <t xml:space="preserve">
JR. CASTROVIRREYNA NRO. 141 LIMA - LIMA - BREÑA</t>
  </si>
  <si>
    <t>32971618</t>
  </si>
  <si>
    <t xml:space="preserve">	BERNUY CARBAJAL MICHEL RENI</t>
  </si>
  <si>
    <t>11265244</t>
  </si>
  <si>
    <t>RUFINO TORRICO NRO. 889 DPTO. 209 (ALT.HOTEL CRILLON) LIMA - LIMA - LIMA</t>
  </si>
  <si>
    <t>07911965</t>
  </si>
  <si>
    <t xml:space="preserve">	ALVARADO PITMAN CESAR RAMON</t>
  </si>
  <si>
    <t>11842009</t>
  </si>
  <si>
    <t>CAL.LOS RUISEÑORES NRO. 873A URB. SANTA ANITA 2DO SECT (ALT DEL CAMPO UNIV DE LA UNI SAN MARTIN) LIMA - LIMA - SANTA ANITA</t>
  </si>
  <si>
    <t>32977380</t>
  </si>
  <si>
    <t xml:space="preserve">	TINTA ESPINOZA FERNANDO MILLER</t>
  </si>
  <si>
    <t>13928063</t>
  </si>
  <si>
    <t>GR UCV 200B LOTE. 40 A.H. HUAYCAN ZONA Q LIMA - LIMA - ATE</t>
  </si>
  <si>
    <t>43261527</t>
  </si>
  <si>
    <t>CARHUANCHO APACLLA CESAR JESUS</t>
  </si>
  <si>
    <t>14177456</t>
  </si>
  <si>
    <t xml:space="preserve">
AV. CIRCUNVALACION DEL CLUB GOLF LOS INCAS NRO. 154 INT. 504 URB. LOTIZACION CLUB GOLF LOS INCAS (A UNA CDRA. DE LA UNIVERSIDAD DE LIMA) LIMA - LIMA - SANTIAGO DE SURCO</t>
  </si>
  <si>
    <t>10060872</t>
  </si>
  <si>
    <t xml:space="preserve">	SALAZAR DIEZ CANSECO INES</t>
  </si>
  <si>
    <t>12328149</t>
  </si>
  <si>
    <t>09376378</t>
  </si>
  <si>
    <t>SAN MARTIN TUDELA JOSE JOAQUIN</t>
  </si>
  <si>
    <t>AV. LOS PARACAS NRO. 232 DPTO. 601 INT. A URB. LOS RECAUDADORES LIMA - LIMA - ATE</t>
  </si>
  <si>
    <t>RUIZ LOPEZ RONALD</t>
  </si>
  <si>
    <t>11813215</t>
  </si>
  <si>
    <t xml:space="preserve">
AV. PERUANIDAD MZA. P LOTE. 17 A.H. COSTA AZUL PROV. CONST. DEL CALLAO - PROV. CONST. DEL CALLAO - VENTANILLA</t>
  </si>
  <si>
    <t>VARGAS HUAMAN LUIS ALBERTO</t>
  </si>
  <si>
    <t>70735938</t>
  </si>
  <si>
    <t xml:space="preserve">
MZA. N LOTE. 20 URB. ESMERALDA ETAPA II LIMA - LIMA - CARABAYLLO</t>
  </si>
  <si>
    <t xml:space="preserve">	AQUINO GUILLEN WALTER JESUS</t>
  </si>
  <si>
    <t>12217177</t>
  </si>
  <si>
    <t>JR. ANTONIO RAYMONDI NRO. 289 INT. 1 BAR. CENTRO (S 70615048 2 PISO 1/2 CDRA PARQ SANTA RO) HUANCAVELICA - HUANCAVELICA - HUANCAVELICA</t>
  </si>
  <si>
    <t>47572241</t>
  </si>
  <si>
    <t>GOMEZ QUISPE ALISSA KATHERINE</t>
  </si>
  <si>
    <t>11037380</t>
  </si>
  <si>
    <t xml:space="preserve">
MZA. E LOTE. 26 A.H. BALNEARIO IV SEC B PRY (ESPALDA DE PACHACUTEC) PROV. CONST. DEL CALLAO - PROV. CONST. DEL CALLAO - VENTANILLA</t>
  </si>
  <si>
    <t>43073724</t>
  </si>
  <si>
    <t>OVALLE RAMOS JAIME</t>
  </si>
  <si>
    <t>70616863</t>
  </si>
  <si>
    <t>CAL.SOLEDAD NRO. 111 (CRUCE ENTRE CACERES Y RICARDO PALMA) LORETO - MAYNAS - IQUITOS</t>
  </si>
  <si>
    <t>MAYNAS</t>
  </si>
  <si>
    <t>IQUITOS</t>
  </si>
  <si>
    <t>45742863</t>
  </si>
  <si>
    <t>BARDALES PACAYA PAULO PERCY</t>
  </si>
  <si>
    <t>GERENTE DE OPERACIONES</t>
  </si>
  <si>
    <t>05849652</t>
  </si>
  <si>
    <t>BARDALES BARDALES ROBERTO</t>
  </si>
  <si>
    <t>PJ. MATERIALES NRO. 601 (CRUCE AV. UNIVERSITARIA Y AV. MATERIALES) LIMA - LIMA - LIMA</t>
  </si>
  <si>
    <t xml:space="preserve">	ESPINOZA LINARES LORENZO ALBERTO</t>
  </si>
  <si>
    <t>70261945</t>
  </si>
  <si>
    <t>ROJAS GOMEZ PERCY</t>
  </si>
  <si>
    <t xml:space="preserve">
AV. ARGENTINA NRO. 2078 (ALTURA DE DUEÑAS CON ARGENTINA) LIMA - LIMA - LIMA</t>
  </si>
  <si>
    <t>15992582</t>
  </si>
  <si>
    <t>CALDERON VILCATOMA EDUARDO DOMINGO</t>
  </si>
  <si>
    <t>13229755</t>
  </si>
  <si>
    <t>CAL.LOS TOMILLOS NRO. 116 URB. LOS JARDINES DE SAN JUAN ET. DOS LIMA - LIMA - SAN JUAN DE LURIGANCHO</t>
  </si>
  <si>
    <t>42986969</t>
  </si>
  <si>
    <t>CAMARENA VASQUEZ LUIS RICARDO ANDRE</t>
  </si>
  <si>
    <t>11826327</t>
  </si>
  <si>
    <t>CAL.29 MZA. A3 LOTE. 26 CIUDAD DEL PESCADOR (2 PIDO - ALT. CDRA. 11 AV. VENEZUELA) PROV. CONST. DEL CALLAO - PROV. CONST. DEL CALLAO - BELLAVISTA</t>
  </si>
  <si>
    <t>25616782</t>
  </si>
  <si>
    <t xml:space="preserve">	PACHERRES MOGOLLON CESAR AUGUSTO</t>
  </si>
  <si>
    <t xml:space="preserve">
AV. SANTA ROSA NRO. 304 URB. VILLA SANTA ANITA LIMA - LIMA - SANTA ANITA</t>
  </si>
  <si>
    <t>16789579</t>
  </si>
  <si>
    <t>REQUE NECIOSUP PAULO CESAR</t>
  </si>
  <si>
    <t>12832506</t>
  </si>
  <si>
    <t xml:space="preserve">
CAL.SAN FELIPE NRO. 486 URB. VILLA MARINA LIMA - LIMA - CHORRILLOS</t>
  </si>
  <si>
    <t>76567400</t>
  </si>
  <si>
    <t>CORCELLES BUSCH JOSE ALONSO</t>
  </si>
  <si>
    <t>12022939</t>
  </si>
  <si>
    <t>41449675</t>
  </si>
  <si>
    <t xml:space="preserve">	CORCELLES ACOSTA MARIA FABIOLA</t>
  </si>
  <si>
    <t>09156607</t>
  </si>
  <si>
    <t xml:space="preserve">	BUSCH MARIÑO JESSICA CECILIA</t>
  </si>
  <si>
    <t xml:space="preserve">
CAL.UNION MZA. F1 LOTE. 19A OTR. PARQUE INDUSTRIAL LIMA - LIMA - VILLA EL SALVADOR</t>
  </si>
  <si>
    <t>YAGKUAG AMPAM EDWIN</t>
  </si>
  <si>
    <t>14529375</t>
  </si>
  <si>
    <t xml:space="preserve">
CAL.LOS TALLADORES NRO. 446 URB. INDUSTRIAL LOS ARTESANOS (ALT. CDRA. 4 LOS FRUTALES) LIMA - LIMA - ATE</t>
  </si>
  <si>
    <t xml:space="preserve">	BAZAN VELAZCO DAVID MARTIN</t>
  </si>
  <si>
    <t>11024688</t>
  </si>
  <si>
    <t>JR. LAS ANONAS MZA. A LOTE. 08 URB. LA VIÑA LIMA - LIMA - SAN JUAN DE LURIGANCHO</t>
  </si>
  <si>
    <t>44981391</t>
  </si>
  <si>
    <t xml:space="preserve">	MARTINEZ CCERHUAYO WILLIAM</t>
  </si>
  <si>
    <t>14626479</t>
  </si>
  <si>
    <t>MZA. F LOTE. 7 A.H. 15 DE SETIEMBRE (FRENTE A LA AUTONOMA) LIMA - LIMA - SAN JUAN DE MIRAFLORES</t>
  </si>
  <si>
    <t>SAN JUAN DE MIRAFLOES</t>
  </si>
  <si>
    <t>31648201</t>
  </si>
  <si>
    <t xml:space="preserve">	ROSALES SANCHEZ ROGER VICTOR</t>
  </si>
  <si>
    <t>14101143</t>
  </si>
  <si>
    <t>BL. 2 MZA. G LOTE. 8 DPTO. 403 CND. CIUDAD SOL DE COLLIQUE (CRUCE ENTRE RETABLO Y MICAELA) LIMA - LIMA - COMAS</t>
  </si>
  <si>
    <t>62067198</t>
  </si>
  <si>
    <t>CABRERA BARBARAN DANITZA NICOLLE</t>
  </si>
  <si>
    <t>13677724</t>
  </si>
  <si>
    <t xml:space="preserve">
AV. EL ZINC NRO. 141 URB. INDUSTRIAL INFANTAS LIMA - LIMA - LOS OLIVOS</t>
  </si>
  <si>
    <t>06850625</t>
  </si>
  <si>
    <t xml:space="preserve">	DIONISIO CALDERON DAVID</t>
  </si>
  <si>
    <t>12959885</t>
  </si>
  <si>
    <t xml:space="preserve">
CAL.CUATRO MZA. B1 LOTE. 18 URB. INDUSTRIAL LAS VEGAS (ESPALDA DE FABRICA DE HIELO) LIMA - LIMA - PUENTE PIEDRA</t>
  </si>
  <si>
    <t>2021 - FABRICACIÓN DE PLAGUICIDAS Y OTROS PRODUCTOS QUÍMICOS DE USO AGROPECUARIO</t>
  </si>
  <si>
    <t>08193902</t>
  </si>
  <si>
    <t xml:space="preserve">	NYCANDER VON MASSENBACH JAVIER GUILLERMO</t>
  </si>
  <si>
    <t>00258024</t>
  </si>
  <si>
    <t>08193031</t>
  </si>
  <si>
    <t>NYCANDER VON MASSENBACH AXEL FREDERICH</t>
  </si>
  <si>
    <t>06417407</t>
  </si>
  <si>
    <t>NYCANDER VON MASSENBACH RICHARD JAVIER</t>
  </si>
  <si>
    <t xml:space="preserve">
CAL.ALFONSO BERNAL MONTOYA NRO. 1020 URB. SAN AMADEO DE GARAGAY LIMA - LIMA - SAN MARTIN DE PORRES</t>
  </si>
  <si>
    <t xml:space="preserve">	VASQUEZ SOLIS ESTRADA MARCO ANTONIO</t>
  </si>
  <si>
    <t>11656388</t>
  </si>
  <si>
    <t>URRUTIA ARAGON MIGUEL ANGEL</t>
  </si>
  <si>
    <t xml:space="preserve">
AV. NESTOR GAMBETTA NRO. 4769 FND. FDO BOCANEGRA (ALTURA DE LOS FERROLES) PROV. CONST. DEL CALLAO - PROV. CONST. DEL CALLAO - CALLAO</t>
  </si>
  <si>
    <t>25800326</t>
  </si>
  <si>
    <t xml:space="preserve">	VILLALVA AMAYA VICTOR ENRIQUE</t>
  </si>
  <si>
    <t>70259567</t>
  </si>
  <si>
    <t>10059899</t>
  </si>
  <si>
    <t>COSTA PASTORI AUGUSTO GIOVANNI</t>
  </si>
  <si>
    <t>09175538</t>
  </si>
  <si>
    <t xml:space="preserve">	COSTA FERRAND AUGUSTO MANUEL C</t>
  </si>
  <si>
    <t>07842197</t>
  </si>
  <si>
    <t>VILLAR GAMERO SERGIO ANTONIO BERNARDO</t>
  </si>
  <si>
    <t xml:space="preserve">
CAL.LOS ARCHIPIELAGOS MZA. C LOTE. 10C URB. LA CAPITANA (SANTA MARIA DE HUACHIPA) LIMA - LIMA - LURIGANCHO</t>
  </si>
  <si>
    <t>LURINGANCHO</t>
  </si>
  <si>
    <t>0990 - ACTIVIDADES DE APOYO PARA OTRAS ACTIVIDADES DE EXPLOTACIÓN DE MINAS Y CANTERAS</t>
  </si>
  <si>
    <t xml:space="preserve">	VARGAS POMACHAGUA EDGAR HENRY</t>
  </si>
  <si>
    <t>11909891</t>
  </si>
  <si>
    <t xml:space="preserve">
AV. REPUBLICA DE PANAMA NRO. 3563 INT. 501 URB. EL PALOMAR LIMA - LIMA - SAN ISIDRO</t>
  </si>
  <si>
    <t>09157462</t>
  </si>
  <si>
    <t xml:space="preserve">	TORPOCO CERRON RAUL VICTORIANO</t>
  </si>
  <si>
    <t>01384074</t>
  </si>
  <si>
    <t>07269271</t>
  </si>
  <si>
    <t xml:space="preserve">	TORPOCO VILADEGUT ROSARIO DEL CARMEN</t>
  </si>
  <si>
    <t>AV. LAS AZUCENAS MZA. F LOTE. 1 INT. 1 A.V. ASOCIACION CHILLON (1RA. ENTRADA DE PRO O PARADERO LINEA 87) LIMA - LIMA - PUENTE PIEDRA</t>
  </si>
  <si>
    <t>2823 - FABRICACIÓN DE MAQUINARIA METALÚRGICA</t>
  </si>
  <si>
    <t>42348957</t>
  </si>
  <si>
    <t xml:space="preserve">	RUIZ CARDENAS ROCIO DEL PILAR</t>
  </si>
  <si>
    <t>12165650</t>
  </si>
  <si>
    <t xml:space="preserve">
AV. PETIT THOUARS NRO. 5075 DPTO. 4 LIMA - LIMA - MIRAFLORES</t>
  </si>
  <si>
    <t>21519765</t>
  </si>
  <si>
    <t>VASQUEZ BARRIOS ALFREDO BALTAZAR</t>
  </si>
  <si>
    <t>11970918</t>
  </si>
  <si>
    <t>CAR.PANAMERICANA SUR KM.19 NRO. MZ-F INT. LT.2 FND. ASOC. LA CONCORDIA (MARGEN IZQUIERDA) LIMA - LIMA - VILLA EL SALVADOR</t>
  </si>
  <si>
    <t>1702 - FABRICACIÓN DE PAPEL Y CARTÓN ONDULADO Y DE ENVASES DE PAPEL Y CARTÓN</t>
  </si>
  <si>
    <t>GONZALEZ SALAS RICARDO</t>
  </si>
  <si>
    <t>11088007</t>
  </si>
  <si>
    <t>REYNA CICCIA SANTIAGO MIGUEL</t>
  </si>
  <si>
    <t xml:space="preserve">
CAL.JR FELIX LOYOLA PISO 1 NRO. 174 URB. EL BOSQUE LIMA - LIMA - RIMAC</t>
  </si>
  <si>
    <t>02432932</t>
  </si>
  <si>
    <t>CONDORI CALLATA EBERT HERNAN</t>
  </si>
  <si>
    <t>11090679</t>
  </si>
  <si>
    <t>AV. 2 DE MAYO NRO. 516 INT. 201 (OF. 201) LIMA - LIMA - MIRAFLORES</t>
  </si>
  <si>
    <t>45876393</t>
  </si>
  <si>
    <t>ROLANDO LEON INGRID GABRIELA</t>
  </si>
  <si>
    <t>14209761</t>
  </si>
  <si>
    <t>FABRITEC GLOBAL COMPANY E.I.R.L.</t>
  </si>
  <si>
    <t>AV. REPUBLICA DE ARGENTINA NRO. 281 INT. AE16 URB. LIMA INDUSTRIAL LIMA - LIMA - LIMA</t>
  </si>
  <si>
    <t>HUARANCCA GUTIERREZ JACKELINE MILAGROS</t>
  </si>
  <si>
    <t xml:space="preserve">	13262082</t>
  </si>
  <si>
    <t>ANDEAN ELECTRONIC S.R.L.</t>
  </si>
  <si>
    <t>JR. HELIO NRO. 5694 URB. INDUSTRIAL INFANTAS LIMA - LIMA - LOS OLIVOS</t>
  </si>
  <si>
    <t>DEAN VALDIVIA INVERSIONES S.A.C.</t>
  </si>
  <si>
    <t>CAL.DEAN VALDIVIA NRO. 227 INT. 201 URB. JARDIN LIMA - LIMA - SAN ISIDRO</t>
  </si>
  <si>
    <t>IPLA CONSULTORES GENERALES S.A.C.</t>
  </si>
  <si>
    <t>OTR.TORRE 2 LOTE. 2 DPTO. 1403 RES. VILLA JACARANDA LIMA - LIMA - COMAS</t>
  </si>
  <si>
    <t>L Y INVERSIONES FLORES S.A.C</t>
  </si>
  <si>
    <t>AV. SANTA ROSA MZA. B LOTE. 9 A.H. 2 DE SETIEMBRE LIMA - LIMA - SAN JUAN DE LURIGANCHO</t>
  </si>
  <si>
    <t>S &amp; P CORPORACION INDUSTRIAL S.A.C. - S &amp; P COIN S.A.C.</t>
  </si>
  <si>
    <t>JR. BAMBAS NRO. 411 INT. 204 URB. LIMA CERCADO LIMA - LIMA - LIMA</t>
  </si>
  <si>
    <t xml:space="preserve">
CAL.MIGUEL DASSO NRO. 153 INT. G URB. SANTA ISABEL LIMA - LIMA - SAN ISIDRO</t>
  </si>
  <si>
    <t>06364150</t>
  </si>
  <si>
    <t>HEMMERDE CLARKE JAMES ROBERT</t>
  </si>
  <si>
    <t>00704598</t>
  </si>
  <si>
    <t>06793606</t>
  </si>
  <si>
    <t xml:space="preserve">	ABARCA CALDERON JUANA ROSA</t>
  </si>
  <si>
    <t>10734688</t>
  </si>
  <si>
    <t>CASTELO HERRERA VERONIKA ELIZABETH</t>
  </si>
  <si>
    <t>FABRICACION MANTENIMIENTO ELECTROMECANICO Y CONSTRUCCION S.A.C.-FAMELCO S.A.C.</t>
  </si>
  <si>
    <t xml:space="preserve">
CAL.RIO HUAURA NRO. 5423 URB. VILLA DEL NORTE (CRUZANDO LA AV. MARAÑON CON PALMERAS) LIMA - LIMA - LOS OLIVOS</t>
  </si>
  <si>
    <t>OROYA INFANTES CRISTIAN DAVID</t>
  </si>
  <si>
    <t>13797249</t>
  </si>
  <si>
    <t xml:space="preserve">
JR. NAZCA NRO. 240 LIMA - LIMA - JESUS MARIA</t>
  </si>
  <si>
    <t>15433783</t>
  </si>
  <si>
    <t>DE LA CRUZ BRAVO DENNIS DANTE</t>
  </si>
  <si>
    <t>11864757</t>
  </si>
  <si>
    <t>POLYMERS COATINGS &amp; ADHESIVES SOLUTIONS S.A.C. - POLYCOAS S.A.C.</t>
  </si>
  <si>
    <t>CAL.GENERAL JOSE RAMON PIZARRO NRO. 980 DPTO. 201 URB. COLMENARES (PISO 2) LIMA - LIMA - PUEBLO LIBRE (MAGDALENA VIEJA)</t>
  </si>
  <si>
    <t>20076192</t>
  </si>
  <si>
    <t>VEGA MERINO JOSE LUIS</t>
  </si>
  <si>
    <t>12218030</t>
  </si>
  <si>
    <t>A &amp; G ELECTRICAL SERVICE S.A.C.</t>
  </si>
  <si>
    <t>CAL.RIO PAMPAS MZA. A LOTE. 16 URB. LOS ANGELES LIMA - LIMA - ATE</t>
  </si>
  <si>
    <t>ARCOS CALLE ROY HERLESS</t>
  </si>
  <si>
    <t>TGESTIONA SERVICIOS GLOBALES SOCIEDAD ANONIMA CERRADA - TGESTIONA SERVICIOS GLOBALES S.A.C.</t>
  </si>
  <si>
    <t>AV. JAVIER PRADO ESTE NRO. 3190 URB. JACARANDÁ (PISO 4) LIMA - LIMA - SAN BORJA</t>
  </si>
  <si>
    <t>07828419</t>
  </si>
  <si>
    <t>SANCHEZ ALIAGA JAIME FERNANDO</t>
  </si>
  <si>
    <t xml:space="preserve">14480654	</t>
  </si>
  <si>
    <t>08214592</t>
  </si>
  <si>
    <t>MONTOYA PEREZ JULIO CESAR</t>
  </si>
  <si>
    <t>41804920</t>
  </si>
  <si>
    <t>YUPARI SILVA VANESSA OLENKA</t>
  </si>
  <si>
    <t>WAL &amp; MAR S.A.C.</t>
  </si>
  <si>
    <t>AV. JUAN VICENTE NICOLINI NRO 575 MZA. N LOTE. 2 ASC. VILLA SALUD - 1 LIMA - LIMA - SAN MARTIN DE PORRES</t>
  </si>
  <si>
    <t>42456289</t>
  </si>
  <si>
    <t>SANDOVAL SANCHEZ ENCARNACION MARILU</t>
  </si>
  <si>
    <t>12313093</t>
  </si>
  <si>
    <t>CONTROL Y CALIDAD ELECTRICO E.I.R.L.-CYCEL E.I.R.L.</t>
  </si>
  <si>
    <t>AV. AV. REPUBLICA DE ARGENTINA C.C NICOLINI PASAJE. 8 TIENDA S-17A NRO. 215 URB. LIMA INDUSTRIAL (C.C PLAZA FERRETERO PASAJE C TIENDA 1032) LIMA - LIMA - LIMA</t>
  </si>
  <si>
    <t>DULANTO VASQUEZ WILMAN ISABEL</t>
  </si>
  <si>
    <t>14053600</t>
  </si>
  <si>
    <t>MASTERFIX S.A.C.</t>
  </si>
  <si>
    <t>AV. NICOLAS AYLLON NRO. 2635 LIMA - LIMA - EL AGUSTINO</t>
  </si>
  <si>
    <t>VASQUEZ ROJAS CARLOS FRANCISCO</t>
  </si>
  <si>
    <t>13271780</t>
  </si>
  <si>
    <t>COMPRESORES DE TORNILLO S.A.C.</t>
  </si>
  <si>
    <t>AV. JUAN VELASCO ALVARADO MZA. B LOTE. 3 LIMA - HUAROCHIRI - RICARDO PALMA</t>
  </si>
  <si>
    <t>D &amp; M ENERGY SOLUTIONS S.A.C.</t>
  </si>
  <si>
    <t>CAL.73 A MZA. F LOTE. 29 A.H. LOS OLIVOS DE PRO LIMA - LIMA - LOS OLIVOS</t>
  </si>
  <si>
    <t>LAVI BELTRAN MARJORIE NICOLE</t>
  </si>
  <si>
    <t>AV. CIRCUNVALACION DEL CLUB GOLF LOS INCAS NRO. 154 INT. 801 URB. LOTIZACION CLUB GOLF LOS INCAS (EDIF. CAPITAL - AL LADO DE EDIF. PANORAM) LIMA - LIMA - SANTIAGO DE SURCO</t>
  </si>
  <si>
    <t>07457166</t>
  </si>
  <si>
    <t>LARI CASTAÑON ANTONINO</t>
  </si>
  <si>
    <t>12953007</t>
  </si>
  <si>
    <t>10274878</t>
  </si>
  <si>
    <t>SANCHEZ GALLO LUIS MARTIN</t>
  </si>
  <si>
    <t>CONSORCIO J. EDISON INGENIERIA Y PROYECTOS S.A.C.</t>
  </si>
  <si>
    <t>JR. JUNO NRO. 191 DPTO. 707 URB. LA CAMPIÑA ZONA DOS LIMA - LIMA - CHORRILLOS</t>
  </si>
  <si>
    <t>77499370</t>
  </si>
  <si>
    <t>HUACCHA CALATAYUD VICTOR GERARDO</t>
  </si>
  <si>
    <t>13622927</t>
  </si>
  <si>
    <t>CAL.VICTOR ALZAMORA NRO. 310 DPTO. 203 URB. CASA HUERTA LIMA - LIMA - SURQUILLO</t>
  </si>
  <si>
    <t>46601779</t>
  </si>
  <si>
    <t>DUBOIS MARTINEZ JORDAN ANTONIO</t>
  </si>
  <si>
    <t>13340258</t>
  </si>
  <si>
    <t>ATOCHE NIMA HOMAR</t>
  </si>
  <si>
    <t>Jr Leticia, Galería Leticia 1000 - stand 135 - LIMA - LIMA - LIMA</t>
  </si>
  <si>
    <t>ATOCHE NIMA, HOMAR</t>
  </si>
  <si>
    <t>MZA. B LOTE. 2 ASC. LA GLORIA BAJA LIMA - LIMA - ATE</t>
  </si>
  <si>
    <t>46356073</t>
  </si>
  <si>
    <t>ESTELA BEJARANO GUSTAVO FRANKLIN</t>
  </si>
  <si>
    <t>14502970</t>
  </si>
  <si>
    <t>ELECTRICIDAD INDUSTRIAL CONFIABLE ESPECIALIZADO EN EQUIPOS DE POTENCIA S.A.C.</t>
  </si>
  <si>
    <t>MZA. B LOTE. 7 ASC. ASOC.DE PROPIETARIOS DE VIVIENDA LOS ALAMOS DE NIEVIERIA LIMA - LIMA - LURIGANCHO</t>
  </si>
  <si>
    <t>42833258</t>
  </si>
  <si>
    <t>POMA CUTIMANCO FREDDY</t>
  </si>
  <si>
    <t>14536152</t>
  </si>
  <si>
    <t>OLC INGENIEROS E I R L</t>
  </si>
  <si>
    <t>CAL.LOS NOGALES MZA. M LOTE. 12 URB. SHANGRI-LA LIMA - LIMA - PUENTE PIEDRA</t>
  </si>
  <si>
    <t>07987649</t>
  </si>
  <si>
    <t>CHION LUY OSCAR LUIS</t>
  </si>
  <si>
    <t>T &amp; D FULL AUTOMATION E.I.R.L.</t>
  </si>
  <si>
    <t>JR. MEXICO MZA. 15 LOTE. 18 LIMA - LIMA - LURIN</t>
  </si>
  <si>
    <t>CALLUPE CASTILLO DANILO ROSMEL</t>
  </si>
  <si>
    <t>GST INGENIEROS S.A.C.</t>
  </si>
  <si>
    <t>AV. PEDRO GENARO DELGADO NRO. 432 URB. CONDEVILLA SEÑOR Y VALDIVIESO ET. DOS SC. DOS LIMA - LIMA - SAN MARTIN DE PORRES</t>
  </si>
  <si>
    <t>45987901</t>
  </si>
  <si>
    <t>TICONA HUAMAN JORGE ARMANDO</t>
  </si>
  <si>
    <t>12331041</t>
  </si>
  <si>
    <t>JR. ICA NRO. 3719 INT. PIS1 URB. PERU (PISO 1) LIMA - LIMA - SAN MARTIN DE PORRES</t>
  </si>
  <si>
    <t>08665007</t>
  </si>
  <si>
    <t>DELGADO SARMIENTO FERNANDO ELMER</t>
  </si>
  <si>
    <t>13918974</t>
  </si>
  <si>
    <t>ARGOS EXPORT S.A.</t>
  </si>
  <si>
    <t>CAL.JUAN DEL MAR Y BERNEDO NRO. 1359 URB. CHACRA RIOS SUR (ALT. CUADRA 13 DE TINGOMARIA) LIMA - LIMA - LIMA</t>
  </si>
  <si>
    <t>47494384</t>
  </si>
  <si>
    <t>VIVAS LLANOS JAVIER GIOVANNI</t>
  </si>
  <si>
    <t>03007667</t>
  </si>
  <si>
    <t>CORPORACION ELECTRONIC HIGH POWER S.A.C.</t>
  </si>
  <si>
    <t>AV. ALFREDO MENDIOLA NRO. 6727 (ALT KM 20.6 PANAMERICANA NORTE) LIMA - LIMA - LOS OLIVOS</t>
  </si>
  <si>
    <t>07162223</t>
  </si>
  <si>
    <t>BARDALES GUERRA CAYETANO OSWALDO</t>
  </si>
  <si>
    <t>GTE GENERAL</t>
  </si>
  <si>
    <t>11152458</t>
  </si>
  <si>
    <t>AV. REAL NRO. 460 ASC. LOS MOLLES LIMA - LIMA - SANTA ANITA</t>
  </si>
  <si>
    <t>70439404</t>
  </si>
  <si>
    <t>MONTALVO PAREDES ADERLI GERONIMO</t>
  </si>
  <si>
    <t>13428546</t>
  </si>
  <si>
    <t>ALKA ENERGY SOLUCIONES TECNOLOGICAS S.A.C.</t>
  </si>
  <si>
    <t>AV. EL SOL , SECTOR 02 GRUPO 01 MZA. P LOTE. 03 SEC. 02 LIMA - LIMA - VILLA EL SALVADOR</t>
  </si>
  <si>
    <t>CARDENAS ROBLES PEDRO MIGUEL</t>
  </si>
  <si>
    <t>13466632</t>
  </si>
  <si>
    <t>ACP DREESESA SOCIEDAD ANONIMA CERRADA - ACP DREESESA S.A.C.</t>
  </si>
  <si>
    <t>PJ. TOMAS FARFAN MZA. O LOTE. 30 URB. ANTONIA MORENO DE CACERES PROV. CONST. DEL CALLAO - PROV. CONST. DEL CALLAO - VENTANILLA</t>
  </si>
  <si>
    <t>PALACIOS SOLIS ANTONIA SESILIA</t>
  </si>
  <si>
    <t>70635762</t>
  </si>
  <si>
    <t>FUNDICION CALLAO S A</t>
  </si>
  <si>
    <t>AV. ARGENTINA NRO. 3719 URB. PEDRO RUIZ GALLO PROV. CONST. DEL CALLAO - PROV. CONST. DEL CALLAO - CALLAO</t>
  </si>
  <si>
    <t>INGENIERIA Y SOLUCIONES TECNICAS PERU S.A.C.</t>
  </si>
  <si>
    <t>CAL.FLORES DEL PARAISO MZA. R LOTE. 9 APV. SOL DE SANTA ANITA LIMA - LIMA - SANTA ANITA</t>
  </si>
  <si>
    <t>PERU PIMA SA.</t>
  </si>
  <si>
    <t>AV. ARGENTINA NRO. 5138 URB. PARQUE INTERNACIONAL DE L (FRENTE A LA FABRICA ALICORP) PROV. CONST. DEL CALLAO - PROV. CONST. DEL CALLAO - CALLAO</t>
  </si>
  <si>
    <t>TORPOCO GUEVARA ROY MARCOS</t>
  </si>
  <si>
    <t>AV. PROCERES DE INDEPENDENCIA NRO. 3000 INT. G-7 URB. CANTO GRANDE (CC. MULTIPLAZA PROCERES) LIMA - LIMA - SAN JUAN DE LURIGANCHO</t>
  </si>
  <si>
    <t>CRISTOBAL GALVAN OSMAR WILLIANS</t>
  </si>
  <si>
    <t>CRISTOBAL TRAVEZAÑO OSMAR WILSON</t>
  </si>
  <si>
    <t>JR. TARICA NRO. 5202 URB. VILLA DEL NORTE (2 CDRAS,CRUCE DE AV. NARANJAL Y AV.PALME) LIMA - LIMA - LOS OLIVOS</t>
  </si>
  <si>
    <t>08680025</t>
  </si>
  <si>
    <t>GONZALES RAMIREZ DACIO VICTOR</t>
  </si>
  <si>
    <t>CAL.FERNANDO TOLA NRO. 520A URB. EL ROSARIO (ALTURA 5 DE UNIVERSITARIA) LIMA - LIMA - SAN MARTIN DE PORRES</t>
  </si>
  <si>
    <t>46061411</t>
  </si>
  <si>
    <t>CACERES ARTEAGA DE GONZALES KARLA ELIANA</t>
  </si>
  <si>
    <t>AV. HEROES DEL ALTO CENEPA NRO. 493 --- LIMA - LIMA - COMAS</t>
  </si>
  <si>
    <t>06250406</t>
  </si>
  <si>
    <t>CAMONES DEPAZ PERPETUA ERY</t>
  </si>
  <si>
    <t>13526531</t>
  </si>
  <si>
    <t>AIRE FRIO REFRIGERACION S.R.L.</t>
  </si>
  <si>
    <t>PJ. 6 MZA. H LOTE. 09 ASOC DANIEL ALCI.CARRION (AL COSTADO DE PLAZA VEA DE UNIVERSITARIA) LIMA - LIMA - LOS OLIVOS</t>
  </si>
  <si>
    <t>42688766</t>
  </si>
  <si>
    <t>RAMIREZ MENDOZA JORGE LUIS</t>
  </si>
  <si>
    <t xml:space="preserve">	12595737	</t>
  </si>
  <si>
    <t>RAMIREZ MENDOZA CARMEN ROSA</t>
  </si>
  <si>
    <t>E&amp;S CONTRATISTAS SRL</t>
  </si>
  <si>
    <t>MZA. H LOTE. 6 INT. 201 URB. TRUPAL LA LIBERTAD - TRUJILLO - TRUJILLO</t>
  </si>
  <si>
    <t>QUISPE CALCINA HENRY ELIAS</t>
  </si>
  <si>
    <t>CONTROL AUTOMATION E.I.R.L. - AUTOCON E.I.R.L.</t>
  </si>
  <si>
    <t>AV. PROCERES DE HUANDOY MZA. 72 LOTE. 54 URB. ENRIQUE MILLA LIMA - LIMA - LOS OLIVOS</t>
  </si>
  <si>
    <t>43490049</t>
  </si>
  <si>
    <t>DAVILA BAZAN DANNY JOEL</t>
  </si>
  <si>
    <t>12637015</t>
  </si>
  <si>
    <t>ELECTRONICA Y ELECTRICIDAD DEL PERU S.A.C.- ELECPERU S.A.C</t>
  </si>
  <si>
    <t>JR. JIRON 48 NRO. 430 DPTO. 301 URB. EL PINAR (TERCER PISO, LICEO SANTO TORIBIO) LIMA - LIMA - COMAS</t>
  </si>
  <si>
    <t>44197352</t>
  </si>
  <si>
    <t>ZAVALA MENDOZA GABRIEL ANTONIO</t>
  </si>
  <si>
    <t>12569439</t>
  </si>
  <si>
    <t>BUREAU VERITAS DEL PERU S.A.</t>
  </si>
  <si>
    <t>AV. SANTA CRUZ NRO. 888 INT. 601 LIMA - LIMA - MIRAFLORES</t>
  </si>
  <si>
    <t>06668694</t>
  </si>
  <si>
    <t xml:space="preserve">11375575	</t>
  </si>
  <si>
    <t>RIOS ORTECHO LUIS ANTONIO</t>
  </si>
  <si>
    <t>06989248</t>
  </si>
  <si>
    <t>MIRANDA MORON ALVARO ENRIQUE</t>
  </si>
  <si>
    <t>GUINASSI PORTUGAL RAFAEL LEONARDO</t>
  </si>
  <si>
    <t>41347950</t>
  </si>
  <si>
    <t>NAVARRO CASTAÑOS SERGIO</t>
  </si>
  <si>
    <t>CLIMATECH SOCIEDAD ANONIMA CERRADA</t>
  </si>
  <si>
    <t>CAL.EL PARDILLO NRO. 146 URB. SANTA ANITA SECT. DOS LIMA - LIMA - SANTA ANITA</t>
  </si>
  <si>
    <t>40052012</t>
  </si>
  <si>
    <t>ORTEGA PACHECO RODRIGO</t>
  </si>
  <si>
    <t>12916116</t>
  </si>
  <si>
    <t>TECNIASES SOCIEDAD ANONIMA CERRADA</t>
  </si>
  <si>
    <t>10542898</t>
  </si>
  <si>
    <t>RODRIGUEZ TREJO ALICIA ZENAIDA</t>
  </si>
  <si>
    <t>00100897</t>
  </si>
  <si>
    <t>SINCROTECH S.A.C.</t>
  </si>
  <si>
    <t>PJ. PASEO DE LOS DOMINICOS NRO. 232 DPTO. 403 OTR. CIUDAD SATELITE SANTA ROSA PROV. CONST. DEL CALLAO - PROV. CONST. DEL CALLAO - CALLAO</t>
  </si>
  <si>
    <t>DE LA PIEDRA VELA CESAR KERVIN</t>
  </si>
  <si>
    <t>70627400</t>
  </si>
  <si>
    <t>MANUFACTURAS TERROT S.A.C.</t>
  </si>
  <si>
    <t>AV. NICOLAS DUEÑAS NRO. 863 URB. SAN REMO LIMA - LIMA - LIMA</t>
  </si>
  <si>
    <t>G Y D INGENIERIA DE SERVICIOS S.A.C.</t>
  </si>
  <si>
    <t>CAL.8 MZA. LL LOTE. 23 INT. 3PI ASC. SEñOR DE LOS MILAGROS (PARADERO 2.5 AV. LOS OLIVOS) LIMA - LIMA - SAN MARTIN DE PORRES</t>
  </si>
  <si>
    <t>CLARIAN PERU S.A.C</t>
  </si>
  <si>
    <t>GRUPO CLIMATEC MULTISERVICIOS E.I.R.L.</t>
  </si>
  <si>
    <t>GRUPO JG INGENIERIA SOCIEDAD ANONIMA CERRADA</t>
  </si>
  <si>
    <t>IMARK SOLUCIONES INTEGRALES S.A.C.</t>
  </si>
  <si>
    <t>JC DIGITEK S.A.C.</t>
  </si>
  <si>
    <t>ULTRACORTE PERU MASTER E.I.R.L.</t>
  </si>
  <si>
    <t>SIMET PERU S.A.C.</t>
  </si>
  <si>
    <t>ENGINEERING &amp; SYSTEM SOCIEDAD ANONIMA CERRADA-ENGINEERING &amp; SYSTEM S.A.C.</t>
  </si>
  <si>
    <t>AV. EL SOL NRO. 214 DPTO. 402 URB. CIUDAD Y CAMPO LIMA - LIMA - RIMAC</t>
  </si>
  <si>
    <t>TRANSPORTE RAPIDO Y SEGURO PERU EMPRESA INDIVIDUAL DE RESPONSABILIDAD LIMITADA - TRYS PERU E.I.R.L.</t>
  </si>
  <si>
    <t>AV. CAMINO REAL NRO. SN (FRENT UGEL PORTON VERDE) CUSCO - CUSCO - CUSCO</t>
  </si>
  <si>
    <t>GASOCENTROS Y ESTRUCTURAS METALICAS H.C SOCIEDAD ANONIMA CERRADA - GEMETAL H.C S.A.C.</t>
  </si>
  <si>
    <t>JR. NEVADO ACONCAGUA MZA. C LOTE. 12A URB. STA. ELIZABETH 2DA ETAPA (ALT. PDRO 22 LAS FLORES ESTACION TREN) LIMA - LIMA - SAN JUAN DE LURIGANCHO</t>
  </si>
  <si>
    <t>42059560</t>
  </si>
  <si>
    <t>CARRASCO GONZALO LEONIDAS</t>
  </si>
  <si>
    <t>12331590</t>
  </si>
  <si>
    <t>CAL.EUGENIO DE LA TORRE NRO. 213 DPTO. 202 URB. MARANGA LIMA - LIMA - SAN MIGUEL</t>
  </si>
  <si>
    <t>40740674</t>
  </si>
  <si>
    <t>BAUTISTA ROMERO YURI</t>
  </si>
  <si>
    <t>14144731</t>
  </si>
  <si>
    <t>HANCCO S.A.C.</t>
  </si>
  <si>
    <t>CAL.3 MZA. D LOTE. 16 CRUZ DE MOTUPE (GRUPO 2 ALTURA PARADERO 8 DE AV. WIESSE) LIMA - LIMA - SAN JUAN DE LURIGANCHO</t>
  </si>
  <si>
    <t>LOPEZ HANCCO ENZO</t>
  </si>
  <si>
    <t>11999480</t>
  </si>
  <si>
    <t>NIGHTINGALE VILLA EDUARDO</t>
  </si>
  <si>
    <t>GERENTE GRAL</t>
  </si>
  <si>
    <t>00843369</t>
  </si>
  <si>
    <t>45269897</t>
  </si>
  <si>
    <t>CCORISE MESCO YURY</t>
  </si>
  <si>
    <t>11196496</t>
  </si>
  <si>
    <t>ACCESORIOS GRAFICOS S.A.C.</t>
  </si>
  <si>
    <t>PJ. 2 MZA. A LOTE. 08 A.V. ALAMOS DE PRIALE LIMA - LIMA - SAN JUAN DE LURIGANCHO</t>
  </si>
  <si>
    <t>SAN JUAN DE LURINGANCHO</t>
  </si>
  <si>
    <t>43018516</t>
  </si>
  <si>
    <t>VILA DELZO NELLY VICTORIA</t>
  </si>
  <si>
    <t>12761742</t>
  </si>
  <si>
    <t>PERU INNOVACIONES Y MODAS TEXTILES S.A.C</t>
  </si>
  <si>
    <t>AV. IQUITOS NRO. 792 LIMA - LIMA - LA VICTORIA</t>
  </si>
  <si>
    <t>09765887</t>
  </si>
  <si>
    <t>CLAROS AYALA ANGELICA CARMEN</t>
  </si>
  <si>
    <t>00648523</t>
  </si>
  <si>
    <t>09765888</t>
  </si>
  <si>
    <t>PEÑA ALVARADO JULIO LUIS</t>
  </si>
  <si>
    <t>10819643</t>
  </si>
  <si>
    <t>PEÑA CLAROS RICHARD PAUL</t>
  </si>
  <si>
    <t>44828699</t>
  </si>
  <si>
    <t>PEÑA CLAROS LAURA ANGELICA</t>
  </si>
  <si>
    <t>AYT INDUSTRIAL SOCIEDAD ANONIMA CERRADA - AYT INDUSTRIAL S.A.C.</t>
  </si>
  <si>
    <t>MZA. C LOTE. 05 ASC. PROP.SAN JOSE (PARADERO DE HUANDOY Y NOR LIMA A 2CDRAS.) LIMA - LIMA - CARABAYLLO</t>
  </si>
  <si>
    <t>41450435</t>
  </si>
  <si>
    <t>APONTE CHAVEZ ENOS</t>
  </si>
  <si>
    <t xml:space="preserve">	13184185</t>
  </si>
  <si>
    <t>ALFRED H KNIGHT DEL PERU SOCIEDAD ANONIMA CERRADA-ALFRED H KNIGHT DEL PERU S.A.C.</t>
  </si>
  <si>
    <t>AV. GUILLERMO DANSEY NRO. 1890 URB. CONDE LIMA - LIMA - LIMA</t>
  </si>
  <si>
    <t>02003201</t>
  </si>
  <si>
    <t>000347747</t>
  </si>
  <si>
    <t>DAVID IAN PARYAG</t>
  </si>
  <si>
    <t>O.H. NEGOCIACIONES INTERNACIONALES S.A.C.</t>
  </si>
  <si>
    <t>JR. HUAROCHIRI NRO. 518 URB. LIMA INDUSTRIAL (INTERIOR 1120 A) LIMA - LIMA - LIMA</t>
  </si>
  <si>
    <t>06939828</t>
  </si>
  <si>
    <t>HOYOS PEREZ OMNER</t>
  </si>
  <si>
    <t>OMR ELECTRO INDUSTRIAS S.A.C.</t>
  </si>
  <si>
    <t>JR. MARACUYA NRO. 260 URB. EL ERMITAÑO LIMA - LIMA - INDEPENDENCIA</t>
  </si>
  <si>
    <t>10432716</t>
  </si>
  <si>
    <t>OLIVERA MUÑOZ ROMAN</t>
  </si>
  <si>
    <t>10886111</t>
  </si>
  <si>
    <t xml:space="preserve">	HUAMAN QUISPE MARIA ELIZABETH</t>
  </si>
  <si>
    <t>AIR COMPRESS PERU S.A.C.</t>
  </si>
  <si>
    <t>AV. TUPAC AMARU MZA. V1 LOTE. 13 LIMA - LIMA - LURIGANCHO</t>
  </si>
  <si>
    <t>AV. JAVIER PRADO ESTE NRO. 4200 INT. D104 URB. SANTA CONSTANZA LIMA - LIMA - SANTIAGO DE SURCO</t>
  </si>
  <si>
    <t>ROMA ENERGY S.A.C.</t>
  </si>
  <si>
    <t>MZA. D LOTE. 12 BALCON DEL RIMAC (ALTURA CUADRA 7 AV FLOR DE AMANCAES) LIMA - LIMA - RIMAC</t>
  </si>
  <si>
    <t>IMPACTO PUBLICITARIO JQ S.A.C.</t>
  </si>
  <si>
    <t>PJ. PASAJE CENTRO DE LIMA NRO. 152 PASAJE CENTRO DE LIMA LIMA - LIMA - LIMA</t>
  </si>
  <si>
    <t>RELMYS E.I.R.L.</t>
  </si>
  <si>
    <t>CAL.VIA INTEGRACION MZA. C LOTE. 02 A.H. LADERAS DE CHILLON (ALT. KM. 24 PANAM.NORTE) LIMA - LIMA - PUENTE PIEDRA</t>
  </si>
  <si>
    <t>GENERA CLIMA S.A.C.</t>
  </si>
  <si>
    <t>JR. CAHUIDE NRO. 951 LIMA - LIMA - JESUS MARIA</t>
  </si>
  <si>
    <t>73671443</t>
  </si>
  <si>
    <t>ALVAREZ AVILA REYNALDO ALFREDO</t>
  </si>
  <si>
    <t>13773157</t>
  </si>
  <si>
    <t>SERMICOM AIR SOCIEDAD ANONIMA CERRADA - SERMICOM AIR S.A.C.</t>
  </si>
  <si>
    <t>JR. BOLOGNESI NRO. 254 A.V. FORTALEZA DE VITARTE LIMA - LIMA - ATE</t>
  </si>
  <si>
    <t>40584663</t>
  </si>
  <si>
    <t>TALAVERANO ALCARRAZ RONNY GONZALO</t>
  </si>
  <si>
    <t>12526251</t>
  </si>
  <si>
    <t>B2X CARE PERU S.A.C.</t>
  </si>
  <si>
    <t>AV. JUAN DE ARONA NRO. 745 LIMA - LIMA - SAN ISIDRO</t>
  </si>
  <si>
    <t>VALSAN INGENIEROS E.I.R.L.</t>
  </si>
  <si>
    <t>CAL.12 MZA. F1 LOTE. 20 ASOC VIV SAN FRANCISCO DE (SAN FRANCISCO DE CAYRAN) LIMA - LIMA - SAN MARTIN DE PORRES</t>
  </si>
  <si>
    <t>09795611</t>
  </si>
  <si>
    <t>VALDIVIEZO DUARTE ROLAN ADAN</t>
  </si>
  <si>
    <t>12659004</t>
  </si>
  <si>
    <t>VARGAS ROMERO CARLOS EDUARDO</t>
  </si>
  <si>
    <t>VARGAS ROMERO, CARLOS EDUARDO</t>
  </si>
  <si>
    <t>MZ D LOTE 4 URB. VILLA UNIVERSITARIA - LIMA - LIMA - LOS OLIVOS</t>
  </si>
  <si>
    <t>AJM INGENIEROS SAC</t>
  </si>
  <si>
    <t>CAL.SANTA LUCIA MZA. Q LOTE. 15 A.H. SAN ANTONIO DE PADUA (A DOS CDRAS DEL HOSPITAL MARIA AUXILIADO) LIMA - LIMA - SAN JUAN DE MIRAFLORES</t>
  </si>
  <si>
    <t>21467320</t>
  </si>
  <si>
    <t>CONDORI YANAYAYE JOSE SANTOS</t>
  </si>
  <si>
    <t>11012818</t>
  </si>
  <si>
    <t>INVERSIONES KARMONT S.A.C</t>
  </si>
  <si>
    <t>CAL.SAN MANUEL NRO. 137 URB. SANTA LUISA 2DA ETAPA (PARADERO YANBAL) LIMA - LIMA - LOS OLIVOS</t>
  </si>
  <si>
    <t>42521148</t>
  </si>
  <si>
    <t>MONTEZA CAMUS ROBERTO CARLOS</t>
  </si>
  <si>
    <t>12665672</t>
  </si>
  <si>
    <t>RAMON CASO CRISTIAN IVAN</t>
  </si>
  <si>
    <t>44253271</t>
  </si>
  <si>
    <t>RAMON CASO, CRISTIAN IVAN</t>
  </si>
  <si>
    <t>AA.HH KEIKO SOFIA FUJIMORI MZ. E LOTE 3 - LIMA - LIMA - CARABAYLLO</t>
  </si>
  <si>
    <t>DELTA ELECTRIC S.A.C. INNOVACIONES ELECTRICAS</t>
  </si>
  <si>
    <t>CAL.CORONEL CORNELIO BORDA NRO. 314 URB. SAN JOAQUIN PROV. CONST. DEL CALLAO - PROV. CONST. DEL CALLAO - BELLAVISTA</t>
  </si>
  <si>
    <t>25835623</t>
  </si>
  <si>
    <t>LLOSA CHUCHON JOE</t>
  </si>
  <si>
    <t>12428810</t>
  </si>
  <si>
    <t>INFRAESTRUCTURAS SOCIEDAD ANONIMA CERRADA - INFRAESTRUCTURAS SAC</t>
  </si>
  <si>
    <t>CAL.PINO SILVESTRE NRO. 389 URB. JARDINES DE HIGUERETA LIMA - LIMA - SURQUILLO</t>
  </si>
  <si>
    <t>09869805</t>
  </si>
  <si>
    <t>MONTOYA CORDOVA JUAN ANTONIO</t>
  </si>
  <si>
    <t>11299229</t>
  </si>
  <si>
    <t>73748238</t>
  </si>
  <si>
    <t>MONTOYA PUSCAN JUAN EDUARDO</t>
  </si>
  <si>
    <t>MZA. S' LOTE. 139 A.H. P.M. LADERAS DE CHILLON (ALT. DEL PEAJE DE PTE PIEDRA) LIMA - LIMA - PUENTE PIEDRA</t>
  </si>
  <si>
    <t>MAEL PERU S.A.C.</t>
  </si>
  <si>
    <t>AV. ALAMEDA NRO. 130 DPTO. 502 INT. 2 (VILLANOVA 3) PROV. CONST. DEL CALLAO - PROV. CONST. DEL CALLAO - CALLAO</t>
  </si>
  <si>
    <t>RONAL S.R.L.</t>
  </si>
  <si>
    <t>MZA. L2 LOTE. 9 A.H. NUEVO PROGRESO (PARKE NUEVO PROGRESO) PROV. CONST. DEL CALLAO - PROV. CONST. DEL CALLAO - VENTANILLA</t>
  </si>
  <si>
    <t>INTERNATIONAL PARTNERS S.A.</t>
  </si>
  <si>
    <t>07904961</t>
  </si>
  <si>
    <t>RAMIREZ GARCIA LUIS EDGARDO LEONARDO</t>
  </si>
  <si>
    <t>11685041</t>
  </si>
  <si>
    <t>VMC EQUIPOS &amp; LABORATORIOS S.A.C.</t>
  </si>
  <si>
    <t>CAL.16 MZA. C LOTE. 6 URB. PROLIMA LIMA - LIMA - LOS OLIVOS</t>
  </si>
  <si>
    <t>41048481</t>
  </si>
  <si>
    <t>CASTILLO MARIN DE GAMERO MERCEDES NADINA</t>
  </si>
  <si>
    <t>13330550</t>
  </si>
  <si>
    <t>MZA. Q15 LOTE. 23 A.H. JOSE CARLOS MARIATEGUI LIMA - LIMA - SAN JUAN DE LURIGANCHO</t>
  </si>
  <si>
    <t>40931997</t>
  </si>
  <si>
    <t>CCORIMANYA VARGAS SATURNINO</t>
  </si>
  <si>
    <t>14359720</t>
  </si>
  <si>
    <t>SMIC SOCIEDAD ANONIMA CERRADA SMIC SAC</t>
  </si>
  <si>
    <t>JR. HUARAZ NRO. 1872 INT. 201- URB. AZCONA LIMA - LIMA - BREÑA</t>
  </si>
  <si>
    <t>07334718</t>
  </si>
  <si>
    <t>LLONTOP LLONTOP MARIA CLARA</t>
  </si>
  <si>
    <t>11858046</t>
  </si>
  <si>
    <t>AV. INCA GARCILASO DE LA VEGA NRO. 1348 INT. 1067 CERCADO DE LIMA LIMA - LIMA - LIMA</t>
  </si>
  <si>
    <t>CORPORATION M &amp; S DEL PERU S.A.C.</t>
  </si>
  <si>
    <t>CAL.SIETE MZA. T LOTE. 39 URB. URB. EL PINAR LIMA - LIMA - COMAS</t>
  </si>
  <si>
    <t>SAYSER S.A.C.</t>
  </si>
  <si>
    <t>CAR.PANAMERICANA NORTE KM. 557 OTR. RAMAL HUABALITO LA LIBERTAD - TRUJILLO - MOCHE</t>
  </si>
  <si>
    <t>MOCHE</t>
  </si>
  <si>
    <t>41008146</t>
  </si>
  <si>
    <t>CHAVEZ NACARINO ROSMERY MAYDOLI</t>
  </si>
  <si>
    <t>11113286</t>
  </si>
  <si>
    <t>TRUJILLLO</t>
  </si>
  <si>
    <t>RUIZ APOLINARIO ALEXANDER</t>
  </si>
  <si>
    <t>AA.HH. VILLAS MERCEDES MZ G LT.08 - ANCASH - SANTA - NUEVO CHIMBOTE</t>
  </si>
  <si>
    <t>SANTA</t>
  </si>
  <si>
    <t>NUEVO CHIMBOTE</t>
  </si>
  <si>
    <t>RUIZ APOLINARIO, ALEXANDER</t>
  </si>
  <si>
    <t xml:space="preserve">PROPIETARIO </t>
  </si>
  <si>
    <t>PUMP SYSTEM PERU S.A.C.</t>
  </si>
  <si>
    <t>CAL.MATIER NRO. 174 (ALT.CD 29 AV.AVIACION-CRUC SAN BORJA SUR) LIMA - LIMA - SAN BORJA</t>
  </si>
  <si>
    <t>09436537</t>
  </si>
  <si>
    <t>LLERENA CASSINA JOSE LUIS</t>
  </si>
  <si>
    <t>12224753</t>
  </si>
  <si>
    <t>GONZALES LLUEN FRANZ ADDERLY</t>
  </si>
  <si>
    <t>GONZALES LLUEN, FRANZ ADDERLY</t>
  </si>
  <si>
    <t xml:space="preserve"> Calle Lambda 195 POR NOTARIA GALVES DE LA AVENIDA OSCAR BENAVIDES  5177 - CALLAO - CALLAO - CALLAO</t>
  </si>
  <si>
    <t>43765360</t>
  </si>
  <si>
    <t>TAYÑA CCAHUANA MAURO</t>
  </si>
  <si>
    <t>14312805</t>
  </si>
  <si>
    <t>AV. AV ALBORADA MZA. F2 LOTE. 5 INT. 301 URB. LA ALBORADA (CRUCE AV. LOS INCAS CON AV. ALBORADA) LIMA - LIMA - COMAS</t>
  </si>
  <si>
    <t>DAVILA PAZ OSCAR ABIMAEL</t>
  </si>
  <si>
    <t>133182971</t>
  </si>
  <si>
    <t>CAL.TARAPACA MZA. I LOTE. 7 A.H. MARISCAL CASTILLA LIMA - LIMA - LURIGANCHO</t>
  </si>
  <si>
    <t>LUDEÑA HUAPAYA VICTOR</t>
  </si>
  <si>
    <t>11175605</t>
  </si>
  <si>
    <t>AV. LA MAR NRO. 570 URB. VULCANO - 2DA ETAPA LIMA - LIMA - ATE</t>
  </si>
  <si>
    <t>08475258</t>
  </si>
  <si>
    <t>QUISPE CABRERA FERNANDO</t>
  </si>
  <si>
    <t>03012491</t>
  </si>
  <si>
    <t>MZA. L2 LOTE. 30 ASC. HIJOS DE APURIMAC LIMA - LIMA - ATE</t>
  </si>
  <si>
    <t>45146779</t>
  </si>
  <si>
    <t>LEANDRO ROJAS JULITA</t>
  </si>
  <si>
    <t>14256988</t>
  </si>
  <si>
    <t>AV. PASEO DE LA REPUBLICA NRO. 5752 INT. 401 URB. MIRAFLORES LIMA - LIMA - MIRAFLORES</t>
  </si>
  <si>
    <t>LLAJA YOMONA FELIBIEN</t>
  </si>
  <si>
    <t>14173922</t>
  </si>
  <si>
    <t>AV. JORGE BASADRE ESTE NRO. 328A INT. 201 URB. SAN CARLOS LIMA - LIMA - SAN JUAN DE LURIGANCHO</t>
  </si>
  <si>
    <t>QUISPE MENDOZA JOSE DE SAN MARTIN</t>
  </si>
  <si>
    <t>13195724</t>
  </si>
  <si>
    <t>INDUSTRIAS ELECTRO QUIMICAS S A</t>
  </si>
  <si>
    <t>AV. ELMER FAUCETT NRO. 1920 URB. AEROPUERTO II ETAPA PROV. CONST. DEL CALLAO - PROV. CONST. DEL CALLAO - CALLAO</t>
  </si>
  <si>
    <t>07848928</t>
  </si>
  <si>
    <t>CORNEJO TORRES JOSE LUIS</t>
  </si>
  <si>
    <t>11022832</t>
  </si>
  <si>
    <t>08233204</t>
  </si>
  <si>
    <t>MUSSO VENTO RAUL ALBERTO FRANCISCO</t>
  </si>
  <si>
    <t>10222722</t>
  </si>
  <si>
    <t>GLIKSMAN GOLDSTEIN ALEX</t>
  </si>
  <si>
    <t>RIVERA MINAYA JOSE MANUEL</t>
  </si>
  <si>
    <t>PJ. RÍO PARANÁ MZA. SGB LOTE. 13 URB. LOS GIRASOLES DE HUAMPANI LIMA - LIMA - LURIGANCHO</t>
  </si>
  <si>
    <t>LOPEZ TORIBIO ANTONIO DAVID</t>
  </si>
  <si>
    <t>15158995</t>
  </si>
  <si>
    <t>08232213</t>
  </si>
  <si>
    <t>VARON KAPPARI DANIEL FELIX</t>
  </si>
  <si>
    <t>00746495</t>
  </si>
  <si>
    <t>09339491</t>
  </si>
  <si>
    <t>MANNARELLI DONGO-SORIA JUNO ENRICO</t>
  </si>
  <si>
    <t>10266675</t>
  </si>
  <si>
    <t>ROTSTAIN ZIMMER STEVEN</t>
  </si>
  <si>
    <t>AV. BRASIL NRO. 3502 LIMA - LIMA - MAGDALENA DEL MAR</t>
  </si>
  <si>
    <t>KOOCHOY EGAS PERCY RAMON</t>
  </si>
  <si>
    <t>12624438</t>
  </si>
  <si>
    <t>CAL.GENERAL FRANCISCO VIDAL NRO. 595 URB. BREÑA LIMA - LIMA - BREÑA</t>
  </si>
  <si>
    <t>RIOS GARRO ARMANDO</t>
  </si>
  <si>
    <t>11327676</t>
  </si>
  <si>
    <t>AV. TACNA NRO. 320 INT. 800 (OFICINA) LIMA - LIMA - LIMA</t>
  </si>
  <si>
    <t>2920 - FABRICACIÓN DE CARROCERÍAS PARA VEHÍCULOS AUTOMOTORES; FABRICACIÓN DE REMOLQUES Y SEMIRREMOLQUES</t>
  </si>
  <si>
    <t>08510668</t>
  </si>
  <si>
    <t>PALMA GUERRERO ABEL FELIPE</t>
  </si>
  <si>
    <t>11011643</t>
  </si>
  <si>
    <t>09757251</t>
  </si>
  <si>
    <t>PALMA GUERRERO DELIA MARIA</t>
  </si>
  <si>
    <t>SOCIO</t>
  </si>
  <si>
    <t>09890332</t>
  </si>
  <si>
    <t>PALMA GUERRERO WALTER JAIME</t>
  </si>
  <si>
    <t>GRTE</t>
  </si>
  <si>
    <t>10069984</t>
  </si>
  <si>
    <t>PALMA GUERRERO MAGDA BETTY</t>
  </si>
  <si>
    <t>31652648</t>
  </si>
  <si>
    <t>PALMA GUERRERO CARMEN ELIZABETH</t>
  </si>
  <si>
    <t>30345795</t>
  </si>
  <si>
    <t>PALMA GUERRERO MARCOS TITO</t>
  </si>
  <si>
    <t>INSTITUTO DE GERENCIA INTERCONTINENTAL IGC SOCIEDAD ANONIMA CERRADA</t>
  </si>
  <si>
    <t>CAL.LA HUACA MZA. W LOTE. 38 URB. LAS VIñAS (ESPALDA FACULTAD DE DERECHO USMP) LIMA - LIMA - LA MOLINA</t>
  </si>
  <si>
    <t>8530 - ENSEÑANZA SUPERIOR</t>
  </si>
  <si>
    <t>09569264</t>
  </si>
  <si>
    <t>BAUTISTA CARHUAPUMA JUAN</t>
  </si>
  <si>
    <t>11570316</t>
  </si>
  <si>
    <t>CAL.SIN NOMBRE MZA. A LOTE. 03 AS PR RD VILLA LAS FLORES LIMA - LIMA - PUENTE PIEDRA</t>
  </si>
  <si>
    <t>09939300</t>
  </si>
  <si>
    <t>CUSIHUAMAN LEVITA BRAULIO</t>
  </si>
  <si>
    <t xml:space="preserve">12903318	</t>
  </si>
  <si>
    <t>AV. LOS DOMINICOS MZA. A LOTE. 6 URB. LAS PRADERAS DEL SOL 2DA ETAPA LIMA - LIMA - SAN MARTIN DE PORRES</t>
  </si>
  <si>
    <t>41920359</t>
  </si>
  <si>
    <t>GONZALES SEMINARIO FRANCISCO</t>
  </si>
  <si>
    <t>12583298</t>
  </si>
  <si>
    <t>42520912</t>
  </si>
  <si>
    <t>MAS GASLAC LISS MIRIAM</t>
  </si>
  <si>
    <t>CAL.P. QUITO NRO. 2500 INT. 702 PARQUE ALBERTI LIMA - LIMA - JESUS MARIA</t>
  </si>
  <si>
    <t>40684062</t>
  </si>
  <si>
    <t>OTOYA VILLARREAL JUAN ALBERTO</t>
  </si>
  <si>
    <t>13344298</t>
  </si>
  <si>
    <t>CAL.FRANCISCO BOLOGNESI MZA. A1 LOTE. 3 URB. SANTA CLARA (ALTURA DE LA PLAZA REAL SANTA CLARA) LIMA - LIMA - ATE</t>
  </si>
  <si>
    <t>TUCTO TOLENTINO EDWIN</t>
  </si>
  <si>
    <t>12514889</t>
  </si>
  <si>
    <t>TUCTO TOLENTINO JESUS ELI</t>
  </si>
  <si>
    <t>BOSCH REXROTH S.A.C.</t>
  </si>
  <si>
    <t>AV. ARGENTINA NRO. 3618 URB. PARQUE INDUSTRIAL PROV. CONST. DEL CALLAO - PROV. CONST. DEL CALLAO - CALLAO</t>
  </si>
  <si>
    <t>06508441</t>
  </si>
  <si>
    <t>ROTHGIESSER FRANCO KAI DIETER</t>
  </si>
  <si>
    <t>13862837</t>
  </si>
  <si>
    <t>44229846</t>
  </si>
  <si>
    <t>HORIKAWA KAWAKAMI KARINA</t>
  </si>
  <si>
    <t>001898482</t>
  </si>
  <si>
    <t>OBILCNIK HELMUTH</t>
  </si>
  <si>
    <t>002192181</t>
  </si>
  <si>
    <t>SILVEIRA DO NASCIMENTO FABRÍCIO</t>
  </si>
  <si>
    <t>DISTRIBUIDORA SIERRA NEVADA S.A.C.</t>
  </si>
  <si>
    <t>NRO. 484 DPTO. 105 URB. GOLF LOS INCAS (GOLF LOS INCAS) LIMA - LIMA - SANTIAGO DE SURCO</t>
  </si>
  <si>
    <t>4782 - VENTA AL POR MENOR DE PRODUCTOS TEXTILES, PRENDAS DE VESTIR Y CALZADO EN PUESTOS DE VENTA Y MERCADOS</t>
  </si>
  <si>
    <t>06972776</t>
  </si>
  <si>
    <t>FLORES PEREZ JAIME RENE</t>
  </si>
  <si>
    <t>11059403</t>
  </si>
  <si>
    <t>HUARAZ</t>
  </si>
  <si>
    <t>MZA. L LOTE. 2 URB. LOS ALAMOS PROV. CONST. DEL CALLAO - PROV. CONST. DEL CALLAO - CALLAO</t>
  </si>
  <si>
    <t>44052604</t>
  </si>
  <si>
    <t>VIÑA EVANGELISTA GARDENIA VERONICA</t>
  </si>
  <si>
    <t>AV. ARGENTINA NRO. 5495 PROV. CONST. DEL CALLAO - PROV. CONST. DEL CALLAO - CARMEN DE LA LEGUA REYNOSO</t>
  </si>
  <si>
    <t>08268768</t>
  </si>
  <si>
    <t>IVCHER BRONSTEIN BARUCH</t>
  </si>
  <si>
    <t>70202234</t>
  </si>
  <si>
    <t>09533250</t>
  </si>
  <si>
    <t>BUSTOS SACA CHRISTIAN</t>
  </si>
  <si>
    <t>09752084</t>
  </si>
  <si>
    <t>DEL CARPIO HERRERA NEIL ENRIQUE</t>
  </si>
  <si>
    <t>25484799</t>
  </si>
  <si>
    <t>LAM DE ALEGRE ROSARIO BEATRIZ</t>
  </si>
  <si>
    <t>40710777</t>
  </si>
  <si>
    <t>CORDOVA FIGALLO ALEJANDRA</t>
  </si>
  <si>
    <t>AV. ENRIQUE MEIGGS NRO. 262 URB. PARQUE INTERNACIONAL PROV. CONST. DEL CALLAO - PROV. CONST. DEL CALLAO - CALLAO</t>
  </si>
  <si>
    <t>07630504</t>
  </si>
  <si>
    <t>TOYAMA GALLA GERALDINE MICHELLE</t>
  </si>
  <si>
    <t>11279803</t>
  </si>
  <si>
    <t>07635741</t>
  </si>
  <si>
    <t>TOYAMA GALLA KAREN SUE</t>
  </si>
  <si>
    <t>GTE ADMINISTRATIVO</t>
  </si>
  <si>
    <t>07700153</t>
  </si>
  <si>
    <t>BELLO ITURRIAGA DE EULERT NORA MARIA EUGENIA</t>
  </si>
  <si>
    <t>07742782</t>
  </si>
  <si>
    <t>BELLO ITURRIAGA LUIS FELIPE EMILIO</t>
  </si>
  <si>
    <t>09344186</t>
  </si>
  <si>
    <t>GUAZZOTTI DEL RISCO FRANCO GILIO</t>
  </si>
  <si>
    <t>CAL.SAN REMO MZA. A LOTE. 23 APV. SAN REMO LIMA - LIMA - PUENTE PIEDRA</t>
  </si>
  <si>
    <t>41371859</t>
  </si>
  <si>
    <t>VERJEL AQUIJE ELIZABETH MARGARETH</t>
  </si>
  <si>
    <t>12630811</t>
  </si>
  <si>
    <t>CAL.POLUX NRO. 105 URB. NAVAL (ALT. DEL GRIFO REPSOL) PROV. CONST. DEL CALLAO - PROV. CONST. DEL CALLAO - VENTANILLA</t>
  </si>
  <si>
    <t>HIDALGO INFANTE MANUEL ARMANDO</t>
  </si>
  <si>
    <t>70692156</t>
  </si>
  <si>
    <t>CAL.LOS FRESNOS NRO. 103 URB. GRANJA EXPERIMENTAL VALLE CHILLON LIMA - LIMA - PUENTE PIEDRA</t>
  </si>
  <si>
    <t>10616755</t>
  </si>
  <si>
    <t>ESPINOZA CERNA OSCAR ENRIQUE</t>
  </si>
  <si>
    <t>12944297</t>
  </si>
  <si>
    <t>IMPROVING FOODS LIFE S.A.C</t>
  </si>
  <si>
    <t>JR. AYACUCHO NRO. 120 PROV. CONST. DEL CALLAO - PROV. CONST. DEL CALLAO - CARMEN DE LA LEGUA REYNOSO</t>
  </si>
  <si>
    <t>25775361</t>
  </si>
  <si>
    <t>ANCCASI HUAMAN GUILLERMO HERMAN</t>
  </si>
  <si>
    <t>70684477</t>
  </si>
  <si>
    <t>JR. MOQUEGUA NRO. 224A A.H. RAUL PORRAS BARRENECHEA (ALT KM 18 AV TUPAC AMARU) LIMA - LIMA - CARABAYLLO</t>
  </si>
  <si>
    <t>41704975</t>
  </si>
  <si>
    <t>VALLEJO VILLALTA VIVIANA</t>
  </si>
  <si>
    <t>13930446</t>
  </si>
  <si>
    <t>AV. UNO MZA. A LOTE. 5 URB. AEROINDUSTRIAL GAMBETTA (ALTURA CDRA 48 DE AV.NESTOR GAMBETTA) PROV. CONST. DEL CALLAO - PROV. CONST. DEL CALLAO - CALLAO</t>
  </si>
  <si>
    <t>10538043</t>
  </si>
  <si>
    <t>VERA CHAVEZ YURI ANGEL</t>
  </si>
  <si>
    <t>11165750</t>
  </si>
  <si>
    <t>AV. TUPAC AMARU NRO. 2162 P.J. VILLA ESPERANZA LIMA - LIMA - CARABAYLLO</t>
  </si>
  <si>
    <t>43539986</t>
  </si>
  <si>
    <t>PALACIOS QUINTANA APOLONIO</t>
  </si>
  <si>
    <t>14781307</t>
  </si>
  <si>
    <t>CAL.RIO MANTARO NRO. 519 URB. VILLA DEL NORTE LIMA - LIMA - LOS OLIVOS</t>
  </si>
  <si>
    <t>10205120</t>
  </si>
  <si>
    <t>FIGUEROA TELLO JHONNY ANTHONY</t>
  </si>
  <si>
    <t>11942308</t>
  </si>
  <si>
    <t>AV. LA MAR NRO. 765A (FERRETERIA CAÑETE CASA 2PISOS AZUL) LIMA - CAÑETE - IMPERIAL</t>
  </si>
  <si>
    <t>42725498</t>
  </si>
  <si>
    <t>VICENTE ÑAÑEZ ROZMELT HOVERT</t>
  </si>
  <si>
    <t>21111088</t>
  </si>
  <si>
    <t>3250 - FABRICACIÓN DE INSTRUMENTOS Y MATERIALES MÉDICOS Y ODONTOLÓGICOS</t>
  </si>
  <si>
    <t>45597261</t>
  </si>
  <si>
    <t>RODRIGUEZ CASTILLO ALONSO JESUS</t>
  </si>
  <si>
    <t>11857832</t>
  </si>
  <si>
    <t>MZA. R1 LOTE. 07 A.H. JUAN PABLO II LIMA - LIMA - SAN JUAN DE LURIGANCHO</t>
  </si>
  <si>
    <t>41472321</t>
  </si>
  <si>
    <t>LAZO CCAIHUARI JOSE LUIS</t>
  </si>
  <si>
    <t>13236621</t>
  </si>
  <si>
    <t>MZA. J LOTE. 34 COO. VIV. M. GAMARRA (CALLE EL CUARZO 169 - LOS OLIVOS) LIMA - LIMA - LOS OLIVOS</t>
  </si>
  <si>
    <t>73027001</t>
  </si>
  <si>
    <t>RUIZ AGUILAR CAROLINE YAMILETT</t>
  </si>
  <si>
    <t>14357331</t>
  </si>
  <si>
    <t>LOS NOGALES MZA. M LOTE. 14 LIMA - LIMA - PUENTE PIEDRA</t>
  </si>
  <si>
    <t>SANCHEZ HUAMANI LUIS ALBERTO</t>
  </si>
  <si>
    <t>09929086</t>
  </si>
  <si>
    <t>14369434</t>
  </si>
  <si>
    <t>MZA. D LOTE. 11 URB. EL PARAISO DE OQUENDO PROV. CONST. DEL CALLAO - PROV. CONST. DEL CALLAO - CALLAO</t>
  </si>
  <si>
    <t>15858624</t>
  </si>
  <si>
    <t>VASQUEZ VALENZUELA BORIS BAISSEL</t>
  </si>
  <si>
    <t>11572127</t>
  </si>
  <si>
    <t>MZA. 184 LOTE. 8 A.H. SAN MARTIN DE PORRES LIMA - LIMA - LOS OLIVOS</t>
  </si>
  <si>
    <t>47508097</t>
  </si>
  <si>
    <t>LIZARRAGA URIBE JORGE FABIAN</t>
  </si>
  <si>
    <t>14371852</t>
  </si>
  <si>
    <t>JR. JORGE CHAVEZ NRO. 1341 INT. 2 URB. BREÑA LIMA - LIMA - BREÑA</t>
  </si>
  <si>
    <t>20031595</t>
  </si>
  <si>
    <t>ALIAGA MARRO MILAGROS DEL CARMEN</t>
  </si>
  <si>
    <t>14440004</t>
  </si>
  <si>
    <t>44426582</t>
  </si>
  <si>
    <t>VASQUEZ BARRIENTOS ALVARO PHOUL DAVID</t>
  </si>
  <si>
    <t>ERENTE DE COMERCIALIZACIÓN</t>
  </si>
  <si>
    <t>AV. TINGO MARIA NRO. 259 (FRENTE AL MINISTERIO DE TRANSPORTE Y COM) LIMA - LIMA - BREÑA</t>
  </si>
  <si>
    <t>07320892</t>
  </si>
  <si>
    <t>AGUILAR BAUTISTA DAMASO DANIEL</t>
  </si>
  <si>
    <t>00439479</t>
  </si>
  <si>
    <t>MZA. G LOTE. 19 PRO VIV LAS CASUARINAS DE SANTA ROSA (CRUCE AV. CANTA CALLAO Y AV. DOMINICOS) LIMA - LIMA - SAN MARTIN DE PORRES</t>
  </si>
  <si>
    <t>09954380</t>
  </si>
  <si>
    <t>STARKE MEJIA JENNY SILVANA</t>
  </si>
  <si>
    <t>12271824</t>
  </si>
  <si>
    <t>AV. LA MOLINA NRO. SN LIMA - LIMA - LA MOLINA</t>
  </si>
  <si>
    <t>07445371</t>
  </si>
  <si>
    <t>SALAZAR ALBINO JESUS GIORDANO</t>
  </si>
  <si>
    <t>DIRECTOR GENERAL</t>
  </si>
  <si>
    <t>10538747</t>
  </si>
  <si>
    <t>GUEVARA PEREZ AMERICO</t>
  </si>
  <si>
    <t>REPRESENTANTE DE UNIVERSIDADES</t>
  </si>
  <si>
    <t>45813476</t>
  </si>
  <si>
    <t>BEJAR LUQUE PATRICIA ESTELA</t>
  </si>
  <si>
    <t>CAL.2 MZA. T LOTE. 2 COO. VIRGEN DE FATIMA LIMA - LIMA - SAN MARTIN DE PORRES</t>
  </si>
  <si>
    <t>08630350</t>
  </si>
  <si>
    <t>BALTAZAR SANCHEZ DONICIO PERPETUO</t>
  </si>
  <si>
    <t>13124890</t>
  </si>
  <si>
    <t>VIA.RESIDENCIAL EL DESCANSO MZA. D LOTE. 10 INT. 2 COO. JAVIER DE LUNA PIZARRO LIMA - LIMA - ATE</t>
  </si>
  <si>
    <t>PACHECO MEDINA RICARDO</t>
  </si>
  <si>
    <t>12547246</t>
  </si>
  <si>
    <t>AV. LOS CHANCAS MZA. K LOTE. 40 (CRUCE CON AV HUAROCHIRI) LIMA - LIMA - SANTA ANITA</t>
  </si>
  <si>
    <t>MENDOZA HIDALGO JOHNNY DANIEL</t>
  </si>
  <si>
    <t>12274248</t>
  </si>
  <si>
    <t>AV. LOS FRUTALES NRO. 211 URB. FUNDO MONTERRICO GRANDE LIMA - LIMA - ATE</t>
  </si>
  <si>
    <t>06598268</t>
  </si>
  <si>
    <t>CABELLO LIU LIDIA NANCY</t>
  </si>
  <si>
    <t>11822101</t>
  </si>
  <si>
    <t>10477719</t>
  </si>
  <si>
    <t>TABOADA RODRIGUEZ KARLA SOFIA</t>
  </si>
  <si>
    <t>005583175</t>
  </si>
  <si>
    <t>NUÑEZ PINO WENDY NARCISA</t>
  </si>
  <si>
    <t>AV. HUANDOY MZA. S LOTE. 43 URB. SANTA ANA LIMA - LIMA - LOS OLIVOS</t>
  </si>
  <si>
    <t>45381930</t>
  </si>
  <si>
    <t>CCORIMANYA QUISPE RICARDO</t>
  </si>
  <si>
    <t>13587740</t>
  </si>
  <si>
    <t>CORP FUNG S.A.C.</t>
  </si>
  <si>
    <t>AV. LOS FERROLES NRO. S/N SANTO DOMINGO D.BOCANEGRA (A 190M CENTENARIO Y FERROLES) PROV. CONST. DEL CALLAO - PROV. CONST. DEL CALLAO - CALLAO</t>
  </si>
  <si>
    <t>3012 - CONSTRUCCIÓN DE EMBARCACIONES DE RECREO Y DE DEPORTE</t>
  </si>
  <si>
    <t>25610236</t>
  </si>
  <si>
    <t>PINTO LEON JUANA MARGARITA</t>
  </si>
  <si>
    <t>12150164</t>
  </si>
  <si>
    <t>FUNG PINTO CLAUDIA LEYSI</t>
  </si>
  <si>
    <t>76356238</t>
  </si>
  <si>
    <t>INVERSIONES MONCADA S.A.C.</t>
  </si>
  <si>
    <t>PARCELA NRO. 4041 URB. LA MOLINA (AV. SAN JUAN KM.6.5) LIMA - LIMA - CARABAYLLO</t>
  </si>
  <si>
    <t>CARBAJAL DAMAZO FIDEL CRISTHIAN</t>
  </si>
  <si>
    <t>NEGOCIOS MULTIPLES LUJAN E.I.R.L.</t>
  </si>
  <si>
    <t>M &amp; N SOLUCIONES GENERALES SOCIEDAD ANONIMA CERRADA-M &amp; N SOLUCIONES GENERALES S.A.C.</t>
  </si>
  <si>
    <t>AV. PIRAMIDE DEL SOL NRO. 960 INT. 79 URB. AZCARRUNZ BAJO LIMA - LIMA - SAN JUAN DE LURIGANCHO</t>
  </si>
  <si>
    <t>47979390</t>
  </si>
  <si>
    <t>GERVACIO VEGA MILER ESDRAS</t>
  </si>
  <si>
    <t>VENTOCILLA PALOMARES JUAN MIGUEL</t>
  </si>
  <si>
    <t>VENTOCILLA PALOMARES, JUAN MIGUEL</t>
  </si>
  <si>
    <t>CA. SANTA CARMELA 383 URB PALAO - LIMA - LIMA - SAN MARTIN DE PORRES</t>
  </si>
  <si>
    <t>AV. HUAROCHIRI NRO. 971 URB. MAYORAZGO ET. DOS LIMA - LIMA - ATE</t>
  </si>
  <si>
    <t>MASSA NIQUEN GIANMARCO</t>
  </si>
  <si>
    <t>14188999</t>
  </si>
  <si>
    <t>AV. INDUSTRIAL NRO. 741 LIMA - LIMA - LIMA</t>
  </si>
  <si>
    <t>1050 - ELABORACIÓN DE PRODUCTOS LÁCTEOS</t>
  </si>
  <si>
    <t>09673483</t>
  </si>
  <si>
    <t>HUAMAN HERRERA SILVIA MARIELLA</t>
  </si>
  <si>
    <t>09770103</t>
  </si>
  <si>
    <t>YNGA QUICAÑO ESTHER JULIA</t>
  </si>
  <si>
    <t>44499157</t>
  </si>
  <si>
    <t>CHECA PICASSO ANDRES</t>
  </si>
  <si>
    <t>JR. SICUANI NRO. 1429 URB. CHACRA RIOS NORTE LIMA - LIMA - LIMA</t>
  </si>
  <si>
    <t>ARREDONDO AYLAS JOSE ALBERTO</t>
  </si>
  <si>
    <t>03021459</t>
  </si>
  <si>
    <t>AV. JOSE LARCO NRO. 1232 INT. 102 URB. ARMENDARIZ (PISO 3) LIMA - LIMA - MIRAFLORES</t>
  </si>
  <si>
    <t>VIDALON BARNETT EZEQUIEL MARTIN</t>
  </si>
  <si>
    <t>11179404</t>
  </si>
  <si>
    <t>AV. JORGE BASADRE GROHMANN NRO. 347 INT. 1001 (EDIFICIO PATIO CENTRIC) LIMA - LIMA - SAN ISIDRO</t>
  </si>
  <si>
    <t>07799631</t>
  </si>
  <si>
    <t>DIAS CHIAPPE EMA VICTORIA MARTINA</t>
  </si>
  <si>
    <t>11816941</t>
  </si>
  <si>
    <t>25720777</t>
  </si>
  <si>
    <t>RABINES FERNANDINI RENE JORGE</t>
  </si>
  <si>
    <t>41844811</t>
  </si>
  <si>
    <t>CABRERA CRUZ MILAGRITOS</t>
  </si>
  <si>
    <t>AQ212365</t>
  </si>
  <si>
    <t>VIRACACHA MONROY JULIAN ANDRES</t>
  </si>
  <si>
    <t>CAL.LAS FRAGUAS MZA. B LOTE. 18 URB. LOTIZACION INDUSTRIAL CARRETERA PANAMERICANA NORTE, NARANJAL LIMA - LIMA - INDEPENDENCIA</t>
  </si>
  <si>
    <t>2824 - FABRICACIÓN DE MAQUINARIA PARA LA EXPLOTACIÓN DE MINAS Y CANTERAS Y PARA OBRAS DE CONSTRUCCIÓN</t>
  </si>
  <si>
    <t>15756324</t>
  </si>
  <si>
    <t>FERNANDEZ AGUERO ALEX ALFREDO</t>
  </si>
  <si>
    <t>14028686</t>
  </si>
  <si>
    <t>JORGE EZETA NRO. 269 URB. JAVIER PRADO (PS 5-ESPALDA DE ENTEL) LIMA - LIMA - SAN BORJA</t>
  </si>
  <si>
    <t>6820 - ACTIVIDADES INMOBILIARIAS REALIZADAS A CAMBIO DE UNA RETRIBUCIÓN O POR CONTRATA</t>
  </si>
  <si>
    <t>10611922</t>
  </si>
  <si>
    <t>ESPINOZA LARA CARLOS LUIS</t>
  </si>
  <si>
    <t>13298871</t>
  </si>
  <si>
    <t>AV. TOMAS VALLE NRO. 1530 INT. 401 CND. TOMAS VALLE BL. 6 (4TO PISO- UNIVERSITARIA CON AV.T.VALLE) LIMA - LIMA - LOS OLIVOS</t>
  </si>
  <si>
    <t>40473652</t>
  </si>
  <si>
    <t>CUETO VARGAS KATIA CRISTINA</t>
  </si>
  <si>
    <t>13406711</t>
  </si>
  <si>
    <t>AV. CIRCUNVALACION NRO. 617 FND. SANTA MARIA DE HUACHIPA (FUNDO HUACHIPA -ALTURA CEMENTERIO MAPFRE) LIMA - LIMA - LURIGANCHO</t>
  </si>
  <si>
    <t>07328401</t>
  </si>
  <si>
    <t>MARTINEZ VARGAS NILO HERNAN</t>
  </si>
  <si>
    <t>12238821</t>
  </si>
  <si>
    <t>42818506</t>
  </si>
  <si>
    <t>CONTRERAS MARTINEZ JOSE AURELIO</t>
  </si>
  <si>
    <t>CAR.CHILLON TRAPICHE LOTE. 69 URB. LOS HUERTOS DE TUNGASUCA LIMA - LIMA - CARABAYLLO</t>
  </si>
  <si>
    <t>2022 - FABRICACIÓN DE PINTURAS, BARNICES Y PRODUCTOS DE REVESTIMIENTO SIMILARES, TINTAS DE IMPRENTA Y MASILLAS</t>
  </si>
  <si>
    <t>21886079</t>
  </si>
  <si>
    <t>TORVISCO PALOMINO PRUDENCIO</t>
  </si>
  <si>
    <t>14136145</t>
  </si>
  <si>
    <t>21886080</t>
  </si>
  <si>
    <t>TORVISCO PALOMINO NEMECIO</t>
  </si>
  <si>
    <t>21887815</t>
  </si>
  <si>
    <t>TORVISCO PALOMINO ALEJANDRO</t>
  </si>
  <si>
    <t>CAL.JUAN TORRES HIGUERAS NRO. 124 URB. LA AURORA (INTERIOR 16 - 17 C) LIMA - LIMA - SURQUILLO</t>
  </si>
  <si>
    <t>41342718</t>
  </si>
  <si>
    <t>MAGALLANES GRANDE EVELYN JUDITH</t>
  </si>
  <si>
    <t>11682513</t>
  </si>
  <si>
    <t>CAR.EX PANAMERICANA SUR NRO. S/N (FRENTE AL COLEGIO GUADALUPE) LIMA - CAÑETE - MALA</t>
  </si>
  <si>
    <t>72874394</t>
  </si>
  <si>
    <t>ZAVALA MIRANDA MARIO JUNIOR</t>
  </si>
  <si>
    <t>21289584</t>
  </si>
  <si>
    <t>AV. SAN LUIS NRO. 954 INT. A URB. LAS MORAS LIMA - LIMA - SAN LUIS</t>
  </si>
  <si>
    <t>70259156</t>
  </si>
  <si>
    <t>ATAHUAMAN VENTOCILLA OMAR OSCAR</t>
  </si>
  <si>
    <t>14820680</t>
  </si>
  <si>
    <t>MZA. H1 LOTE. 05 HUERTOS DE ORO DE SAN HILARION LIMA - CAÑETE - CHILCA</t>
  </si>
  <si>
    <t>1080 - ELABORACIÓN DE PIENSOS PREPARADOS PARA ANIMALES</t>
  </si>
  <si>
    <t>19337143</t>
  </si>
  <si>
    <t>BURGA TOLEDO HENRY SIMON</t>
  </si>
  <si>
    <t>13190881</t>
  </si>
  <si>
    <t>EXANCO S.A.C.</t>
  </si>
  <si>
    <t>AV. INDUSTRIAL LOTE. 18 URB. LAS PRADERAS DE LURIN (ALTURA PUENTE ARICA) LIMA - LIMA - LURIN</t>
  </si>
  <si>
    <t>SERVICIOS INTEGRALES CONNIE'S SAC</t>
  </si>
  <si>
    <t>CAL.ALFONSO UGARTE NRO. 1141 (A 2CDRAS CRUCE JOSE GALVEZ Y ALF.UGARTE) PROV. CONST. DEL CALLAO - PROV. CONST. DEL CALLAO - LA PERLA</t>
  </si>
  <si>
    <t>SERVICIOS TECNICO A Y S E.I.R.L.</t>
  </si>
  <si>
    <t>JR. ANTONIO DE ELIZALDE NRO. 470 URB. LIMA INDUSTRIAL (STAND C-28-30 Y E-25) LIMA - LIMA - LIMA</t>
  </si>
  <si>
    <t>ASOCIACION DE COMERCIANTES CIUDAD PACHACUTEC CENTRO COMERCIAL LA UNION</t>
  </si>
  <si>
    <t>AV. PERU MZA. X1 LOTE. 1 A.H. MARIA JESUS ESPINOZA (ALT. OVALO JOSE OLAYA) PROV. CONST. DEL CALLAO - PROV. CONST. DEL CALLAO - VENTANILLA</t>
  </si>
  <si>
    <t>CAL.23 NRO. 112 URB. EL PINAR (UNIDAD INMOBILIARIA 3 - URB. EL PINAR) LIMA - LIMA - COMAS</t>
  </si>
  <si>
    <t>TRANSPORTES ZETRAMSA S.A.C.</t>
  </si>
  <si>
    <t>INGENIERIA Y CONTROL INDUSTRIAL S.A.C.</t>
  </si>
  <si>
    <t>AV. MANCO CAPAC NRO. 378 DPTO. 212 (CRUCE CON AV. 28 DE JULIO) LIMA - LIMA - LA VICTORIA</t>
  </si>
  <si>
    <t>MEZA PONCE IVAN ARTURO</t>
  </si>
  <si>
    <t>JR. CALL CALLAO NRO. 126 URB. EL ROSARIO A. LIMA - HUARAL - HUARAL</t>
  </si>
  <si>
    <t>MEZA PONCE, IVAN ARTURO</t>
  </si>
  <si>
    <t>L.S.C. E.I.R.L.</t>
  </si>
  <si>
    <t>CAL.UNO NRO. 199 URB. INDUSTRIAL LA MERCED (ESPALDA GRIFO LA MERCED) LIMA - LIMA - ATE</t>
  </si>
  <si>
    <t>08708569</t>
  </si>
  <si>
    <t>SANTA CRUZ YABAR LUIS VENANCIO</t>
  </si>
  <si>
    <t>….</t>
  </si>
  <si>
    <t>JR. JORGE CHAVEZ NRO. 1341 INT. 1 -- (A 4 CUADRAS COLEGIO LA SALLE) LIMA - LIMA - BREÑA</t>
  </si>
  <si>
    <t>GALIANO MARQUINA MIGUEL AURELIO</t>
  </si>
  <si>
    <t>13073944</t>
  </si>
  <si>
    <t>ADC ELECTRIC E IMPORT S.A.C.</t>
  </si>
  <si>
    <t>AV. REPUBLICA DE ARGENTINA NRO. 523 INT. A30 URB. LIMA INDUSTRIAL (CENTRO COMERCIAL ACOPROM) LIMA - LIMA - LIMA</t>
  </si>
  <si>
    <t>43384961</t>
  </si>
  <si>
    <t>DE LA CRUZ SALAZAR NANDER VLADIMIR</t>
  </si>
  <si>
    <t>14192160</t>
  </si>
  <si>
    <t>AV. DE LA POLICIA NRO. 590 URB. LOS PATRICIOS (SCT. 0536 MZT 055) LIMA - LIMA - JESUS MARIA</t>
  </si>
  <si>
    <t>42499298</t>
  </si>
  <si>
    <t>QUISPE LOZA JOSE LUIS</t>
  </si>
  <si>
    <t>12618685</t>
  </si>
  <si>
    <t>RASYO ASOCIADOS S.A.C.</t>
  </si>
  <si>
    <t>JR. TAYACAJA NRO. 520 INT. 3 LIMA - LIMA - LIMA</t>
  </si>
  <si>
    <t>44880764</t>
  </si>
  <si>
    <t>ODAR DE LA CRUZ ALEXANDER JAVIER</t>
  </si>
  <si>
    <t>13641724</t>
  </si>
  <si>
    <t>DARK COMPONENTS AND SUPPLIES E.I.R.L.</t>
  </si>
  <si>
    <t>JR. LETICIA NRO. 995 URB. BARRIOS ALTOS LIMA - LIMA - LIMA</t>
  </si>
  <si>
    <t>FAMAQUITEX S.A.C.</t>
  </si>
  <si>
    <t>AV. GRAN CHIMU NRO. REF URB. ZARATE (AV. GRAN CHIMU 1005-A) LIMA - LIMA - SAN JUAN DE LURIGANCHO</t>
  </si>
  <si>
    <t>GRELCONPERU E. I. R. L.</t>
  </si>
  <si>
    <t>CAL.BRIGADIER MATEO PUMACAHUA NRO. 2374 URB. RISSO LIMA - LIMA - LINCE</t>
  </si>
  <si>
    <t>NEGOCIOS METALURGICOS S.A.C.</t>
  </si>
  <si>
    <t>MANUEL DEL PINO NRO. 699 INT. 501 URB. SANTA BEATRIZ (ALT CDRA 14 AV AREQUIPA) LIMA - LIMA - LIMA</t>
  </si>
  <si>
    <t>G &amp; G SUMINISTROS Y SOLUCIONES INDUSTRIALES S.A.C.</t>
  </si>
  <si>
    <t>CAL.NUEVE MZA. E LOTE. 10 URB. CARABAYLLO ET. DOS (ENTRE AV. EL MAESTRO Y AV. CARABAYLLO) LIMA - LIMA - COMAS</t>
  </si>
  <si>
    <t>INMOVEG PERU S.A.C.</t>
  </si>
  <si>
    <t>INVERSIONES SILVA HUAMAN ELEVADORES S.A.C. - INSHE S.A.C.</t>
  </si>
  <si>
    <t>MZA. A1 LOTE. 18 ASOC. DE VIV. INTIHUATANA (ALT.CDRA 10 PARQUE LOS CHANCAS) LIMA - LIMA - SANTA ANITA</t>
  </si>
  <si>
    <t>AUTOMAC ELECTRIC SOCIEDAD ANONIMA CERRADA</t>
  </si>
  <si>
    <t>AV. MICAELA BASTIDAS NRO. 1084 DPTO. 505 URB. LOS PARQUES (CONDOMINIO LOS GIRASOLES TORRE 19 - ETAP) LIMA - LIMA - COMAS</t>
  </si>
  <si>
    <t>44519543</t>
  </si>
  <si>
    <t>OLIVARES ESPINOZA JUAN JOSE</t>
  </si>
  <si>
    <t>13765506</t>
  </si>
  <si>
    <t>GLOBAL DRIVE CONTROL S.A.C.</t>
  </si>
  <si>
    <t>MZA. D LOTE. 21 ASC. TRABAJADORES UNIDOS LIMA - LIMA - COMAS</t>
  </si>
  <si>
    <t>08144213</t>
  </si>
  <si>
    <t>RAMOS BUJAICO JENNI MARGOT</t>
  </si>
  <si>
    <t>15204574</t>
  </si>
  <si>
    <t>CIPLAST PERU S.A.C.</t>
  </si>
  <si>
    <t>AV. NICOLAS AYLLON NRO. 2925 INT. 3B LIMA - LIMA - EL AGUSTINO</t>
  </si>
  <si>
    <t>06671750</t>
  </si>
  <si>
    <t>NORIEGA CASANOVA CELIA</t>
  </si>
  <si>
    <t xml:space="preserve">	00964743</t>
  </si>
  <si>
    <t>06999667</t>
  </si>
  <si>
    <t>URIBE VALENZUELA REBECA DINA</t>
  </si>
  <si>
    <t>07869766</t>
  </si>
  <si>
    <t>NOVAK CASSINELLI ENRIQUE ALLEN ALBERTO</t>
  </si>
  <si>
    <t>LAN TRADING S.A.</t>
  </si>
  <si>
    <t>AV. MORALES DUAREZ NRO. 3015 (ENTRE AV. DUAREZ Y AV. UNIVERSITARIA) LIMA - LIMA - LIMA</t>
  </si>
  <si>
    <t>06094540</t>
  </si>
  <si>
    <t>LAIME ENCISO WALTER</t>
  </si>
  <si>
    <t>11714338</t>
  </si>
  <si>
    <t>MONTAJE Y CONTROL INDUSTRIAL S.A.C.</t>
  </si>
  <si>
    <t>MZA. D9 LOTE. 19 A.H. BOCANEGRA (ZONA 3) PROV. CONST. DEL CALLAO - PROV. CONST. DEL CALLAO - CALLAO</t>
  </si>
  <si>
    <t>44758700</t>
  </si>
  <si>
    <t>BALTA JAIMES JOSE ENRIQUE</t>
  </si>
  <si>
    <t>70542850</t>
  </si>
  <si>
    <t>PONTE HIDALGO HELLEN CARENT</t>
  </si>
  <si>
    <t>PONTE HIDALGO, HELLEN CARENT</t>
  </si>
  <si>
    <t>MZ. C LOTE 38 - ASOCIACIÓN VIV. VALLE CHILLÓN - LIMA - LIMA - PUENTE PIEDRA</t>
  </si>
  <si>
    <t>ADMINISTRACIÓN INDUSTRIAL(DUAL)</t>
  </si>
  <si>
    <t>ADMINISTRACIÓN DE EMPRESAS (DUAL)</t>
  </si>
  <si>
    <t>INGENIERÍA DE CIBERSEGURIDAD (DUAL)</t>
  </si>
  <si>
    <t>DISEÑO DE VIDEOJUEGOS RA (DUAL)</t>
  </si>
  <si>
    <t>PARKING SOLUTIONS S.A.C.</t>
  </si>
  <si>
    <t>JR. BERNARDO ALCEDO NRO. 226 LIMA - LIMA - MIRAFLORES</t>
  </si>
  <si>
    <t>07881305</t>
  </si>
  <si>
    <t>TORRES ANGELES PAULO DAVID</t>
  </si>
  <si>
    <t>12358551</t>
  </si>
  <si>
    <t>CAL.PACIOLI MZA. L LOTE. 18 URB. VILLA VICTORIA (CAL A. PERALTA ALT. CDRA 5 TOMAS MARSANO) LIMA - LIMA - SURQUILLO</t>
  </si>
  <si>
    <t>40721439</t>
  </si>
  <si>
    <t>DIOSES VILCARIMAC DANIEL EDUARDO</t>
  </si>
  <si>
    <t>12254422</t>
  </si>
  <si>
    <t>NETCORE SOLUTIONS S.A.C.</t>
  </si>
  <si>
    <t>AV. TOMAS VALLE MZ G62 LT 11 NRO. S/N (FRENTE AL HOSPITAL CHALACO - 2DO PISO) PROV. CONST. DEL CALLAO - PROV. CONST. DEL CALLAO - CALLAO</t>
  </si>
  <si>
    <t>10875116</t>
  </si>
  <si>
    <t>SARMIENTO ESPIRITU RONALD</t>
  </si>
  <si>
    <t>LUMEN IMAGEN S.A.C.</t>
  </si>
  <si>
    <t>PARIS NRO. 098 URB. CALLAO LIMA - LIMA - SAN MIGUEL</t>
  </si>
  <si>
    <t>INDUSTRIAS BELSA SOCIEDAD ANONIMA CERRADA</t>
  </si>
  <si>
    <t>PJ. A NRO. S/N INT. 45 MCDO.PRODUCTORES (PTO.36-ESPALDA HOSP.VALDIZAN) LIMA - LIMA - SANTA ANITA</t>
  </si>
  <si>
    <t>OPTIMUS EQUIPMENT S.A.C.</t>
  </si>
  <si>
    <t>CAL.LOS BRILLANTES MZA. B LOTE. 30F URB. LA CAPITANA HUACHIPA (ALT.PARADERO LOS BRILLANTES EN AV.CIRCUN) LIMA - LIMA - LURIGANCHO</t>
  </si>
  <si>
    <t>TAMCI SOCIEDAD COMERCIAL DE RESPONSABILIDAD LIMITADA - TAMCI S.R.L.</t>
  </si>
  <si>
    <t>AV. PROCERES DE LA INDEPENDEN NRO. 1929 DPTO. 8 INT. PIS5 URB. SAN HILARION (A 3 CDRA DEL 1ER METRO DE S.J.L) LIMA - LIMA - SAN JUAN DE LURIGANCHO</t>
  </si>
  <si>
    <t>EQUIPOS Y REDES E.I.R.L.</t>
  </si>
  <si>
    <t>AV. CENTRAL MZA. F LOTE. 13 URB. SANTA TERESA LIMA - LIMA - SANTIAGO DE SURCO</t>
  </si>
  <si>
    <t>A &amp; R INGENIERIA Y SOLUCIONES INDUSTRIALES SAC</t>
  </si>
  <si>
    <t>JR. 24 DE SETIEMBRE NRO. 157 URB. PICHANAQUI JUNIN - CHANCHAMAYO - PICHANAQUI</t>
  </si>
  <si>
    <t>CHANCHAMAYO</t>
  </si>
  <si>
    <t>PICHANQUI</t>
  </si>
  <si>
    <t>MH ENERGYTEL E.I.R.L.</t>
  </si>
  <si>
    <t>MONTECILLO SANTIBAÑEZ FATIMA ELISA</t>
  </si>
  <si>
    <t>EMPRESA ALIMENTARIAS RINCONCITO AYACUCHANO SOCIEDAD ANONIMA CERRADA - EMARINA S.A.C.</t>
  </si>
  <si>
    <t>AV. CARAPONGO MZA. A LOTE. 07 URB. FUNDO CARAPONGO (CHOSICA) LIMA - LIMA - LURIGANCHO</t>
  </si>
  <si>
    <t>CONTROL DE GRUPOS ELECTROGENOS S.A.C.</t>
  </si>
  <si>
    <t>AV. ARGENTINA NRO. 6304 (FRENTE A LA FABRICA GOODYEAR) PROV. CONST. DEL CALLAO - PROV. CONST. DEL CALLAO - CALLAO</t>
  </si>
  <si>
    <t>ENERXIA POWER SERVICES S.A.C.</t>
  </si>
  <si>
    <t>JR. TARATA NRO. 120 INT. 2 COO. JUAN VELASCO AÑO NUEVO LIMA - LIMA - COMAS</t>
  </si>
  <si>
    <t>UNIVERSIDAD NACIONAL DE INGENIERIA UNI</t>
  </si>
  <si>
    <t>CORPORACION ELECTRO D &amp; M E.I.R.L.</t>
  </si>
  <si>
    <t>AV. VIA DE EVITAMIENTO KM. 6.5 INT. J 45 (PASAJE 12 STAND J 45 Y 46) LIMA - LIMA - RIMAC</t>
  </si>
  <si>
    <t>LZD SOLUCIONES CORPORATIVAS E.I.R.L.</t>
  </si>
  <si>
    <t>MZA. K LOTE. 11 URB. URBANIZACION LA MERCED DE CHALLAPAMAPA AREQUIPA - AREQUIPA - CERRO COLORADO</t>
  </si>
  <si>
    <t>CERRO COLORADO</t>
  </si>
  <si>
    <t>TECH ENERGY S.A.C.</t>
  </si>
  <si>
    <t xml:space="preserve">
JR. QUISPE ANGEL NRO. 550 A.H. VILLA SR DE LOS MILAGROS PROV. CONST. DEL CALLAO - PROV. CONST. DEL CALLAO - CARMEN DE LA LEGUA REYNOSO</t>
  </si>
  <si>
    <t>18176215</t>
  </si>
  <si>
    <t xml:space="preserve">	MUEDAS SALAZAR MARK ALEX</t>
  </si>
  <si>
    <t>12896334</t>
  </si>
  <si>
    <t>INVERSIONES PROGRESO O &amp; M E.I.R.L.</t>
  </si>
  <si>
    <t>CAL.RODRIGUEZ DE MENDOZA NRO. 316 URB. LA NORIA (A 1 CDRA DEL COLEGIO MARIA NEGRON) LA LIBERTAD - TRUJILLO - TRUJILLO</t>
  </si>
  <si>
    <t>41562705</t>
  </si>
  <si>
    <t>RIVERA VEGA MIRTHA YELINA</t>
  </si>
  <si>
    <t>11396493</t>
  </si>
  <si>
    <t>ECE CONSTRUCCION ECOLOGICA Y ELECTRICA E.I.R.L.</t>
  </si>
  <si>
    <t>JR. FRANCISCO BOLOGNESI NRO. S/N C.P. SAN MARCOS ANCASH - HUARI - SAN MARCOS</t>
  </si>
  <si>
    <t xml:space="preserve"> 7710 - ALQUILER Y ARRENDAMIENTO DE VEHÍCULOS AUTOMOTORES</t>
  </si>
  <si>
    <t>70523681</t>
  </si>
  <si>
    <t>VALVERDE MONTALVO GILBERT TEODORICO</t>
  </si>
  <si>
    <t>14291988</t>
  </si>
  <si>
    <t xml:space="preserve">
AV. GALLINAZOS MZA. H LOTE. 5 PASAJE ALFONSO UGARTE LIMA - LIMA - PUENTE PIEDRA</t>
  </si>
  <si>
    <t>41746234</t>
  </si>
  <si>
    <t>MELENDEZ MODESTO ABAD ADOLFO</t>
  </si>
  <si>
    <t>13840793</t>
  </si>
  <si>
    <t>COMPAÑIA PERUANA DE REFRIGERACION S.A.C.</t>
  </si>
  <si>
    <t>NRO. 561 DPTO. 401 URB. SAN BORJA SUR (1ERA ETAPA /2DA) LIMA - LIMA - SAN BORJA</t>
  </si>
  <si>
    <t>14415474</t>
  </si>
  <si>
    <t>07819724</t>
  </si>
  <si>
    <t>LESCANO DIAZ JOSE ALBERTO</t>
  </si>
  <si>
    <t>FABRICACION Y SERVICIOS DE EQUIPOS ELECTROMECANICOS SOCIEDAD COMERCIAL DE RESPONSABILIDAD LIMITADA</t>
  </si>
  <si>
    <t xml:space="preserve">
CAL.TEOFILO CASTILLO NRO. 1739 URB. CHACRA RIOS NORTE (ESPALDA FCA FIELD, PAPELERA NACIONAL) LIMA - LIMA - LIMA</t>
  </si>
  <si>
    <t>08227128</t>
  </si>
  <si>
    <t>SANDOVAL CUADROS DE SANTA MARIA SILA</t>
  </si>
  <si>
    <t>01081721</t>
  </si>
  <si>
    <t>SERVICIOS GENERALES NAVALES E INDUSTRIALES NAVA S.A.C.</t>
  </si>
  <si>
    <t xml:space="preserve">
AV. SANTA CRUZ NRO. 104 DPTO. 702 LIMA - LIMA - SAN ISIDRO</t>
  </si>
  <si>
    <t>22309567</t>
  </si>
  <si>
    <t>NAVARRETE ACEVEDO JUAN ANDRES</t>
  </si>
  <si>
    <t>13948022</t>
  </si>
  <si>
    <t>ECHEVARRIA ZEVALLOS, MANUEL JESUS</t>
  </si>
  <si>
    <t>09797236</t>
  </si>
  <si>
    <t>JIRON ALEJANDRO TIRADO LT. 15 COMITÉ 28 - LIMA - LIMA - COMAS</t>
  </si>
  <si>
    <t>AGENCIAS UNIVERSALES PERU S.A.</t>
  </si>
  <si>
    <t>AV. NESTOR GAMBETA NRO. 5502 PROV. CONST. DEL CALLAO - PROV. CONST. DEL CALLAO - CALLAO</t>
  </si>
  <si>
    <t>00207217</t>
  </si>
  <si>
    <t>SIMPSON LLOSA EDUARDO JULIO</t>
  </si>
  <si>
    <t>ARAMBURU YRIGOYEN MANUEL CARLOS</t>
  </si>
  <si>
    <t>07863513</t>
  </si>
  <si>
    <t xml:space="preserve">CAMPOS CAMPOS MAURICIO EDUARDO </t>
  </si>
  <si>
    <t>ENERGY SYSTEM SOLUTIONS S.A.C.</t>
  </si>
  <si>
    <t>MZA. C LOTE. 13 URB. SAN ANTONIO DE CARABAYLLO (ALT DE CORPORACION VEGA AV PANAMERICANA) LIMA - LIMA - CARABAYLLO</t>
  </si>
  <si>
    <t>31827579</t>
  </si>
  <si>
    <t>MORENO FERNANDEZ REDVILA RINA</t>
  </si>
  <si>
    <t>13666924</t>
  </si>
  <si>
    <t>INVERFINA SOCIEDAD ANONIMA CERRADA</t>
  </si>
  <si>
    <t>AV. ELMER FAUCETT NRO. 267 (3ER PISO) LIMA - LIMA - SAN MIGUEL</t>
  </si>
  <si>
    <t>POSTIGO VELASCO CARLOS ALFREDO</t>
  </si>
  <si>
    <t>11861239</t>
  </si>
  <si>
    <t>POSTIGO VELASCO FRANCISCO ALFREDO</t>
  </si>
  <si>
    <t>GPOZ S.A.C.</t>
  </si>
  <si>
    <t>AV. UNIVERSITARIA MZA. A LOTE. 15 COO. HUAYTAPALLANA LIMA - LIMA - LOS OLIVOS</t>
  </si>
  <si>
    <t>49035262</t>
  </si>
  <si>
    <t>URBINA PEÑA RAFAEL ANTONY</t>
  </si>
  <si>
    <t>14669347</t>
  </si>
  <si>
    <t>PARMASA S.R.L.</t>
  </si>
  <si>
    <t>AV. JAVIER PRADO ESTE NRO. 7543 URB. MAYORAZGO (ALT. CDRA 75 PROLONG. JAVIER PRADO ESTE) LIMA - LIMA - ATE</t>
  </si>
  <si>
    <t>07574106</t>
  </si>
  <si>
    <t>MAUTINO SALAZAR PEDRO PABLO</t>
  </si>
  <si>
    <t>01139819</t>
  </si>
  <si>
    <t>72305563</t>
  </si>
  <si>
    <t>MAUTINO MAUTINO PEDRO RENATO</t>
  </si>
  <si>
    <t>JR. RESTAURACION NRO. 545 INT. 6 URB. BREÑA LIMA - LIMA - BREÑA</t>
  </si>
  <si>
    <t>73661177</t>
  </si>
  <si>
    <t>ROJAS PALOMINO ESTEBAN ALONSO</t>
  </si>
  <si>
    <t>14715644</t>
  </si>
  <si>
    <t>40474705</t>
  </si>
  <si>
    <t>MULLO QUISPE ELISA MARILU</t>
  </si>
  <si>
    <t>12148886</t>
  </si>
  <si>
    <t>STHELEC INGENIEROS EIRL</t>
  </si>
  <si>
    <t>MZA. A3 LOTE. 14 URB. EL ALAMO VIPOL LIMA - LIMA - COMAS</t>
  </si>
  <si>
    <t>47384459</t>
  </si>
  <si>
    <t>MILLA BETETA JOHNNY STEVEN</t>
  </si>
  <si>
    <t>13559120</t>
  </si>
  <si>
    <t>JR. EMILIO ALTHAUS NRO. 401 (PRIMER PISO) LIMA - LIMA - LINCE</t>
  </si>
  <si>
    <t>06815871</t>
  </si>
  <si>
    <t>RODRIGUEZ SANCHEZ NEREO FLOR</t>
  </si>
  <si>
    <t>12936598</t>
  </si>
  <si>
    <t>40929907</t>
  </si>
  <si>
    <t>MAMANI CHAPARRO ABRAHAM</t>
  </si>
  <si>
    <t>15057454</t>
  </si>
  <si>
    <t>44306442</t>
  </si>
  <si>
    <t>76656182</t>
  </si>
  <si>
    <t>CHINCHA PASTOR MARIO ANTONIO</t>
  </si>
  <si>
    <t>13448693</t>
  </si>
  <si>
    <t>TORNERO HUAMANI CARLOS</t>
  </si>
  <si>
    <t xml:space="preserve">12847067	</t>
  </si>
  <si>
    <t>73045563</t>
  </si>
  <si>
    <t>10212647</t>
  </si>
  <si>
    <t>VASQUEZ SULCA MARCO ANTONIO</t>
  </si>
  <si>
    <t>14912705</t>
  </si>
  <si>
    <t>M &amp; Z TECNOLOGIA Y SERVICIOS S.A.C.</t>
  </si>
  <si>
    <t>JR. JUSTO ARIAS ARANGUEZ NRO. 171 URB. VILLA SOL LIMA - LIMA - LOS OLIVOS</t>
  </si>
  <si>
    <t>PAZZONI GONZALES JORGE MARTIN</t>
  </si>
  <si>
    <t>49045315</t>
  </si>
  <si>
    <t>HAMMOUDA MAJD S.M.</t>
  </si>
  <si>
    <t>13547285</t>
  </si>
  <si>
    <t>47920870</t>
  </si>
  <si>
    <t>HAMIDEH EISSA HAJ ABDELMAJID DANIA</t>
  </si>
  <si>
    <t>44528942</t>
  </si>
  <si>
    <t>HUERTA ALVINO MARIA DEL PILAR</t>
  </si>
  <si>
    <t>AV. SAN PEDRO MZA. B LOTE. 48-A URB. SAN VICENTE LIMA - LIMA - LURIN</t>
  </si>
  <si>
    <t>ZAIDAN SABA JAMIL</t>
  </si>
  <si>
    <t>11292332</t>
  </si>
  <si>
    <t>45454128</t>
  </si>
  <si>
    <t>ZAIDAN ABUSADA NIKOLAS</t>
  </si>
  <si>
    <t>41919752</t>
  </si>
  <si>
    <t>ZAIDAN ABUSADA NATALIE</t>
  </si>
  <si>
    <t>21463629</t>
  </si>
  <si>
    <t>VILLA-GARCIA DEVESCOVI PABLO JOSE</t>
  </si>
  <si>
    <t>09398313</t>
  </si>
  <si>
    <t>MAS GOMEZ ANA BERTHA</t>
  </si>
  <si>
    <t>09393526</t>
  </si>
  <si>
    <t>ALDANA SILVA RAUL FERNANDO</t>
  </si>
  <si>
    <t>07357226</t>
  </si>
  <si>
    <t>QUIJANO SORIA NINA VICTORIA</t>
  </si>
  <si>
    <t>06451232</t>
  </si>
  <si>
    <t>ABUSADA DE ZAIDAN MARGARITA</t>
  </si>
  <si>
    <t>IRRAZABAL BASILIO ROLANDO</t>
  </si>
  <si>
    <t>12686964</t>
  </si>
  <si>
    <t>MORALES FABIAN CHRISTIAN FRANKLIN</t>
  </si>
  <si>
    <t>13537005</t>
  </si>
  <si>
    <t>44062046</t>
  </si>
  <si>
    <t>YANAYACO RAMOS ROBERT LAURIANO</t>
  </si>
  <si>
    <t>AV. PASTOR SEVILLA NRO. S/N (ESQ-AV.CONQUISTADORES-PAR.C.3-PEDROMIOTA) LIMA - LIMA - SAN JUAN DE MIRAFLORES</t>
  </si>
  <si>
    <t>VALVERDE SANEZ MANUEL SAUL</t>
  </si>
  <si>
    <t>12613607</t>
  </si>
  <si>
    <t>CASTILLO MATTA ERIC ROLANDO MARTIN</t>
  </si>
  <si>
    <t>08577074</t>
  </si>
  <si>
    <t>GUTIERREZ CHUMPITAZ LUIS ALBERTO</t>
  </si>
  <si>
    <t>VALVERDE CORTEZ MARCO ANTONIO</t>
  </si>
  <si>
    <t>14422987</t>
  </si>
  <si>
    <t>CONST. CALLAO</t>
  </si>
  <si>
    <t>ALEJOS GAVILANO JAIME ALBERTO</t>
  </si>
  <si>
    <t xml:space="preserve">11785649	</t>
  </si>
  <si>
    <t>JAUREGUI ZAVALETA CLORINDA</t>
  </si>
  <si>
    <t>02433648</t>
  </si>
  <si>
    <t>08734581</t>
  </si>
  <si>
    <t>AGUAYO LUY JORGE REYNALDO</t>
  </si>
  <si>
    <t>ELECTROSERVICIOS GENERALES JC E.I.R.L.</t>
  </si>
  <si>
    <t>CAL.RIO UCAYALI NRO. 5455 URB. VILLA DEL NORTE LIMA - LIMA - LOS OLIVOS</t>
  </si>
  <si>
    <t>JUAREZ FUENTES JEAN CARLOS JAVIER</t>
  </si>
  <si>
    <t>15115239</t>
  </si>
  <si>
    <t>CAL.AUGUSTO B. LEGUIA NRO. 304 (ESQUINA CON CALLE SALAVERRY) LIMA - HUAURA - HUACHO</t>
  </si>
  <si>
    <t>48239388</t>
  </si>
  <si>
    <t>SARRIN GARCIA VIVIANA GISELLA</t>
  </si>
  <si>
    <t>50158140</t>
  </si>
  <si>
    <t>CAL.LOS OLIVOS MZA. H LOTE. 21A LIMA - LIMA - PUENTE PIEDRA</t>
  </si>
  <si>
    <t>MENDEZ ORTIZ ALBINO FELIPE</t>
  </si>
  <si>
    <t>12986581</t>
  </si>
  <si>
    <t>ACCESORIOS REYCEL SRL</t>
  </si>
  <si>
    <t>AV. ARGENTINA NRO. 5954 PROV. CONST. DEL CALLAO - PROV. CONST. DEL CALLAO - CALLAO</t>
  </si>
  <si>
    <t>PROV. CONST. DEL CALLAO</t>
  </si>
  <si>
    <t>25564032</t>
  </si>
  <si>
    <t>LIÑAN PEREDA MIGUEL ANGEL</t>
  </si>
  <si>
    <t xml:space="preserve">12016654	</t>
  </si>
  <si>
    <t>TEPCO PERU S.A.C.</t>
  </si>
  <si>
    <t>CAL.AGUSTIN LANGE NRO. 162 URB. LAS BRISAS ET. DOS LIMA - LIMA - LIMA</t>
  </si>
  <si>
    <t>09676283</t>
  </si>
  <si>
    <t>RIVERA OCHOA JONATHAN ALEXIS</t>
  </si>
  <si>
    <t>13844307</t>
  </si>
  <si>
    <t>42527971</t>
  </si>
  <si>
    <t>ROJAS HURTADO MARCO ANTONIO</t>
  </si>
  <si>
    <t>12482289</t>
  </si>
  <si>
    <t>ENERDUST S.A.C.</t>
  </si>
  <si>
    <t>AV. SAN JUAN DE DIOS MZA. B LOTE. 11 URB. PARQUE ALAMEDA LIMA - LIMA - CARABAYLLO</t>
  </si>
  <si>
    <t>LARA DE LA CRUZ JUAN ISRAEL</t>
  </si>
  <si>
    <t>12821859</t>
  </si>
  <si>
    <t>MMJ SMART ELECTRONICS S.A.C.</t>
  </si>
  <si>
    <t>AV. PERU NRO. 1716 (2DO. PISO) LIMA - LIMA - SAN MARTIN DE PORRES</t>
  </si>
  <si>
    <t>72759532</t>
  </si>
  <si>
    <t>HERNANDEZ FLORES JAVIER CHRISTOPHER</t>
  </si>
  <si>
    <t>14285379</t>
  </si>
  <si>
    <t>ELECTROMECANICA FLORES SOCIEDAD ANONIMA CERRADA - ELECTROMECANICA FLORES S.A.C.</t>
  </si>
  <si>
    <t>MZA. I-2 LOTE. 16 URB. ANDRES AVELINO CACERES (POSTO ROJO AV J.CARLOS MARIATEGUI) LIMA - LIMA - SAN JUAN DE LURIGANCHO</t>
  </si>
  <si>
    <t>41117093</t>
  </si>
  <si>
    <t>FLORES HUARACA WALTHER ROBERTO</t>
  </si>
  <si>
    <t>13037442</t>
  </si>
  <si>
    <t>CORP. MARVALI E.I.R.L.</t>
  </si>
  <si>
    <t>AV. PUENTE PIEDRA NRO. 815 URB. ROSALUZ LIMA - LIMA - PUENTE PIEDRA</t>
  </si>
  <si>
    <t>42805300</t>
  </si>
  <si>
    <t>VALLEJOS MORI LIRA</t>
  </si>
  <si>
    <t>14385863</t>
  </si>
  <si>
    <t>ASOCIACION BIOHUERTO MZA. A LOTE. 5 OTR. ASOCIACIACION BIOHUERTO (ALTURA KM 23.5 CARRETERA A CANTA) LIMA - LIMA - CARABAYLLO</t>
  </si>
  <si>
    <t>40671508</t>
  </si>
  <si>
    <t>CAMPOS VARGAS EDWARD HUMBERTO</t>
  </si>
  <si>
    <t>14898890</t>
  </si>
  <si>
    <t>CISNEROS ZAF E.I.R.L.</t>
  </si>
  <si>
    <t>MZA. C4 LOTE. 5 A.H. LAS LOMAS DE SAN JUAN DE MIRAFLORES LIMA - LIMA - SAN JUAN DE MIRAFLORES</t>
  </si>
  <si>
    <t>45609018</t>
  </si>
  <si>
    <t>CISNEROS GAMONAL SERGIO</t>
  </si>
  <si>
    <t>NEUMOPACK S.A.C.</t>
  </si>
  <si>
    <t>JR. LIBERTAD NRO. 2755 URB. MIRAMAR (PARELA A LA AV. LA PAZ CDRA. 27) LIMA - LIMA - SAN MIGUEL</t>
  </si>
  <si>
    <t>8292 - ACTIVIDADES DE ENVASADO Y EMPAQUETADO</t>
  </si>
  <si>
    <t>10312905</t>
  </si>
  <si>
    <t>UGARTE PAREJA MAURICIO ABELARDO</t>
  </si>
  <si>
    <t xml:space="preserve">12659539	</t>
  </si>
  <si>
    <t>PHI DELFOS S.R.L.</t>
  </si>
  <si>
    <t>AV. ABANCAY NRO. 1176 DPTO. 708 URB. BARRIOS ALTOS LIMA - LIMA - LIMA</t>
  </si>
  <si>
    <t>21522204</t>
  </si>
  <si>
    <t>CILLONIZ CAMPOS PABLO</t>
  </si>
  <si>
    <t xml:space="preserve">14001943	</t>
  </si>
  <si>
    <t>G &amp; R PROYECTOS SERVICIOS LOGISTICA GENERAL S.R.L.</t>
  </si>
  <si>
    <t>CAL.ALBERTO SABOGAL NRO. 116 DPTO. 1 URB. LA TABOADITA ET. UNO</t>
  </si>
  <si>
    <t xml:space="preserve">CALLAO </t>
  </si>
  <si>
    <t>25766802</t>
  </si>
  <si>
    <t>GAVIRIA GARCIA JOYCE GISSELLA</t>
  </si>
  <si>
    <t>C.A.H. CONTRATISTAS GENERALES S.A.</t>
  </si>
  <si>
    <t>AV. AV REPUBLICA DE COLOMBIA NRO. 671 INT. 603 LIMA - LIMA - SAN ISIDRO</t>
  </si>
  <si>
    <t>4210 - CONSTRUCCIÓN DE CARRETERAS Y VÍAS DE FERROCARRIL</t>
  </si>
  <si>
    <t>07278558</t>
  </si>
  <si>
    <t>AMOROS MARQUINA CARLOS ENRIQUE JESUS</t>
  </si>
  <si>
    <t>SISTEMAS DE EXTRUCCION S.A.C.</t>
  </si>
  <si>
    <t>AV. TUPAC AMARU MZA. B LOTE. 11 A.H. HISTORICO CON CON (KM 18.5) LIMA - LIMA - CARABAYLLO</t>
  </si>
  <si>
    <t>45779387</t>
  </si>
  <si>
    <t>JARA JACINTO PERLITA DEL ROSARIO</t>
  </si>
  <si>
    <t>14684345</t>
  </si>
  <si>
    <t>HP TEAM SERVICE S.A.C</t>
  </si>
  <si>
    <t>MZA. F1 LOTE. 2 COO. VIV. A HERRERA 2DA ETP CALLAO</t>
  </si>
  <si>
    <t>10060003</t>
  </si>
  <si>
    <t>HERRERA MARTINEZ DAVID RICARDO</t>
  </si>
  <si>
    <t>70641039</t>
  </si>
  <si>
    <t>AV. LOS HEROES NRO. 385 INT. A URB. CIUDAD DE DIOS (PARADERO CARAVELI) LIMA - LIMA - SAN JUAN DE MIRAFLORES</t>
  </si>
  <si>
    <t>41066940</t>
  </si>
  <si>
    <t>SULCA DIAZ JUDITH</t>
  </si>
  <si>
    <t>14437458</t>
  </si>
  <si>
    <t>ENERGYTECH INGENIEROS S.A.C.</t>
  </si>
  <si>
    <t>AV. LOS OLMOS NRO. 499 URB. CANTO BELLO LIMA - LIMA - SAN JUAN DE LURIGANCHO</t>
  </si>
  <si>
    <t>44922386</t>
  </si>
  <si>
    <t>MISARI RODRIGUEZ ANTONIO</t>
  </si>
  <si>
    <t>14224508</t>
  </si>
  <si>
    <t>PJ. B MZA. G LOTE. 05 ASC. EL OLIVAR DE VITARTE LIMA - LIMA - ATE</t>
  </si>
  <si>
    <t>20741703</t>
  </si>
  <si>
    <t>BAUTISTA MUÑOZ RICHARD</t>
  </si>
  <si>
    <t xml:space="preserve">COMAS </t>
  </si>
  <si>
    <t>74154790</t>
  </si>
  <si>
    <t>25666924</t>
  </si>
  <si>
    <t>J &amp; D MECATRONIC SOLUTION S.A.C.</t>
  </si>
  <si>
    <t>CAL.12 MZA. D1 LOTE. 41 URB. SAN FRANCISCO DE CAYRAN LIMA - LIMA - SAN MARTIN DE PORRES</t>
  </si>
  <si>
    <t>GARCIA HUERTA JULIO</t>
  </si>
  <si>
    <t>CAMMLIFT S.A.C.</t>
  </si>
  <si>
    <t>AV. 28 DE JULIO NRO. 201 P.J. J.C. MARIATEGUI SECT SAN GABRIEL B LIMA - LIMA - VILLA MARIA DEL TRIUNFO</t>
  </si>
  <si>
    <t>ALVAREZ ALFARO JUAN MIGUEL</t>
  </si>
  <si>
    <t>14137917</t>
  </si>
  <si>
    <t>FABEM SOCIEDAD ANONIMA CERRADA - FABEM S.A.C.</t>
  </si>
  <si>
    <t>AV. LAS TORRES MZA. N4 LOTE. 12 ASOC PORTALES DE NIEVERIA LIMA - LIMA - LURIGANCHO</t>
  </si>
  <si>
    <t>BEJARANO COLCHADO MONICA</t>
  </si>
  <si>
    <t>12955863</t>
  </si>
  <si>
    <t>GESTIONES INDUSTRIALES DEL PERU E.I.R.L. - GESINPERU</t>
  </si>
  <si>
    <t>CAL.REPUBLICA DE PORTUGAL NRO. 397 URB. CHACRA COLORADA LIMA - LIMA - BREÑA</t>
  </si>
  <si>
    <t xml:space="preserve">BREÑA </t>
  </si>
  <si>
    <t>42067345</t>
  </si>
  <si>
    <t>CHILINGANO PILLACA KATTY VANESSA BEATRIZ</t>
  </si>
  <si>
    <t>13919585</t>
  </si>
  <si>
    <t>PLASTICOS A SOCIEDAD ANONIMA</t>
  </si>
  <si>
    <t>AV. OSCAR R. BENAVIDES NRO. 625 (06 CUADRAS DE PLAZA 02 DE MAYO) LIMA - LIMA - LIMA</t>
  </si>
  <si>
    <t>15998079</t>
  </si>
  <si>
    <t>QUILLAY HUAMAN SALOMON VICTOR</t>
  </si>
  <si>
    <t>11763191</t>
  </si>
  <si>
    <t>CORPORACION DISEC SOCIEDAD ANONIMA CERRADA</t>
  </si>
  <si>
    <t>AV. MILITAR NRO. 2225 LIMA - LIMA - LINCE</t>
  </si>
  <si>
    <t xml:space="preserve">LINCE </t>
  </si>
  <si>
    <t>45066089</t>
  </si>
  <si>
    <t>LOLOY HUARINGA DIEGO FERNANDO</t>
  </si>
  <si>
    <t>15265889</t>
  </si>
  <si>
    <t>CAL.BENIGNO ANTEZANA NRO. 1237 URB. CHACRA RIOS SUR (ALTUYRA DE LA CDRA 13 AV. SOSA PELAEZ) LIMA - LIMA - LIMA</t>
  </si>
  <si>
    <t>72169176</t>
  </si>
  <si>
    <t>LUJAN HUARCAYA CRISTEL SHAYEL</t>
  </si>
  <si>
    <t>13166049</t>
  </si>
  <si>
    <t>MAQUITECH INDUSTRIAL SAC</t>
  </si>
  <si>
    <t>MZA. 11 LOTE. 2 URB. CONDE DE LA VEGA LIMA - LIMA - LIMA</t>
  </si>
  <si>
    <t>46879805</t>
  </si>
  <si>
    <t>TANTALEAN ZEGARRA WILLY</t>
  </si>
  <si>
    <t>13881949</t>
  </si>
  <si>
    <t>C Y G REFRIGERACION S.A.C.</t>
  </si>
  <si>
    <t>CAL.3 MZA. A8 LOTE. 41 URB. SOL DE CARABAYLLO - I ETAPA (ENTRE LA AV. PERIMÉTRICA Y LA AV. TRES) LIMA - LIMA - CARABAYLLO</t>
  </si>
  <si>
    <t>42264400</t>
  </si>
  <si>
    <t>BAZO LOPEZ WILMER GENARO</t>
  </si>
  <si>
    <t>13449881</t>
  </si>
  <si>
    <t>SMITH INSTRUMENTACION Y CONTROL E.I.R.L.</t>
  </si>
  <si>
    <t>CAL.CANADA NRO. 248 URB. LOS VIÑEDOS DE CARABAYLLO LIMA - LIMA - COMAS</t>
  </si>
  <si>
    <t>47225206</t>
  </si>
  <si>
    <t>TORRES TRUJILLO YORDAN SMITH</t>
  </si>
  <si>
    <t xml:space="preserve">14359100	</t>
  </si>
  <si>
    <t>10662048</t>
  </si>
  <si>
    <t>DE LA CRUZ CARHUAS FLOR MARINA</t>
  </si>
  <si>
    <t>ROKER PERU SA</t>
  </si>
  <si>
    <t>CAL.LA MILLA NRO. 220 URB. LA MILLA LIMA - LIMA - SAN MARTIN DE PORRES</t>
  </si>
  <si>
    <t>08083452</t>
  </si>
  <si>
    <t>02019337</t>
  </si>
  <si>
    <t xml:space="preserve"> INTEGRACION Y SOLUCIONES DE AUTOMATIZACION E.I.R.L.</t>
  </si>
  <si>
    <t>PJ. LOS NARDOS MZA. 10 LOTE. 13I P.I CORAZON DE JESUS (A.H LAS TORRES DE MELGAR II ZONA C) LIMA - LIMA - VILLA MARIA DEL TRIUNFO</t>
  </si>
  <si>
    <t>RUIZ HONORES JUAN CARLOS</t>
  </si>
  <si>
    <t>13648964</t>
  </si>
  <si>
    <t>LA LIGURIA S A</t>
  </si>
  <si>
    <t>AV. AV ARICA NRO. 281 LIMA - LIMA - BREÑA</t>
  </si>
  <si>
    <t>CAVAGNARO GARDELLA FEDERICO</t>
  </si>
  <si>
    <t>DESIGNIN NOVATEC WIRELESS NETWORK S.A.C.</t>
  </si>
  <si>
    <t>MZA. B14 LOTE. 9 C.H. MARISCAL CACERES (ENTRADA DE SANTA MARIA) LIMA - LIMA - SAN JUAN DE LURIGANCHO</t>
  </si>
  <si>
    <t>47309750</t>
  </si>
  <si>
    <t>ORTIZ ALEJO WILLIAM</t>
  </si>
  <si>
    <t>14154564</t>
  </si>
  <si>
    <t>09471243</t>
  </si>
  <si>
    <t>10751220</t>
  </si>
  <si>
    <t>MECATRONIC SISTEM E.I.R.L</t>
  </si>
  <si>
    <t>AV. LOS ARTESANOS MZA. D LOTE. 28 OTR. ASOC. CHAVIN DE HUANTAR 3RA. ETAPA (KM.27.5 PAN. NORTE PARADERO ESTABLO) LIMA - LIMA - PUENTE PIEDRA</t>
  </si>
  <si>
    <t>HUAMAN VALVERDE KELLY PAOLA</t>
  </si>
  <si>
    <t>11837926</t>
  </si>
  <si>
    <t>CHH HINZA S.A.C.</t>
  </si>
  <si>
    <t>MZA. B LOTE. 12 ASC. PRO VIV.LOS SUYOS LIMA - LIMA - CARABAYLLO</t>
  </si>
  <si>
    <t>HINOSTROZA HUAMAN CARLOS ALEJANDRO</t>
  </si>
  <si>
    <t>12469303</t>
  </si>
  <si>
    <t>AMC ENERGY SOLUTIONS S.A.C.</t>
  </si>
  <si>
    <t>CAL.SANTA EDUVIGES NRO. 460 URB. PANDO (A 4 CUADRAS DE LA AV. VENEZUELA) LIMA - LIMA - LIMA</t>
  </si>
  <si>
    <t>70143673</t>
  </si>
  <si>
    <t>MIRANDA UGARTE MIGUEL ANGEL</t>
  </si>
  <si>
    <t>14098927</t>
  </si>
  <si>
    <t>AV. CIRCUNVALACION SUB LOTE. 38B2 LA CAPITANA LIMA - LIMA - LURIGANCHO</t>
  </si>
  <si>
    <t>47897690</t>
  </si>
  <si>
    <t>DE LA CRUZ CAJO ELMO EFRAIN</t>
  </si>
  <si>
    <t>14127478</t>
  </si>
  <si>
    <t>INDUSTRIAS MAGER S.A.C.</t>
  </si>
  <si>
    <t>PJ. 2 NRO. 135 A.H. 1ERO. DE MAYO LIMA - LIMA - SAN LUIS</t>
  </si>
  <si>
    <t>10178772</t>
  </si>
  <si>
    <t>CONGACHA SULCA FRANCISCA</t>
  </si>
  <si>
    <t>14162959</t>
  </si>
  <si>
    <t>M &amp; 3A CORPORACION ELECTRO INDUSTRIAL EIRL</t>
  </si>
  <si>
    <t>MZA. 119 LOTE. 04 A.H. ENRIQUE MILLA OCHOA (ALT. CDRA 2 DE AV. CENTRAL) LIMA - LIMA - LOS OLIVOS</t>
  </si>
  <si>
    <t>09594512</t>
  </si>
  <si>
    <t>AVILA LEDEZMA MARTIN GERMAN</t>
  </si>
  <si>
    <t>GESTION ESTRATEGICA Y REINGENIERIA EMPRESARIAL E.I.R.L</t>
  </si>
  <si>
    <t>MZA. C LOTE. 35 TRES HORIZONTES LIMA - LIMA - SAN MARTIN DE PORRES</t>
  </si>
  <si>
    <t>6399 - OTRAS ACTIVIDADES DE SERVICIOS DE INFORMACIÓN N.C.P.</t>
  </si>
  <si>
    <t>45193516</t>
  </si>
  <si>
    <t>ROSALES JARA ARNALDO</t>
  </si>
  <si>
    <t>14154797</t>
  </si>
  <si>
    <t>CORPORACION SANCOR S.A.C.</t>
  </si>
  <si>
    <t>NRO. . INT. 46 OTR. C.C. SAN FELIPE (AV. EDUARDO AVAROA Y GREGORIO ESCOBEDO) LIMA - LIMA - JESUS MARIA</t>
  </si>
  <si>
    <t xml:space="preserve">JESUS MARIA </t>
  </si>
  <si>
    <t>71238636</t>
  </si>
  <si>
    <t>SANCHEZ CUBAS YOVER</t>
  </si>
  <si>
    <t>14402579</t>
  </si>
  <si>
    <t>EARG GLOBAL SOLUTIONS S.A.C.S</t>
  </si>
  <si>
    <t>CAL.17 MZA. I2 LOTE. 12 ASC. SAN FRANCISCO CAYRAN ETAPA 3 (ALT. CDRA. 19 AV. ANTUNEZ DE MAYOLO) LIMA - LIMA - SAN MARTIN DE PORRES</t>
  </si>
  <si>
    <t>06136029</t>
  </si>
  <si>
    <t>GIRALDO CACERES DE REYES MARY</t>
  </si>
  <si>
    <t>15089083</t>
  </si>
  <si>
    <t>AC REFRIGERACION PERU SOCIEDAD ANONIMA CERRADA - AC REFRIGERACION PERU S.A.C.</t>
  </si>
  <si>
    <t>CAL.CAP. ALFREDO NOVOA CAVA NRO. 213 URB. MARANGA 7MA ETAPA LIMA - LIMA - SAN MIGUEL</t>
  </si>
  <si>
    <t>09852199</t>
  </si>
  <si>
    <t>DIAZ DEL OLMO GARCIA VICTOR HUGO</t>
  </si>
  <si>
    <t>14373274</t>
  </si>
  <si>
    <t>CIA INMOTEC S.R.L.</t>
  </si>
  <si>
    <t>CAL.LOS ARAUCANOS NRO. 244 URB. LAS GARZAS DE MONTERRICO LIMA - LIMA - SANTIAGO DE SURCO</t>
  </si>
  <si>
    <t>40952947</t>
  </si>
  <si>
    <t>DIAZ HUERTOS IVAN ARMANDO</t>
  </si>
  <si>
    <t>15048038</t>
  </si>
  <si>
    <t>CAL.LAMBDA NRO. 125 URB. PARQUE INTERNACIONAL DE INDUSTRIA Y COMERCIO (FRENTE AL PARADERO SAN JOAQUIN) PROV. CONST. DEL CALLAO - PROV. CONST. DEL CALLAO - CALLAO</t>
  </si>
  <si>
    <t>08498409</t>
  </si>
  <si>
    <t>SIFUENTES LUYO MIGUEL ANGEL</t>
  </si>
  <si>
    <t>12936964</t>
  </si>
  <si>
    <t>SOLUCIONES TECNOLOGICAS INFORMATICAS DE LAS TELECOMUNICACIONES S.A.C.</t>
  </si>
  <si>
    <t>JR. CARHUAZ NRO. 685 URB. CHACRA COLORADA LIMA - LIMA - BREÑA</t>
  </si>
  <si>
    <t>21287788</t>
  </si>
  <si>
    <t>ARIAS NUÑEZ LENIN JORGE</t>
  </si>
  <si>
    <t>13055846</t>
  </si>
  <si>
    <t>AV. AV. CARLOS IZAGUIRRE MZA. A LOTE. 16 LIMA - LIMA - SAN MARTIN DE PORRES</t>
  </si>
  <si>
    <t>73583868</t>
  </si>
  <si>
    <t>ESTEBAN CRUZ MARDONIO EDILBERTO</t>
  </si>
  <si>
    <t>CONSULTING DESIGN AND MANUFACTURING TECHNOLOGIES IN COLD AND HEAT S.A.C.</t>
  </si>
  <si>
    <t>CAL.LIMA NRO. 298 (ESPALDA COLEGIO 2039) LIMA - LIMA - INDEPENDENCIA</t>
  </si>
  <si>
    <t xml:space="preserve">INDEPENDENCIA </t>
  </si>
  <si>
    <t>42127440</t>
  </si>
  <si>
    <t>VALVERDE ESTRADA RONAL ELIAZAR</t>
  </si>
  <si>
    <t>12755234</t>
  </si>
  <si>
    <t>EXERGIS S.R.L.</t>
  </si>
  <si>
    <t>AV. OSCAR R.BENAVIDES NRO. 3108 DPTO. 102 C.H. LOS ALAMOS DEL PRADO (EX-AV.COLONIAL 3108 BLOCK J NRO 102) LIMA - LIMA - LIMA</t>
  </si>
  <si>
    <t>09726971</t>
  </si>
  <si>
    <t>ALVINO SILVESTRE JOHNNY</t>
  </si>
  <si>
    <t>12368023</t>
  </si>
  <si>
    <t xml:space="preserve"> DOMOCONS E.I.R.L.</t>
  </si>
  <si>
    <t>CAL.UNO NRO. 206 DPTO. 203 URB. LIGURIA LIMA - LIMA - SANTIAGO DE SURCO</t>
  </si>
  <si>
    <t>07621151</t>
  </si>
  <si>
    <t>TAGLE MORENO CARLOS ENRIQUE</t>
  </si>
  <si>
    <t>13884230</t>
  </si>
  <si>
    <t>CAL.JUAN PABLO CONTI MZA. E6 LOTE. 2 A.H. JUAN PABLO II LIMA - LIMA - SAN JUAN DE LURIGANCHO</t>
  </si>
  <si>
    <t>44789581</t>
  </si>
  <si>
    <t>BENITES CHAVEZ JORGE</t>
  </si>
  <si>
    <t>15046619</t>
  </si>
  <si>
    <t>SOLIPAL ELETTRICA S.A.C.</t>
  </si>
  <si>
    <t>JR. AZANGARO NRO. 1005 INT. A CERCADO DE LIMA LIMA - LIMA - LIMA</t>
  </si>
  <si>
    <t>10153675</t>
  </si>
  <si>
    <t>PALACIOS NUÑEZ MARCOS ALEXANDER</t>
  </si>
  <si>
    <t>15230923</t>
  </si>
  <si>
    <t>AGROINDUSTRIA SANTA MARIA S.A.C.</t>
  </si>
  <si>
    <t>AV. EL POLO NRO. 397 DPTO. PI 6 URB. LAS FLORES (EDIFICIO EMPRESARIAL EL POLO) LIMA - LIMA - SANTIAGO DE SURCO</t>
  </si>
  <si>
    <t xml:space="preserve">SANTIAGO DE SURCO </t>
  </si>
  <si>
    <t>07880092</t>
  </si>
  <si>
    <t>FON SANCHEZ JOSE ANTONIO</t>
  </si>
  <si>
    <t>00647403</t>
  </si>
  <si>
    <t>MULTISERVICIOS FRIO ANDIA SOCIEDAD ANONIMA CERRADA - M.F.A. S.A.C.</t>
  </si>
  <si>
    <t>PJ. RIO NIEVE NRO. 175 URB. VILLA HERMOSA LIMA - LIMA - EL AGUSTINO</t>
  </si>
  <si>
    <t>41205203</t>
  </si>
  <si>
    <t>ANDIA SAMANIEGO MARCELINO</t>
  </si>
  <si>
    <t>12055094</t>
  </si>
  <si>
    <t>MSG SERVICIOS DEL PERU S.A.C.</t>
  </si>
  <si>
    <t>AV. PROLONGACION HUAYLAS NRO. 116 URB. CHORRILLOS (PLAZA VEA VILLA MARINA) LIMA - LIMA - CHORRILLOS</t>
  </si>
  <si>
    <t>48680580</t>
  </si>
  <si>
    <t>BAUTISTA MEDRANO VICTOR ANTHONY</t>
  </si>
  <si>
    <t>14512228</t>
  </si>
  <si>
    <t>FK SERVICE GROUP S.A.C.</t>
  </si>
  <si>
    <t>PQ. SATURNO MZA. E LOTE. 16 URB. VIPOL DE NARANJAL LIMA - LIMA - SAN MARTIN DE PORRES</t>
  </si>
  <si>
    <t>SAN MARTIN DE PORES</t>
  </si>
  <si>
    <t>15676903</t>
  </si>
  <si>
    <t>GUZMAN ANTUNEZ ROMAN PATRICIO</t>
  </si>
  <si>
    <t>14490200</t>
  </si>
  <si>
    <t>SELMEC PERU S.A.C.</t>
  </si>
  <si>
    <t>JR. MELLO FRANCO NRO. 882 RES. JESUS MARIA LIMA - LIMA - LIMA</t>
  </si>
  <si>
    <t>48788793</t>
  </si>
  <si>
    <t>NUNTÓN TOCTO MEDALID</t>
  </si>
  <si>
    <t xml:space="preserve">12825966	</t>
  </si>
  <si>
    <t>77528515</t>
  </si>
  <si>
    <t>06850566</t>
  </si>
  <si>
    <t>SOPLA CHUQUITAL RAMON</t>
  </si>
  <si>
    <t>01541048</t>
  </si>
  <si>
    <t>LMA</t>
  </si>
  <si>
    <t>G DIANDERAS NRO. 2472 S M P CONDEVILLA (ALT COLEGIO RICARDO PALMA 3044) LIMA - LIMA - SAN MARTIN DE PORRES</t>
  </si>
  <si>
    <t>UGARTE BORJA EDUARDO</t>
  </si>
  <si>
    <t>13367382</t>
  </si>
  <si>
    <t>LA TORRE CHICANA RAINER</t>
  </si>
  <si>
    <t>Mz b lot 13  asoc. el remanzo de zapallal puente piedra</t>
  </si>
  <si>
    <t>42273087</t>
  </si>
  <si>
    <t>LA TORRE CHICANA, RAINER</t>
  </si>
  <si>
    <t xml:space="preserve"> AMERICAN INVESTMENTS IN TECHNOLOGY S.A.C.</t>
  </si>
  <si>
    <t>AV. TOMAS MARSANO NRO. 3855 URB. LOS MOROCHUCOS LIMA - LIMA - SANTIAGO DE SURCO</t>
  </si>
  <si>
    <t>47204794</t>
  </si>
  <si>
    <t>CASANOVA GONZALES JUAN ERNESTO</t>
  </si>
  <si>
    <t>14385191</t>
  </si>
  <si>
    <t>JASAELEC E.I.R.L</t>
  </si>
  <si>
    <t>CAL.44 MZA. A2 LOTE. 15 URB. SAN ANTONIO CARAPONGO III (ALT. ZOOLOGICO DE HUACHIPA) LIMA - LIMA - LURIGANCHO</t>
  </si>
  <si>
    <t>08648476</t>
  </si>
  <si>
    <t>FRANCO GUTIERREZ LUIS MIGUEL</t>
  </si>
  <si>
    <t>12281097</t>
  </si>
  <si>
    <t>AV. AVELINO CACERES NRO. 362 (CERCA BASE DE LOS ALCONES - COMAS) LIMA - LIMA - COMAS</t>
  </si>
  <si>
    <t>48388051</t>
  </si>
  <si>
    <t>RIOS SAMATA DAMMERT</t>
  </si>
  <si>
    <t>14393204</t>
  </si>
  <si>
    <t>AV. GUILLERMO DANSEY NRO. 1142 URB. LIMA INDUSTRIAL LIMA - LIMA - LIMA</t>
  </si>
  <si>
    <t>76482056</t>
  </si>
  <si>
    <t>REYES MORENO JUNIOR TETSUHIKO</t>
  </si>
  <si>
    <t>CAL.EL CONDADO NRO. 238 URB. PORTADA DEL SOL ET. UNO (AV. LOS FRESNOS CUADRA 15) LIMA - LIMA - LA MOLINA</t>
  </si>
  <si>
    <t xml:space="preserve">LA MOLINA </t>
  </si>
  <si>
    <t>41069942</t>
  </si>
  <si>
    <t>PANDZIC GOMEZ MARKO CESAR</t>
  </si>
  <si>
    <t>12804143</t>
  </si>
  <si>
    <t>MZA. B1 LOTE. 02 APV. VIRGEN DE GUADALUPE LIMA - LIMA - SAN MARTIN DE PORRES</t>
  </si>
  <si>
    <t>46496123</t>
  </si>
  <si>
    <t>MOLLEAPAZA VILLANO DAVID DANIEL</t>
  </si>
  <si>
    <t>13781708</t>
  </si>
  <si>
    <t>CAL.6 DE AGOSTO NRO. 1019 INT. 101 LIMA - LIMA - JESUS MARIA</t>
  </si>
  <si>
    <t>BUENDIA TURCO ROLANDO</t>
  </si>
  <si>
    <t>MZA. M LOTE. 20 A.H. M. SARITA COLONIA (CALLAO 1) PROV. CONST. DEL CALLAO - PROV. CONST. DEL CALLAO - CALLAO</t>
  </si>
  <si>
    <t>QUIROZ MANRIQUE JORGE ALBERTO</t>
  </si>
  <si>
    <t>14536664</t>
  </si>
  <si>
    <t>AV. PACHACUTEC MZA. G1 LOTE. 5-2 PRQIND DE VILLA EL SALVAD (FRENTE AL COLEGIO MARIA MILAGROSA) LIMA - LIMA - VILLA EL SALVADOR</t>
  </si>
  <si>
    <t>10555540</t>
  </si>
  <si>
    <t>LOPEZ MEDINA VICTOR AMARO</t>
  </si>
  <si>
    <t>00268399</t>
  </si>
  <si>
    <t>RICARDO CALDERON INGENIEROS SAC</t>
  </si>
  <si>
    <t>AV. AUGUSTO B LEGUIA NRO. 307 COO. POLICIAL (ACONT DE AV. PERU -ANTES DE ZARUMILLA) LIMA - LIMA - SAN MARTIN DE PORRES</t>
  </si>
  <si>
    <t xml:space="preserve"> 6190 - OTRAS ACTIVIDADES DE TELECOMUNICACIONES</t>
  </si>
  <si>
    <t>09610245</t>
  </si>
  <si>
    <t>CALDERON URRIBARRI RICARDO</t>
  </si>
  <si>
    <t>12146449</t>
  </si>
  <si>
    <t>JR. SAN FRANCISCO NRO. 746 URB. SAN CARLOS (ALTURA AV.UNIVERSITARIA Y AV. SAN CARLOS) LIMA - LIMA - COMAS</t>
  </si>
  <si>
    <t>LLAMPI PALOMINO JHON CHRISTOPHER</t>
  </si>
  <si>
    <t>CABALLERO QUIÑONES LUZ MONICA</t>
  </si>
  <si>
    <t>LAGUNA DE LA CRUZ ERIKA VERONICA</t>
  </si>
  <si>
    <t>14864867</t>
  </si>
  <si>
    <t>CAL.PORTADA DEL SOL NRO. 885 URB. AZCARRUNZ BAJO LIMA - LIMA - SAN JUAN DE LURIGANCHO</t>
  </si>
  <si>
    <t>SA JUAN DE LURIGANCHO</t>
  </si>
  <si>
    <t>23982626</t>
  </si>
  <si>
    <t>MAYORGA MAYORGA SANDRA LIZ</t>
  </si>
  <si>
    <t>14675758</t>
  </si>
  <si>
    <t>29424012</t>
  </si>
  <si>
    <t>DAVALOS VILLAVICENCIO MARGARITA</t>
  </si>
  <si>
    <t>11364517</t>
  </si>
  <si>
    <t>41489613</t>
  </si>
  <si>
    <t>GAONA DOMINGUEZ JOHN ALBERTO</t>
  </si>
  <si>
    <t>13513744</t>
  </si>
  <si>
    <t>G &amp; H &amp; L CONSTRUCCIONES E.I.R.L.</t>
  </si>
  <si>
    <t>CAL.FUENTE OVEJUNA MZA. A LOTE. 16 COO. LA UNIVERSAL 1RA ETAPA LIMA - LIMA - SANTA ANITA</t>
  </si>
  <si>
    <t>PJ. 17 NRO. 138 P.J. AÑO NUEVO LIMA - LIMA - COMAS</t>
  </si>
  <si>
    <t>10393485</t>
  </si>
  <si>
    <t>RAMIREZ ESPIRITU JAVIER MARCELINO</t>
  </si>
  <si>
    <t>12704316</t>
  </si>
  <si>
    <t>07819264</t>
  </si>
  <si>
    <t>CASTANON SEOANE EMILIO ENRIQUE</t>
  </si>
  <si>
    <t>11125941</t>
  </si>
  <si>
    <t>CANSECO LUPIS FELIX PABLO</t>
  </si>
  <si>
    <t>07784619</t>
  </si>
  <si>
    <t>ARAMBURU ORTUZAR ELIANA MERCEDES</t>
  </si>
  <si>
    <t>07784443</t>
  </si>
  <si>
    <t>KOHLER SAMANEZ ERNESTO</t>
  </si>
  <si>
    <t>EMPRESA MULTISERVIS TRANS VIZ E.I.R.L.</t>
  </si>
  <si>
    <t>MZA. Ñ5 LOTE. 01 AMP.VENT.A 0 (CALLE 10 DE VENTANILLA ALTA) PROV. CONST. DEL CALLAO - PROV. CONST. DEL CALLAO - VENTANILLA</t>
  </si>
  <si>
    <t>VIZARES INGA REYNALDO</t>
  </si>
  <si>
    <t>GARCIA AMARO MOISES HEYSE</t>
  </si>
  <si>
    <t>TAIPE SUAREZ CLAUDIO</t>
  </si>
  <si>
    <t>CAL.REMIGIO MORALES BERMUDEZ NRO. 313 (2DO PISO PTA 417) LIMA - HUARAL - HUARAL</t>
  </si>
  <si>
    <t>CCECCAÑO SANTIAGO FELIX</t>
  </si>
  <si>
    <t>JMG ENERGY S.A.C.</t>
  </si>
  <si>
    <t>JR. LAS GUAYABAS NRO. 1985 LIMA - LIMA - LOS OLIVOS</t>
  </si>
  <si>
    <t>FERNANDEZ LINARES JUAN CRISTOBAL</t>
  </si>
  <si>
    <t>SERVICIOS GENERALES FERNANDEZ SGF E.I.R.L.</t>
  </si>
  <si>
    <t>CAL.SIN NOMBRE MZA. B LOTE. 01 A.V. LOS JARDINES DE LURIN I ET. LIMA - LIMA - LURIN</t>
  </si>
  <si>
    <t>FERNANDEZ CASTRO EDISON FELIPE</t>
  </si>
  <si>
    <t>SERVICIO MANTENIMIENTO ELECTRICOS GENERAL ORSA S.A.C.</t>
  </si>
  <si>
    <t>MZA. Q LOTE. 12 COO. CHANCAS ANDAHUAYLAS (PARALELA A MUNC. STA ANITA) LIMA - LIMA - SANTA ANITA</t>
  </si>
  <si>
    <t>OROSCO LAZO AUGUSTO JULIAN</t>
  </si>
  <si>
    <t>CORPORACIÓN RAZEMAR SERVICIOS GENERALES S.A.C.</t>
  </si>
  <si>
    <t>MZA. A LOTE. 28 RES. DE VIVIENDA ALAMO BLANCO LIMA - LIMA - CARABAYLLO</t>
  </si>
  <si>
    <t>ZEGARRA VEGA JAVIER ANGEL</t>
  </si>
  <si>
    <t>AV. LOS TALLERES NRO. 4898 URB. EL NARANJAL LIMA - LIMA - INDEPENDENCIA</t>
  </si>
  <si>
    <t>PALACIOS CHOPITEA FRANCISCO JOSE</t>
  </si>
  <si>
    <t>CARBAJAL PALACIOS FERNANDO ENRIQUE</t>
  </si>
  <si>
    <t>AV. TAMBO RIO MZA. G LOTE. 17 INT. B1 FND. CHACRA CERRO (CRUCE AV. CHILLON / AV. TAMBO RIO) LIMA - LIMA - COMAS</t>
  </si>
  <si>
    <t>ARANGUEZ RIVERA DE DIAZ SUSAN MINELLY</t>
  </si>
  <si>
    <t>DIAZ ALIAGA CARLOS ANDRES</t>
  </si>
  <si>
    <t>MIOVICH ZUÑIGA MARIA SOBEIDA</t>
  </si>
  <si>
    <t>HUAMANE CHARAHUAYTA MARLENE</t>
  </si>
  <si>
    <t>AV. AUGUSTO WIESSE MZA. A LOTE. 1 GRU. 6 (3ER.PISO-ALT.DEL PDO.4 DE CRUZ DE MOTUPE) LIMA - LIMA - SAN JUAN DE LURIGANCHO</t>
  </si>
  <si>
    <t>MORALES PALOMINO RAFAEL JULIO</t>
  </si>
  <si>
    <t>RIVERA CUNO MIRIAM ALICIA</t>
  </si>
  <si>
    <t>SOLIS PECHO WILFREDO</t>
  </si>
  <si>
    <t>SARMIENTO MITACC ISAAC PABEL</t>
  </si>
  <si>
    <t>MITACC GRADOS EULOGIA AMANDA</t>
  </si>
  <si>
    <t>AV. ARBOLEDA MZA. E LOTE. 22 URB. SANTA RAQUEL (CRUCE DE AVENIDA SEP IND Y AV HUAROCHIRI) LIMA - LIMA - ATE</t>
  </si>
  <si>
    <t>MUEDAS MALLMA RONALD ILIAN</t>
  </si>
  <si>
    <t>BALLADARES GARCIA ZULMY VIVIANA</t>
  </si>
  <si>
    <t>QUISPE PALOMINO NATALY IRIS</t>
  </si>
  <si>
    <t>BELTRAN ESPINOZA SHEYLA</t>
  </si>
  <si>
    <t>SILVA NAUPARI MARCOS EFRAIN</t>
  </si>
  <si>
    <t>PJ. LOS ALISOS MZA. U LOTE. 6 DPTO. 1 LIMA - LIMA - PUENTE PIEDRA</t>
  </si>
  <si>
    <t>TORRES ASCA DEYSI MARIBEL</t>
  </si>
  <si>
    <t>GARCIA CHAHUA OMAR GUSTAVO</t>
  </si>
  <si>
    <t>RILO BENAVIDES MANUEL ANTONIO</t>
  </si>
  <si>
    <t>BENAVIDES CORIGLIANO ENRIQUE JOSE</t>
  </si>
  <si>
    <t>FARADAY ELECTRIC TRANSFORMERS S.A.C.</t>
  </si>
  <si>
    <t>MZA. C LOTE. 20 URB. EL OASIS DORADO DE CARABAYLLO LIMA - LIMA - CARABAYLLO</t>
  </si>
  <si>
    <t>ROJAS HUAYNALAYA KREYDER ROMARIO</t>
  </si>
  <si>
    <t>ULLOA PAREDES ERNESTO APOLINARIO</t>
  </si>
  <si>
    <t>PRESIDENTE</t>
  </si>
  <si>
    <t>ZEGARRA GONZALES HENRY RICHARD</t>
  </si>
  <si>
    <t>AV. VIÑAS DEL OLIVAR MZA. A LOTE. 29 ASC. MERCURIO (PISO 1) LIMA - LIMA - PUENTE PIEDRA</t>
  </si>
  <si>
    <t>OCALIO SOLIS AGLIBER WILDER</t>
  </si>
  <si>
    <t>AV. MATERIALES NRO. 2215 LIMA - LIMA - LIMA</t>
  </si>
  <si>
    <t>QUISPE CUEVA JOSE RAUL</t>
  </si>
  <si>
    <t>QUISPE CUEVA RUBEN</t>
  </si>
  <si>
    <t>MATOS VARGAS ROBERTO</t>
  </si>
  <si>
    <t>CENTER SERVICE RVC E.I.R.L.</t>
  </si>
  <si>
    <t>CALLE 3 MZA. A LOTE. 06 ASC. SANTA ISABEL - GLORIA ALTA (KM. 14.8 DE CARRETERA CENTRAL) LIMA - LIMA - ATE</t>
  </si>
  <si>
    <t>VILCA CONDORI ROGER</t>
  </si>
  <si>
    <t>JR. SATURNO NRO. 102 URB. SOL DE ORO LIMA - LIMA - LOS OLIVOS</t>
  </si>
  <si>
    <t>BARJA TORRES ELOY CESAR</t>
  </si>
  <si>
    <t>BARJA TORRES JORDAN MISAEL</t>
  </si>
  <si>
    <t>LOTE. C FND. VASQUEZ (AV. NICOLAS AYLLON 3080) LIMA - LIMA - ATE</t>
  </si>
  <si>
    <t>WILLE MULLER ULRICH MANFRED</t>
  </si>
  <si>
    <t>WILLE VAN DEN WYNGAERT JOHN ALEXANDER</t>
  </si>
  <si>
    <t>SERVICIOS SENIOR S.A.C.</t>
  </si>
  <si>
    <t>JR. IGNACIO MERINO NRO. 3707 INT. 2 URB. PANAMERICANA NORTE (CUADRA 4 DE CARLOS IZAGUIRRE) LIMA - LIMA - LOS OLIVOS</t>
  </si>
  <si>
    <t>REYES CASTILLO ROSA LUZ</t>
  </si>
  <si>
    <t>G &amp; L SERVICIOS ELECTROMECANICOS INDUSTRIALES S.A.C.</t>
  </si>
  <si>
    <t>MZA. A LOTE. 13 ASOC.PROP. SAN JUAN DE VILCA (ALT DEL KM 28 Y MEDIO DE LA PANAM. NORTE) LIMA - LIMA - PUENTE PIEDRA</t>
  </si>
  <si>
    <t>CORDOVA JARA GEANCARLOS ANTONIO</t>
  </si>
  <si>
    <t>ASOCIACION CULTURAL PERUANO BRITANICA</t>
  </si>
  <si>
    <t>AV. AREQUIPA NRO. 3445 URB. CHACARILLA - SANTA CRUZ LIMA - LIMA - SAN ISIDRO</t>
  </si>
  <si>
    <t>MORRIS WATSON FRANK</t>
  </si>
  <si>
    <t>TESORERO</t>
  </si>
  <si>
    <t>DE CARDENAS SALAZAR GONZALO ANTONIO</t>
  </si>
  <si>
    <t>AV. MICAELA BASTIDAS NRO. 236 URB. TRES PUENTES (COSTADO BANCO DE LA NACION) LIMA - BARRANCA - PARAMONGA</t>
  </si>
  <si>
    <t>GIRALDO LUNA JORGE LUIS</t>
  </si>
  <si>
    <t>TORIBIO ALEGRIA EULOGIO CRUZ</t>
  </si>
  <si>
    <t>FISHMAN COTLEAR MARCOS SHULIM</t>
  </si>
  <si>
    <t>GRIMALDO TREMOLADA HECTOR HUMBERTO</t>
  </si>
  <si>
    <t>LERNER RUB DE FISHMAN KARIN</t>
  </si>
  <si>
    <t>TELLO RAMIREZ CESAR AUGUSTO</t>
  </si>
  <si>
    <t>VAZQUEZ RODRIGUEZ MONICA CAROLINA</t>
  </si>
  <si>
    <t>REYES NAVARRETE ANA CECILIA</t>
  </si>
  <si>
    <t>FIOCCO BLOISA FERNANDO CARMELO</t>
  </si>
  <si>
    <t>TENICELA HUBY LUIS ANTONIO</t>
  </si>
  <si>
    <t>GERENTE DE PRODUCCION</t>
  </si>
  <si>
    <t>CROSATO BRUNI ALDO SERGIO</t>
  </si>
  <si>
    <t>CROSATO BASILE ARTEMIO VICTOR</t>
  </si>
  <si>
    <t>FEBRES SARMIENTO VERONICA CECILIA</t>
  </si>
  <si>
    <t>BIBER SERPA MICHEL MAX EMILIO</t>
  </si>
  <si>
    <t>GUBBINS BOVET ENRIQUE MANUEL</t>
  </si>
  <si>
    <t>WOLL RIVAS DANIEL JOSE</t>
  </si>
  <si>
    <t>OLIVARES GARCIA HECTOR RAUL</t>
  </si>
  <si>
    <t>AV. TUPAC AMARU NRO. 5771 URB. POPULAR SAN CARLOS LIMA - LIMA - COMAS</t>
  </si>
  <si>
    <t>CAL.SAN MIGUEL MZA. C LOTE. 11 URB. INDUSTRIAL SANTA ROSA LIMA - LIMA - ATE</t>
  </si>
  <si>
    <t>ACADIC S.R.L</t>
  </si>
  <si>
    <t xml:space="preserve">
CAL.LAS CALENDULAS NRO. 1451 COO. LAS FLORES LIMA - LIMA - SAN JUAN DE LURIGANCHO</t>
  </si>
  <si>
    <t>43039203</t>
  </si>
  <si>
    <t>CAPRISTANO CUEVA ALDO NICOLAS</t>
  </si>
  <si>
    <t>13422194</t>
  </si>
  <si>
    <t>AMAZON PLAST SOCIEDAD ANONIMA CERRADA - AMAZON PLAST S.A.C.</t>
  </si>
  <si>
    <t>CAL.ISIDRO BONIFAZ NRO. 426 URB. HABILITACION INDUSTRIAL PANAMERICANA NORTE LIMA - LIMA - INDEPENDENCIA</t>
  </si>
  <si>
    <t>ALARCON CARRILLO MAYRA JAIS</t>
  </si>
  <si>
    <t>13935206</t>
  </si>
  <si>
    <t>AUTOMATIZACION Y SISTEMAS DE PESAJE INDUSTRIAL S.A.C. - ASIPESA S.A.C.</t>
  </si>
  <si>
    <t>PJ. NAPOLES NRO. 118 URB. FIORI LIMA - LIMA - SAN MARTIN DE PORRES</t>
  </si>
  <si>
    <t>GUTIERREZ CORAL JOSE LUIS</t>
  </si>
  <si>
    <t>13475533</t>
  </si>
  <si>
    <t>CHAVEZ GROUP SAC</t>
  </si>
  <si>
    <t>09684139</t>
  </si>
  <si>
    <t>CHAVEZ ANTICONA ARTUR FRIS</t>
  </si>
  <si>
    <t>12637616</t>
  </si>
  <si>
    <t>CORPORACION S. VALDERRAMA S.A.C.</t>
  </si>
  <si>
    <t>AV. DE LA MARINA NRO. 2927 URB. MARANGA 3RA ET LIMA - LIMA - SAN MIGUEL</t>
  </si>
  <si>
    <t>46240493</t>
  </si>
  <si>
    <t>VALDERRAMA LÓPEZ SARA ISABEL CHEN-JAI</t>
  </si>
  <si>
    <t>14837852</t>
  </si>
  <si>
    <t>40584942</t>
  </si>
  <si>
    <t xml:space="preserve">	MELENDEZ MAZA OSCAR MILTON</t>
  </si>
  <si>
    <t>14610195</t>
  </si>
  <si>
    <t>DAGO IMPORT &amp; EXPORT E.I.R.L.</t>
  </si>
  <si>
    <t xml:space="preserve">
JR. HUARAZ NRO. 111 (ALT. CDRA 38 DE LA AV. PERU) LIMA - LIMA - SAN MARTIN DE PORRES</t>
  </si>
  <si>
    <t>46423878</t>
  </si>
  <si>
    <t>NOLASCO QUISPE KATHERINE STEFANY</t>
  </si>
  <si>
    <t>13404313</t>
  </si>
  <si>
    <t>09335048</t>
  </si>
  <si>
    <t xml:space="preserve">	GRAU ORLANDINI MIGUEL AUGUSTO</t>
  </si>
  <si>
    <t>12460231</t>
  </si>
  <si>
    <t>ELECTRO INDUSTRIAL LUSAL SOCIEDAD ANONIMA CERRADA</t>
  </si>
  <si>
    <t>JR. HUAROCHIRI NRO. 550 INT. 2076 URB. LIMA INDUSTRIAL (PLAZA FERRETERO LAS MALVINAS 2DO. PISO) LIMA - LIMA - LIMA</t>
  </si>
  <si>
    <t>42440080</t>
  </si>
  <si>
    <t>YAURI LOPEZ SARA MILAGROS</t>
  </si>
  <si>
    <t>12492848</t>
  </si>
  <si>
    <t>70901274</t>
  </si>
  <si>
    <t>HERRERA CAMA EMMA FRESHIA</t>
  </si>
  <si>
    <t>14966851</t>
  </si>
  <si>
    <t>25788008</t>
  </si>
  <si>
    <t xml:space="preserve">	HURTADO ARCE ANA MARIA</t>
  </si>
  <si>
    <t>AV. GENERAL GARZON NRO. 2301 LIMA - LIMA - JESUS MARIA</t>
  </si>
  <si>
    <t>09200944</t>
  </si>
  <si>
    <t xml:space="preserve">	ASCUE CUZCANO FELIPE</t>
  </si>
  <si>
    <t xml:space="preserve">	ALVA ODRIA LUIS</t>
  </si>
  <si>
    <t>PROMOTOR</t>
  </si>
  <si>
    <t xml:space="preserve">	QUISPE TUNQUE JULIO</t>
  </si>
  <si>
    <t>12318676</t>
  </si>
  <si>
    <t>INDUSTRIAS KADEF S.A.C</t>
  </si>
  <si>
    <t>CAL.B MZA. C LOTE. 53 URB. PANAMERICANA (TERMINANDO MEGAPLAZA-AV.INDUSTRIAL IZQ.) LIMA - LIMA - INDEPENDENCIA</t>
  </si>
  <si>
    <t>10398976</t>
  </si>
  <si>
    <t xml:space="preserve">	LAUREANO CARRILLO DENNIS ROLANDO</t>
  </si>
  <si>
    <t>12152777</t>
  </si>
  <si>
    <t>19893106</t>
  </si>
  <si>
    <t>PARIONA TAIPE MANUEL</t>
  </si>
  <si>
    <t>12067767</t>
  </si>
  <si>
    <t>IPESA PERU S.A.C.</t>
  </si>
  <si>
    <t>AV. COLONIAL NRO. 206 INT. 1161 OTR. C.C. PLAZA FERRETERO (PRIMER PISO , PASAJE A) LIMA - LIMA - LIMA</t>
  </si>
  <si>
    <t>42083068</t>
  </si>
  <si>
    <t>PEREZ TAIPE JAVIER LINDO</t>
  </si>
  <si>
    <t>13297093</t>
  </si>
  <si>
    <t>JAI PLAST SOCIEDAD COMERCIAL DE RESPONSABILIDAD LIMITADA</t>
  </si>
  <si>
    <t>JR. LOS METALES MZA. F-6 LOTE. 15 URB. PRO INDUSTRIAL (ENTRADA TRAPICHE) LIMA - LIMA - SAN MARTIN DE PORRES</t>
  </si>
  <si>
    <t>CARDENAS HUAMANI VDA DE VELASQUEZ ELVA</t>
  </si>
  <si>
    <t>00103152</t>
  </si>
  <si>
    <t>AV. LA ENCALADA MZA. L LOTE. 11 COO. DE VIVIENDA PACHACUTEC (PISO 1) LIMA - LIMA - SANTA ANITA</t>
  </si>
  <si>
    <t>URCUHUARANGA JESUS WILLIAM ESTEBAN</t>
  </si>
  <si>
    <t>12785658</t>
  </si>
  <si>
    <t xml:space="preserve">
AV. TUPAC AMARU NRO. 210 (KM. 4.5 TUPAC AMARU) LIMA - LIMA - RIMAC</t>
  </si>
  <si>
    <t>07843999</t>
  </si>
  <si>
    <t>RUIZ GUEVARA CARLOS GUSTAVO</t>
  </si>
  <si>
    <t>11485807</t>
  </si>
  <si>
    <t>10136058</t>
  </si>
  <si>
    <t>BUENO TORRES PEDRO EDMUNDO</t>
  </si>
  <si>
    <t>10527760</t>
  </si>
  <si>
    <t xml:space="preserve">	GONZALES CUBA MARIA EUGENIA</t>
  </si>
  <si>
    <t>25331980</t>
  </si>
  <si>
    <t>LOPEZ CHAU NAVA PABLO ALFONSO</t>
  </si>
  <si>
    <t>THERATRONICS SAC</t>
  </si>
  <si>
    <t>06271669</t>
  </si>
  <si>
    <t xml:space="preserve">	ROJAS ROJAS JOSE RAUL</t>
  </si>
  <si>
    <t>12477869</t>
  </si>
  <si>
    <t>41564723</t>
  </si>
  <si>
    <t>APARICIO QUISPE DANIEL</t>
  </si>
  <si>
    <t>13392890</t>
  </si>
  <si>
    <t>43060867</t>
  </si>
  <si>
    <t>INGA PEINADO JORGE LUIS</t>
  </si>
  <si>
    <t>43436473</t>
  </si>
  <si>
    <t>ROQUE GOMEZ HARRY RAYZUN</t>
  </si>
  <si>
    <t>SERVICIOS Y FABRICACION DE EQUIPOS PARA LABORATORIO S.A.C.-SERFALAB S.A.C.</t>
  </si>
  <si>
    <t>SULLON CASTILLO MARIA ESTEFANY</t>
  </si>
  <si>
    <t>RRV SOLUCIONES Y SERVICIOS S.A.C.</t>
  </si>
  <si>
    <t xml:space="preserve">
CAL.TOMAS RAMSEY NRO. 930 INT. 505 LIMA - LIMA - MAGDALENA DEL MAR</t>
  </si>
  <si>
    <t>BENITES SOSA MARGARITA LUZ</t>
  </si>
  <si>
    <t>13718568</t>
  </si>
  <si>
    <t>44974307</t>
  </si>
  <si>
    <t>ROBLES CAYCHO LUIS ENRIQUE</t>
  </si>
  <si>
    <t>13390296</t>
  </si>
  <si>
    <t>CAL.LOS CEDROS MZA. C LOTE. 20 URB. LA CAPITANA (AL COSTADO DE TELESUP) LIMA - LIMA - LURIGANCHO</t>
  </si>
  <si>
    <t>07272781</t>
  </si>
  <si>
    <t>CASALINO LEON ALDO LUCIANO</t>
  </si>
  <si>
    <t>12776512</t>
  </si>
  <si>
    <t>08746289</t>
  </si>
  <si>
    <t>SIMON TUMA STEVE ADOLFO</t>
  </si>
  <si>
    <t>08746663</t>
  </si>
  <si>
    <t xml:space="preserve">	SANSOUR GHARIB GEORGE ANTONY</t>
  </si>
  <si>
    <t>10683422</t>
  </si>
  <si>
    <t xml:space="preserve">	HUERTA PEREZ MARIO CESAR</t>
  </si>
  <si>
    <t>13456932</t>
  </si>
  <si>
    <t xml:space="preserve">
JR. YAVARI NRO. 596 P.J. SERAFIN FILOMENO LORETO - MAYNAS - IQUITOS</t>
  </si>
  <si>
    <t>07165180</t>
  </si>
  <si>
    <t>VERASTEGUI PASCUAL DE MEZA BERNARDINA JUSTINA</t>
  </si>
  <si>
    <t>11056058</t>
  </si>
  <si>
    <t>40561839</t>
  </si>
  <si>
    <t>CURI VILLARROEL PEDRO BLADEMIR</t>
  </si>
  <si>
    <t>12863844</t>
  </si>
  <si>
    <t>07701800</t>
  </si>
  <si>
    <t>BUGOSEN CHALUJA ELIAS</t>
  </si>
  <si>
    <t>01234102</t>
  </si>
  <si>
    <t>BUGOSEN CHALUJA ROSA</t>
  </si>
  <si>
    <t>BUGOSEN CHALUJA NACIM KARAM</t>
  </si>
  <si>
    <t>MALL TECHNICAL SUPPORT SOCIEDAD ANONIMA CERRADA - MALL SUPPORT S.A.C.</t>
  </si>
  <si>
    <t>06850904</t>
  </si>
  <si>
    <t>LLAMOSA REDOSADO NOE TEODOMIRO</t>
  </si>
  <si>
    <t>14435407</t>
  </si>
  <si>
    <t>10679397</t>
  </si>
  <si>
    <t>FLORES ATAUCUSI PERCY</t>
  </si>
  <si>
    <t>12741907</t>
  </si>
  <si>
    <t xml:space="preserve">	TEJEIRA PALACIOS CARMEN</t>
  </si>
  <si>
    <t>K &amp; X INTEGRAL SOLUTION SOCIEDAD ANONIMA CERRADA</t>
  </si>
  <si>
    <t>CAL.19 MZA. W LOTE. 15 A.V. COOPIP (4TO PISO) LIMA - LIMA - SAN MARTIN DE PORRES</t>
  </si>
  <si>
    <t>TORPOCO HINOJOSA OSCAR ERNESTO</t>
  </si>
  <si>
    <t>24002421</t>
  </si>
  <si>
    <t>45346204</t>
  </si>
  <si>
    <t>10397802</t>
  </si>
  <si>
    <t>10177116</t>
  </si>
  <si>
    <t>10507837</t>
  </si>
  <si>
    <t>20887228</t>
  </si>
  <si>
    <t>74692666</t>
  </si>
  <si>
    <t>73663439</t>
  </si>
  <si>
    <t>77566925</t>
  </si>
  <si>
    <t>40804214</t>
  </si>
  <si>
    <t>41752461</t>
  </si>
  <si>
    <t>42954338</t>
  </si>
  <si>
    <t>16008444</t>
  </si>
  <si>
    <t>42113890</t>
  </si>
  <si>
    <t>10298358</t>
  </si>
  <si>
    <t>29406439</t>
  </si>
  <si>
    <t>45245822</t>
  </si>
  <si>
    <t>21569355</t>
  </si>
  <si>
    <t>41435895</t>
  </si>
  <si>
    <t>41215652</t>
  </si>
  <si>
    <t>40858083</t>
  </si>
  <si>
    <t>43004053</t>
  </si>
  <si>
    <t>42121052</t>
  </si>
  <si>
    <t>40124177</t>
  </si>
  <si>
    <t>40865453</t>
  </si>
  <si>
    <t>10724635</t>
  </si>
  <si>
    <t>25779064</t>
  </si>
  <si>
    <t>45377895</t>
  </si>
  <si>
    <t>43597494</t>
  </si>
  <si>
    <t>43299456</t>
  </si>
  <si>
    <t>44055491</t>
  </si>
  <si>
    <t>43718372</t>
  </si>
  <si>
    <t>10786069</t>
  </si>
  <si>
    <t>48054748</t>
  </si>
  <si>
    <t>42995996</t>
  </si>
  <si>
    <t>10690914</t>
  </si>
  <si>
    <t>10615417</t>
  </si>
  <si>
    <t>20109038</t>
  </si>
  <si>
    <t>43720619</t>
  </si>
  <si>
    <t>43849510</t>
  </si>
  <si>
    <t>10198085</t>
  </si>
  <si>
    <t>41079300</t>
  </si>
  <si>
    <t>46421045</t>
  </si>
  <si>
    <t>42302908</t>
  </si>
  <si>
    <t>45063235</t>
  </si>
  <si>
    <t>40813155</t>
  </si>
  <si>
    <t>10272577</t>
  </si>
  <si>
    <t>41183218</t>
  </si>
  <si>
    <t>43566100</t>
  </si>
  <si>
    <t>29620062</t>
  </si>
  <si>
    <t>18100520</t>
  </si>
  <si>
    <t>10540349</t>
  </si>
  <si>
    <t>15385488</t>
  </si>
  <si>
    <t>10599241</t>
  </si>
  <si>
    <t>10279815</t>
  </si>
  <si>
    <t>43544828</t>
  </si>
  <si>
    <t>40233766</t>
  </si>
  <si>
    <t>40000294</t>
  </si>
  <si>
    <t>70617456</t>
  </si>
  <si>
    <t>32963524</t>
  </si>
  <si>
    <t>40542169</t>
  </si>
  <si>
    <t>40842183</t>
  </si>
  <si>
    <t>44947125</t>
  </si>
  <si>
    <t>80646385</t>
  </si>
  <si>
    <t>44787381</t>
  </si>
  <si>
    <t>41539181</t>
  </si>
  <si>
    <t>40395236</t>
  </si>
  <si>
    <t>46987862</t>
  </si>
  <si>
    <t>46551420</t>
  </si>
  <si>
    <t>10802480</t>
  </si>
  <si>
    <t>10316604</t>
  </si>
  <si>
    <t>21791163</t>
  </si>
  <si>
    <t>10064315</t>
  </si>
  <si>
    <t>10558011</t>
  </si>
  <si>
    <t>42762754</t>
  </si>
  <si>
    <t>43004970</t>
  </si>
  <si>
    <t>46746036</t>
  </si>
  <si>
    <t>41720772</t>
  </si>
  <si>
    <t>45256851</t>
  </si>
  <si>
    <t>40028154</t>
  </si>
  <si>
    <t>80454047</t>
  </si>
  <si>
    <t>46880834</t>
  </si>
  <si>
    <t>10778263</t>
  </si>
  <si>
    <t>40638523</t>
  </si>
  <si>
    <t>33800417</t>
  </si>
  <si>
    <t>43434606</t>
  </si>
  <si>
    <t>10017092</t>
  </si>
  <si>
    <t>46920676</t>
  </si>
  <si>
    <t>43091754</t>
  </si>
  <si>
    <t>31661534</t>
  </si>
  <si>
    <t>41725713</t>
  </si>
  <si>
    <t>20012094</t>
  </si>
  <si>
    <t>19826722</t>
  </si>
  <si>
    <t>40878891</t>
  </si>
  <si>
    <t>10553760</t>
  </si>
  <si>
    <t>45544217</t>
  </si>
  <si>
    <t>46077649</t>
  </si>
  <si>
    <t>77179473</t>
  </si>
  <si>
    <t>40078151</t>
  </si>
  <si>
    <t>10179444</t>
  </si>
  <si>
    <t>47715262</t>
  </si>
  <si>
    <t>80539716</t>
  </si>
  <si>
    <t>42039377</t>
  </si>
  <si>
    <t>73453519</t>
  </si>
  <si>
    <t>10023772</t>
  </si>
  <si>
    <t>40438007</t>
  </si>
  <si>
    <t>20436025</t>
  </si>
  <si>
    <t>10207709</t>
  </si>
  <si>
    <t>43613698</t>
  </si>
  <si>
    <t>45488484</t>
  </si>
  <si>
    <t>15664879</t>
  </si>
  <si>
    <t>45562272</t>
  </si>
  <si>
    <t>42908533</t>
  </si>
  <si>
    <t>10065880780</t>
  </si>
  <si>
    <t>41675984</t>
  </si>
  <si>
    <t>SIA TRADING S.A.C.</t>
  </si>
  <si>
    <t>CAL.LAS FRESAS MZA. J LOTE. 15A URB. INDUSTRIAL INFANTAS LIMA - LIMA - LOS OLIVOS</t>
  </si>
  <si>
    <t>ELECTRICA Y POTENCIA INGENIEROS E.I.R.L.</t>
  </si>
  <si>
    <t>PJ. TESTE ANDRE 863 MZA. D LOTE. 9 APV. UNIVERSIDAD DANIEL ALCIDES CARRION LIMA - LIMA - LURIGANCHO</t>
  </si>
  <si>
    <t>SERVICIOS ELECTROM.-INDUSTRIALES S.R.L.</t>
  </si>
  <si>
    <t>MZA. A LOTE. 20 URB. P.V. RINCONADA DE OQUENDO PROV. CONST. DEL CALLAO - PROV. CONST. DEL CALLAO - CALLAO</t>
  </si>
  <si>
    <t>PRECISUR PERU SOCIEDAD COMERCIAL DE RESPONSABILIDAD LIMITADA - PRECISUR PERU S.R.L.</t>
  </si>
  <si>
    <t>AV. VICENTE MORALES DUAREZ NRO. 1717 P.J. MIRONES ALTO LIMA - LIMA - LIMA</t>
  </si>
  <si>
    <t>CARI ARAGON LUZ MARIA</t>
  </si>
  <si>
    <t>11309722</t>
  </si>
  <si>
    <t>CALLE LOS ALMENDROS NRO 144, LIMA, HUARAL, HUARAL</t>
  </si>
  <si>
    <t>9512 - REPARACIÓN DE EQUIPO DE COMUNICACIONES</t>
  </si>
  <si>
    <t>CHOCANO VALDERRAMA RAUL ENRIQUE</t>
  </si>
  <si>
    <t>14169211</t>
  </si>
  <si>
    <t>AV. TOMAS MARSANO NRO. 3352 URB. LA CAPULLANA (A DOS CUADRAS DEL OVALO HIGUERETA) LIMA - LIMA - SANTIAGO DE SURCO</t>
  </si>
  <si>
    <t>GILVONIO PALMA JOYCE</t>
  </si>
  <si>
    <t>70635576</t>
  </si>
  <si>
    <t>CONSORCIO AGROPECUARIO ALMIFER S.A.C.</t>
  </si>
  <si>
    <t>CAL.ACUARIO NRO. 861 URB. MERCURIO (ALTURA CUADRA 9 AV. ANTUÑEZ DE MAYOLO) LIMA - LIMA - LOS OLIVOS</t>
  </si>
  <si>
    <t>QUEZADA DOMINGUEZ ERCILA SOLEDAD</t>
  </si>
  <si>
    <t>14529083</t>
  </si>
  <si>
    <t>FLUITRONIC SOCIEDAD ANONIMA CERRADA - FLUITRONIC S.A.C.</t>
  </si>
  <si>
    <t>R. RICARDO PALMA MZA. D LOTE. 18 URB. JUAN PABLO II (CRUCE AV PEREZ SALMON Y AV SANTA ROSA) PROV. CONST. DEL CALLAO - PROV. CONST. DEL CALLAO - CALLAO</t>
  </si>
  <si>
    <t>MORENO TARAZONA DE SANTOS EUCEBIA SIMONA</t>
  </si>
  <si>
    <t>70400865</t>
  </si>
  <si>
    <t>AGRICOLAS Y FORESTALES SAC</t>
  </si>
  <si>
    <t>CAR.INTEROCEANICA KM. 7 MADRE DE DIOS - TAMBOPATA - LAS PIEDRAS</t>
  </si>
  <si>
    <t>MADRE DE DIOS</t>
  </si>
  <si>
    <t>TAMBOPATA</t>
  </si>
  <si>
    <t>LAS PIEDRAS</t>
  </si>
  <si>
    <t>JARAMILLO CORRALES ERIKA</t>
  </si>
  <si>
    <t>11696997</t>
  </si>
  <si>
    <t>CABZE S.R.L</t>
  </si>
  <si>
    <t>MZA. H-9 LOTE. 23 A.H. MI PERU PROV. CONST. DEL CALLAO - PROV. CONST. DEL CALLAO - VENTANILLA</t>
  </si>
  <si>
    <t>079 - ELABORACIÓN DE OTROS PRODUCTOS ALIMENTICIOS N.C.P.</t>
  </si>
  <si>
    <t>CHUQUILIN CARRANZA CINTHYA REBECCA</t>
  </si>
  <si>
    <t>11129085</t>
  </si>
  <si>
    <t>INDUSTRIAS ALIMENTARIAS S.A.C.</t>
  </si>
  <si>
    <t>AV. EL DERBY NRO. 254 INT. 1703 URB. EL DERBY LIMA - LIMA - SANTIAGO DE SURCO</t>
  </si>
  <si>
    <t>030 - ELABORACIÓN Y CONSERVACIÓN DE FRUTAS, LEGUMBRES Y HORTALIZAS</t>
  </si>
  <si>
    <t>MEDINA BOLDT NANCY MARGOT</t>
  </si>
  <si>
    <t>CAL.2 DE MAYO NRO. 516 INT. 201 URB. URB. CERCADO DE MIRAFLORES LIMA - LIMA - MIRAFLORES</t>
  </si>
  <si>
    <t>PIUNDO QUIROZ ARQUIMEDES</t>
  </si>
  <si>
    <t>14935354</t>
  </si>
  <si>
    <t>PROFESIONALES COSECA S.A.C.</t>
  </si>
  <si>
    <t>MZA. H LOTE. 1 ASOC SAN JUAN SR DE LA SO (AV PANAMERICANA NORTE KM 26.5 FAB DE MOT) LIMA - LIMA - PUENTE PIEDRA</t>
  </si>
  <si>
    <t>2910 - FABRICACIÓN DE VEHÍCULOS AUTOMOTORES</t>
  </si>
  <si>
    <t>CORDERO RAMIREZ HERBERT ESTANISLAO</t>
  </si>
  <si>
    <t>11737105</t>
  </si>
  <si>
    <t>JR. BAQUIJANO Y CARRILLO NRO. 164 URB. SANTA LUZMILA 1ERA. ETAPA LIMA - LIMA - COMAS</t>
  </si>
  <si>
    <t>TEMPLE TEMPLE AUGUSTO ROLANDO</t>
  </si>
  <si>
    <t>Av. Proceres de la independencia Mz.D Lt.3A Urb.San ignacio San juan de lurigancho.</t>
  </si>
  <si>
    <t>HUAMAN ACHAICA, LOURDES</t>
  </si>
  <si>
    <t>DUEÑA</t>
  </si>
  <si>
    <t>AV. SANTA ANA NRO. 560 URB. LOS SAUCES LIMA - LIMA - ATE</t>
  </si>
  <si>
    <t>AGURTO LOACES VICTORIA REBECA</t>
  </si>
  <si>
    <t>13084442</t>
  </si>
  <si>
    <t>AV. NICOLAS ARRIOLA NRO. 314 INT. 402 URB. SANTA CATALINA LIMA - LIMA - LA VICTORIA</t>
  </si>
  <si>
    <t>THORSEN CUADRA CHRISTIAN ANDRES</t>
  </si>
  <si>
    <t>MANAGER</t>
  </si>
  <si>
    <t>LUQUE TORRES LUIS CESAR</t>
  </si>
  <si>
    <t>Av. San martin cuadra 5,  Mercado Cooperativo Unión. Zona antigua, tablada de luminoso. Vmt.</t>
  </si>
  <si>
    <t>VILLA MARÍA DEL TRIUNFO</t>
  </si>
  <si>
    <t> LUQUE TORRES, LUIS CESAR</t>
  </si>
  <si>
    <t>DUEÑO</t>
  </si>
  <si>
    <t>SCT VILLA DEL SOL ANX 22 MZA. EE LOTE. 01 APV. POSES MYPES (JICAMARCA TERMINANDO AV MONTENEGRO) LIMA - HUAROCHIRI - SAN ANTONIO</t>
  </si>
  <si>
    <t>ROJAS QUISPE PERCY FREDY</t>
  </si>
  <si>
    <t>INGRAM MICRO S.A.C.</t>
  </si>
  <si>
    <t>JR. CARPACCIO NRO. 250 (OF 601-602-616) LIMA - LIMA - SAN BORJA</t>
  </si>
  <si>
    <t>NUÑEZ BORNAS SANDRA JANETTE</t>
  </si>
  <si>
    <t>CONFIABILIDAD Y/O MANTENIMIENTO INDUSTRIAL S.A.C.</t>
  </si>
  <si>
    <t>AV. PLAZA FANNING NRO. 132 INT. 201 (FRENTE OBELISCO) PROV. CONST. DEL CALLAO - PROV. CONST. DEL CALLAO - CALLAO</t>
  </si>
  <si>
    <t>COLANA HUARAC NICOLAS EUGENIO</t>
  </si>
  <si>
    <t>FABRICACION Y COMERCIALIZACION INDUSTRIAL SAC</t>
  </si>
  <si>
    <t>AV. CHACRA CERRO LOTE. 14V ZONAL 14 EX-FUNDO CHACRA LIMA - LIMA - COMAS</t>
  </si>
  <si>
    <t>ESPINOZA SANCHEZ JOSE MANUEL</t>
  </si>
  <si>
    <t>11362893</t>
  </si>
  <si>
    <t>SISTEMAS DE PERFORACION Y GEOTECNIA S.A.C</t>
  </si>
  <si>
    <t>JR. MARISCAL LA MAR - EX. UGARTE Y MOSCOSO NRO. 991 INT. 202 (ALT. CUADRA 12 AV. DEL EJERCITO) LIMA - LIMA - MAGDALENA DEL MAR</t>
  </si>
  <si>
    <t>SAN MIGUEL LOPATEGUI CARLOS</t>
  </si>
  <si>
    <t>12894571</t>
  </si>
  <si>
    <t>GANADERIA LOS LAURELES S.A.</t>
  </si>
  <si>
    <t>CAR.PANAMERICANA NORTE KM. 85 (FRENTE A LOZA DEPORTIVA) LIMA - HUARAL - CHANCAY</t>
  </si>
  <si>
    <t>0141 - CRÍA DE GANADO BOVINO Y BÚFALOS</t>
  </si>
  <si>
    <t>CANO CADILLO GLORIA ROSAURA</t>
  </si>
  <si>
    <t>60162143</t>
  </si>
  <si>
    <t>JC &amp; S MAQUINARIAS Y REPARACIONES S.A.C.</t>
  </si>
  <si>
    <t>AV. PUENTE PIEDRA MZA. A LOTE. 21 URB. LOS ALGARROBOS LIMA - LIMA - PUENTE PIEDRA</t>
  </si>
  <si>
    <t> 4659 - VENTA AL POR MAYOR DE OTROS TIPOS DE MAQUINARIA Y EQUIPO</t>
  </si>
  <si>
    <t>ECHEVARRIA DE LA CRUZ ELMER CESITAR RAMON</t>
  </si>
  <si>
    <t>CAL.LAS CAMELIAS MZA. L LOTE. 16 URB. ENTEL PERU LIMA - LIMA - SAN JUAN DE MIRAFLORES</t>
  </si>
  <si>
    <t>NAVARRO LOZADA EDITH VANESSA</t>
  </si>
  <si>
    <t>12361690</t>
  </si>
  <si>
    <t>FAMETSA INNOVA E.I.R.L.</t>
  </si>
  <si>
    <t>GRUPO 3 MZA. C LOTE. 22 P.J. NUEVO PROGRESO LIMA - LIMA - VILLA MARIA DEL TRIUNFO</t>
  </si>
  <si>
    <t>09689657</t>
  </si>
  <si>
    <t>QUISPE PEREZ OFELIA</t>
  </si>
  <si>
    <t>12814756</t>
  </si>
  <si>
    <t>MZA. A LOTE. 4 A.V. ASOCIACION NUEVA VIDA (COLEGIO DELA FLORIDA) LIMA - HUAROCHIRI - SAN ANTONIO</t>
  </si>
  <si>
    <t>43667983</t>
  </si>
  <si>
    <t xml:space="preserve">	PALOMINO RODAS ABRAHAM</t>
  </si>
  <si>
    <t>14271405</t>
  </si>
  <si>
    <t>AV. HUAROCHIRI NRO. 151 Z.I. ZONA INDUSTRIAL STA ANITA LIMA - LIMA - SANTA ANITA</t>
  </si>
  <si>
    <t>07211486</t>
  </si>
  <si>
    <t>CHAVEZ PARRA ANA MARIA</t>
  </si>
  <si>
    <t>00636568</t>
  </si>
  <si>
    <t>08081335</t>
  </si>
  <si>
    <t>NOVOA CACEDA HECTOR GUILLERMO</t>
  </si>
  <si>
    <t>08272342</t>
  </si>
  <si>
    <t xml:space="preserve">	ISOLA DE LA PEÑA JUAN BAUTISTA</t>
  </si>
  <si>
    <t>25609935</t>
  </si>
  <si>
    <t xml:space="preserve">	CHUNGA CASTRO JAIME AUGUSTO</t>
  </si>
  <si>
    <t xml:space="preserve">
JR. FCO GONZALES PAVON NRO. 565 (ANTES JR. SAN MARTIN) LIMA - LIMA - MAGDALENA DEL MAR</t>
  </si>
  <si>
    <t>07723066</t>
  </si>
  <si>
    <t>MEDRANO TITO FRANCISCO RICARDO</t>
  </si>
  <si>
    <t>12159657</t>
  </si>
  <si>
    <t>AV. AREQUIPA NRO. 4898 (ESQUINA DE AV. AREQUIPA CON JR. CHICLAYO) LIMA - LIMA - MIRAFLORES</t>
  </si>
  <si>
    <t xml:space="preserve">	ORTIZ CASAVERDE PEDRO ROBERT</t>
  </si>
  <si>
    <t xml:space="preserve">
MZA. 14 LOTE. 7B MIRAMAR (AL COSTADO DE DEPOSITO CRISTAL) LIMA - CAÑETE - CHILCA</t>
  </si>
  <si>
    <t>09149419</t>
  </si>
  <si>
    <t>AVILA HUAPAYA JOSE NICOLAS</t>
  </si>
  <si>
    <t>21181138</t>
  </si>
  <si>
    <t>INNEX S.A.C.</t>
  </si>
  <si>
    <t>CAL.PIURA NRO. 775 URB. VILLACAMPA (PLAZA VEA DE FRANCISCO ARANCIBIA) LIMA - LIMA - RIMAC</t>
  </si>
  <si>
    <t>41454134</t>
  </si>
  <si>
    <t>MONTENEGRO DIAZ FERNANDO HELMER</t>
  </si>
  <si>
    <t>13979145</t>
  </si>
  <si>
    <t>AV. NICOLAS DE PIEROLA NRO. 601 FND. LA ESTRELLA (ALT KM 9.8 CARR CENTRAL,SANTA CLARA) LIMA - LIMA - ATE</t>
  </si>
  <si>
    <t>08235578</t>
  </si>
  <si>
    <t>LEON OJEDA CARMEN MARIA ELENA</t>
  </si>
  <si>
    <t>11022192</t>
  </si>
  <si>
    <t>09335710</t>
  </si>
  <si>
    <t>FIOCCO CORNEJO MARIO ENRIQUE</t>
  </si>
  <si>
    <t>09341758</t>
  </si>
  <si>
    <t>DE ALBERTIS MOREYRA JUAN ENRIQUE</t>
  </si>
  <si>
    <t>09396787</t>
  </si>
  <si>
    <t>ESCRIBENS RUIZ WALTER GIOVANNIE</t>
  </si>
  <si>
    <t>10804781</t>
  </si>
  <si>
    <t xml:space="preserve">	CONROY GANOZA JORGE GUILLERMO</t>
  </si>
  <si>
    <t>42553013</t>
  </si>
  <si>
    <t xml:space="preserve">	GUTIERREZ CORRALES RENZO FERNANDO</t>
  </si>
  <si>
    <t>AV. MATERIALES NRO. 2475 P.J. PRIMERO DE SETIEMBRE LIMA - LIMA - LIMA</t>
  </si>
  <si>
    <t>07786530</t>
  </si>
  <si>
    <t>SARMIENTO FLORES JOSE MANUEL</t>
  </si>
  <si>
    <t>11015376</t>
  </si>
  <si>
    <t>07875068</t>
  </si>
  <si>
    <t xml:space="preserve">	BROGGI FONSECA JORGE LUIS</t>
  </si>
  <si>
    <t>08189533</t>
  </si>
  <si>
    <t>VILLAFUERTE ALVARADO ENRIQUE GUILLERMO</t>
  </si>
  <si>
    <t>09666106</t>
  </si>
  <si>
    <t>HUANE ANAYA PABLO CESAR</t>
  </si>
  <si>
    <t>10275998</t>
  </si>
  <si>
    <t>RANSA COMERCIAL S.A.C</t>
  </si>
  <si>
    <t xml:space="preserve">
AV. ARGENTINA NRO. 2833 Z.I. INDUSTRIAL PROV. CONST. DEL CALLAO - PROV. CONST. DEL CALLAO - CALLAO</t>
  </si>
  <si>
    <t>70202251</t>
  </si>
  <si>
    <t>02845606</t>
  </si>
  <si>
    <t>DE LAMA AGRAMONTE JULIO CARLOS HERNAN</t>
  </si>
  <si>
    <t>06542610</t>
  </si>
  <si>
    <t>SACCHI GIURATO PAOLO MARIO</t>
  </si>
  <si>
    <t>BACA CABANILLAS EVELYN CONSTANTINA</t>
  </si>
  <si>
    <t>07869867</t>
  </si>
  <si>
    <t>CABALLERO MELGAR CARLOS ARNALDO</t>
  </si>
  <si>
    <t>08238020</t>
  </si>
  <si>
    <t>BARCLAY LARRABURE ANDRES PATRICIO</t>
  </si>
  <si>
    <t>08275373</t>
  </si>
  <si>
    <t>10219255</t>
  </si>
  <si>
    <t>FIGARI MASSA ROBERTO</t>
  </si>
  <si>
    <t>10346363</t>
  </si>
  <si>
    <t>10544402</t>
  </si>
  <si>
    <t>LLOSA BUSTAMANTE GABRIELA</t>
  </si>
  <si>
    <t>10612637</t>
  </si>
  <si>
    <t>25625037</t>
  </si>
  <si>
    <t>CICIRELLO MORALES NINA ESTHER</t>
  </si>
  <si>
    <t>40878202</t>
  </si>
  <si>
    <t xml:space="preserve">	PILARES ROBLES ERICKA</t>
  </si>
  <si>
    <t>41866046</t>
  </si>
  <si>
    <t>CIRIANI GALVEZ CARLOS AUGUSTO</t>
  </si>
  <si>
    <t>44378047</t>
  </si>
  <si>
    <t>ALARCON VIGIL SERGIO ALFONSO</t>
  </si>
  <si>
    <t>45191692</t>
  </si>
  <si>
    <t xml:space="preserve">	MOTA ANAYA GUSTAVO RONAL</t>
  </si>
  <si>
    <t>AV. SAN GENARO NRO. 150 URB. MOLITALIA (ALT.DEL GRIFO LAS VEGAS) LIMA - LIMA - LOS OLIVOS</t>
  </si>
  <si>
    <t>06592618</t>
  </si>
  <si>
    <t>LLANOS FERNANDEZ EVA</t>
  </si>
  <si>
    <t>11024778</t>
  </si>
  <si>
    <t>07830091</t>
  </si>
  <si>
    <t xml:space="preserve">	MOSCA CORRO LUIS JORGE HUMBERTO</t>
  </si>
  <si>
    <t>08890783</t>
  </si>
  <si>
    <t xml:space="preserve">	TAPIA LLAMAS MERY DEL PILAR</t>
  </si>
  <si>
    <t>09384274</t>
  </si>
  <si>
    <t xml:space="preserve">	JARAMILLO FINN MARIA DEL CARMEN</t>
  </si>
  <si>
    <t>09459798</t>
  </si>
  <si>
    <t xml:space="preserve">	MEZA ESPINOSA ADOLFO JULIO</t>
  </si>
  <si>
    <t>09751939</t>
  </si>
  <si>
    <t xml:space="preserve">	BELMONT AGUERO JORGE LUIS</t>
  </si>
  <si>
    <t>LA VICTORA</t>
  </si>
  <si>
    <t>1430 - FABRICACIÓN DE ARTÍCULOS DE PUNTO Y GANCHILLO</t>
  </si>
  <si>
    <t>08746582</t>
  </si>
  <si>
    <t xml:space="preserve">	FARAH SEDAN ALBERTO ATALA</t>
  </si>
  <si>
    <t>03010266</t>
  </si>
  <si>
    <t>10812168</t>
  </si>
  <si>
    <t>FARAH GIHA JUAN ALEJANDRO</t>
  </si>
  <si>
    <t>41291466</t>
  </si>
  <si>
    <t xml:space="preserve">	SABAL FARAH MARCO ANTONIO</t>
  </si>
  <si>
    <t>47984532</t>
  </si>
  <si>
    <t xml:space="preserve">	LLANO CUEVA MARCELO MACGAVIN</t>
  </si>
  <si>
    <t>15052918</t>
  </si>
  <si>
    <t xml:space="preserve">
CAL.FELIPE PARDO Y ALIAGA MZA. Q7 LOTE. 27 URB. SAN ANTONIO DE CARABAYLLO ETAPA 4 LIMA - LIMA - CARABAYLLO</t>
  </si>
  <si>
    <t>44529433</t>
  </si>
  <si>
    <t xml:space="preserve">	GOMEZ RETAMOZO BRUNO</t>
  </si>
  <si>
    <t>70742587</t>
  </si>
  <si>
    <t>PJ. PRIMAVERA NRO. 450 (FTE AL COLEGIO SAN MARTIN) LIMA - BARRANCA - BARRANCA</t>
  </si>
  <si>
    <t>43703692</t>
  </si>
  <si>
    <t>ARIAS CASTILLON NELSON CRISTIAN</t>
  </si>
  <si>
    <t>80173241</t>
  </si>
  <si>
    <t>CAL.ENRIQUE ARNAEZ NAVEDA NRO. 586 URB. EL ROSARIO LIMA - LIMA - SAN MARTIN DE PORRES</t>
  </si>
  <si>
    <t>74897860</t>
  </si>
  <si>
    <t xml:space="preserve">	RIOS ALCANTARA BRAYAN JHAIR</t>
  </si>
  <si>
    <t>28 DE JULIO NRO. 1787 LIMA - LIMA - LA VICTORIA</t>
  </si>
  <si>
    <t>09481679</t>
  </si>
  <si>
    <t xml:space="preserve">	CARHUACHIN LUIS EVARISTO ANTONIO</t>
  </si>
  <si>
    <t>14817554</t>
  </si>
  <si>
    <t>AV. REPUBLICA DE ARGENTINA NRO. 1325 URB. LIMA INDUSTRIAL LIMA - LIMA - LIMA</t>
  </si>
  <si>
    <t>005577073</t>
  </si>
  <si>
    <t xml:space="preserve">	ZHOU WU CHENG</t>
  </si>
  <si>
    <t>14794041</t>
  </si>
  <si>
    <t>MZA. K LOTE. 3 URB. SESQUICENTENARIO PROV. CONST. DEL CALLAO - PROV. CONST. DEL CALLAO - CALLAO</t>
  </si>
  <si>
    <t>25767104</t>
  </si>
  <si>
    <t xml:space="preserve">	PERALTA QUINTANILLA MOISES</t>
  </si>
  <si>
    <t>14775623</t>
  </si>
  <si>
    <t>AV. LAS PALMERAS NRO. 5144 URB. PARQUE NARANJAL (PRIMER PISO) LIMA - LIMA - LOS OLIVOS</t>
  </si>
  <si>
    <t>76955172</t>
  </si>
  <si>
    <t>BAYLON VARGAS NICOLE ROMY</t>
  </si>
  <si>
    <t>14771981</t>
  </si>
  <si>
    <t>AV. INCA GARCILASO DE LA VEGA NRO. 1261 INT. 102B CERCADO DE LIMA LIMA - LIMA - LIMA</t>
  </si>
  <si>
    <t>45232357</t>
  </si>
  <si>
    <t xml:space="preserve">	GARCIA INGA MARILYN</t>
  </si>
  <si>
    <t>14720900</t>
  </si>
  <si>
    <t xml:space="preserve">
MZA. B RES. LA LIBERTAD LIMA - LIMA - SANTIAGO DE SURCO</t>
  </si>
  <si>
    <t>SANTIAGO DE SRUCO</t>
  </si>
  <si>
    <t>41649377</t>
  </si>
  <si>
    <t xml:space="preserve">	VILLAVERDE ARIAS JAVIER WILFREDO</t>
  </si>
  <si>
    <t xml:space="preserve">
AV. CHANCAS MZA. A LOTE. 14 URB. EL ASESOR LIMA - LIMA - SANTA ANITA</t>
  </si>
  <si>
    <t>43000445</t>
  </si>
  <si>
    <t xml:space="preserve">	GALICIO TORRECILLAS CARMEN ROSA</t>
  </si>
  <si>
    <t>14600488</t>
  </si>
  <si>
    <t xml:space="preserve">
MZA. J3 LOTE. 19 A.H. TRES DE MAYO LIMA - LIMA - SAN MARTIN DE PORRES</t>
  </si>
  <si>
    <t>SAN MARTIN DE PORRRES</t>
  </si>
  <si>
    <t>41205044</t>
  </si>
  <si>
    <t xml:space="preserve">	APOLIN ASENCIO JAIME CRISTOBAL</t>
  </si>
  <si>
    <t>14536763</t>
  </si>
  <si>
    <t xml:space="preserve">
CAL.DERECHA NRO. 823 LIMA - HUARAL - HUARAL</t>
  </si>
  <si>
    <t>47104158</t>
  </si>
  <si>
    <t xml:space="preserve">	ORTIZ OCHOA ALEX RENZO</t>
  </si>
  <si>
    <t>60164367</t>
  </si>
  <si>
    <t>AV. T. AMARU NRO. 530 URB. C.M. PRADO (ALT. DEL COLEGIO ESTADOS UNIDOS) LIMA - LIMA - COMAS</t>
  </si>
  <si>
    <t>47427940</t>
  </si>
  <si>
    <t>MARCAÑAUPA MEJIA YASMIN VANESSA</t>
  </si>
  <si>
    <t>14397623</t>
  </si>
  <si>
    <t>JR. UGARTECHE NRO. 448 DPTO. 401 LIMA - LIMA - PUEBLO LIBRE (MAGDALENA VIEJA)</t>
  </si>
  <si>
    <t>10285857</t>
  </si>
  <si>
    <t xml:space="preserve">	MOSQUEIRA PRADO AUGUSTO</t>
  </si>
  <si>
    <t>14303106</t>
  </si>
  <si>
    <t xml:space="preserve">
AV. A MZA. B2 LOTE. 23 URB. SANTA ANA LIMA - LIMA - LOS OLIVOS</t>
  </si>
  <si>
    <t>10293836</t>
  </si>
  <si>
    <t xml:space="preserve">	PEÑA HUAMAN JOEL</t>
  </si>
  <si>
    <t>14285682</t>
  </si>
  <si>
    <t>48263810</t>
  </si>
  <si>
    <t xml:space="preserve">	PEÑA DE LA CRUZ JORDAN JOEL</t>
  </si>
  <si>
    <t>GERENTE DE COMERCIALIZACIÓN</t>
  </si>
  <si>
    <t>AV. RAUL HAYA DE LA TORRE MZA. B LOTE. 19 RES. SANTA LUCIA PROV. CONST. DEL CALLAO - PROV. CONST. DEL CALLAO - CALLAO</t>
  </si>
  <si>
    <t>08961181</t>
  </si>
  <si>
    <t>TORRES BAUTISTA MADELEINE</t>
  </si>
  <si>
    <t>14285625</t>
  </si>
  <si>
    <t xml:space="preserve">
CAL.CARLOS ALAYZA Y ROEL NRO. 2088 INT. 203 CARLOS ALAYZA Y ROEL LIMA - LIMA - LINCE</t>
  </si>
  <si>
    <t>08686016</t>
  </si>
  <si>
    <t>CHAVEZ JENSSEN JULIO CESAR</t>
  </si>
  <si>
    <t>14267543</t>
  </si>
  <si>
    <t>CAL.JUAN JOSE CALLE NRO. 220 URB. PROLONGACION AURORA LIMA - LIMA - MIRAFLORES</t>
  </si>
  <si>
    <t xml:space="preserve">	AYBAR HESSE MANUEL</t>
  </si>
  <si>
    <t>41649558</t>
  </si>
  <si>
    <t>14266944</t>
  </si>
  <si>
    <t>73857362</t>
  </si>
  <si>
    <t>CALDERON DE LA BARCA GONZALES XIMENA ANDREA</t>
  </si>
  <si>
    <t>MZA. C LOTE. 01 A.V. LAS FLORES DE SAN DIEGO (ENTRADA DEL GRIFO SAN DIEGO) LIMA - LIMA - SAN MARTIN DE PORRES</t>
  </si>
  <si>
    <t>06802927</t>
  </si>
  <si>
    <t>ARROYO RAMOS RICARDO ERNESTO</t>
  </si>
  <si>
    <t>14268974</t>
  </si>
  <si>
    <t>CAL.37 MZA. 049 A.H. LAURA CALLER IBERICO SCT 0303 (ESPALDA DE LA COMISERARIA LAURA CALLER) LIMA - LIMA - LOS OLIVOS</t>
  </si>
  <si>
    <t>09730780</t>
  </si>
  <si>
    <t xml:space="preserve">	CASTILLO LOZADA GLADYS NOEMI</t>
  </si>
  <si>
    <t xml:space="preserve">	DIRECTOR (CENTRO DE ESTUDIOS)</t>
  </si>
  <si>
    <t>AV. FERNANDO WIESE NRO. 860 URB. CANTO GRANDE (1 1/2 ANTES DE ESTACION SANTA ROSA TREN) LIMA - LIMA - SAN JUAN DE LURIGANCHO</t>
  </si>
  <si>
    <t>10673625</t>
  </si>
  <si>
    <t xml:space="preserve">	VEIS FLORES NANCY MILAGROS</t>
  </si>
  <si>
    <t>14188629</t>
  </si>
  <si>
    <t>JUAN GERMAN LAPEYRE NRO. 305 URB. VISTA ALEGRE LIMA - LIMA - SANTIAGO DE SURCO</t>
  </si>
  <si>
    <t>09545430</t>
  </si>
  <si>
    <t xml:space="preserve">	TORRES ROSAS ALEXANDRO WILFREDO</t>
  </si>
  <si>
    <t>14213978</t>
  </si>
  <si>
    <t xml:space="preserve">
AV. ARICA NRO. 1435 DPTO. 405 LIMA - LIMA - BREÑA</t>
  </si>
  <si>
    <t>43241195</t>
  </si>
  <si>
    <t xml:space="preserve">	MEDIANERO BAZAN KERRY EDGAR</t>
  </si>
  <si>
    <t>14204897</t>
  </si>
  <si>
    <t xml:space="preserve">
AV. TRAPICHE MZA. 05 LOTE. 75 URB. LOS HUERTOS LIMA - LIMA - CARABAYLLO</t>
  </si>
  <si>
    <t>43255151</t>
  </si>
  <si>
    <t>BARRUETO CASTILLO JUAN CARLOS</t>
  </si>
  <si>
    <t>14212710</t>
  </si>
  <si>
    <t>CAL.LOS COPIHUAS MZA. K LOTE. 3 URB. LA ENSENADA (COMISARIA ENSENADA) LIMA - LIMA - PUENTE PIEDRA</t>
  </si>
  <si>
    <t>06896082</t>
  </si>
  <si>
    <t xml:space="preserve">	GONZALES SANCHEZ CARLOS ENRIQUE</t>
  </si>
  <si>
    <t>14201150</t>
  </si>
  <si>
    <t xml:space="preserve">
JR. ANDRES AVELINO CACERES MZA. L LOTE. 8 ASC. PROP HTOS DE HUACHIPA LIMA - LIMA - LURIGANCHO</t>
  </si>
  <si>
    <t>10421518</t>
  </si>
  <si>
    <t xml:space="preserve">	AMADO GONZALES LUCRECIA PATRICIA</t>
  </si>
  <si>
    <t>14207877</t>
  </si>
  <si>
    <t>AV. UNIVERSITARIA NORTE MZA. 24 LOTE. 33 A.H. LAURA CALLER IBERICO LIMA - LIMA - LOS OLIVOS</t>
  </si>
  <si>
    <t>44041554</t>
  </si>
  <si>
    <t xml:space="preserve">	MIGUEL ANDAHUA HECTOR ALVARO</t>
  </si>
  <si>
    <t>14181777</t>
  </si>
  <si>
    <t>AV. JOSE MARIA SEGUIN NRO. 940 URB. SAN JUAN ZONA D (ALTURA CDRA. 6 AV.LOS HEROES) LIMA - LIMA - SAN JUAN DE MIRAFLORES</t>
  </si>
  <si>
    <t>29603452</t>
  </si>
  <si>
    <t xml:space="preserve">	MURILLO DURAND HENRY DENIS</t>
  </si>
  <si>
    <t>14103430</t>
  </si>
  <si>
    <t>AV. MORALES DUAREZ NRO. 2479 P.J. MIRONES BAJO (PISO 2- A 4 CDRAS DE AV.UNIVERSITARIA) LIMA - LIMA - LIMA</t>
  </si>
  <si>
    <t>43712920</t>
  </si>
  <si>
    <t xml:space="preserve">	GUZMAN ROSALES JUAN CARLOS</t>
  </si>
  <si>
    <t>14125042</t>
  </si>
  <si>
    <t xml:space="preserve">
MZA. U LOTE. 23 A.H. LA VICTORIA (CERCA DEL PARADERO LA VICTORIA) ANCASH - HUARMEY - HUARMEY</t>
  </si>
  <si>
    <t>31682590</t>
  </si>
  <si>
    <t xml:space="preserve">	CAURURO OBREGON MARCELO ALBERTO</t>
  </si>
  <si>
    <t>11029952</t>
  </si>
  <si>
    <t>CASMA</t>
  </si>
  <si>
    <t xml:space="preserve">
AV. COLONIAL NRO. 351 U.V. ALEXANDER (BLOCK 7A - 3) LIMA - LIMA - LIMA</t>
  </si>
  <si>
    <t>41967781</t>
  </si>
  <si>
    <t xml:space="preserve">	VASQUEZ RIVERA ADOLFO RISTER</t>
  </si>
  <si>
    <t>13988073</t>
  </si>
  <si>
    <t xml:space="preserve">
CAL.LLOQUE YUPANQUI NRO. 181 U. POP TAHUANTINSUYO (3ER. PISO - INTERIOR 2) LIMA - LIMA - INDEPENDENCIA</t>
  </si>
  <si>
    <t>07142029</t>
  </si>
  <si>
    <t xml:space="preserve">	ACOSTA ELIAS LUIS ALBERTO</t>
  </si>
  <si>
    <t>13997326</t>
  </si>
  <si>
    <t xml:space="preserve">
JR. JOSE SAMANEZ OCAMPO NRO. 148A URB. MICAELA BASTIDAS (FRENTE A METRO) LIMA - LIMA - LOS OLIVOS</t>
  </si>
  <si>
    <t>40003166</t>
  </si>
  <si>
    <t>BLANCAS LUJAN ELIZABETH</t>
  </si>
  <si>
    <t>13950267</t>
  </si>
  <si>
    <t xml:space="preserve">
AV. SAN LUIS NRO. 2546 DPTO. 3D URB. SAN BORJA SUR LIMA - LIMA - SAN BORJA</t>
  </si>
  <si>
    <t>42697651</t>
  </si>
  <si>
    <t>HUARACA PORTOCARRERO SILVESTRE ENRRIQUE</t>
  </si>
  <si>
    <t>13908104</t>
  </si>
  <si>
    <t xml:space="preserve">
CAL.PUCARA MZA. B LOTE. 2 URB. FAUCETT (ALT OVALO 200 MILLAS) PROV. CONST. DEL CALLAO - PROV. CONST. DEL CALLAO - CALLAO</t>
  </si>
  <si>
    <t>46642642</t>
  </si>
  <si>
    <t>FERNANDEZ VEGA MARIA DEL SOCORRO</t>
  </si>
  <si>
    <t>13879002</t>
  </si>
  <si>
    <t xml:space="preserve">
AV. UNIVERSITARIA NRO. 7951 LIMA - LIMA - COMAS</t>
  </si>
  <si>
    <t>43997735</t>
  </si>
  <si>
    <t>DELGADO VILLEGAS CARLOS EDUARDO</t>
  </si>
  <si>
    <t>13859108</t>
  </si>
  <si>
    <t>PARCELA 10234 NRO. . FND. SANTA INES (ALT.OVALO PUENTE PIEDRA LADRILLERA LARK) LIMA - LIMA - PUENTE PIEDRA</t>
  </si>
  <si>
    <t>09167921</t>
  </si>
  <si>
    <t>TORPOCO VILLAR HECTOR SERGIO</t>
  </si>
  <si>
    <t>13846289</t>
  </si>
  <si>
    <t xml:space="preserve">
JR. CHOTA NRO. 1161 CERCADO DE LIMA LIMA - LIMA - LIMA</t>
  </si>
  <si>
    <t>13835500</t>
  </si>
  <si>
    <t>41773794</t>
  </si>
  <si>
    <t xml:space="preserve">	BUENO CISNEROS JIMMY JUNIOR</t>
  </si>
  <si>
    <t>AV. INCA GARCILASO DE LA VEGA NRO. 732 INT. 302A CERCADO DE LIMA LIMA - LIMA - LIMA</t>
  </si>
  <si>
    <t>8220 - ACTIVIDADES DE CENTROS DE LLAMADAS</t>
  </si>
  <si>
    <t>41670448</t>
  </si>
  <si>
    <t xml:space="preserve">	HILARIO BUSTAMANTE ALEX ALFREDO</t>
  </si>
  <si>
    <t>13690534</t>
  </si>
  <si>
    <t xml:space="preserve">
MZA. U LOTE. 6 A.H. VIRGEN DE FATIMA (ALT CDRA 10 AV ALISOS) LIMA - LIMA - LOS OLIVOS</t>
  </si>
  <si>
    <t>40560582</t>
  </si>
  <si>
    <t xml:space="preserve">	HERNANDEZ PORTOCARRERO PAOLA</t>
  </si>
  <si>
    <t>13754543</t>
  </si>
  <si>
    <t xml:space="preserve">
AV. CIRCUNVALACION MZA. L LOTE. 2 INT. 30 CC DIGNIDAD DE HUACHIPA LIMA - LIMA - LURIGANCHO</t>
  </si>
  <si>
    <t>45144097</t>
  </si>
  <si>
    <t xml:space="preserve">	PIEROLA PAREDES NILVER</t>
  </si>
  <si>
    <t xml:space="preserve">
CAL.SALAVERRY NRO. 105 URB. AEROPUERTO (CRUCE DE AV. FAUCETT CON AV. QUILCA) PROV. CONST. DEL CALLAO - PROV. CONST. DEL CALLAO - CALLAO</t>
  </si>
  <si>
    <t>45630158</t>
  </si>
  <si>
    <t>RIVERA CALLE VICTOR</t>
  </si>
  <si>
    <t>13617051</t>
  </si>
  <si>
    <t>CAL.SAN CARLOS MZA. D LOTE. 08 ASC. SAN CARLOS DE LA ESPERANZA LIMA - LIMA - ATE</t>
  </si>
  <si>
    <t>10251205</t>
  </si>
  <si>
    <t xml:space="preserve">	VILLANUEVA ROJAS CHRISTIAN</t>
  </si>
  <si>
    <t>13593808</t>
  </si>
  <si>
    <t xml:space="preserve">
JR. MARISCAL LUZURIAGA NRO. 737 DPTO. 401 (ALT. DE LA CDRA 11 DE LA AV MARIATEGUI) LIMA - LIMA - JESUS MARIA</t>
  </si>
  <si>
    <t>46254067</t>
  </si>
  <si>
    <t xml:space="preserve">	MANRIQUE VALDIVIA JOSE CHRISTIAN</t>
  </si>
  <si>
    <t>13560625</t>
  </si>
  <si>
    <t>E &amp; J CONSULTORIA Y SOLUCIONES S.A.C.</t>
  </si>
  <si>
    <t>JR. ENRIQUE ARNAEZ NRO. 586 INT. P1 URB. ROSARIO 2ET LIMA - LIMA - SAN MARTIN DE PORRES</t>
  </si>
  <si>
    <t>42249599</t>
  </si>
  <si>
    <t>ALCANTARA OLEA AIME JACKELINE</t>
  </si>
  <si>
    <t>CAL.HUARMEY MZA. E LOTE. 15C URB. COVIDA II ETAPA LIMA - LIMA - LOS OLIVOS</t>
  </si>
  <si>
    <t>1010 - ELABORACIÓN Y CONSERVACIÓN DE CARNE</t>
  </si>
  <si>
    <t>08588714</t>
  </si>
  <si>
    <t xml:space="preserve">	CAMARGO ZAMATA RUBEN</t>
  </si>
  <si>
    <t>13515507</t>
  </si>
  <si>
    <t xml:space="preserve">
MZA. X LOTE. 32 URB. EX FUNDO EL TARO (ALTURA DE PISCINAS LAS TERRAZAS) LIMA - LIMA - PUENTE PIEDRA</t>
  </si>
  <si>
    <t>09865272</t>
  </si>
  <si>
    <t xml:space="preserve">	ROJAS LOPEZ BESSY AMELIA</t>
  </si>
  <si>
    <t>13492553</t>
  </si>
  <si>
    <t>JR. FERMIN FITZCARRALD NRO. 1546 URB. COVIDA 2DA ETAPA LIMA - LIMA - LOS OLIVOS</t>
  </si>
  <si>
    <t>10682911</t>
  </si>
  <si>
    <t>HERRERA HUILLCAHUAMAN PEDRO TOMAS</t>
  </si>
  <si>
    <t xml:space="preserve">13460860	</t>
  </si>
  <si>
    <t>AGENCIA PERUANA DE INSPECCIONES-NDT S.A.C.</t>
  </si>
  <si>
    <t xml:space="preserve">
CAL.LOS ZORZALES NRO. 130 INT. 301 URB. EL PALOMAR LIMA - LIMA - SAN ISIDRO</t>
  </si>
  <si>
    <t>44846000</t>
  </si>
  <si>
    <t xml:space="preserve">	MACOTE CARHUAS JORGE LUIS</t>
  </si>
  <si>
    <t>13463375</t>
  </si>
  <si>
    <t>PJ. VENUS NRO. 170 URB. MIRAMAR LIMA - LIMA - SAN MIGUEL</t>
  </si>
  <si>
    <t>08699698</t>
  </si>
  <si>
    <t xml:space="preserve">	CALDERON ARCAYA JUAN JOSE</t>
  </si>
  <si>
    <t>13422195</t>
  </si>
  <si>
    <t xml:space="preserve">
CAL.4 MZA. G LOTE. 01 A.H. VICTOR RAUL HAYA DE LA TO LIMA - LIMA - CHORRILLOS</t>
  </si>
  <si>
    <t>43654641</t>
  </si>
  <si>
    <t xml:space="preserve">	FARIAS PERALTA HAROLD MEYER</t>
  </si>
  <si>
    <t>13390406</t>
  </si>
  <si>
    <t>AV. CIRCUNVALACION DEL GOLF LOS INCAS - EDIFICIO MORE NRO. 170 DPTO. 704 LIMA - LIMA - SANTIAGO DE SURCO</t>
  </si>
  <si>
    <t>43316915</t>
  </si>
  <si>
    <t xml:space="preserve">	ESCALANTE MALONE ALONSO EMILIO</t>
  </si>
  <si>
    <t>13374094</t>
  </si>
  <si>
    <t>40423198</t>
  </si>
  <si>
    <t>SOTO PADILLA LUIS LEOPOLDO JOSEMARIA</t>
  </si>
  <si>
    <t>13367866</t>
  </si>
  <si>
    <t>CAL.LOS ALGARROBOS NRO. 209 URB. LOS JARDINES LIMA - LIMA - SAN MARTIN DE PORRES</t>
  </si>
  <si>
    <t>40996506</t>
  </si>
  <si>
    <t xml:space="preserve">	MORENO ASENCIOS DANTE</t>
  </si>
  <si>
    <t>13309677</t>
  </si>
  <si>
    <t>AV. 13 DE ENERO MZA. G LOTE. 01 URB. RESID. HORIZONTE DE ZARATE LIMA - LIMA - SAN JUAN DE LURIGANCHO</t>
  </si>
  <si>
    <t>8030 - ACTIVIDADES DE INVESTIGACIÓN</t>
  </si>
  <si>
    <t>40563261</t>
  </si>
  <si>
    <t>ALFARO NAVARRO VICTOR JORDAN</t>
  </si>
  <si>
    <t>13273675</t>
  </si>
  <si>
    <t xml:space="preserve">
AV. BENAVIDES NRO. 5330 INT. 57 SHOPING CENTER LIMA - LIMA - SANTIAGO DE SURCO</t>
  </si>
  <si>
    <t>09362139</t>
  </si>
  <si>
    <t xml:space="preserve">	ZARATE ANGOSTO ANA ELADIA</t>
  </si>
  <si>
    <t>13250155</t>
  </si>
  <si>
    <t xml:space="preserve">
JR. LAS PERAS NRO. 358 URB. NARANJAL (ALT. 1 DEL ESTACION METROPOLITANO) LIMA - LIMA - SAN MARTIN DE PORRES</t>
  </si>
  <si>
    <t>10860988</t>
  </si>
  <si>
    <t xml:space="preserve">	CCANCCE RUIZ ROGER FREDDY</t>
  </si>
  <si>
    <t>13290886</t>
  </si>
  <si>
    <t xml:space="preserve">
AV. INDUSTRIAL NRO. 7005 URB. MESA REDONDA (FRENTE A LA POSTA MEDICA) LIMA - LIMA - SAN MARTIN DE PORRES</t>
  </si>
  <si>
    <t>09917857</t>
  </si>
  <si>
    <t xml:space="preserve">	SALDAÑA CASTAÑEDA CESAR</t>
  </si>
  <si>
    <t>13273146</t>
  </si>
  <si>
    <t xml:space="preserve">
AV. PROCERES DE HUANDOY MZA. PP2 LOTE. 23 URB. PRO (AV 2 DE OCTUBRE CON PRÓCERES DE HUANDOY) LIMA - LIMA - LOS OLIVOS</t>
  </si>
  <si>
    <t>43161274</t>
  </si>
  <si>
    <t>PORTILLA LOPEZ RICARDO</t>
  </si>
  <si>
    <t>13196449</t>
  </si>
  <si>
    <t xml:space="preserve">
AV. RICARDO PALMA NRO. 341 DPTO. 304 URB. MUNICIPAL LIMA - LIMA - MIRAFLORES</t>
  </si>
  <si>
    <t>001861077</t>
  </si>
  <si>
    <t>LOPEZ DUO LINA MARIA</t>
  </si>
  <si>
    <t>13185346</t>
  </si>
  <si>
    <t>CAL.IGNACIO ALVAREZ THOMAS NRO. 1584 URB. CHACRA RIOS NORTE LIMA - LIMA - LIMA</t>
  </si>
  <si>
    <t>41592158</t>
  </si>
  <si>
    <t>PALACIOS ROBLES MARCO ANTONIO</t>
  </si>
  <si>
    <t>12999573</t>
  </si>
  <si>
    <t xml:space="preserve">
CAL.GUADALUPE NRO. 555 DPTO. 104 FND. LA ESTRELLA (TORRE F) LIMA - LIMA - ATE</t>
  </si>
  <si>
    <t>41694630</t>
  </si>
  <si>
    <t xml:space="preserve">	ELIAS REVILLA PABLO VICENTE</t>
  </si>
  <si>
    <t>12976367</t>
  </si>
  <si>
    <t xml:space="preserve">
JR. SAN ANDRES NRO. 6299 Z.I. LOTIZ.INDUST.MOLITALIA (KM 20 PANAMERICANA NORTE) LIMA - LIMA - LOS OLIVOS</t>
  </si>
  <si>
    <t>08248281</t>
  </si>
  <si>
    <t xml:space="preserve">	WERDAN KAIROUZ RICHARD</t>
  </si>
  <si>
    <t>12955285</t>
  </si>
  <si>
    <t>08264944</t>
  </si>
  <si>
    <t xml:space="preserve">	MITRE WERDAN ADIB ALBERTO</t>
  </si>
  <si>
    <t>08268426</t>
  </si>
  <si>
    <t xml:space="preserve">	MITRE WERDAN FAHED ALFREDO</t>
  </si>
  <si>
    <t>10134912</t>
  </si>
  <si>
    <t>ZARZAR FARAH SERGIO SABA RICARDO</t>
  </si>
  <si>
    <t xml:space="preserve">
AV. MARISCAL JOSE DE LA MAR NRO. 1263 INT. 604 URB. SANTA CRUZ LIMA - LIMA - MIRAFLORES</t>
  </si>
  <si>
    <t>5223 - ACTIVIDADES DE SERVICIOS VINCULADAS AL TRANSPORTE AÉREO</t>
  </si>
  <si>
    <t>08070802</t>
  </si>
  <si>
    <t>CASTILLO ESPINOZA MIGUEL</t>
  </si>
  <si>
    <t>12925471</t>
  </si>
  <si>
    <t>08234282</t>
  </si>
  <si>
    <t xml:space="preserve">	VARGAS LORET DE MOLA CARLOS RODOLFO JUAN</t>
  </si>
  <si>
    <t>08274031</t>
  </si>
  <si>
    <t xml:space="preserve">	VARGAS LORET DE MOLA ENRIQUE GASTON MATIAS</t>
  </si>
  <si>
    <t>08801926</t>
  </si>
  <si>
    <t>HUBY VIDAURRE ALBERTO BERNARDO</t>
  </si>
  <si>
    <t>09343051</t>
  </si>
  <si>
    <t xml:space="preserve">	ROSAS BAFFIGO LUIS ALBERTO</t>
  </si>
  <si>
    <t>09398719</t>
  </si>
  <si>
    <t>BASULTO VALDIVIESO CESAR MANUEL</t>
  </si>
  <si>
    <t>09646551</t>
  </si>
  <si>
    <t>ESPONDA TORRES HUGO</t>
  </si>
  <si>
    <t>10220558</t>
  </si>
  <si>
    <t>MATTHIES ESTENSSORO JAN CARSTEN</t>
  </si>
  <si>
    <t>10221495</t>
  </si>
  <si>
    <t xml:space="preserve">	VARGAS LORET DE MOLA LUIS EDUARDO</t>
  </si>
  <si>
    <t>10267015</t>
  </si>
  <si>
    <t xml:space="preserve">	GRAY FEBRES DENNIS</t>
  </si>
  <si>
    <t>40307953</t>
  </si>
  <si>
    <t xml:space="preserve">	BERTOCCHI GARDELLA JOSE LUIS</t>
  </si>
  <si>
    <t xml:space="preserve">
OTR.ESQUEMA LOS SUREÑOS MZA. A LOTE. 11 RES. LOS CLAVELES LIMA - LIMA - PUENTE PIEDRA</t>
  </si>
  <si>
    <t>46368909</t>
  </si>
  <si>
    <t xml:space="preserve">	SANCHEZ CUBAS EDWARD JHOSEPTH</t>
  </si>
  <si>
    <t>12879177</t>
  </si>
  <si>
    <t>MZA. A LOTE. 10 OTR. ASC PROPIETARIOS LOS PORTALES DE SAN ANTONIO LIMA - LIMA - CARABAYLLO</t>
  </si>
  <si>
    <t>43622030</t>
  </si>
  <si>
    <t>ALCANTARA ROJAS MARIA MAGDALENA</t>
  </si>
  <si>
    <t>12822943</t>
  </si>
  <si>
    <t>CAL.CORPAC NRO. 511 INT. A URB. FUNDO BOCANEGRA (COSTADO DEL GRUPO AEREO N 8) PROV. CONST. DEL CALLAO - PROV. CONST. DEL CALLAO - CALLAO</t>
  </si>
  <si>
    <t>5120 - TRANSPORTE DE CARGA POR VÍA AÉREA</t>
  </si>
  <si>
    <t>70051058</t>
  </si>
  <si>
    <t>CAJAHUANCA MURGUIA DAVID</t>
  </si>
  <si>
    <t>13129275</t>
  </si>
  <si>
    <t>OROZCO DORADO PAOLA ANDREA</t>
  </si>
  <si>
    <t xml:space="preserve">
CAL.URANO NRO. 135 URB. SAN ROQUE (A MEDIA CDRA. DEL OVALITO SAN ROQUE) LIMA - LIMA - SANTIAGO DE SURCO</t>
  </si>
  <si>
    <t>08973626</t>
  </si>
  <si>
    <t xml:space="preserve">	HORNA ESCOBEDO JESUS ANTONIO</t>
  </si>
  <si>
    <t>12728033</t>
  </si>
  <si>
    <t xml:space="preserve">
AV. VENEZUELA NRO. 842 DPTO. 1401 URB. CHACRA COLORADA (TORRE 3 CONDOMINIO JARDINEZ DE VENEZUELA) LIMA - LIMA - BREÑA</t>
  </si>
  <si>
    <t>4651 - VENTA AL POR MAYOR DE ORDENADORES, EQUIPO PERIFÉRICO Y PROGRAMAS DE INFORMÁTICA</t>
  </si>
  <si>
    <t>40813580</t>
  </si>
  <si>
    <t>TEJADA CHACON LUIS FERNANDO</t>
  </si>
  <si>
    <t>12578197</t>
  </si>
  <si>
    <t xml:space="preserve">
AV. REPUBLICA DE CHILE NRO. 295 INT. 501 (ALTURA DE LA CUADRA 2 AV. AREQUIPA) LIMA - LIMA - JESUS MARIA</t>
  </si>
  <si>
    <t>07881437</t>
  </si>
  <si>
    <t xml:space="preserve">	RIVERA POLLAROLO JUAN PEDRO</t>
  </si>
  <si>
    <t>12530585</t>
  </si>
  <si>
    <t>CAL.CENTENARIO NRO. 1339 URB. AZCONA LIMA - LIMA - BREÑA</t>
  </si>
  <si>
    <t>42579910</t>
  </si>
  <si>
    <t xml:space="preserve">	CARRILLO MEDINA CESAR FRANCISCO</t>
  </si>
  <si>
    <t>12439368</t>
  </si>
  <si>
    <t>MZA. F LOTE. 4 COO. VIV. VIRGEN DE FATIMA LIMA - LIMA - LOS OLIVOS</t>
  </si>
  <si>
    <t>45262693</t>
  </si>
  <si>
    <t>CERNA QUISPE JULIA MAGALY</t>
  </si>
  <si>
    <t>12434290</t>
  </si>
  <si>
    <t xml:space="preserve">
AV. BOLIVIA NRO. 180 (C.C. WILSON PLAZA TDA 306) LIMA - LIMA - LIMA</t>
  </si>
  <si>
    <t>09782642</t>
  </si>
  <si>
    <t>SOLIS VENANCIO EFRAIN APOLINARIO</t>
  </si>
  <si>
    <t xml:space="preserve">
CAL.RODIN NRO. 238 DPTO. 202 URB. LA CALERA LIMA - LIMA - SURQUILLO</t>
  </si>
  <si>
    <t>43526619</t>
  </si>
  <si>
    <t xml:space="preserve">	PICHIULE CASTAÑEDA JULIO MANUEL</t>
  </si>
  <si>
    <t>12319210</t>
  </si>
  <si>
    <t>43675605</t>
  </si>
  <si>
    <t>RIVERA ESPINOZA RAFAEL GUILLERMO</t>
  </si>
  <si>
    <t xml:space="preserve">
AV. TRAPICHE MZA. . LOTE. 127C INT. A URB. PARC. RUST CHACRA CERRO (CRUCE AV LOS INCAS) LIMA - LIMA - COMAS</t>
  </si>
  <si>
    <t>000814752</t>
  </si>
  <si>
    <t xml:space="preserve">	XU CHAO</t>
  </si>
  <si>
    <t>12320468</t>
  </si>
  <si>
    <t>000848959</t>
  </si>
  <si>
    <t xml:space="preserve">	JIN KAI</t>
  </si>
  <si>
    <t>001538464</t>
  </si>
  <si>
    <t xml:space="preserve">	LIN YONGHUI</t>
  </si>
  <si>
    <t xml:space="preserve">
AV. VICTOR MALASQUEZ NRO. 502 (QUEBRADA RETAMAL-MANCHAY) LIMA - LIMA - PACHACAMAC</t>
  </si>
  <si>
    <t>41242017</t>
  </si>
  <si>
    <t xml:space="preserve">	INJANTE MIRANDA JULIO CESAR</t>
  </si>
  <si>
    <t>12266225</t>
  </si>
  <si>
    <t>45953461</t>
  </si>
  <si>
    <t xml:space="preserve">	ZAPATA ANDRADE ERIKA</t>
  </si>
  <si>
    <t xml:space="preserve">
CAL.DIONISIO DERTEANO NRO. 144 INT. 21 LIMA - LIMA - SAN ISIDRO</t>
  </si>
  <si>
    <t>06109782</t>
  </si>
  <si>
    <t>CASTRO VILCA ELARD LUIS</t>
  </si>
  <si>
    <t>12308299</t>
  </si>
  <si>
    <t>07883303</t>
  </si>
  <si>
    <t xml:space="preserve">	TOLA BAMBERGER JORGE ENRIQUE</t>
  </si>
  <si>
    <t>09310666</t>
  </si>
  <si>
    <t>HONDA KUROKAWA JOSE ANTONIO</t>
  </si>
  <si>
    <t>10059624</t>
  </si>
  <si>
    <t xml:space="preserve">	VIACAVA BAHAMONDE CARLO MARIO</t>
  </si>
  <si>
    <t>AV. CHACRA CERRO NRO. B DPTO. 15 (A LA ESPALDA DEL COLEGIO CACERES) LIMA - LIMA - COMAS</t>
  </si>
  <si>
    <t>08535115</t>
  </si>
  <si>
    <t>INFANTES CHOPA ISABEL FAUSTA</t>
  </si>
  <si>
    <t>12269501</t>
  </si>
  <si>
    <t>MZA. B LOTE. 01 A.H. LOS ALISOS (KM 33.5 PANA. NORTE - GRIFO SAN PEDRO) LIMA - LIMA - PUENTE PIEDRA</t>
  </si>
  <si>
    <t>07993949</t>
  </si>
  <si>
    <t xml:space="preserve">	SALAS PAUCAR GERMAN</t>
  </si>
  <si>
    <t>12083945</t>
  </si>
  <si>
    <t>40533647</t>
  </si>
  <si>
    <t xml:space="preserve">	SALAS PALMA JAIME JHONSON</t>
  </si>
  <si>
    <t xml:space="preserve">
CAL.1 MZA. B LOTE. 5 URB. LAS PRADERAS DEL SOL 4 E (ALT AV CANTACALLAO Y AV PACASMAYO- ESTE) LIMA - LIMA - SAN MARTIN DE PORRES</t>
  </si>
  <si>
    <t>40863679</t>
  </si>
  <si>
    <t xml:space="preserve">	SAAVEDRA AZURZA JOHN FELIX</t>
  </si>
  <si>
    <t>12078734</t>
  </si>
  <si>
    <t xml:space="preserve">
AV. LUIS BRAILE NRO. 1227 URB. TRINIDAD (FRENTE A LA COMISARIA DE MIRONES) LIMA - LIMA - LIMA</t>
  </si>
  <si>
    <t>10734919</t>
  </si>
  <si>
    <t xml:space="preserve">	FERRE PAZ CARLOS DANIEL</t>
  </si>
  <si>
    <t>12072328</t>
  </si>
  <si>
    <t xml:space="preserve">
JR. SANTA ROSA NRO. 191 INT. 206 (COSTADO MIGRACIONES) LIMA - LIMA - LIMA</t>
  </si>
  <si>
    <t>07508577</t>
  </si>
  <si>
    <t>ZUAZO SOTO ABIGAIL YOLANDA</t>
  </si>
  <si>
    <t>11908516</t>
  </si>
  <si>
    <t>10834752</t>
  </si>
  <si>
    <t>HUAPAYA ALCAZAR JUAN DANIEL</t>
  </si>
  <si>
    <t>CAL.MIGUEL ALJOVIN NRO. 530 URB. SANTA RITA (ALT. CDRA. 65 REPUBLICA DE PANAMA) LIMA - LIMA - SANTIAGO DE SURCO</t>
  </si>
  <si>
    <t>10220252</t>
  </si>
  <si>
    <t>POLACK BELAUNDE GERMAN ROBERTO</t>
  </si>
  <si>
    <t>11771190</t>
  </si>
  <si>
    <t>40244910</t>
  </si>
  <si>
    <t xml:space="preserve">	DE LA CRUZ ANGULO JORGE LUIS</t>
  </si>
  <si>
    <t>42454691</t>
  </si>
  <si>
    <t xml:space="preserve">	GALVEZ ZAFRA JENNIFER LOURDES</t>
  </si>
  <si>
    <t>42457392</t>
  </si>
  <si>
    <t xml:space="preserve">	CASTILLO LECCA ROBERTO ARTURO</t>
  </si>
  <si>
    <t xml:space="preserve">
MZA. K LOTE. 17 URB. INDOAMERICA LIMA - LIMA - CHORRILLOS</t>
  </si>
  <si>
    <t>25782717</t>
  </si>
  <si>
    <t>VALLADARES HUINCHA ARNALDO MAXIMO</t>
  </si>
  <si>
    <t>70267996</t>
  </si>
  <si>
    <t xml:space="preserve">
AV. JORGE CHAVEZ NRO. 1291 URB. SAN PEDRITO LIMA - LIMA - SANTIAGO DE SURCO</t>
  </si>
  <si>
    <t>09399202</t>
  </si>
  <si>
    <t xml:space="preserve">	GALLARDO EILERS KONRAD GUILLERMO</t>
  </si>
  <si>
    <t>11653269</t>
  </si>
  <si>
    <t xml:space="preserve">
CAL.NICANOR GARCIA Y LASTRES NRO. 436 URB. INGENIERIA LIMA - LIMA - SAN MARTIN DE PORRES</t>
  </si>
  <si>
    <t>08532706</t>
  </si>
  <si>
    <t>BELERIN BIANCHINI ZENAIDA ELSA</t>
  </si>
  <si>
    <t>11633395</t>
  </si>
  <si>
    <t>47482436</t>
  </si>
  <si>
    <t xml:space="preserve">	VASQUEZ BELERIN MANUEL FRANCISCO</t>
  </si>
  <si>
    <t xml:space="preserve">
JR. LOS MIRTOS NRO. 120 URB. SAN EUGENIO LIMA - LIMA - LINCE</t>
  </si>
  <si>
    <t>09395777</t>
  </si>
  <si>
    <t xml:space="preserve">	FORT HURTADO GUY EMILIO</t>
  </si>
  <si>
    <t xml:space="preserve">
CAL.LAS FABRICAS NRO. 172 URB. SAN REMO (ALT. CDRA 7 AV NICOLAS DUEÑAS) LIMA - LIMA - LIMA</t>
  </si>
  <si>
    <t>44497293</t>
  </si>
  <si>
    <t>ABUSADA CHEHADE FRANCISCO MANUEL</t>
  </si>
  <si>
    <t>11462070</t>
  </si>
  <si>
    <t xml:space="preserve">
AV. NICOLAS ARRIOLA NRO. 500 URB. SANTA CATALINA LIMA - LIMA - LA VICTORIA</t>
  </si>
  <si>
    <t>06708605</t>
  </si>
  <si>
    <t xml:space="preserve">	OSORIO ROMERO MAGNOLIA JOSEFINA</t>
  </si>
  <si>
    <t>11309981</t>
  </si>
  <si>
    <t>09344772</t>
  </si>
  <si>
    <t xml:space="preserve">	PODESTA TAFUR EDGARDO</t>
  </si>
  <si>
    <t>09798418</t>
  </si>
  <si>
    <t>RIVERA RIVERA BERNARDO GUSTAVO</t>
  </si>
  <si>
    <t>10264999</t>
  </si>
  <si>
    <t>VEGAS MANTERO MAURICIO ALBERTO</t>
  </si>
  <si>
    <t>26716470</t>
  </si>
  <si>
    <t xml:space="preserve">	TELLO OCAS JORGE</t>
  </si>
  <si>
    <t>40330455</t>
  </si>
  <si>
    <t xml:space="preserve">	GAMBOA BARDI RENZO ANTONIO</t>
  </si>
  <si>
    <t>40568762</t>
  </si>
  <si>
    <t>MENDOZA CASTAÑEDA JESUS</t>
  </si>
  <si>
    <t>41374068</t>
  </si>
  <si>
    <t xml:space="preserve">	ARIAS APAZA OSCAR OCTAVIO</t>
  </si>
  <si>
    <t>43047952</t>
  </si>
  <si>
    <t xml:space="preserve">	VALDIVIA ABRIL JULIO MANUEL</t>
  </si>
  <si>
    <t>45439269</t>
  </si>
  <si>
    <t xml:space="preserve">	ORELLANA MALUFF RODRIGO ALEJANDRO</t>
  </si>
  <si>
    <t xml:space="preserve">
AV. ALFREDO BENAVIDES NRO. 2975 INT. 409 URB. ALEXANDER VON HUMBOLDT LIMA - LIMA - MIRAFLORES</t>
  </si>
  <si>
    <t>09336259</t>
  </si>
  <si>
    <t>FERNANDEZ CONCHA BERNALES RAFAEL</t>
  </si>
  <si>
    <t>11257909</t>
  </si>
  <si>
    <t>09619829</t>
  </si>
  <si>
    <t xml:space="preserve">	ESPEJO GALVEZ MANUEL FIDEL</t>
  </si>
  <si>
    <t>PERU GRAPH SOCIEDAD COMERCIAL DE RESPONSABILIDAD LIMITADA</t>
  </si>
  <si>
    <t xml:space="preserve">
JR. AREQUIPA NRO. 216 (ENTRE AYACUCHO Y CUZCO) JUNIN - HUANCAYO - HUANCAYO</t>
  </si>
  <si>
    <t>20003216</t>
  </si>
  <si>
    <t xml:space="preserve">	NIETO MONTALVAN LOURDES PILAR</t>
  </si>
  <si>
    <t>11018545</t>
  </si>
  <si>
    <t>40657359</t>
  </si>
  <si>
    <t xml:space="preserve">	NIETO MONTALVAN MANUEL</t>
  </si>
  <si>
    <t>V. RAMON CASTILLA NRO. 154 URB. PLAYA RIMAC (ALT.CDRA.3 DE AV.QUILCA CON AV.FAUCETT) PROV. CONST. DEL CALLAO - PROV. CONST. DEL CALLAO - CALLAO</t>
  </si>
  <si>
    <t>25521268</t>
  </si>
  <si>
    <t xml:space="preserve">	GALLARDO CARRANZA FELICIANO ROSAS</t>
  </si>
  <si>
    <t>70208166</t>
  </si>
  <si>
    <t xml:space="preserve">
CAL.A NRO. 332 URB. INDUSTRIAL BOCANEGRA (ALT CUADRA 4 AV JAPON EX BERTELLO) PROV. CONST. DEL CALLAO - PROV. CONST. DEL CALLAO - CALLAO</t>
  </si>
  <si>
    <t>06288205</t>
  </si>
  <si>
    <t>PALACIOS AMBULODEGUI GONZALO ALFONSO</t>
  </si>
  <si>
    <t>12599439</t>
  </si>
  <si>
    <t>IND-UFP ADMINSTRACION</t>
  </si>
  <si>
    <t>ZONAL ANCASH</t>
  </si>
  <si>
    <t>ZONAL AREQUIPA-PUNO</t>
  </si>
  <si>
    <t xml:space="preserve">
AV. JOSE GALVEZ BARRENECHEA NRO. 592 INT. 301 (URB CORPAC, OVALO QUIÑONES) LIMA - LIMA - SAN ISIDRO</t>
  </si>
  <si>
    <t>2396 - CORTE, TALLA Y ACABADO DE LA PIEDRA</t>
  </si>
  <si>
    <t>08192221</t>
  </si>
  <si>
    <t xml:space="preserve">	DIAZ DULANTO MEDINA LUIS OCTAVIO</t>
  </si>
  <si>
    <t>11667050</t>
  </si>
  <si>
    <t>08271454</t>
  </si>
  <si>
    <t xml:space="preserve">	VALLE RISSO JOSE</t>
  </si>
  <si>
    <t>09177937</t>
  </si>
  <si>
    <t xml:space="preserve">	BENAVIDES LABARTHE JUAN</t>
  </si>
  <si>
    <t>09533128</t>
  </si>
  <si>
    <t xml:space="preserve">	DIAZ-DULANTO TRUJILLO GONZALO</t>
  </si>
  <si>
    <t>10060089</t>
  </si>
  <si>
    <t>BENAVIDES RATTO GIANFRANCO</t>
  </si>
  <si>
    <t>HILANDERIA DE ALGODON PERUANO S.A.</t>
  </si>
  <si>
    <t xml:space="preserve">
AV. AV. LAS LOMAS NRO. 801 Z.I. ZARATE (ESQUINA CON AV. LURIGANCHO 1277) LIMA - LIMA - SAN JUAN DE LURIGANCHO</t>
  </si>
  <si>
    <t>SAN JUAN DE LURIGNACHO</t>
  </si>
  <si>
    <t>06712942</t>
  </si>
  <si>
    <t xml:space="preserve">	FALCONI ESCATE LUIS ALBERTO</t>
  </si>
  <si>
    <t>11054149</t>
  </si>
  <si>
    <t>07189992</t>
  </si>
  <si>
    <t xml:space="preserve">	ABUSADA SALAH JAIME</t>
  </si>
  <si>
    <t>08327985</t>
  </si>
  <si>
    <t xml:space="preserve">	CACERES NUÑEZ JORGE LUIS</t>
  </si>
  <si>
    <t>09051851</t>
  </si>
  <si>
    <t xml:space="preserve">	RIVERA PERALES PABLO ALFONSO</t>
  </si>
  <si>
    <t>10543142</t>
  </si>
  <si>
    <t xml:space="preserve">	ABUSADA ABUSADA ALVARO MARTIN</t>
  </si>
  <si>
    <t xml:space="preserve">
JR. DOMENICO MORELLI NRO. 110 (CC LA RAMBLA TORRE 1) LIMA - LIMA - SAN BORJA</t>
  </si>
  <si>
    <t>5629 - OTRAS ACTIVIDADES DE SERVICIO DE COMIDAS</t>
  </si>
  <si>
    <t>06001459</t>
  </si>
  <si>
    <t xml:space="preserve">	RAMOS VERA TUDELA LUIS MIGUEL</t>
  </si>
  <si>
    <t>11038420</t>
  </si>
  <si>
    <t>06666329</t>
  </si>
  <si>
    <t xml:space="preserve">	MONTOYA BAMBERGER JUAN NICOLAS</t>
  </si>
  <si>
    <t xml:space="preserve">
OTR.RESIDENCIAL LA ENSENADA MZA. Q' LOTE. 15 COO. LA ENSENADA (AV. 25 DE SETIEMBRE) LIMA - LIMA - PUENTE PIEDRA</t>
  </si>
  <si>
    <t>15987011</t>
  </si>
  <si>
    <t>JARA MENDOZA TEOFILA EUSEBIA</t>
  </si>
  <si>
    <t>12622959</t>
  </si>
  <si>
    <t>JR. LOS CONDORES NRO. 161 INT. 201 URB. SAN JOSE PROV. CONST. DEL CALLAO - PROV. CONST. DEL CALLAO - BELLAVISTA</t>
  </si>
  <si>
    <t>08208658</t>
  </si>
  <si>
    <t>BUSCH MARIÑO DERECK BILLS</t>
  </si>
  <si>
    <t>03026735</t>
  </si>
  <si>
    <t xml:space="preserve">
CAL.RIO PIURA NRO. 290 URB. CASTILLA (ALT. CDRA.19 DE AV.NICOLAS ARRIOLA) LIMA - LIMA - SAN LUIS</t>
  </si>
  <si>
    <t>25631173</t>
  </si>
  <si>
    <t>SALAS GUEVARA MIRIAM ELIZABETH</t>
  </si>
  <si>
    <t>11062644</t>
  </si>
  <si>
    <t>75450827</t>
  </si>
  <si>
    <t xml:space="preserve">	ROJAS SALAS DIANA CAROLINA</t>
  </si>
  <si>
    <t>CAL.JUAN MILLER NRO. 145 URB. INDUSTRIAL LA CHALACA (ALTURA DEL OVALO CENTENARIO) PROV. CONST. DEL CALLAO - PROV. CONST. DEL CALLAO - CALLAO</t>
  </si>
  <si>
    <t>31627931</t>
  </si>
  <si>
    <t xml:space="preserve">	CACERES LLANOS JUSTO EMER</t>
  </si>
  <si>
    <t>11048657</t>
  </si>
  <si>
    <t>CORPORACION WAMA S.A.C.</t>
  </si>
  <si>
    <t>AV. ABANCAY NRO. 186 URB. BARRIOS ALTOS LIMA - LIMA - LIMA</t>
  </si>
  <si>
    <t>21839985</t>
  </si>
  <si>
    <t xml:space="preserve">	MONTEROLA ABREGU ROSANA GLORIA</t>
  </si>
  <si>
    <t>03018142</t>
  </si>
  <si>
    <t xml:space="preserve">
AV. NUGGET NRO. 555 (CERCA A LA FABRICA BASA) LIMA - LIMA - EL AGUSTINO</t>
  </si>
  <si>
    <t>07555410</t>
  </si>
  <si>
    <t>SALAZAR GAVELAN LUIS ALBERTO</t>
  </si>
  <si>
    <t>02009994</t>
  </si>
  <si>
    <t>09670069</t>
  </si>
  <si>
    <t>CIEZA MEJIA BETZY MAGALLY</t>
  </si>
  <si>
    <t>10735979</t>
  </si>
  <si>
    <t xml:space="preserve">	AFAN VASQUEZ PABLO ANTONIO</t>
  </si>
  <si>
    <t>40723629</t>
  </si>
  <si>
    <t xml:space="preserve">	CUEVA TAPIA EVA ELISABETH</t>
  </si>
  <si>
    <t>43361148</t>
  </si>
  <si>
    <t xml:space="preserve">	BERROCAL GONZALEZ NATALIA MODALI</t>
  </si>
  <si>
    <t>000787666</t>
  </si>
  <si>
    <t>QUINTANA MONTES JAIME ALONSO</t>
  </si>
  <si>
    <t>002104884</t>
  </si>
  <si>
    <t xml:space="preserve">	AMMAR RAMIREZ SAID</t>
  </si>
  <si>
    <t>001466265</t>
  </si>
  <si>
    <t xml:space="preserve">	MARTINEZ SANCHEZ GUILLERMO</t>
  </si>
  <si>
    <t xml:space="preserve">
AV. UNIVERSITARIA MZA. G LOTE. 27 A.V. LOS SAUCES DE CARABAYLLO (COMISARIA EL PROGRESO-FERRETERIA CHARITO) LIMA - LIMA - CARABAYLLO</t>
  </si>
  <si>
    <t>06827509</t>
  </si>
  <si>
    <t>RODRIGUEZ SEGEU JUAN RAFAEL</t>
  </si>
  <si>
    <t>00092185</t>
  </si>
  <si>
    <t xml:space="preserve">
AV. GERARDO UNGER NRO. 5261 URB. INFANTAS (ALT.OVALO DE NARANJAL PANAM. NORTE) LIMA - LIMA - LOS OLIVOS</t>
  </si>
  <si>
    <t>09439646</t>
  </si>
  <si>
    <t>SAENZ ROSALES JAVIER WILLIAM</t>
  </si>
  <si>
    <t>01483269</t>
  </si>
  <si>
    <t xml:space="preserve">
CAL.GERMAN AMEZAGA NRO. 375 OTROS LIMA - LIMA - LIMA</t>
  </si>
  <si>
    <t>06245729</t>
  </si>
  <si>
    <t>RAMON RUFFNER DE VEGA JERI GLORIA</t>
  </si>
  <si>
    <t xml:space="preserve">	REPRESENTANTE DE UNIVERSIDADES</t>
  </si>
  <si>
    <t>11019489</t>
  </si>
  <si>
    <t>IMPORTACIONES EXPORTACIONES CARRERA S.R.L.</t>
  </si>
  <si>
    <t xml:space="preserve">
JR. IQUITOS NRO. 780 URB. PERU (ALTURA CUADRA 34 AV. PERU) LIMA - LIMA - SAN MARTIN DE PORRES</t>
  </si>
  <si>
    <t>08522365</t>
  </si>
  <si>
    <t xml:space="preserve">	CARRERA REVILLA PABLO LUIS</t>
  </si>
  <si>
    <t>00409006</t>
  </si>
  <si>
    <t xml:space="preserve">
JR. JORGE SALAZAR ARAOZ NRO. 171 URB. SANTA CATALINA LIMA - LIMA - LA VICTORIA</t>
  </si>
  <si>
    <t>5813 - EDICIÓN DE PERIÓDICOS, REVISTAS Y OTRAS PUBLICACIONES PERIÓDICAS</t>
  </si>
  <si>
    <t>09750069</t>
  </si>
  <si>
    <t xml:space="preserve">	RUBIO LIMON JUAN CARLOS</t>
  </si>
  <si>
    <t>03019595</t>
  </si>
  <si>
    <t>09853538</t>
  </si>
  <si>
    <t xml:space="preserve">	GALARZA UCHUYA PATRICIA FABIOLA</t>
  </si>
  <si>
    <t>40213576</t>
  </si>
  <si>
    <t xml:space="preserve">	ROMAN CALZADA ANTONIO HORACIO</t>
  </si>
  <si>
    <t>41863744</t>
  </si>
  <si>
    <t>MIRO QUESADA VILLARAN LUIS ALONSO</t>
  </si>
  <si>
    <t>47188457</t>
  </si>
  <si>
    <t>SOCIEDAD SUIZO PERUANA DE EMBUTIDOS S.A. ó SUPEMSA</t>
  </si>
  <si>
    <t xml:space="preserve">
CAR.PANAMERICANA NORTE KM. 84 (PLANTA DE OTTO KUNZ) LIMA - HUARAL - CHANCAY</t>
  </si>
  <si>
    <t>06232487</t>
  </si>
  <si>
    <t xml:space="preserve">	CUBA ALVA GENARO MARTIN</t>
  </si>
  <si>
    <t>60000535</t>
  </si>
  <si>
    <t>07882335</t>
  </si>
  <si>
    <t xml:space="preserve">	CASTELLANO CESPEDES ATILIO MIGUEL</t>
  </si>
  <si>
    <t>40240728</t>
  </si>
  <si>
    <t xml:space="preserve">	SALAZAR PALOMINO DIANA OLGA</t>
  </si>
  <si>
    <t>41049993</t>
  </si>
  <si>
    <t xml:space="preserve">	REY DE CASTRO GALVEZ SANDRA GIANNINA</t>
  </si>
  <si>
    <t>41184104</t>
  </si>
  <si>
    <t xml:space="preserve">	FLORES HORRUITINER JOSE OMAR</t>
  </si>
  <si>
    <t>PARCELA 10368 CALL.GRANDE NRO. S/N EX-FUNDO SANTA ROSA (ALT. KM 33.8 ANTIGUA CARRETERA PAN. SUR) LIMA - LIMA - LURIN</t>
  </si>
  <si>
    <t>07638673</t>
  </si>
  <si>
    <t xml:space="preserve">	JAICO RODRIGUEZ MARCO ANTONIO</t>
  </si>
  <si>
    <t xml:space="preserve">	JEFE</t>
  </si>
  <si>
    <t>06005674</t>
  </si>
  <si>
    <t>08199590</t>
  </si>
  <si>
    <t>PALMA VALDERRAMA HUMBERTO</t>
  </si>
  <si>
    <t>000362177</t>
  </si>
  <si>
    <t>MONTAÑA JORGE EDUARDO</t>
  </si>
  <si>
    <t>000724265</t>
  </si>
  <si>
    <t>ZAMPINI DIEGO VICTOR</t>
  </si>
  <si>
    <t>001123022</t>
  </si>
  <si>
    <t xml:space="preserve">	MURGUIONDO LEANDRO MANUEL</t>
  </si>
  <si>
    <t xml:space="preserve">
JR. MCAL AGUSTIN GAMARRA NRO. 291 URB. EL PINO LIMA - LIMA - SAN LUIS</t>
  </si>
  <si>
    <t>09376039</t>
  </si>
  <si>
    <t>ABUSADA JAMISS URSULA</t>
  </si>
  <si>
    <t>00808423</t>
  </si>
  <si>
    <t>09376040</t>
  </si>
  <si>
    <t xml:space="preserve">	SIMON KASSIS JORGE JOSE RAMON</t>
  </si>
  <si>
    <t>09771684</t>
  </si>
  <si>
    <t xml:space="preserve">	MENDIVIL RAMIREZ NELIDA</t>
  </si>
  <si>
    <t>42971646</t>
  </si>
  <si>
    <t xml:space="preserve">	DOLCI SARDELLA LUIS ANTONIO</t>
  </si>
  <si>
    <t>44448779</t>
  </si>
  <si>
    <t xml:space="preserve">	GARAY DEL AGUILA FERNANDO JAVIER</t>
  </si>
  <si>
    <t>44651044</t>
  </si>
  <si>
    <t xml:space="preserve">	SIMON ABUSADA NICOLE</t>
  </si>
  <si>
    <t>46541696</t>
  </si>
  <si>
    <t xml:space="preserve">	SIMON ABUSADA NAYLA</t>
  </si>
  <si>
    <t xml:space="preserve">
CAL.NICOLAS DE ARANIBAR NRO. 920 URB. SANTA BEATRIZ LIMA - LIMA - LIMA</t>
  </si>
  <si>
    <t>10314390</t>
  </si>
  <si>
    <t>ARANA FLORES VDA DE SARRIA ROSA ANGELICA</t>
  </si>
  <si>
    <t>03009194</t>
  </si>
  <si>
    <t>40590648</t>
  </si>
  <si>
    <t xml:space="preserve">	SARRIA ARANA HUGO LEONARDO</t>
  </si>
  <si>
    <t xml:space="preserve">
JR. MANOA NRO. 198 URB. CHACRA COLORADA LIMA - LIMA - BREÑA</t>
  </si>
  <si>
    <t>07278793</t>
  </si>
  <si>
    <t xml:space="preserve">	ORLIC TICERAN DE DELGADO ELSA MARGARITA</t>
  </si>
  <si>
    <t>11009269</t>
  </si>
  <si>
    <t xml:space="preserve">
AV. LOS CASTILLOS MZA. M LOTE. 4 URB. INDUSTRIAL SAN FRANCISCO (ALT. PEAJE VIA DE EVITAMIENTO) LIMA - LIMA - ATE</t>
  </si>
  <si>
    <t>10611994</t>
  </si>
  <si>
    <t xml:space="preserve">	CHAU MARTELL KARLA ISABEL</t>
  </si>
  <si>
    <t>01453513</t>
  </si>
  <si>
    <t xml:space="preserve">
AV. SEPARADORA INDUSTRIAL NRO. 2605 URB. SANTA RAQUEL II ETAPA LIMA - LIMA - ATE</t>
  </si>
  <si>
    <t>25680133</t>
  </si>
  <si>
    <t>LEFEVRE GARCIA ANGEL MAURICIO</t>
  </si>
  <si>
    <t>70002526</t>
  </si>
  <si>
    <t>40326002</t>
  </si>
  <si>
    <t>LEFEVRE SANGIAO JUAN CARLOS MAURICIO</t>
  </si>
  <si>
    <t>45379494</t>
  </si>
  <si>
    <t xml:space="preserve">	LEFEVRE SANGIAO MAURICE ANDRE</t>
  </si>
  <si>
    <t xml:space="preserve">
AV. ELMER FAUCETT NRO. 4636 URB. INDUSTRIAL BOCANEGRA PROV. CONST. DEL CALLAO - PROV. CONST. DEL CALLAO - CALLAO</t>
  </si>
  <si>
    <t>07862504</t>
  </si>
  <si>
    <t xml:space="preserve">	SABA DE RIVERO DE LA ROSA NANCY MERCEDES</t>
  </si>
  <si>
    <t>00930954</t>
  </si>
  <si>
    <t xml:space="preserve">
CAL.CARLOS PEDEMONTE NRO. 129 URB. EL PINO LIMA - LIMA - SAN LUIS</t>
  </si>
  <si>
    <t>08004194</t>
  </si>
  <si>
    <t xml:space="preserve">	MEDINA ALVAREZ JOB DANIEL</t>
  </si>
  <si>
    <t>01120255</t>
  </si>
  <si>
    <t>09860167</t>
  </si>
  <si>
    <t xml:space="preserve">	ORDOÑEZ RODRIGUEZ JESUS JOSE</t>
  </si>
  <si>
    <t>003391730</t>
  </si>
  <si>
    <t>VILLEGAS CAROCA ALEXIS ANTONIO</t>
  </si>
  <si>
    <t xml:space="preserve">
AV. PRINCIPAL 2 MZA. C5 LOTE. 3B Z.I. HUACHIPA ESTE (LOTE 3B, 4 Y 5) LIMA - HUAROCHIRI - SAN ANTONIO</t>
  </si>
  <si>
    <t>03019748</t>
  </si>
  <si>
    <t>JR. ISIDRO BONIFAZ NRO. 385 Z.I. PANAMERICANA NORTE LIMA - LIMA - INDEPENDENCIA</t>
  </si>
  <si>
    <t>07717436</t>
  </si>
  <si>
    <t xml:space="preserve">	NUÑEZ VILLENA JULIAN ROBERTO</t>
  </si>
  <si>
    <t>11031774</t>
  </si>
  <si>
    <t>08204524</t>
  </si>
  <si>
    <t xml:space="preserve">		YERVIS GAMBETTA HERNAN ANTONIO</t>
  </si>
  <si>
    <t>09139527</t>
  </si>
  <si>
    <t xml:space="preserve">	BENAVIDES ROMERO MANUEL FRANCISCO</t>
  </si>
  <si>
    <t>09637257</t>
  </si>
  <si>
    <t xml:space="preserve">	PORTELLA GARCIA LUIS ALBERTO</t>
  </si>
  <si>
    <t>09759944</t>
  </si>
  <si>
    <t xml:space="preserve">	CIPRIANO ALVARADO PATRICIA VERONICA</t>
  </si>
  <si>
    <t xml:space="preserve">
AV. NICOLAS AYLLON NRO. 2890 FND. VASQUEZ (CARR.CENTRAL KM.0 ESQ.VIA EVITAMIENTO) LIMA - LIMA - ATE</t>
  </si>
  <si>
    <t>02884549</t>
  </si>
  <si>
    <t xml:space="preserve">	CALAMO ALVARADO GUILLERMO MANUEL</t>
  </si>
  <si>
    <t>02002930</t>
  </si>
  <si>
    <t>08231317</t>
  </si>
  <si>
    <t xml:space="preserve">	CILLONIZ BLONDET ALFREDO CARLOS</t>
  </si>
  <si>
    <t>09176726</t>
  </si>
  <si>
    <t>LLOSA GARCIA JOSE EMILIO</t>
  </si>
  <si>
    <t>10003624</t>
  </si>
  <si>
    <t xml:space="preserve">	BLANCO ALVAREZ KERVIN ORLANDO</t>
  </si>
  <si>
    <t>10219521</t>
  </si>
  <si>
    <t xml:space="preserve">	FLOREZ USSEGLIO ENRIQUE MANUEL</t>
  </si>
  <si>
    <t xml:space="preserve">
AV. ARGENTINA NRO. 4151 PROV. CONST. DEL CALLAO - PROV. CONST. DEL CALLAO - CALLAO</t>
  </si>
  <si>
    <t xml:space="preserve">	FIOCCO BLOISA VICTOR GENARO</t>
  </si>
  <si>
    <t>11012751</t>
  </si>
  <si>
    <t xml:space="preserve">	FIOCCO BLOISA ORLANDO IGNACIO</t>
  </si>
  <si>
    <t>GRUPO SISTEQ S.A.C.</t>
  </si>
  <si>
    <t xml:space="preserve">
AV. 20 DE DICIEMBRE NRO. 198 P.J. JOSE OLAYA (ALT. PARADERO LINEA 90) LIMA - LIMA - INDEPENDENCIA</t>
  </si>
  <si>
    <t>20591270</t>
  </si>
  <si>
    <t>SALVADOR QUINCHO SAUL ISAIAS</t>
  </si>
  <si>
    <t>13128714</t>
  </si>
  <si>
    <t xml:space="preserve">	CHAVEZ HUANACO SAMUEL</t>
  </si>
  <si>
    <t>TECGEN S.A.C.</t>
  </si>
  <si>
    <t>CAL.ANTARES NRO. 201 LIMA - LIMA - RIMAC</t>
  </si>
  <si>
    <t>72077558</t>
  </si>
  <si>
    <t>LANDAURO SORIANO CINDY CAROLINA</t>
  </si>
  <si>
    <t>13859304</t>
  </si>
  <si>
    <t>PROYECTOS VISIBLES DEL PERU S.A.C.</t>
  </si>
  <si>
    <t xml:space="preserve">
CAL.JOSE GALVEZ NRO. 692 DPTO. 3 LIMA - LIMA - MIRAFLORES</t>
  </si>
  <si>
    <t>10275757</t>
  </si>
  <si>
    <t xml:space="preserve">	VARGAS CHAVEZ DE TRUJILLO MARIA LUZ GUADALUPE</t>
  </si>
  <si>
    <t>15411869</t>
  </si>
  <si>
    <t>48116720</t>
  </si>
  <si>
    <t>SANCHEZ MALLQUI FRANK FELICIANO</t>
  </si>
  <si>
    <t>00114786</t>
  </si>
  <si>
    <t>MONTECILLO SANTIBAÑEZ, FATIMA ELISA</t>
  </si>
  <si>
    <t>JR. PEDRO PUELLES NRO. 419 - HUANUCO - HUANUCO - HUANUCO</t>
  </si>
  <si>
    <t>HUANUCO</t>
  </si>
  <si>
    <t>06672780</t>
  </si>
  <si>
    <t>TORPOCO GUEVARA, ROY MARCOS</t>
  </si>
  <si>
    <t>HUAYCAN UCV 173 MZ. C LOTE 18 ZONA M - LIMA - LIMA - ATE</t>
  </si>
  <si>
    <t>07272167</t>
  </si>
  <si>
    <t>MARSANO BACIGALUPO JOSÉ RODOLFO</t>
  </si>
  <si>
    <t>70200270</t>
  </si>
  <si>
    <t>08746767</t>
  </si>
  <si>
    <t>MARSANO BACIGALUPO LUIS ALBERTO PEDRO</t>
  </si>
  <si>
    <t>25677760</t>
  </si>
  <si>
    <t>MARSANO BACIGALUPO DANTE RENSO JORGE</t>
  </si>
  <si>
    <t>JR. CASTRO RONCEROS NRO. 778 Z.I. ZONA INDUSTRIAL (ALTURA CDRA 20 AV. ARGENTINA) LIMA - LIMA - LIMA</t>
  </si>
  <si>
    <t>00249385</t>
  </si>
  <si>
    <t xml:space="preserve">	DIOSES CALDERON CARLOS LENI</t>
  </si>
  <si>
    <t>03029548</t>
  </si>
  <si>
    <t>06943705</t>
  </si>
  <si>
    <t>VALDIZAN AYALA MORI CECILIA</t>
  </si>
  <si>
    <t>25796641</t>
  </si>
  <si>
    <t xml:space="preserve">	CORRALES PISCONTE CRISTIAN ADOLFO</t>
  </si>
  <si>
    <t>43623263</t>
  </si>
  <si>
    <t xml:space="preserve">	ESTELA RAMIREZ RICARDO JAVIER</t>
  </si>
  <si>
    <t>AV. ARGENTINA NRO. 1710 (ALT AV NICOLAS DUEñAS) LIMA - LIMA - LIMA</t>
  </si>
  <si>
    <t>06192020</t>
  </si>
  <si>
    <t>ARBAIZA ALDAZABAL CARLOS FRANCISCO</t>
  </si>
  <si>
    <t>02019779</t>
  </si>
  <si>
    <t>25710577</t>
  </si>
  <si>
    <t>DIAZ FUENTES RIVERA JOSE MANUEL</t>
  </si>
  <si>
    <t>JR. GASPAR HERNANDEZ NRO. 700 DPTO. 901 Z.I. ZONA INDUSTRIAL (ALTURA CUADRA 12 DE LA AV. ARGENTINA) LIMA - LIMA - LIMA</t>
  </si>
  <si>
    <t>00845221</t>
  </si>
  <si>
    <t>07472656</t>
  </si>
  <si>
    <t xml:space="preserve">	BACA CABANILLAS EVELYN CONSTANTINA</t>
  </si>
  <si>
    <t xml:space="preserve">	CABALLERO MELGAR CARLOS ARNALDO</t>
  </si>
  <si>
    <t>ANGELES MORENO VLADIMIR JEANN</t>
  </si>
  <si>
    <t xml:space="preserve">	LLOSA BUSTAMANTE GABRIELA</t>
  </si>
  <si>
    <t>42720036</t>
  </si>
  <si>
    <t xml:space="preserve">	DORADOR LI CARLO ANGELLO</t>
  </si>
  <si>
    <t>45143167</t>
  </si>
  <si>
    <t xml:space="preserve">	BENAVIDES SIMBORTH BRUNO JAVIER</t>
  </si>
  <si>
    <t xml:space="preserve">
CAL.LUISA BEAUSEJOUR NRO. 2450 URB. CHACRA RIOS NORTE (ESPALDA CDRA 24 AV VENEZUELA) LIMA - LIMA - LIMA</t>
  </si>
  <si>
    <t>07881844</t>
  </si>
  <si>
    <t>11041289</t>
  </si>
  <si>
    <t>GARCIA CORTEZ JUAN FRANCISCO</t>
  </si>
  <si>
    <t>07883281</t>
  </si>
  <si>
    <t xml:space="preserve">	FISHMAN LERNER SIMON</t>
  </si>
  <si>
    <t>08280882</t>
  </si>
  <si>
    <t xml:space="preserve">	TELLO RAMIREZ LEOPOLDO SEGUNDO</t>
  </si>
  <si>
    <t>08801764</t>
  </si>
  <si>
    <t xml:space="preserve">	CALVO PEREZ BADIOLA SALVADOR MARIO</t>
  </si>
  <si>
    <t>40130020</t>
  </si>
  <si>
    <t xml:space="preserve">	TAPIA SANCHEZ ELENA MARY</t>
  </si>
  <si>
    <t>ALICORP SAA</t>
  </si>
  <si>
    <t>AV. ARGENTINA NRO. 4793 URB. PARQUE INDUSTRIAL PROV. CONST. DEL CALLAO - PROV. CONST. DEL CALLAO - CARMEN DE LA LEGUA REYNOSO</t>
  </si>
  <si>
    <t>02798412</t>
  </si>
  <si>
    <t>LARROCA GARCIA MARTIN HUMBERTO</t>
  </si>
  <si>
    <t>70267718</t>
  </si>
  <si>
    <t>06934557</t>
  </si>
  <si>
    <t xml:space="preserve">	PAUCAR FLORES SERGIO DANIEL</t>
  </si>
  <si>
    <t>07270065</t>
  </si>
  <si>
    <t xml:space="preserve">	ROMERO BELISMELIS MANUEL ANTONIO</t>
  </si>
  <si>
    <t>07457741</t>
  </si>
  <si>
    <t>ESPINOZA MENACHO DAVID FERNANDO</t>
  </si>
  <si>
    <t>07542738</t>
  </si>
  <si>
    <t xml:space="preserve">	CARRILLO GOYONECHE HUGO RAMON</t>
  </si>
  <si>
    <t>08344603</t>
  </si>
  <si>
    <t xml:space="preserve">	GIL VIVAR MARCO ANTONIO</t>
  </si>
  <si>
    <t>09393481</t>
  </si>
  <si>
    <t xml:space="preserve">	SAN MIGUEL DAMMERT LUIS JAVIER</t>
  </si>
  <si>
    <t>09750257</t>
  </si>
  <si>
    <t>STERN URALDE STEFAN ANDREW</t>
  </si>
  <si>
    <t>09994862</t>
  </si>
  <si>
    <t xml:space="preserve">	VEGA PEÑA VIZCARDO SERGIO RODRIGO</t>
  </si>
  <si>
    <t>10541426</t>
  </si>
  <si>
    <t>GARCIA WONG KIT RONALD TOMAS</t>
  </si>
  <si>
    <t>40001472</t>
  </si>
  <si>
    <t xml:space="preserve">	OBLITAS CALDERON JESSICA YVETTE</t>
  </si>
  <si>
    <t>40293044</t>
  </si>
  <si>
    <t>OTAZU ROCHA ALBERTO ENRIQUE</t>
  </si>
  <si>
    <t>40638612</t>
  </si>
  <si>
    <t xml:space="preserve">	TRUJILLO FIGUEROA MARIANA ROSA</t>
  </si>
  <si>
    <t>41795641</t>
  </si>
  <si>
    <t xml:space="preserve">	JEREMIAS QUINTANILLA RENZO ALBERTO DIDIER</t>
  </si>
  <si>
    <t xml:space="preserve">	ORTIZ MARQUEZ JAVIER EDUARDO</t>
  </si>
  <si>
    <t>VERDEGUER VIER ANDREA</t>
  </si>
  <si>
    <t xml:space="preserve">	TOLEDO CHOQUEHUANCA DIANA VICTORI</t>
  </si>
  <si>
    <t xml:space="preserve">	TEJERINA CHAVEZ MARIA GRAZIA</t>
  </si>
  <si>
    <t xml:space="preserve">
CAL.1 MZA. C LOTE. 10 URB. SANTA RAQUEL II ETAPA (ESPALDA DEL COLEGIO PARTICULAR LA MERCED) LIMA - LIMA - ATE</t>
  </si>
  <si>
    <t>2431 - FUNDICIÓN DE HIERRO Y ACERO</t>
  </si>
  <si>
    <t>BENAVIDES LUMMIS JOSE VICENTE</t>
  </si>
  <si>
    <t>01296574</t>
  </si>
  <si>
    <t>CAL.MARIE CURIE NRO. 317 URB. IND SANTA ROSA LIMA - LIMA - ATE</t>
  </si>
  <si>
    <t>02465957</t>
  </si>
  <si>
    <t>08124506</t>
  </si>
  <si>
    <t xml:space="preserve">	ZAPATA PEREZ CONSTANTINO CARLOS</t>
  </si>
  <si>
    <t>AV. AUTOP PANAMERICANA SUR KM. 18.5 MZA. G LOTE. 01 Z.I. LA CONCORDIA (ALT. PARADERO LECHON) LIMA - LIMA - SAN JUAN DE MIRAFLORES</t>
  </si>
  <si>
    <t>07717447</t>
  </si>
  <si>
    <t>ALJOVIN DE LOSADA CRISTOBAL ROQUE</t>
  </si>
  <si>
    <t>01036831</t>
  </si>
  <si>
    <t>07803166</t>
  </si>
  <si>
    <t>ALJOVIN DE LOSADA AUGUSTA MARIA GRACIELA</t>
  </si>
  <si>
    <t>07998442</t>
  </si>
  <si>
    <t>ALJOVIN DE LOSADA GRACIA MARIA FRANCISCA</t>
  </si>
  <si>
    <t>08251872</t>
  </si>
  <si>
    <t>ALJOVIN DE LOSADA MIGUEL CECILIO</t>
  </si>
  <si>
    <t>AV. MANUEL OLGUIN NRO. 335 INT. 1501 URB. LOS GRANADOS 1 LIMA - LIMA - SANTIAGO DE SURCO</t>
  </si>
  <si>
    <t>08408754</t>
  </si>
  <si>
    <t>CARBAJAL PONCE ARMANDO</t>
  </si>
  <si>
    <t>11021223</t>
  </si>
  <si>
    <t>09296830</t>
  </si>
  <si>
    <t xml:space="preserve">	LERTORA PITTALUGA MARIO ARTURO</t>
  </si>
  <si>
    <t>10193088</t>
  </si>
  <si>
    <t xml:space="preserve">	CARRION SANTOS CESAR AUGUSTO</t>
  </si>
  <si>
    <t>06793726</t>
  </si>
  <si>
    <t>KANEKO LA ROSA MIRJA YANNINA</t>
  </si>
  <si>
    <t>11026597</t>
  </si>
  <si>
    <t>09602810</t>
  </si>
  <si>
    <t>SANCHEZ MEDINA ADOLFO GUSTAVO</t>
  </si>
  <si>
    <t>40876041</t>
  </si>
  <si>
    <t>FORSYTH SOMMER HAROLD WINSTON</t>
  </si>
  <si>
    <t>45512341</t>
  </si>
  <si>
    <t xml:space="preserve">	JURADO SOSA MALENA NARCY</t>
  </si>
  <si>
    <t>001386125</t>
  </si>
  <si>
    <t xml:space="preserve">	ALDANA SAAVEDRA MANUELANGEL</t>
  </si>
  <si>
    <t>004658625</t>
  </si>
  <si>
    <t xml:space="preserve">	PIMENTA FREITAS MATHEUS</t>
  </si>
  <si>
    <t>DELOSI S.A.</t>
  </si>
  <si>
    <t xml:space="preserve">
AV. JAVIER PRADO OESTE NRO. 1650 LIMA - LIMA - SAN ISIDRO</t>
  </si>
  <si>
    <t>01281062</t>
  </si>
  <si>
    <t xml:space="preserve">	VALEGA DURAND INGRID MARIA IRENE</t>
  </si>
  <si>
    <t>09866140</t>
  </si>
  <si>
    <t>GARCIA ECHEVARRIA MARCO GERARDO</t>
  </si>
  <si>
    <t xml:space="preserve">	SANCHEZ FIORENTINI JUAN CARLOS</t>
  </si>
  <si>
    <t>10610075</t>
  </si>
  <si>
    <t xml:space="preserve">	TANGANELLI DE VILLENA COSTANTINO</t>
  </si>
  <si>
    <t>10796692</t>
  </si>
  <si>
    <t xml:space="preserve">	JIMENEZ MUNARES GABRIEL ANTONIO</t>
  </si>
  <si>
    <t xml:space="preserve">	CHAVEZ RODRIGUEZ RENATO MARIANO</t>
  </si>
  <si>
    <t>10803406</t>
  </si>
  <si>
    <t xml:space="preserve">	CORNEJO CÓRDOVA MAYEMI MAGDA</t>
  </si>
  <si>
    <t xml:space="preserve">	ISASI RUIZ ELDREDGE RODRIGO ALONSO</t>
  </si>
  <si>
    <t xml:space="preserve">	RUESTA CIEZA CLAUDIA ALEXANDRA</t>
  </si>
  <si>
    <t xml:space="preserve">	SUMMERS COMPANY MAGGIE ROCIO</t>
  </si>
  <si>
    <t xml:space="preserve">	DE FERRARI GIRALDEZ IGNAZIO</t>
  </si>
  <si>
    <t>43147352</t>
  </si>
  <si>
    <t xml:space="preserve">	VASQUEZ CONTRERAS ANDREA CECILIA</t>
  </si>
  <si>
    <t xml:space="preserve">	HIGA ARAKAWA JESSIE BEATRIZ</t>
  </si>
  <si>
    <t xml:space="preserve">46865797	</t>
  </si>
  <si>
    <t xml:space="preserve">	SEGURA GUERRERO ALICIA MARIELLA</t>
  </si>
  <si>
    <t xml:space="preserve">	CUEVA ARANA LIZETH DE LOS MILAGROS</t>
  </si>
  <si>
    <t>CAL.ELÍAS AGUIRRE NRO. 605 DPTO. 402 (ALTURA AV. ANGAMOS OESTE 610) LIMA - LIMA - MIRAFLORES</t>
  </si>
  <si>
    <t>08746275</t>
  </si>
  <si>
    <t xml:space="preserve">	MARCHENA PERALTA VICKI ELIZABETH</t>
  </si>
  <si>
    <t xml:space="preserve">	PRESIDENTE EJECUTIVO</t>
  </si>
  <si>
    <t>01163477</t>
  </si>
  <si>
    <t>16626797</t>
  </si>
  <si>
    <t>BURGOS GARCIA ROXANA</t>
  </si>
  <si>
    <t>41528754</t>
  </si>
  <si>
    <t>BENAVIDES MARCHENA ALVARO OSCAR</t>
  </si>
  <si>
    <t>AV. INDUSTRIAL SUB LOTE 5B1 LOTE. 1 URB. LAS PRADERAS DE LURIN (KM 35 CARRETERA PANAN. SUR-PTE. ARICA) LIMA - LIMA - LURIN</t>
  </si>
  <si>
    <t>10810926</t>
  </si>
  <si>
    <t>MOSTO GONZALES VIGIL BRUNO JUAN</t>
  </si>
  <si>
    <t>07145266</t>
  </si>
  <si>
    <t>10867427</t>
  </si>
  <si>
    <t xml:space="preserve">	MOSCOSO RIOS KARINNA ROMELIA</t>
  </si>
  <si>
    <t>40456351</t>
  </si>
  <si>
    <t>GAMIO ROSELLO CLAUDIO</t>
  </si>
  <si>
    <t>42957527</t>
  </si>
  <si>
    <t xml:space="preserve">	YUPANQUI OSNAYO PAOLA JESUS</t>
  </si>
  <si>
    <t>44908176</t>
  </si>
  <si>
    <t xml:space="preserve">	TELLO REVILLA RAUL GABRIEL</t>
  </si>
  <si>
    <t>45122912</t>
  </si>
  <si>
    <t xml:space="preserve">	BALUIS FLORES CARLOS ANDRE</t>
  </si>
  <si>
    <t>005798031</t>
  </si>
  <si>
    <t xml:space="preserve">	ESCOBAR MEJIA FRANCISCO JAVIER</t>
  </si>
  <si>
    <t>AP176185</t>
  </si>
  <si>
    <t>VARGAS SILVA MARIA ALEJANDRA</t>
  </si>
  <si>
    <t xml:space="preserve">
CAL.SECCIÓN 08 NRO. S/N. URB. LAS PRADERAS DE LURIN (ALT. KM. 40 PANAMERICA SUR - PTE. ARICA) LIMA - LIMA - LURIN</t>
  </si>
  <si>
    <t>06142006</t>
  </si>
  <si>
    <t xml:space="preserve">	BURGOS ESCOBEDO DORA ELENA</t>
  </si>
  <si>
    <t>01978055</t>
  </si>
  <si>
    <t>09651856</t>
  </si>
  <si>
    <t xml:space="preserve">	TORREBLANCA SOTO IRMA LUZ</t>
  </si>
  <si>
    <t>09870762</t>
  </si>
  <si>
    <t xml:space="preserve">	BUSTAMANTE TESTINO PEDRO JOSE SEBASTIAN</t>
  </si>
  <si>
    <t>10219477</t>
  </si>
  <si>
    <t xml:space="preserve">	BUSTAMANTE TESTINO VICENTE ALEJANDRO</t>
  </si>
  <si>
    <t>10811809</t>
  </si>
  <si>
    <t xml:space="preserve">	BUSTAMANTE TESTINO MARIANO ESTEBAN</t>
  </si>
  <si>
    <t xml:space="preserve">
AV. PRIMAVERA CDRA.7 NRO. SN SEC. EL GRAMADAL ZONA TARAPACA (ALT. KM. 33.5 PAN. NORTE MARGEN IZQ) LIMA - LIMA - PUENTE PIEDRA</t>
  </si>
  <si>
    <t>07745280</t>
  </si>
  <si>
    <t xml:space="preserve">	LARI DUNCKER CESAR AUGUSTO</t>
  </si>
  <si>
    <t>JR. VITTORE SCARPAZZA CARPACCIO NRO. 250 URB. SAN BORJA NORTE (PISO 11- INTERIOR 1,2,3,4) LIMA - LIMA - SAN BORJA</t>
  </si>
  <si>
    <t>07886002</t>
  </si>
  <si>
    <t>MONTAGNE SAIJA YVES ERNESTO</t>
  </si>
  <si>
    <t>00722618</t>
  </si>
  <si>
    <t>08888485</t>
  </si>
  <si>
    <t>TORRES BECERRA SONIA ELIZABETH</t>
  </si>
  <si>
    <t>09341200</t>
  </si>
  <si>
    <t xml:space="preserve">	DE ROMAÑA REY DE CASTRO GONZALO</t>
  </si>
  <si>
    <t>10225563</t>
  </si>
  <si>
    <t xml:space="preserve">	GALDOS SAL Y ROSAS JUAN CARLOS</t>
  </si>
  <si>
    <t>10302950</t>
  </si>
  <si>
    <t xml:space="preserve">	THORNE BECERRA MARIA ELENA FABIOLA</t>
  </si>
  <si>
    <t>18197982</t>
  </si>
  <si>
    <t xml:space="preserve">	ORE GAMARRA CARMEN</t>
  </si>
  <si>
    <t>41201097</t>
  </si>
  <si>
    <t xml:space="preserve">	CACERES TEJADA GONZALO CESAR</t>
  </si>
  <si>
    <t>41719871</t>
  </si>
  <si>
    <t xml:space="preserve">	BUIZA GOÑI JENNY ROSARIO</t>
  </si>
  <si>
    <t>42280835</t>
  </si>
  <si>
    <t xml:space="preserve">	MARTINEZ ARRIETA ANGEL ANDRES</t>
  </si>
  <si>
    <t>43612484</t>
  </si>
  <si>
    <t xml:space="preserve">	LAGHI REY JUAN LUIS</t>
  </si>
  <si>
    <t>ARCA CONTINENTAL LINDLEY S.A.</t>
  </si>
  <si>
    <t>JR. CAJAMARQUILLA NRO. 1241 URB. ZARATE (CDRA.12 LADO IZQ.ESP.C/SANTUARIO 1176-11) LIMA - LIMA - SAN JUAN DE LURIGANCHO</t>
  </si>
  <si>
    <t>03668293</t>
  </si>
  <si>
    <t>NUÑEZ CELI HERNAN ROLANDO</t>
  </si>
  <si>
    <t>11010787</t>
  </si>
  <si>
    <t>06081208</t>
  </si>
  <si>
    <t>PALACIOS HUAMAN LUIS ALFREDO</t>
  </si>
  <si>
    <t>08126069</t>
  </si>
  <si>
    <t xml:space="preserve">	CAPRISTAN NUÑEZ SEGUNDO MANUEL</t>
  </si>
  <si>
    <t>08801462</t>
  </si>
  <si>
    <t>PAUSIN DEL SOLAR NOVOA LUIS RAUL</t>
  </si>
  <si>
    <t>17833611</t>
  </si>
  <si>
    <t xml:space="preserve">	SILVA VELA JUDIT</t>
  </si>
  <si>
    <t>18028951</t>
  </si>
  <si>
    <t xml:space="preserve">	FERNANDEZ QUIROZ RICHARD GONZALO</t>
  </si>
  <si>
    <t>23954840</t>
  </si>
  <si>
    <t xml:space="preserve">	VALENCIA DONGO CARDENAS JAVIER AGUSTIN FRANCISCO</t>
  </si>
  <si>
    <t>40242272</t>
  </si>
  <si>
    <t xml:space="preserve">	TEJEDA RODRIGUEZ VANESSA MINSY</t>
  </si>
  <si>
    <t>40393533</t>
  </si>
  <si>
    <t xml:space="preserve">	ALVA SEGOVIA DE GUERRA MARIA DEL CARMEN</t>
  </si>
  <si>
    <t>40511554</t>
  </si>
  <si>
    <t>MIÑANO PAREDES KARINA LUZ</t>
  </si>
  <si>
    <t>41866255</t>
  </si>
  <si>
    <t xml:space="preserve">	ROMERO RIOS GERMAN JESUS</t>
  </si>
  <si>
    <t>41989405</t>
  </si>
  <si>
    <t xml:space="preserve">	FREUNDT GOMEZ FABIOLA MILAGRO</t>
  </si>
  <si>
    <t>49046870</t>
  </si>
  <si>
    <t xml:space="preserve">	LAZO HILLER JUAN ANDRES</t>
  </si>
  <si>
    <t>72439993</t>
  </si>
  <si>
    <t xml:space="preserve">	NONAJULCA ALVAREZ VIVIAN MILAGROS</t>
  </si>
  <si>
    <t>COMERCIAL MADERERA ANDINA S.R.LTDA</t>
  </si>
  <si>
    <t>MZA. B LOTE. 01 OTR. EX GRANJA EL LUCUMO (ENTRE CA MARÍA TESORO Y EMILIO SLAVKOVIC) LIMA - LIMA - LURIN</t>
  </si>
  <si>
    <t>29471137</t>
  </si>
  <si>
    <t xml:space="preserve">	PALACIOS DELGADO ALDO RAFAEL</t>
  </si>
  <si>
    <t>01207792</t>
  </si>
  <si>
    <t>000117181</t>
  </si>
  <si>
    <t xml:space="preserve">	NEUMANN DAVID</t>
  </si>
  <si>
    <t>LABORATORIOS INDUQUIMICA S.A</t>
  </si>
  <si>
    <t>CAL.SANTA LUCILA NRO. 154 URB. VILLA MARINA (TAMBIEN NRO.152-- ENTRE HUAYLAS Y OVALO) LIMA - LIMA - CHORRILLOS</t>
  </si>
  <si>
    <t>07553394</t>
  </si>
  <si>
    <t xml:space="preserve">	AURICH GONZALES VDA DE QUINTANILLA CECILIA LILIANA DEL PILAR</t>
  </si>
  <si>
    <t>07627533</t>
  </si>
  <si>
    <t xml:space="preserve">	QUINTANILLA AURICH CRISTHIAN JAVIER</t>
  </si>
  <si>
    <t xml:space="preserve">
CAL.LOS OLIVOS MZA. E1 LOTE. 14 ASC. VIRGEN DEL CARMEN (PRIMER PISO) LIMA - LIMA - ATE</t>
  </si>
  <si>
    <t>07125619</t>
  </si>
  <si>
    <t>JARA VENTURA GELME IGNACIO</t>
  </si>
  <si>
    <t>00825182</t>
  </si>
  <si>
    <t xml:space="preserve">
AV. CASCANUECES MZA. L LOTE. 06 EX - FUNDO INQUISIDOR (OV.STA.ANITA,EDIT.NAVARRETE-AV.STA.ROSA) LIMA - LIMA - SANTA ANITA</t>
  </si>
  <si>
    <t>09843655</t>
  </si>
  <si>
    <t xml:space="preserve">	TICLAVILCA HERRERA VICTOR</t>
  </si>
  <si>
    <t>01422405</t>
  </si>
  <si>
    <t>10047171</t>
  </si>
  <si>
    <t>TICLAVILCA CORREA ZACARIAS LOLO</t>
  </si>
  <si>
    <t>10604556</t>
  </si>
  <si>
    <t xml:space="preserve">	TICLAVILCA HERRERA JUDITH MARLENE</t>
  </si>
  <si>
    <t>29711245</t>
  </si>
  <si>
    <t xml:space="preserve">	TICLAVILCA HERRERA RUTHEFOR</t>
  </si>
  <si>
    <t>02649880</t>
  </si>
  <si>
    <t>CAL.ENRIQUE PALACIOS NRO. 335 INT. 201 URB. SURQUILLO LIMA - LIMA - MIRAFLORES</t>
  </si>
  <si>
    <t>10305602</t>
  </si>
  <si>
    <t xml:space="preserve">	JAIME VEGA ABELARDO MARINO</t>
  </si>
  <si>
    <t>10557927</t>
  </si>
  <si>
    <t>JAIME VEGA DUILIO MARTIN</t>
  </si>
  <si>
    <t>40425380</t>
  </si>
  <si>
    <t xml:space="preserve">	JAIME VEGA JESSICA MARIA</t>
  </si>
  <si>
    <t>AV. LUNA PIZARRO NRO. 336 URB. TEJADA ALTA (A 1/2 CDRA. DE OVALO DE BALTA) LIMA - LIMA - BARRANCO</t>
  </si>
  <si>
    <t>09174555</t>
  </si>
  <si>
    <t>TELGE LUNA GERMAN EDGAR</t>
  </si>
  <si>
    <t>13643971</t>
  </si>
  <si>
    <t>09751032</t>
  </si>
  <si>
    <t xml:space="preserve">	TELGE LLOSA PATRICIA</t>
  </si>
  <si>
    <t>09753187</t>
  </si>
  <si>
    <t xml:space="preserve">	TELGE LLOSA VERONICA</t>
  </si>
  <si>
    <t>SERVICIOS Y PROYECTOS INDUSTRIALES SOCIEDAD ANONIMA CERRADA - SEPI S.A.C.</t>
  </si>
  <si>
    <t>CAL.32 MZA. D LOTE. 15 URB. EL TREBOL (ALT CDRA 6 AV ANGELICA GAMARRA) LIMA - LIMA - LOS OLIVOS</t>
  </si>
  <si>
    <t>08598537</t>
  </si>
  <si>
    <t>GALLEGOS FRANCIA JOSE ANTONIO</t>
  </si>
  <si>
    <t>00620270</t>
  </si>
  <si>
    <t>VERMI S.A.C.</t>
  </si>
  <si>
    <t xml:space="preserve">
AV. GRAU NRO. 810 INT. 7-8 LIMA - LIMA - BARRANCO</t>
  </si>
  <si>
    <t>0113 - CULTIVO DE HORTALIZAS Y MELONES, RAÍCES Y TUBÉRCULOS</t>
  </si>
  <si>
    <t>06673293</t>
  </si>
  <si>
    <t xml:space="preserve">	SILVA RODRIGUEZ BONAZZI FRANCESCA MARIA</t>
  </si>
  <si>
    <t>00497800</t>
  </si>
  <si>
    <t xml:space="preserve">
JR. PAITA NRO. 183 Z.I. ZONA INDUSTRIAL NO MOLESTA (A UNA CUADRA DE LA CIA DE BOMBEROS) LIMA - LIMA - SAN JUAN DE MIRAFLORES</t>
  </si>
  <si>
    <t>08241065</t>
  </si>
  <si>
    <t>DIAZ LAY JORGE LUIS</t>
  </si>
  <si>
    <t xml:space="preserve">	APODERADO ESPECIAL</t>
  </si>
  <si>
    <t>01195883</t>
  </si>
  <si>
    <t>09336551</t>
  </si>
  <si>
    <t xml:space="preserve">	DIAZ LAY CARLOS ANTONIO</t>
  </si>
  <si>
    <t>GERENTE GNRAL</t>
  </si>
  <si>
    <t>09342879</t>
  </si>
  <si>
    <t>DIAZ LAY FRANCISCO JAVIER</t>
  </si>
  <si>
    <t>GERENTE ADMINIST.</t>
  </si>
  <si>
    <t>EMPACADORA AGRICOLA DEL PACIFICO S.A.</t>
  </si>
  <si>
    <t xml:space="preserve">
JR. CORICANCHA NRO. 114 URB. SAN JUAN BAUTISTA DE VILLA LIMA - LIMA - CHORRILLOS</t>
  </si>
  <si>
    <t>08235032</t>
  </si>
  <si>
    <t>ALAYZA DE LOSADA LUIS</t>
  </si>
  <si>
    <t>90097946</t>
  </si>
  <si>
    <t>41286731</t>
  </si>
  <si>
    <t xml:space="preserve">	ALAYZA FREUNDT GRACIELA MARIA</t>
  </si>
  <si>
    <t>43243902</t>
  </si>
  <si>
    <t xml:space="preserve">	ALAYZA FREUNDT LUIS MARTIN</t>
  </si>
  <si>
    <t>CORPORACION SEALER'S S.A.</t>
  </si>
  <si>
    <t>AV. JOSE GALVEZ BARRENECHEA NRO. 1051 DPTO. 402 URB. CORPAC LIMA - LIMA - SAN BORJA</t>
  </si>
  <si>
    <t>09932801</t>
  </si>
  <si>
    <t>ARROYO NIEVA SILVIA BERTHA</t>
  </si>
  <si>
    <t>00420964</t>
  </si>
  <si>
    <t>40639611</t>
  </si>
  <si>
    <t xml:space="preserve">	FLORES TANTARUNA LUIS ALBERTO</t>
  </si>
  <si>
    <t>07014211</t>
  </si>
  <si>
    <t>VILCAPOMA HUAPAYA LUIS FELIPE</t>
  </si>
  <si>
    <t>09121660</t>
  </si>
  <si>
    <t xml:space="preserve">	MARIN QUEVEDO MARCO ANTONIO</t>
  </si>
  <si>
    <t>10867315</t>
  </si>
  <si>
    <t xml:space="preserve">	MARIN QUEVEDO WILSON</t>
  </si>
  <si>
    <t>AV. PROLG PACHACUTEC NRO. 5855 TABLADA DE LURIN (FTE. AL PARQUE INDUST.VILLA EL SALVADOR) LIMA - LIMA - VILLA MARIA DEL TRIUNFO</t>
  </si>
  <si>
    <t xml:space="preserve">09711515	</t>
  </si>
  <si>
    <t xml:space="preserve">	IBARGÜEN POMARINO FERMIN AMADOR</t>
  </si>
  <si>
    <t xml:space="preserve">
AV. JUAN DE ARONA NRO. 151 DPTO. 203 (CENTRO EMPRESARIAL JUAN DE ARONA) LIMA - LIMA - SAN ISIDRO</t>
  </si>
  <si>
    <t>00464066</t>
  </si>
  <si>
    <t>DELGADO SARAVIA CESAR ALBERTO</t>
  </si>
  <si>
    <t>07241091</t>
  </si>
  <si>
    <t xml:space="preserve">26730856	</t>
  </si>
  <si>
    <t xml:space="preserve">	CHAVARRI SANCHEZ SARA DEL CARMEN</t>
  </si>
  <si>
    <t>CAL.LAS CAMELIAS MZA. D LOTE. 5 (LOS ROSALES ESQUINA CAMELIAS) LIMA - LIMA - PACHACAMAC</t>
  </si>
  <si>
    <t>08261115</t>
  </si>
  <si>
    <t xml:space="preserve">	MENDOZA MARSANO BRUNO RODOLFO</t>
  </si>
  <si>
    <t>11028440</t>
  </si>
  <si>
    <t>TINCO HNOS S.A.C.</t>
  </si>
  <si>
    <t xml:space="preserve">
JR. CARABAYA NRO. 719 INT. 312 CERCADO DE LIMA LIMA - LIMA - LIMA</t>
  </si>
  <si>
    <t>09851896</t>
  </si>
  <si>
    <t xml:space="preserve">	TINCO NARVAEZ GERMAIN TEOFILO</t>
  </si>
  <si>
    <t>12522363</t>
  </si>
  <si>
    <t>PRODISTEC S.A.C</t>
  </si>
  <si>
    <t xml:space="preserve">
AV. MIRAFLORES NRO. 2390 URB. LA LIBERTAD (ALT. CDRA. 23 AV. PUNO) LIMA - LIMA - COMAS</t>
  </si>
  <si>
    <t>41820678</t>
  </si>
  <si>
    <t>GONZALES VESGAS ALEXANDER</t>
  </si>
  <si>
    <t>12526712</t>
  </si>
  <si>
    <t>AV. REPUBLICA DE PANAMA NRO. 4575 LIMA - LIMA - SURQUILLO</t>
  </si>
  <si>
    <t>0149 - CRÍA DE OTROS ANIMALES</t>
  </si>
  <si>
    <t>06676745</t>
  </si>
  <si>
    <t>WONG MARIN PAMELA MILAGROS</t>
  </si>
  <si>
    <t>02342944</t>
  </si>
  <si>
    <t xml:space="preserve">07439375	</t>
  </si>
  <si>
    <t>AREVALO SANCHEZ ROSA YOLANDA</t>
  </si>
  <si>
    <t>08802325</t>
  </si>
  <si>
    <t xml:space="preserve">	IKEDA MATSUKAWA JULIO</t>
  </si>
  <si>
    <t>08860301</t>
  </si>
  <si>
    <t xml:space="preserve">	GARCIA MILLA CARRASCO SILVIA</t>
  </si>
  <si>
    <t>09342416</t>
  </si>
  <si>
    <t>ENCISO RIVERA WILFREDO</t>
  </si>
  <si>
    <t>09384278</t>
  </si>
  <si>
    <t xml:space="preserve">	SOTOMAYOR ARCINIEGA JOSE ANDRES</t>
  </si>
  <si>
    <t>09386441</t>
  </si>
  <si>
    <t>SKRZYPEK MONTALVO FRANCIS JOHN</t>
  </si>
  <si>
    <t>10220345</t>
  </si>
  <si>
    <t xml:space="preserve">	BALAREZO CINO RENZO</t>
  </si>
  <si>
    <t>10474074</t>
  </si>
  <si>
    <t>ARAKAKI SHIMABUKU VICTOR RAFAEL</t>
  </si>
  <si>
    <t>40014352</t>
  </si>
  <si>
    <t>BISSO VILLARAN LUCIANA</t>
  </si>
  <si>
    <t>41905651</t>
  </si>
  <si>
    <t>MEJIA SAMALVIDES MARIA DEL PILAR</t>
  </si>
  <si>
    <t>42404591</t>
  </si>
  <si>
    <t>RODRIGUEZ MEDINA FABIOLA IVONNE</t>
  </si>
  <si>
    <t>NNID</t>
  </si>
  <si>
    <t>ADMINISTRACIÓN DE NEGOCIOS INTERNACIONALES</t>
  </si>
  <si>
    <t>NMGD</t>
  </si>
  <si>
    <t>MARKETING Y GESTIÓN COMERCIAL</t>
  </si>
  <si>
    <t>CENTER INDUSTRIAL SOCIEDAD COMERCIAL DE RESPONSABILIDAD LIMITADA - CENTER INDUSTRIAL S.R.L.</t>
  </si>
  <si>
    <t>AV. ARGENTINA NRO. 215 INT. T21 CENTRO COMERCIAL NICOLINI (PASAJE. 7) LIMA - LIMA - LIMA</t>
  </si>
  <si>
    <t>45195223</t>
  </si>
  <si>
    <t>CESINARIO SORIA MARICRUZ</t>
  </si>
  <si>
    <t>13520812</t>
  </si>
  <si>
    <t>SERVICIOS E INGENIERIA RAINGESER A &amp; R SOCIEDAD ANONIMA CERRADA</t>
  </si>
  <si>
    <t>CAL.LOS SAUCES MZA. A LOTE. 18 ASC. LOS SAUCES DE NIEVERIA (PARADERO POSTA NIEVERIA) LIMA - LIMA - LURIGANCHO</t>
  </si>
  <si>
    <t>41679255</t>
  </si>
  <si>
    <t>CHUQUICAÑA SANCHEZ MILAGROS NATIVIDAD</t>
  </si>
  <si>
    <t>13831871</t>
  </si>
  <si>
    <t>SI</t>
  </si>
  <si>
    <t xml:space="preserve">	PALOMINO SILVERA ALEXANDER JOSSUE</t>
  </si>
  <si>
    <t>SERVICIOS GENERALES ROKY SOCIEDAD ANONIMA</t>
  </si>
  <si>
    <t>NRO. REF A.H. TRES PALMERAS (MZ D LOTE 9 CALLE MORALES BERMUDEZ) LIMA - HUARAL - HUARAL</t>
  </si>
  <si>
    <t>33252095</t>
  </si>
  <si>
    <t>ROQUE BONIFACIO JULIAN</t>
  </si>
  <si>
    <t>60134219</t>
  </si>
  <si>
    <t>OFICINA SUNARP</t>
  </si>
  <si>
    <t>INDUSTRIAS JYKA S.A.C.</t>
  </si>
  <si>
    <t>MZA. CB LOTE. 1-2 SEC. EL VALLE ANEXO 22 JICAMARCA (AV. MIGUEL GRAU PDRO BOLOGNESI JICAMARCA) LIMA - HUAROCHIRI - SAN ANTONIO</t>
  </si>
  <si>
    <t>07480207</t>
  </si>
  <si>
    <t xml:space="preserve">	SOVERO VILLARROEL JOSE LUIS</t>
  </si>
  <si>
    <t>13075497</t>
  </si>
  <si>
    <t>HP TECNOLOGIA INDUSTRIAL SOCIEDAD ANONIMA CERRADA</t>
  </si>
  <si>
    <t>AV. FRANKLIN ROOSEVELT NRO. 388 CERCADO DE LIMA (ENTRE JR. BAMBAS Y AV. ROOSVELT) LIMA - LIMA - LIMA</t>
  </si>
  <si>
    <t>41299643</t>
  </si>
  <si>
    <t>SUAREZ RAMIREZ HECTOR GIRAL</t>
  </si>
  <si>
    <t>11882050</t>
  </si>
  <si>
    <t>EMTUR EL SOL SRLTDA</t>
  </si>
  <si>
    <t>AV. TRAPICHE LOTE. 7D CHACRA CERRO (ALT KM 22 PAN NORTE HOTEL LA HACIENDA) LIMA - LIMA - COMAS</t>
  </si>
  <si>
    <t>09047471</t>
  </si>
  <si>
    <t>PINEDO MANRIQUE VICENTE HERNULFO</t>
  </si>
  <si>
    <t>03008481</t>
  </si>
  <si>
    <t>SMART POWER ON S.A.C.</t>
  </si>
  <si>
    <t>CAL.VICTOR ANDRES BELAUNDE NRO. 660 PROV. CONST. DEL CALLAO - PROV. CONST. DEL CALLAO - CARMEN DE LA LEGUA REYNOSO</t>
  </si>
  <si>
    <t>42465862</t>
  </si>
  <si>
    <t>FLORES HUAMANI LUIS ALBERTO</t>
  </si>
  <si>
    <t>70699996</t>
  </si>
  <si>
    <t>ROJAS MORAN NANCY JOAQUINA</t>
  </si>
  <si>
    <t>08401186</t>
  </si>
  <si>
    <t>UGARRIZA N° 909 - LIMA - LIMA - SAN JUAN DE MIRAFLORES</t>
  </si>
  <si>
    <t>BRIDAG E.I.R.LTDA.</t>
  </si>
  <si>
    <t>JR. MONTEAGUDO NRO. 143 INT. A (ALT PALACIO DE JUSTICIA DEL CALLAO) PROV. CONST. DEL CALLAO - PROV. CONST. DEL CALLAO - CALLAO</t>
  </si>
  <si>
    <t>43258621</t>
  </si>
  <si>
    <t>ZEGARRA PORTILLA SHIRLEY RUTMINI</t>
  </si>
  <si>
    <t>70001570</t>
  </si>
  <si>
    <t>AV. BOULEVARD NRO. SN (PTA NRO 1 PREGUNTAR POR OEE ANEXO 2810) LIMA - LIMA - SAN BORJA</t>
  </si>
  <si>
    <t>8422 - ACTIVIDADES DE DEFENSA</t>
  </si>
  <si>
    <t>07318617</t>
  </si>
  <si>
    <t>PACHAS ARIAS LUISA NELLY</t>
  </si>
  <si>
    <t>40063513</t>
  </si>
  <si>
    <t>PERLACIO ARIAS MARCO ANTONIO</t>
  </si>
  <si>
    <t>AV. DE LA POESIA NRO. 160 URB. SAN BORJA (CRUCE DE JAVIER PRADO CON AVIACIÓN) LIMA - LIMA - SAN BORJA</t>
  </si>
  <si>
    <t>9101 - ACTIVIDADES DE BIBLIOTECAS Y ARCHIVOS</t>
  </si>
  <si>
    <t xml:space="preserve">06674296	</t>
  </si>
  <si>
    <t>SANCHEZ APONTE MANUEL MARTIN</t>
  </si>
  <si>
    <t>CAL.SAYCUSCA NRO. 281 URB. MARANGA (ALT CDRA 2 AV FAUCETT, COSTADO INTERBANK) LIMA - LIMA - SAN MIGUEL</t>
  </si>
  <si>
    <t>0311 - PESCA MARÍTIMA</t>
  </si>
  <si>
    <t>09344353</t>
  </si>
  <si>
    <t>GONZALES SULLON ALEXANDRA LORENZA</t>
  </si>
  <si>
    <t>00528862</t>
  </si>
  <si>
    <t>25625579</t>
  </si>
  <si>
    <t>GONZALES CHUNGA GERARDO</t>
  </si>
  <si>
    <t>AV. NICOLAS AYLLON N. 11840 NRO. 1184 Z.I. ATE (NRO. 11840 - KM. 9 CARR.CENTRAL) LIMA - LIMA - ATE</t>
  </si>
  <si>
    <t>06467893</t>
  </si>
  <si>
    <t>BENDECK SALOMON JORGE EDWIN</t>
  </si>
  <si>
    <t>00728543</t>
  </si>
  <si>
    <t>07649370</t>
  </si>
  <si>
    <t>SALOMON SANSUR FREDDY HUGO</t>
  </si>
  <si>
    <t>07651802</t>
  </si>
  <si>
    <t>SALOMON SABAT HUGO</t>
  </si>
  <si>
    <t>08201273</t>
  </si>
  <si>
    <t>SALOMON SALOMON JAVIER SAMUEL JUAN</t>
  </si>
  <si>
    <t>08270076</t>
  </si>
  <si>
    <t>FARAH SALOMON PAUL GUSTAVO</t>
  </si>
  <si>
    <t>09760446</t>
  </si>
  <si>
    <t>MARIATEGUI CACERES FERNANDO IGNACIO</t>
  </si>
  <si>
    <t>10171940</t>
  </si>
  <si>
    <t>SALOMON SANSUR MUNIR EDUARDO</t>
  </si>
  <si>
    <t>CAL.SOLIDARIDAD MZA. D2 LOTE. 12 P.IND PQUE INDUSTRIAL PAR (PARC II ALT AV SOL Y SOLIDARIDAD CDRA 2) LIMA - LIMA - VILLA EL SALVADOR</t>
  </si>
  <si>
    <t>2815 - FABRICACIÓN DE HORNOS, HOGARES Y QUEMADORES</t>
  </si>
  <si>
    <t>06127805</t>
  </si>
  <si>
    <t>SURCO HACHIRI BERNARDINO JULIO</t>
  </si>
  <si>
    <t>00602906</t>
  </si>
  <si>
    <t>07646619</t>
  </si>
  <si>
    <t>TRUJILLO FERNANDEZ ROGATO</t>
  </si>
  <si>
    <t>70007777</t>
  </si>
  <si>
    <t>DARYZA S.A.C.</t>
  </si>
  <si>
    <t>NRO. . GRANJA 1 (ALTURA KM 30 PANAMERICANA SUR) LIMA - LIMA - LURIN</t>
  </si>
  <si>
    <t>06802180</t>
  </si>
  <si>
    <t>VALDERRAMA CARDENAS KATTY LETY</t>
  </si>
  <si>
    <t>00410950</t>
  </si>
  <si>
    <t>09387176</t>
  </si>
  <si>
    <t>DARUICH TOLA FELIX ENRIQUE</t>
  </si>
  <si>
    <t>70367242</t>
  </si>
  <si>
    <t>DARUICH MORENO SEBASTIAN FELIX</t>
  </si>
  <si>
    <t>70396031</t>
  </si>
  <si>
    <t>DARUICH MORENO NICOLE</t>
  </si>
  <si>
    <t>SIME EIRL</t>
  </si>
  <si>
    <t>AV. HEROES GUERRA DEL PACIFICO MZA. E LOTE. 10 SANTA ROSA (ALT PARADERO 24 SATELITE) PROV. CONST. DEL CALLAO - PROV. CONST. DEL CALLAO - VENTANILLA</t>
  </si>
  <si>
    <t>25543389</t>
  </si>
  <si>
    <t>FERNANDEZ ARAUCO RICARDO SANTOS</t>
  </si>
  <si>
    <t>70002046</t>
  </si>
  <si>
    <t>REFRIGERACION CALEFACCION SERV EIRL</t>
  </si>
  <si>
    <t>CAL.PACHITEA NRO. 634 P.J. SAN GABRIEL (VALLECITO ALTO-3ER.PISO) LIMA - LIMA - VILLA MARIA DEL TRIUNFO</t>
  </si>
  <si>
    <t>08708945</t>
  </si>
  <si>
    <t>FLORES SULCA PROSPERO GUILLERMO</t>
  </si>
  <si>
    <t>JR. 28 DE JULIO NRO. 335 LIMA - CAÑETE - IMPERIAL</t>
  </si>
  <si>
    <t>8411 - ACTIVIDADES DE LA ADMINISTRACIÓN PÚBLICA EN GENERAL</t>
  </si>
  <si>
    <t>15423725</t>
  </si>
  <si>
    <t>YAURICASA TIPIANI CARLOS FELIPE</t>
  </si>
  <si>
    <t>ALCALDE</t>
  </si>
  <si>
    <t xml:space="preserve">
AV. CRUZ BLANCA NRO. 2006 LIMA - HUAURA - SANTA MARIA</t>
  </si>
  <si>
    <t>15693375</t>
  </si>
  <si>
    <t>VASQUEZ LA CRUZ JOSE LUIS</t>
  </si>
  <si>
    <t>45714590</t>
  </si>
  <si>
    <t xml:space="preserve">	CASAVERDE SORIA ROLANDO JOEL</t>
  </si>
  <si>
    <t>13268268</t>
  </si>
  <si>
    <t>PJ. GABRIEL DELGADO NRO. 521 URB. CERCADO DE LIMA LIMA - LIMA - LIMA</t>
  </si>
  <si>
    <t>07276372</t>
  </si>
  <si>
    <t>PANDZIC SABA MIGUEL GERARDO</t>
  </si>
  <si>
    <t>00913898</t>
  </si>
  <si>
    <t>43047688</t>
  </si>
  <si>
    <t>PANDZIC SABA CHRISTHIAN MIGUEL</t>
  </si>
  <si>
    <t>44501431</t>
  </si>
  <si>
    <t>PANDZIC SABA OMAR DANIEL</t>
  </si>
  <si>
    <t>26953644</t>
  </si>
  <si>
    <t xml:space="preserve">	TORIBIO VERGARA FRANCISCO ALFONSO</t>
  </si>
  <si>
    <t>COMPAÑIA MINERA HUAÑALPE SOCIEDAD COMERCIAL DE RESPONSABILIDAD LIMITADA</t>
  </si>
  <si>
    <t>CAL.LAS VEGAS NRO. 189A P.J. JOSE OLAYA LAMBAYEQUE - CHICLAYO - CHICLAYO</t>
  </si>
  <si>
    <t>0729 - EXTRACCIÓN DE OTROS MINERALES METALÍFEROS NO FERROSOS</t>
  </si>
  <si>
    <t>11306313</t>
  </si>
  <si>
    <t>16783861</t>
  </si>
  <si>
    <t>RODRIGUEZ RONDOY JUAN CARLOS</t>
  </si>
  <si>
    <t>CAL.13 NRO. 225 INT. B URB. RINCONADA DE ATE (CASA B) LIMA - LIMA - LA MOLINA</t>
  </si>
  <si>
    <t>08240660</t>
  </si>
  <si>
    <t>HOEFKEN DE FERRAND MARIA LUCIA</t>
  </si>
  <si>
    <t>12824016</t>
  </si>
  <si>
    <t>41044898</t>
  </si>
  <si>
    <t>FERRAND HOEFKEN LUCIA</t>
  </si>
  <si>
    <t>V. CRNL. NESTOR GAMBETTA NRO. 6693 (IND.LA CHALACA COSTADO TERMINAL PESQUERO) PROV. CONST. DEL CALLAO - PROV. CONST. DEL CALLAO - CALLAO</t>
  </si>
  <si>
    <t>09077677</t>
  </si>
  <si>
    <t>REYES ARAUJO RENATO BAYARDO</t>
  </si>
  <si>
    <t>11506720</t>
  </si>
  <si>
    <t>09276647</t>
  </si>
  <si>
    <t>REYES ARAUJO JORGE LUIS</t>
  </si>
  <si>
    <t>ELCE S.A.C</t>
  </si>
  <si>
    <t>MZA. V LOTE. 15 URB. SANTA ROSA (4TO PISO) PROV. CONST. DEL CALLAO - PROV. CONST. DEL CALLAO - CALLAO</t>
  </si>
  <si>
    <t>44047764</t>
  </si>
  <si>
    <t>MOSILOT BAZAN CESAR</t>
  </si>
  <si>
    <t xml:space="preserve">14063487	</t>
  </si>
  <si>
    <t>ELEMATIC ASCENSORES S.A.C.</t>
  </si>
  <si>
    <t>MZA. E LOTE. 14 INT. 3ERP APV. SANTA EMMA DE CARABAYLLO (CASONA DE HACIENDA PUNCHAUCA) LIMA - LIMA - CARABAYLLO</t>
  </si>
  <si>
    <t>16012205</t>
  </si>
  <si>
    <t>LUNA BLAS YONY GUSTAVO</t>
  </si>
  <si>
    <t>14105067</t>
  </si>
  <si>
    <t>ESPINOZA CALLUPE, ALEX ERLY</t>
  </si>
  <si>
    <t>ESPINOZA CALLUPE ALEX ERLY</t>
  </si>
  <si>
    <t>PROLOGACION RAMIRO PRIALE S/N ASOCIACION LOS TULIPANES - 15464 - LIMA -LIMA - LURIGANCHO</t>
  </si>
  <si>
    <t>PJ. LAS AGATAS NRO. 161 URB. BALCONCILLO LIMA - LIMA - LA VICTORIA</t>
  </si>
  <si>
    <t>70106218</t>
  </si>
  <si>
    <t>VASQUEZ CARDENAS CARLOS ENRIQUE</t>
  </si>
  <si>
    <t>14577103</t>
  </si>
  <si>
    <t>VENTURA ROJAS MARIO DANIEL</t>
  </si>
  <si>
    <t xml:space="preserve">CALLE. JOSE CARLOS MARIATEGUI. MZ L LT2 356 ASOVISEM - LIMA - HUARAL - CHANCAY </t>
  </si>
  <si>
    <t>AIRE ACONDICIONADO &amp; REFRIGERACION S.A.C.</t>
  </si>
  <si>
    <t>CAL.GRAN PAJATEN NRO. 325 URB. ZARATE LIMA - LIMA - SAN JUAN DE LURIGANCHO</t>
  </si>
  <si>
    <t>09650841</t>
  </si>
  <si>
    <t>OLIVARES CHAVEZ RAMIRO</t>
  </si>
  <si>
    <t>13605506</t>
  </si>
  <si>
    <t>JR. CHAVIN DE HUANTAR NRO. 1744 URB. ZARATE (ALT. CDRA. 17 AV. GRAN CHIMU) LIMA - LIMA - SAN JUAN DE LURIGANCHO</t>
  </si>
  <si>
    <t>CHAVEZ CHAVEZ RAUL YOVANI</t>
  </si>
  <si>
    <t xml:space="preserve">11108120	</t>
  </si>
  <si>
    <t>JR. GENERAL VARELA NRO. 1821 LIMA - LIMA - BREÑA</t>
  </si>
  <si>
    <t>ARAGON DUEÑAS EDILBERTO DAVID</t>
  </si>
  <si>
    <t>13589710</t>
  </si>
  <si>
    <t>42485029</t>
  </si>
  <si>
    <t>LERMO MARIN ELEAZAR MAEL</t>
  </si>
  <si>
    <t>70636681</t>
  </si>
  <si>
    <t>43245082</t>
  </si>
  <si>
    <t>SOLIS BAQUERIZO NATALY LUISA</t>
  </si>
  <si>
    <t>09420384</t>
  </si>
  <si>
    <t>JR. VON LEONARD PHILIPP NRO. 314 URB. CORPAC LIMA - LIMA - SAN BORJA</t>
  </si>
  <si>
    <t>46332333</t>
  </si>
  <si>
    <t>LLAGUNO RUBIO MIGUEL EDUARDO</t>
  </si>
  <si>
    <t>13044924</t>
  </si>
  <si>
    <t>08740792</t>
  </si>
  <si>
    <t xml:space="preserve">47563560	</t>
  </si>
  <si>
    <t>40087891</t>
  </si>
  <si>
    <t>CATALINO VICTORIO ROSARIO AURORA</t>
  </si>
  <si>
    <t>GLOBACK S.R.L.</t>
  </si>
  <si>
    <t>MZA. A12 LOTE. 05 ASC. LA FORTALEZA (EX FUNDO EL TARO) LIMA - LIMA - PUENTE PIEDRA</t>
  </si>
  <si>
    <t>45122665</t>
  </si>
  <si>
    <t>MUÑOZ JIMENEZ JOEL HORACIO</t>
  </si>
  <si>
    <t>13451854</t>
  </si>
  <si>
    <t>08850169</t>
  </si>
  <si>
    <t>TABLEROS Y SERVICIOS ELECTRICOS INDUSTRIALES S.A.C. - TSEIN S.A.C.</t>
  </si>
  <si>
    <t>MZA. F LOTE. 07 PROLONGACION EL ROSAL LIMA - LIMA - SAN JUAN DE LURIGANCHO</t>
  </si>
  <si>
    <t>72965953</t>
  </si>
  <si>
    <t>RAMOS MACHADO EVELYN ROSARIO</t>
  </si>
  <si>
    <t>14644126</t>
  </si>
  <si>
    <t>S &amp; C SOCIOCLIMA S.A.C.</t>
  </si>
  <si>
    <t>AV. ALFREDO MENDIOLA NRO. 361A URB. INGENIERIA LIMA - LIMA - SAN MARTIN DE PORRES</t>
  </si>
  <si>
    <t>44675336</t>
  </si>
  <si>
    <t>SULCA RAMOS KELLY KRISS</t>
  </si>
  <si>
    <t>43158160</t>
  </si>
  <si>
    <t>AV SANTA ROSITA RA ETAPA MZ.R LOTE 19 - LIMA - LIMA - ATE</t>
  </si>
  <si>
    <t>09882452</t>
  </si>
  <si>
    <t>9322199</t>
  </si>
  <si>
    <t>41776537</t>
  </si>
  <si>
    <t>10179438</t>
  </si>
  <si>
    <t>10802791</t>
  </si>
  <si>
    <t>47789860</t>
  </si>
  <si>
    <t>47183383</t>
  </si>
  <si>
    <t>25475154</t>
  </si>
  <si>
    <t>40530874</t>
  </si>
  <si>
    <t>45386609</t>
  </si>
  <si>
    <t>71212566</t>
  </si>
  <si>
    <t>25666449</t>
  </si>
  <si>
    <t>10105340</t>
  </si>
  <si>
    <t>10608637</t>
  </si>
  <si>
    <t>8955588</t>
  </si>
  <si>
    <t>10547140</t>
  </si>
  <si>
    <t>42647460</t>
  </si>
  <si>
    <t>41235409</t>
  </si>
  <si>
    <t>25401991</t>
  </si>
  <si>
    <t>15991101</t>
  </si>
  <si>
    <t>48927294</t>
  </si>
  <si>
    <t>43598528</t>
  </si>
  <si>
    <t>14004971</t>
  </si>
  <si>
    <t>12318400</t>
  </si>
  <si>
    <t>12793819</t>
  </si>
  <si>
    <t>13128950</t>
  </si>
  <si>
    <t>14484315</t>
  </si>
  <si>
    <t>1050176</t>
  </si>
  <si>
    <t>12186408</t>
  </si>
  <si>
    <t>13271415</t>
  </si>
  <si>
    <t>12453756</t>
  </si>
  <si>
    <t>11160505</t>
  </si>
  <si>
    <t>11814037</t>
  </si>
  <si>
    <t>3008757</t>
  </si>
  <si>
    <t>13375827</t>
  </si>
  <si>
    <t>12380739</t>
  </si>
  <si>
    <t>13464082</t>
  </si>
  <si>
    <t>13804497</t>
  </si>
  <si>
    <t>13295576</t>
  </si>
  <si>
    <t>13311352</t>
  </si>
  <si>
    <t>11014336</t>
  </si>
  <si>
    <t>70695544</t>
  </si>
  <si>
    <t>12944690</t>
  </si>
  <si>
    <t>13630218</t>
  </si>
  <si>
    <t>12597772</t>
  </si>
  <si>
    <t>14725143</t>
  </si>
  <si>
    <t>12919211</t>
  </si>
  <si>
    <t>11702084</t>
  </si>
  <si>
    <t>5000451</t>
  </si>
  <si>
    <t>12238342</t>
  </si>
  <si>
    <t>12766326</t>
  </si>
  <si>
    <t>11008693</t>
  </si>
  <si>
    <t>11021534</t>
  </si>
  <si>
    <t>6005707</t>
  </si>
  <si>
    <t>14741316</t>
  </si>
  <si>
    <t>14233340</t>
  </si>
  <si>
    <t>11276682</t>
  </si>
  <si>
    <t>11453798</t>
  </si>
  <si>
    <t>1402986</t>
  </si>
  <si>
    <t>13555855</t>
  </si>
  <si>
    <t>12544795</t>
  </si>
  <si>
    <t>13044939</t>
  </si>
  <si>
    <t>13879820</t>
  </si>
  <si>
    <t>70201397</t>
  </si>
  <si>
    <t>14156466</t>
  </si>
  <si>
    <t>70004106</t>
  </si>
  <si>
    <t>14490902</t>
  </si>
  <si>
    <t>70254357</t>
  </si>
  <si>
    <t>13522757</t>
  </si>
  <si>
    <t>13707817</t>
  </si>
  <si>
    <t>11160626</t>
  </si>
  <si>
    <t>14687743</t>
  </si>
  <si>
    <t>14283695</t>
  </si>
  <si>
    <t>12291717</t>
  </si>
  <si>
    <t>11305802</t>
  </si>
  <si>
    <t>13017163</t>
  </si>
  <si>
    <t>13975892</t>
  </si>
  <si>
    <t>13694171</t>
  </si>
  <si>
    <t>392057</t>
  </si>
  <si>
    <t>12881934</t>
  </si>
  <si>
    <t>3019764</t>
  </si>
  <si>
    <t>12600686</t>
  </si>
  <si>
    <t>13223397</t>
  </si>
  <si>
    <t>12512442</t>
  </si>
  <si>
    <t>12473226</t>
  </si>
  <si>
    <t>13469590</t>
  </si>
  <si>
    <t>11665821</t>
  </si>
  <si>
    <t>716499</t>
  </si>
  <si>
    <t>12258668</t>
  </si>
  <si>
    <t>12411322</t>
  </si>
  <si>
    <t>13377271</t>
  </si>
  <si>
    <t>11743287</t>
  </si>
  <si>
    <t>14696656</t>
  </si>
  <si>
    <t>14416247</t>
  </si>
  <si>
    <t>12962331</t>
  </si>
  <si>
    <t>13666654</t>
  </si>
  <si>
    <t>13040919</t>
  </si>
  <si>
    <t>14496112</t>
  </si>
  <si>
    <t>14671263</t>
  </si>
  <si>
    <t>11936205</t>
  </si>
  <si>
    <t>13923453</t>
  </si>
  <si>
    <t>838411</t>
  </si>
  <si>
    <t>14612461</t>
  </si>
  <si>
    <t>14492007</t>
  </si>
  <si>
    <t>12657551</t>
  </si>
  <si>
    <t>12456449</t>
  </si>
  <si>
    <t>12139313</t>
  </si>
  <si>
    <t>12218809</t>
  </si>
  <si>
    <t>11840568</t>
  </si>
  <si>
    <t>12243215</t>
  </si>
  <si>
    <t>13632719</t>
  </si>
  <si>
    <t>13463574</t>
  </si>
  <si>
    <t>13472958</t>
  </si>
  <si>
    <t>3008198</t>
  </si>
  <si>
    <t>12421837</t>
  </si>
  <si>
    <t>11074519</t>
  </si>
  <si>
    <t>11963263</t>
  </si>
  <si>
    <t>11199421</t>
  </si>
  <si>
    <t>14220621</t>
  </si>
  <si>
    <t>11292976</t>
  </si>
  <si>
    <t>14586030</t>
  </si>
  <si>
    <t>12222789</t>
  </si>
  <si>
    <t>14170951</t>
  </si>
  <si>
    <t>13711303</t>
  </si>
  <si>
    <t>15077770</t>
  </si>
  <si>
    <t>12953725</t>
  </si>
  <si>
    <t>13601095</t>
  </si>
  <si>
    <t>53635</t>
  </si>
  <si>
    <t>12838655</t>
  </si>
  <si>
    <t>11994608</t>
  </si>
  <si>
    <t>13882634</t>
  </si>
  <si>
    <t>1197169</t>
  </si>
  <si>
    <t>1125990</t>
  </si>
  <si>
    <t>12443205</t>
  </si>
  <si>
    <t>11000790</t>
  </si>
  <si>
    <t>3024076</t>
  </si>
  <si>
    <t>13566823</t>
  </si>
  <si>
    <t>13703042</t>
  </si>
  <si>
    <t>13703043</t>
  </si>
  <si>
    <t>1137565</t>
  </si>
  <si>
    <t>1137566</t>
  </si>
  <si>
    <t>12257576</t>
  </si>
  <si>
    <t>11957712</t>
  </si>
  <si>
    <t>13264993</t>
  </si>
  <si>
    <t>70384090</t>
  </si>
  <si>
    <t>14141762</t>
  </si>
  <si>
    <t>13641915</t>
  </si>
  <si>
    <t>12839319</t>
  </si>
  <si>
    <t>12513880</t>
  </si>
  <si>
    <t>11945851</t>
  </si>
  <si>
    <t>12285482</t>
  </si>
  <si>
    <t>11964223</t>
  </si>
  <si>
    <t>12813850</t>
  </si>
  <si>
    <t>12070019</t>
  </si>
  <si>
    <t>13179144</t>
  </si>
  <si>
    <t>70210370</t>
  </si>
  <si>
    <t>13446738</t>
  </si>
  <si>
    <t>60137747</t>
  </si>
  <si>
    <t>14742402</t>
  </si>
  <si>
    <t>13573565</t>
  </si>
  <si>
    <t>12685777</t>
  </si>
  <si>
    <t>14556236</t>
  </si>
  <si>
    <t>11009937</t>
  </si>
  <si>
    <t>13175706</t>
  </si>
  <si>
    <t>11379252</t>
  </si>
  <si>
    <t>14928240</t>
  </si>
  <si>
    <t>13404196</t>
  </si>
  <si>
    <t>11136644</t>
  </si>
  <si>
    <t>11858260</t>
  </si>
  <si>
    <t>11590292</t>
  </si>
  <si>
    <t>11957890</t>
  </si>
  <si>
    <t>12055414</t>
  </si>
  <si>
    <t>13980340</t>
  </si>
  <si>
    <t>14712276</t>
  </si>
  <si>
    <t>70208889</t>
  </si>
  <si>
    <t>14299411</t>
  </si>
  <si>
    <t>14662406</t>
  </si>
  <si>
    <t>13147638</t>
  </si>
  <si>
    <t>13547350</t>
  </si>
  <si>
    <t>11882345</t>
  </si>
  <si>
    <t>509884</t>
  </si>
  <si>
    <t>12912840</t>
  </si>
  <si>
    <t>11011125</t>
  </si>
  <si>
    <t>40008059</t>
  </si>
  <si>
    <t xml:space="preserve">10153538 </t>
  </si>
  <si>
    <t>RELMYS INGENIERIA Y AUTOMATIZACION S.A.C.</t>
  </si>
  <si>
    <t>VIA.INTEGRACIÓN MZA. C LOTE. 2 A.H. LADERAS DE CHILLÓN (FREANTE A LA PARROQUIA ARTESANOS DE LA P) LIMA - LIMA - PUENTE PIEDRA</t>
  </si>
  <si>
    <t>15169025</t>
  </si>
  <si>
    <t>47329972</t>
  </si>
  <si>
    <t>SOPLA RIVERA MELVIN DAVID</t>
  </si>
  <si>
    <t>CONSORCIO FRAP SOCIEDAD ANONIMA CERRADA - CONSORCIO FRAP S.A.C</t>
  </si>
  <si>
    <t>JR. SAN PATRICIO NRO. 439 LIMA - LIMA - CHORRILLOS</t>
  </si>
  <si>
    <t>42143320</t>
  </si>
  <si>
    <t>HIDALGO VELAOCHAGA ALVARO</t>
  </si>
  <si>
    <t>13264626</t>
  </si>
  <si>
    <t>DIGITAL PROYECCION MULTIMEDIA S.A.C.</t>
  </si>
  <si>
    <t>PJ. 65 MZA. C16 LOTE. 23 A.H. BOCANEGRA (SECTOR 2 PISO 2) PROV. CONST. DEL CALLAO - PROV. CONST. DEL CALLAO - CALLAO</t>
  </si>
  <si>
    <t>45606709</t>
  </si>
  <si>
    <t>MORALES CAPILLO JESUS MANUEL</t>
  </si>
  <si>
    <t>70679827</t>
  </si>
  <si>
    <t>GPSPHONNEX S.A.C.</t>
  </si>
  <si>
    <t>CAL.JOSE GABRIEL CHARIARSE NRO. 880 INT. 202 URB. PROLONGACION BENAVIDES LIMA - LIMA - MIRAFLORES</t>
  </si>
  <si>
    <t>10556359</t>
  </si>
  <si>
    <t>SALAZAR LINARES FERNANDO IVAN</t>
  </si>
  <si>
    <t>13261646</t>
  </si>
  <si>
    <t>E.E. TEJIDOS S.A.C.</t>
  </si>
  <si>
    <t>AV. EL SANTUARIO NRO. 1345 URB. ZARATE (ALT.CDRA.12 GRAN CHIMU) LIMA - LIMA - SAN JUAN DE LURIGANCHO</t>
  </si>
  <si>
    <t>08255020</t>
  </si>
  <si>
    <t>CONSIGLIERI NIERI JOSE DAVID</t>
  </si>
  <si>
    <t>WENSTHAY SOCIEDAD ANONIMA CERRADA</t>
  </si>
  <si>
    <t>CAL.ALEMANIA MZA. H LOTE. 15 Z.I. CERRO COLORADO AREQUIPA - AREQUIPA - CERRO COLORADO</t>
  </si>
  <si>
    <t>42776594</t>
  </si>
  <si>
    <t>THAQUIMA CONDORI ELBER</t>
  </si>
  <si>
    <t>11210428</t>
  </si>
  <si>
    <t>09979761</t>
  </si>
  <si>
    <t>ALVA COYLA NESTOR ANIBAL</t>
  </si>
  <si>
    <t>25746161</t>
  </si>
  <si>
    <t>PIÑARRETA ALEMAN JUANA ROSA</t>
  </si>
  <si>
    <t>44336271</t>
  </si>
  <si>
    <t xml:space="preserve">CAYCHO VILLALOBOS ZOSIMO ERNESTO	</t>
  </si>
  <si>
    <t>001012801</t>
  </si>
  <si>
    <t>00166243</t>
  </si>
  <si>
    <t>70669032</t>
  </si>
  <si>
    <t>07869747</t>
  </si>
  <si>
    <t>ZAPATER CHAUCA FERNANDO ANDRES</t>
  </si>
  <si>
    <t xml:space="preserve">GERENTE GENERAL	</t>
  </si>
  <si>
    <t>09304622</t>
  </si>
  <si>
    <t>MATEO RODRIGUEZ JOSE MARTIN</t>
  </si>
  <si>
    <t>40501580</t>
  </si>
  <si>
    <t>GUTIERREZ ALTAMIRANO DELIA PATRICIA</t>
  </si>
  <si>
    <t>40618436</t>
  </si>
  <si>
    <t>RIZO PATRON PINILLOS IGNACIO</t>
  </si>
  <si>
    <t>46555201</t>
  </si>
  <si>
    <t>ALVAREZ CARDENAS JULIO CESAR</t>
  </si>
  <si>
    <t>07851548</t>
  </si>
  <si>
    <t>06138783</t>
  </si>
  <si>
    <t>13213743</t>
  </si>
  <si>
    <t>08183381</t>
  </si>
  <si>
    <t>70024204</t>
  </si>
  <si>
    <t>CABANILLAS ZELADA EDWIN ALFREDO</t>
  </si>
  <si>
    <t>45635251</t>
  </si>
  <si>
    <t>SANTOS MORENO GABRIELA KATHERINE</t>
  </si>
  <si>
    <t>07829505</t>
  </si>
  <si>
    <t xml:space="preserve">BENAVIDES TORRES EDUARDO ARMANDO	</t>
  </si>
  <si>
    <t>APDERADO</t>
  </si>
  <si>
    <t>42417741</t>
  </si>
  <si>
    <t>RATTI SCUDELLARI CARLOS ANDRES</t>
  </si>
  <si>
    <t>44047582</t>
  </si>
  <si>
    <t xml:space="preserve">TRUJILLO WONG KATTIA FIORELLA	</t>
  </si>
  <si>
    <t xml:space="preserve">GONZALES GUZMAN CARLOS ENRIQUE	</t>
  </si>
  <si>
    <t>42699315</t>
  </si>
  <si>
    <t>RUBIO PISANO DANIEL</t>
  </si>
  <si>
    <t>10585804</t>
  </si>
  <si>
    <t>ZOLEZZI TIZON LUIGGI HUMBERTO</t>
  </si>
  <si>
    <t>40407783</t>
  </si>
  <si>
    <t>VILLAR LIENDO MIRKO</t>
  </si>
  <si>
    <t>42227383</t>
  </si>
  <si>
    <t>LAGOS MORALES JESUS EDUARDO</t>
  </si>
  <si>
    <t>46136354</t>
  </si>
  <si>
    <t>TICONA VILCA JOYSSY BERTHA</t>
  </si>
  <si>
    <t>MALLQUI AMBROSIO TIMOTEO</t>
  </si>
  <si>
    <t>09175839</t>
  </si>
  <si>
    <t xml:space="preserve"> GERENTE</t>
  </si>
  <si>
    <t>02894882</t>
  </si>
  <si>
    <t xml:space="preserve">GALVEZ FIGUEROA BEATRIZ AMELIA	</t>
  </si>
  <si>
    <t>10004476</t>
  </si>
  <si>
    <t>43200391</t>
  </si>
  <si>
    <t>PERALES JARUFE KARIME ELVIRA</t>
  </si>
  <si>
    <t xml:space="preserve">06094595 </t>
  </si>
  <si>
    <t xml:space="preserve">07711906 </t>
  </si>
  <si>
    <t>41766976</t>
  </si>
  <si>
    <t>MORENO TASSO LUIS VICENTE</t>
  </si>
  <si>
    <t xml:space="preserve">CARRAZCO SALAZAR DAVID ANTONIO	</t>
  </si>
  <si>
    <t>BUGOSEN TANNOUS ELIAS KARAM</t>
  </si>
  <si>
    <t>09347090</t>
  </si>
  <si>
    <t>07826412</t>
  </si>
  <si>
    <t>LA PAZ MZA. B LOTE. 6 INT. 48C C.P. SANTA MARIA DE HUACHIPA (ENTRADA DE MAFRE) LIMA - LIMA - LURIGANCHO</t>
  </si>
  <si>
    <t>22191915</t>
  </si>
  <si>
    <t>LOPEZ LUJAN VICTOR EMILIO</t>
  </si>
  <si>
    <t>13100320</t>
  </si>
  <si>
    <t>DAMAZ PERU SOCIEDAD ANONIMA CERRADA</t>
  </si>
  <si>
    <t>CAL.ESTADOS UNIDOS NRO. 217 FND. OYAGUE (ALT. CDA. 19 AV. GARZON) LIMA - LIMA - JESUS MARIA</t>
  </si>
  <si>
    <t>07761404</t>
  </si>
  <si>
    <t>URIBE ANTONIO MARCOS FERNANDO</t>
  </si>
  <si>
    <t>11427176</t>
  </si>
  <si>
    <t>08831625</t>
  </si>
  <si>
    <t>CASTRO ZAMBRANO MARITZA</t>
  </si>
  <si>
    <t>002045172</t>
  </si>
  <si>
    <t>40545357</t>
  </si>
  <si>
    <t>SOTOMAYOR DEL CARPIO ROSANA LUZMILA</t>
  </si>
  <si>
    <t>005753002</t>
  </si>
  <si>
    <t>VILLALBA MAYORGA MICHEL ALBERTO</t>
  </si>
  <si>
    <t>09301603</t>
  </si>
  <si>
    <t>ROSAS RUIZ FREDY FERNANDO</t>
  </si>
  <si>
    <t>41810898</t>
  </si>
  <si>
    <t>VALDEZ GINER RAFAEL ALONSO</t>
  </si>
  <si>
    <t>MUFARECH BERTELLO YAMIL GIULIANO</t>
  </si>
  <si>
    <t>000274332</t>
  </si>
  <si>
    <t>|</t>
  </si>
  <si>
    <t>006126297</t>
  </si>
  <si>
    <t>VINHAS FORTUNA EDSON</t>
  </si>
  <si>
    <t>10693374</t>
  </si>
  <si>
    <t>ICHO SOTO CESAR LORGIO</t>
  </si>
  <si>
    <t>15998782</t>
  </si>
  <si>
    <t>RODRIGUEZ FERNANDEZ JOSE LUIS</t>
  </si>
  <si>
    <t>41111894</t>
  </si>
  <si>
    <t>LEZAMA ROJAS OSCAR LUIS ENRIQUE</t>
  </si>
  <si>
    <t>49086483</t>
  </si>
  <si>
    <t>VILLEGAS GARCIA SALVADOR</t>
  </si>
  <si>
    <t>CROSATO BRUNI SILVIA MARIA</t>
  </si>
  <si>
    <t>10308189</t>
  </si>
  <si>
    <t>CASTAÑEDA DONAYRE MAGALI CECILIA</t>
  </si>
  <si>
    <t>40936995</t>
  </si>
  <si>
    <t>RENGIFO MOY LUIS RENINGER</t>
  </si>
  <si>
    <t xml:space="preserve">07183595	</t>
  </si>
  <si>
    <t>08000946</t>
  </si>
  <si>
    <t>AFRIL SERVICE E.I.R.L.</t>
  </si>
  <si>
    <t>CAL.ALFA CENTAURO NRO. 155 URB. LA CALERA DE MONTERRICO LIMA - LIMA - SURQUILLO</t>
  </si>
  <si>
    <t>08835603</t>
  </si>
  <si>
    <t>ESPINOZA OCHOA ATILIO</t>
  </si>
  <si>
    <t>11951042</t>
  </si>
  <si>
    <t>09910402</t>
  </si>
  <si>
    <t>000593756</t>
  </si>
  <si>
    <t>40714484</t>
  </si>
  <si>
    <t>CHOY MIRANDA JORGE ANTONIO</t>
  </si>
  <si>
    <t>BONFIL ARIAS OSCAR</t>
  </si>
  <si>
    <t xml:space="preserve">06733208	</t>
  </si>
  <si>
    <t>07831859</t>
  </si>
  <si>
    <t>CAJJA MAGUIÑA ZAPATA JOSE AUGUSTO MARTIN MARIANO</t>
  </si>
  <si>
    <t>09533160</t>
  </si>
  <si>
    <t>FRIAS CUADRA MARCO ANTONIO</t>
  </si>
  <si>
    <t>ETEVYR S.A.C.</t>
  </si>
  <si>
    <t>MZA. K2 LOTE. 31 URB. SANTO DOMINGO ETP VI (ULTIMO PARADERO DE SALAMANCA) LIMA - LIMA - CARABAYLLO</t>
  </si>
  <si>
    <t>74872743</t>
  </si>
  <si>
    <t>TANTALEAN RUIZ EDWARD ANTONIO</t>
  </si>
  <si>
    <t>13820539</t>
  </si>
  <si>
    <t>07765835</t>
  </si>
  <si>
    <t>GARCIA PAREDES JORGE LUIS</t>
  </si>
  <si>
    <t>10650658</t>
  </si>
  <si>
    <t>ROJAS VARGAS LUIS ANTONIO</t>
  </si>
  <si>
    <t>42760846</t>
  </si>
  <si>
    <t>WAKEHAM NIERI LUIS ROBERTO</t>
  </si>
  <si>
    <t>YOSIOKA BARAHONA TAKESHI MASAO</t>
  </si>
  <si>
    <t>40795050</t>
  </si>
  <si>
    <t>NAJARRO SILVA DARWIN OLGERS</t>
  </si>
  <si>
    <t>GREMLER STRAUB NIKOLAS</t>
  </si>
  <si>
    <t>001768783</t>
  </si>
  <si>
    <t>PORTO PELEGRINI REINALDO</t>
  </si>
  <si>
    <t>000784721</t>
  </si>
  <si>
    <t>000818669</t>
  </si>
  <si>
    <t>09635190</t>
  </si>
  <si>
    <t>46160383</t>
  </si>
  <si>
    <t xml:space="preserve">42137658 </t>
  </si>
  <si>
    <t>INDUSTRIAS &amp; LABORATORIOS AL DIA S.A.C.</t>
  </si>
  <si>
    <t>AV. UNIVERSITARIA NRO. 2786 COO. LA LIBERTAD LIMA - LIMA - LOS OLIVOS</t>
  </si>
  <si>
    <t>10862356</t>
  </si>
  <si>
    <t>DIAZ POLIN FLOR EDELMIRA</t>
  </si>
  <si>
    <t>13080681</t>
  </si>
  <si>
    <t>CAL.A MZA. A LOTE. 6 URB. EL PARAÍSO DE SANTA CLARA (FRENTE AL PARADERO ZAPALLANGA) LIMA - LIMA - ATE</t>
  </si>
  <si>
    <t>45716887</t>
  </si>
  <si>
    <t>MELENDEZ BERROCAL CHRIS EVELYN</t>
  </si>
  <si>
    <t>000877118</t>
  </si>
  <si>
    <t>10266857</t>
  </si>
  <si>
    <t>SUBAUSTE GILDEMEISTER JUDY CATTIA</t>
  </si>
  <si>
    <t>CABANILLAS DE LA TORRE VICTOR MANUEL</t>
  </si>
  <si>
    <t>PILARES ROBLES ERICKA</t>
  </si>
  <si>
    <t>MOTA ANAYA GUSTAVO RONAL</t>
  </si>
  <si>
    <t>45014239</t>
  </si>
  <si>
    <t>40705099</t>
  </si>
  <si>
    <t>09646213</t>
  </si>
  <si>
    <t>BELLIDO MORALES HERNAN EDUARDO</t>
  </si>
  <si>
    <t>GUERRA TANOHUYE AUGUSTO DANIEL</t>
  </si>
  <si>
    <t>005854706</t>
  </si>
  <si>
    <t>MACIAS HERRERA LUCIANO EDUARDO</t>
  </si>
  <si>
    <t>25542887</t>
  </si>
  <si>
    <t>25805520</t>
  </si>
  <si>
    <t>10272535</t>
  </si>
  <si>
    <t>ALVAREZ DEL VILLAR SAGI REBECA RAQUEL</t>
  </si>
  <si>
    <t>09856247</t>
  </si>
  <si>
    <t>RODRIGUEZ MORON ERNESTO</t>
  </si>
  <si>
    <t>45563090</t>
  </si>
  <si>
    <t>02802279</t>
  </si>
  <si>
    <t>42481213</t>
  </si>
  <si>
    <t>09636342</t>
  </si>
  <si>
    <t>MULTISERVICIOS GENERALES SHAJOAMAR E.I.R.L.</t>
  </si>
  <si>
    <t>JR. CRESPO Y CASTILLO NRO. 3034 URB. MIRONES BAJO LIMA - LIMA - LIMA</t>
  </si>
  <si>
    <t>10722017</t>
  </si>
  <si>
    <t>VENTURA SEGURA ELIAS OLIMPIO</t>
  </si>
  <si>
    <t>14664761</t>
  </si>
  <si>
    <t>INVERSIONES VITI S.A.C.</t>
  </si>
  <si>
    <t>MZA. G LOTE. 08 ASOC.PRP.LOS GIRASOLES II LIMA - LIMA - SAN MARTIN DE PORRES</t>
  </si>
  <si>
    <t>15734696</t>
  </si>
  <si>
    <t>ALEJANDRO MEDRANO VICTOR ALBERTO</t>
  </si>
  <si>
    <t>12686229</t>
  </si>
  <si>
    <t>J &amp; C INGENIERIA Y SERVICIOS GENERALES S.A.C.</t>
  </si>
  <si>
    <t>CAL.HUASCAR NRO. 596 URB. EL TREBOL ET. DOS (ALTURA DE LA CUADRA DE ANGELICA GAMARRA) LIMA - LIMA - LOS OLIVOS</t>
  </si>
  <si>
    <t>41250910</t>
  </si>
  <si>
    <t>RAMIREZ PEÑA CRISTHIAN MARLON</t>
  </si>
  <si>
    <t>MALLQUI &amp; ESPINOZA INGENIERIA Y SERVICIOS GENERALES S.A.C.</t>
  </si>
  <si>
    <t>CAL.PADRE URRACA NRO. 103 DPTO. 1001 INT. 1 COND. PARQUES DE LA HUACA IV ETAPA (EX FERIA DEL PACÍFICO) LIMA - LIMA - SAN MIGUEL</t>
  </si>
  <si>
    <t>42280754</t>
  </si>
  <si>
    <t>BALLINAS SUELDO LIEZBETH CINTIA</t>
  </si>
  <si>
    <t>13172064</t>
  </si>
  <si>
    <t>MALLQUI ALCOCER RAFAEL ANGEL</t>
  </si>
  <si>
    <t>08802523</t>
  </si>
  <si>
    <t>07702780</t>
  </si>
  <si>
    <t>07734850</t>
  </si>
  <si>
    <t>77149330</t>
  </si>
  <si>
    <t>10801828</t>
  </si>
  <si>
    <t>06107699</t>
  </si>
  <si>
    <t>QVC AUTOMATION SOCIEDAD ANÓNIMA CERRADA</t>
  </si>
  <si>
    <t>JR. LOS QUINUALES NRO. 113 URB. RAMIRO PRIALE JUNIN - HUANCAYO - HUANCAYO</t>
  </si>
  <si>
    <t>21258476</t>
  </si>
  <si>
    <t>QUINTO BERNANDO HUGO AMADOR</t>
  </si>
  <si>
    <t>11199016</t>
  </si>
  <si>
    <t>CAL.LOS PLASTICOS NRO. 178 URB. INDUSTRIAL VULCANO LIMA - LIMA - ATE</t>
  </si>
  <si>
    <t>CALIBRACIONES S.A.</t>
  </si>
  <si>
    <t>JR. MARIANO CARRANZA NRO. 709 URB. SANTA BEATRIZ (ESPALDA DE TV PERU) LIMA - LIMA - LIMA</t>
  </si>
  <si>
    <t>10100606777</t>
  </si>
  <si>
    <t>SOBREVILLA ZEVALLOS EDA</t>
  </si>
  <si>
    <t>PRESIDENTE DE DIREC.</t>
  </si>
  <si>
    <t>11052199</t>
  </si>
  <si>
    <t>10103226215</t>
  </si>
  <si>
    <t>ZEVALLOS DAVILA GUILLERMO HORACIO</t>
  </si>
  <si>
    <t>FASE GROUP E.I.R.L.</t>
  </si>
  <si>
    <t>AV. TOMAS ALVA EDISON NRO. 230 DPTO. 302 LIMA - LIMA - SANTIAGO DE SURCO</t>
  </si>
  <si>
    <t>40676912</t>
  </si>
  <si>
    <t>SOTERO MENDOZA MILAGROS GREGORIA</t>
  </si>
  <si>
    <t>13462483</t>
  </si>
  <si>
    <t>CIA. Z3 INGENIERIA Y CONSTRUCCIONES S.A.C.</t>
  </si>
  <si>
    <t>AV. FRANCISCO PIZARRO NRO. 394 DPTO. 26 LIMA - LIMA - RIMAC</t>
  </si>
  <si>
    <t>41423529</t>
  </si>
  <si>
    <t>ZEVALLOS HUAYTE MIGUEL ANGEL</t>
  </si>
  <si>
    <t>80422575</t>
  </si>
  <si>
    <t>25629202</t>
  </si>
  <si>
    <t>08320483</t>
  </si>
  <si>
    <t>PESCHIERA HERNANDEZ LUCAS</t>
  </si>
  <si>
    <t>06771695</t>
  </si>
  <si>
    <t>29247942</t>
  </si>
  <si>
    <t>45103649</t>
  </si>
  <si>
    <t>PORRAS MARTINEZ MARIA CAROLINA</t>
  </si>
  <si>
    <t>VILLEGAS POZO RENAN ALFIERI</t>
  </si>
  <si>
    <t>08274912</t>
  </si>
  <si>
    <t>09870601</t>
  </si>
  <si>
    <t>09951091</t>
  </si>
  <si>
    <t>47741526</t>
  </si>
  <si>
    <t>43091070</t>
  </si>
  <si>
    <t>43284457</t>
  </si>
  <si>
    <t>46718602</t>
  </si>
  <si>
    <t>08343944</t>
  </si>
  <si>
    <t>41565242</t>
  </si>
  <si>
    <t>07256058</t>
  </si>
  <si>
    <t>06706199</t>
  </si>
  <si>
    <t>72172504</t>
  </si>
  <si>
    <t>41250311</t>
  </si>
  <si>
    <t>76785917</t>
  </si>
  <si>
    <t>41632003</t>
  </si>
  <si>
    <t>10601264</t>
  </si>
  <si>
    <t>09297984</t>
  </si>
  <si>
    <t>GALDOS SAL Y ROSAS JUAN CARLOS</t>
  </si>
  <si>
    <t>07538955</t>
  </si>
  <si>
    <t>42769783</t>
  </si>
  <si>
    <t>41632974</t>
  </si>
  <si>
    <t>41081568</t>
  </si>
  <si>
    <t>LEGORRETA ALTAMIRANO ENRIQUE</t>
  </si>
  <si>
    <t>005726564</t>
  </si>
  <si>
    <t>CHANG SOTELO DIVEN VICENT</t>
  </si>
  <si>
    <t>TOYAMA GALLA MARTIN ADOLFO</t>
  </si>
  <si>
    <t>40118501</t>
  </si>
  <si>
    <t>10058342</t>
  </si>
  <si>
    <t>07478007</t>
  </si>
  <si>
    <t>001125751</t>
  </si>
  <si>
    <t>001003025</t>
  </si>
  <si>
    <t>000100148</t>
  </si>
  <si>
    <t>43496607</t>
  </si>
  <si>
    <t>PACHA SUAÑA JOSE LUIS</t>
  </si>
  <si>
    <t>15971086 </t>
  </si>
  <si>
    <t>42561490</t>
  </si>
  <si>
    <t>00075895</t>
  </si>
  <si>
    <t>40274411</t>
  </si>
  <si>
    <t>07884236</t>
  </si>
  <si>
    <t>07455784</t>
  </si>
  <si>
    <t>42965593</t>
  </si>
  <si>
    <t>GARCIA SOROGASTUA ANTHUANET OFFRA</t>
  </si>
  <si>
    <t>06893574</t>
  </si>
  <si>
    <t>08997016</t>
  </si>
  <si>
    <t>09193883</t>
  </si>
  <si>
    <t>40088199</t>
  </si>
  <si>
    <t>08036773</t>
  </si>
  <si>
    <t>43113948</t>
  </si>
  <si>
    <t>VOJVODIC PEREZ PIERO ADAN</t>
  </si>
  <si>
    <t>41312122</t>
  </si>
  <si>
    <t>09344374</t>
  </si>
  <si>
    <t>44288227</t>
  </si>
  <si>
    <t>15763689</t>
  </si>
  <si>
    <t>16150914</t>
  </si>
  <si>
    <t>10169357</t>
  </si>
  <si>
    <t>19322906</t>
  </si>
  <si>
    <t>25581169</t>
  </si>
  <si>
    <t>40037690</t>
  </si>
  <si>
    <t>47977214</t>
  </si>
  <si>
    <t>40040763</t>
  </si>
  <si>
    <t>09701959</t>
  </si>
  <si>
    <t>45772754</t>
  </si>
  <si>
    <t>40573893</t>
  </si>
  <si>
    <t>44793778</t>
  </si>
  <si>
    <t>43099892</t>
  </si>
  <si>
    <t>10305302</t>
  </si>
  <si>
    <t>29589771</t>
  </si>
  <si>
    <t>29623116</t>
  </si>
  <si>
    <t>44351696</t>
  </si>
  <si>
    <t>LEON VEGA MILUSKA JESSENIA</t>
  </si>
  <si>
    <t xml:space="preserve">47059058 </t>
  </si>
  <si>
    <t>44470995</t>
  </si>
  <si>
    <t>09429769</t>
  </si>
  <si>
    <t>49075875</t>
  </si>
  <si>
    <t>16665028</t>
  </si>
  <si>
    <t>LARIOS LINARES FELIPE ALFONSO</t>
  </si>
  <si>
    <t>43863776</t>
  </si>
  <si>
    <t>RIVAS NUÑEZ SOFIA CRISTINA ISABEL</t>
  </si>
  <si>
    <t>08813773</t>
  </si>
  <si>
    <t>19828971</t>
  </si>
  <si>
    <t>45277628</t>
  </si>
  <si>
    <t>41843980</t>
  </si>
  <si>
    <t>09849296</t>
  </si>
  <si>
    <t>44548776</t>
  </si>
  <si>
    <t>40073188</t>
  </si>
  <si>
    <t>32974883 </t>
  </si>
  <si>
    <t>42573660</t>
  </si>
  <si>
    <t>76982221</t>
  </si>
  <si>
    <t>40302638 </t>
  </si>
  <si>
    <t>10681614</t>
  </si>
  <si>
    <t>48381902</t>
  </si>
  <si>
    <t>000208747</t>
  </si>
  <si>
    <t>09138338</t>
  </si>
  <si>
    <t>73067040 </t>
  </si>
  <si>
    <t>75243047</t>
  </si>
  <si>
    <t>26935464</t>
  </si>
  <si>
    <t>44577722</t>
  </si>
  <si>
    <t>SALAS VALDIVIESO JUAN CARLOS</t>
  </si>
  <si>
    <t>41144170</t>
  </si>
  <si>
    <t>70090561</t>
  </si>
  <si>
    <t>46255340</t>
  </si>
  <si>
    <t>41526215</t>
  </si>
  <si>
    <t>42218688</t>
  </si>
  <si>
    <t>10376342</t>
  </si>
  <si>
    <t>76402968</t>
  </si>
  <si>
    <t>48264242</t>
  </si>
  <si>
    <t>SIESQUEN SANTISTEBAN RICARDO TITO</t>
  </si>
  <si>
    <t>10595319</t>
  </si>
  <si>
    <t>09753541</t>
  </si>
  <si>
    <t>70051074</t>
  </si>
  <si>
    <t>CORTEZ CESPEDES EDSON ALFREDO</t>
  </si>
  <si>
    <t>10194711</t>
  </si>
  <si>
    <t>10219657</t>
  </si>
  <si>
    <t xml:space="preserve">07752671 </t>
  </si>
  <si>
    <t>RETUERTO PIZARRO, ILDA NANCY</t>
  </si>
  <si>
    <t>AV. BRIGIDA SILVA DE OCHOA 376,SAN MIGUEL 15087</t>
  </si>
  <si>
    <t>RETUERTO PIZARRO ILDA NANCY</t>
  </si>
  <si>
    <t>09992598</t>
  </si>
  <si>
    <t>10697507</t>
  </si>
  <si>
    <t>18080300</t>
  </si>
  <si>
    <t>TORRES CAVA EGBERTO FELIPE</t>
  </si>
  <si>
    <t>09304196</t>
  </si>
  <si>
    <t>45598553</t>
  </si>
  <si>
    <t>42972400</t>
  </si>
  <si>
    <t>42933818</t>
  </si>
  <si>
    <t>RODRIGUEZ CATAÑO JANNET DEL PILAR</t>
  </si>
  <si>
    <t>41242834</t>
  </si>
  <si>
    <t>45698465</t>
  </si>
  <si>
    <t>15450396</t>
  </si>
  <si>
    <t>40185996</t>
  </si>
  <si>
    <t>10040121</t>
  </si>
  <si>
    <t>09758674</t>
  </si>
  <si>
    <t>10396274</t>
  </si>
  <si>
    <t>41262124</t>
  </si>
  <si>
    <t>44522181</t>
  </si>
  <si>
    <t>23261362</t>
  </si>
  <si>
    <t>10396090</t>
  </si>
  <si>
    <t>40527868</t>
  </si>
  <si>
    <t>VELASQUEZ CAYRO LILLIAN KARINA</t>
  </si>
  <si>
    <t>42133864</t>
  </si>
  <si>
    <t>000620435</t>
  </si>
  <si>
    <t>42102178</t>
  </si>
  <si>
    <t>44488130</t>
  </si>
  <si>
    <t>42747074</t>
  </si>
  <si>
    <t>40892692</t>
  </si>
  <si>
    <t>33419071</t>
  </si>
  <si>
    <t>10610559</t>
  </si>
  <si>
    <t>44730578</t>
  </si>
  <si>
    <t>GUERRA VASQUEZ ROXANA LILIANA</t>
  </si>
  <si>
    <t>005006128</t>
  </si>
  <si>
    <t>ABREGO LABBE RENE ARMANDO</t>
  </si>
  <si>
    <t>005318336</t>
  </si>
  <si>
    <t>REQUIAO FRANCO ANA BEATRIZ</t>
  </si>
  <si>
    <t>43009663</t>
  </si>
  <si>
    <t>43292266</t>
  </si>
  <si>
    <t>10194915</t>
  </si>
  <si>
    <t>70906356</t>
  </si>
  <si>
    <t>42967737</t>
  </si>
  <si>
    <t>32970491</t>
  </si>
  <si>
    <t>43142512</t>
  </si>
  <si>
    <t>43064235</t>
  </si>
  <si>
    <t>RIPAMONTI AGUAD ESTEBAN PIETRO</t>
  </si>
  <si>
    <t>07884411</t>
  </si>
  <si>
    <t>09343266</t>
  </si>
  <si>
    <t>07242032</t>
  </si>
  <si>
    <t>71144068</t>
  </si>
  <si>
    <t>10267707</t>
  </si>
  <si>
    <t>45596394</t>
  </si>
  <si>
    <t>70500489</t>
  </si>
  <si>
    <t>45438797</t>
  </si>
  <si>
    <t>09544835</t>
  </si>
  <si>
    <t>31648265</t>
  </si>
  <si>
    <t>43713490</t>
  </si>
  <si>
    <t>SYR INDUMET S.A.C.</t>
  </si>
  <si>
    <t>MZA. A LOTE. 7 URB. NIVERIA PRIMERA ETAPA LIMA - LIMA - LURIGANCHO</t>
  </si>
  <si>
    <t>47956570</t>
  </si>
  <si>
    <t>SORIA QUISPE RAFAEL</t>
  </si>
  <si>
    <t>13803731</t>
  </si>
  <si>
    <t>H.A.C. AUTOMATIZACION &amp; CONTROL S.A.C.</t>
  </si>
  <si>
    <t>MZA. E LOTE. 24 APV. EL PARAISO FLORIDO (CRUCE AV.IZAGUIRRE CON SANTA ROSA) LIMA - LIMA - SAN MARTIN DE PORRES</t>
  </si>
  <si>
    <t>09924425</t>
  </si>
  <si>
    <t>ALVAREZ CAPCHA HENRY JACK</t>
  </si>
  <si>
    <t>AV. REPUBLICA DE ARGENTINA NRO. 575 INT. C8 URB. LIMA INDUSTRIAL LIMA - LIMA - LIMA</t>
  </si>
  <si>
    <t>10749223</t>
  </si>
  <si>
    <t>SUASACA PELINCO JUAN RENEE</t>
  </si>
  <si>
    <t>INVERSIONES A&amp;A PERU S.A.C.</t>
  </si>
  <si>
    <t>JR. LETICIA NRO. 633 (ALT CDRA 10 AV. ABANCAY) LIMA - LIMA - LIMA</t>
  </si>
  <si>
    <t>25761171</t>
  </si>
  <si>
    <t>RODAS MORALES NOE JOHN</t>
  </si>
  <si>
    <t>31166591</t>
  </si>
  <si>
    <t>RODAS ORTEGA MAXIMILIANO</t>
  </si>
  <si>
    <t>12295321</t>
  </si>
  <si>
    <t>ASCENSORES ELEVA KER PERU E.I.R.L.</t>
  </si>
  <si>
    <t>JR. ZORRITOS NRO. 1348 DPTO. 902 LIMA - LIMA - LIMA</t>
  </si>
  <si>
    <t>40983591</t>
  </si>
  <si>
    <t>HUAMAN PALACIOS YACKELIN GIOCONDA</t>
  </si>
  <si>
    <t>14479151</t>
  </si>
  <si>
    <t>ARTPACK PERU S.A.C.</t>
  </si>
  <si>
    <t>AV. MARISCAL ELOY URETA NRO. 475 LIMA - LIMA - SAN LUIS</t>
  </si>
  <si>
    <t>25492688</t>
  </si>
  <si>
    <t>SANCHEZ PODIO DIEGO ARTURO</t>
  </si>
  <si>
    <t>11864801</t>
  </si>
  <si>
    <t>42529729</t>
  </si>
  <si>
    <t>ANDERSON SANCHEZ STEVEN</t>
  </si>
  <si>
    <t>42870025</t>
  </si>
  <si>
    <t>AV. LA ENCALADA NRO. 110 URB. CENTRO COMERCIAL MONTERRICO LIMA - LIMA - SANTIAGO DE SURCO</t>
  </si>
  <si>
    <t>43017448</t>
  </si>
  <si>
    <t>RONCAL SUAREZ JULIO ALBINO</t>
  </si>
  <si>
    <t>13635851</t>
  </si>
  <si>
    <t>ER INDUSOL PERU E.I.R.L.</t>
  </si>
  <si>
    <t>AV. ALAMEDA ÑAÑA NRO. SN DPTO. 707 CND. MIRADOR DEL GOLF (PASANDO EL PUENTE ÑAÑA) LIMA - LIMA - LURIGANCHO</t>
  </si>
  <si>
    <t>42043422</t>
  </si>
  <si>
    <t>RUIZ ARENALES ERIK WALTER</t>
  </si>
  <si>
    <t>13185491</t>
  </si>
  <si>
    <t>PROYECTOS COLD LINE PERÚ S.A.C.</t>
  </si>
  <si>
    <t>AV. ALFREDO PALACIOS MZA. E LOTE. 15 INT. C OTR. CONSTANZO PROV. CONST. DEL CALLAO - PROV. CONST. DEL CALLAO - CALLAO</t>
  </si>
  <si>
    <t>47049657</t>
  </si>
  <si>
    <t>REYNA ALFARO JACKELINNE DEL CARMEN</t>
  </si>
  <si>
    <t>70754196</t>
  </si>
  <si>
    <t>E Y D GROWTH S.A.C.</t>
  </si>
  <si>
    <t>AV. FRANCISCO JAVIER MARIATEGUI NRO. 1735 FND. OYAGUE LIMA - LIMA - JESUS MARIA</t>
  </si>
  <si>
    <t>74748779</t>
  </si>
  <si>
    <t>VALIENTE APONTE ARIANNA FRANSHESKA</t>
  </si>
  <si>
    <t xml:space="preserve">13896334	</t>
  </si>
  <si>
    <t>SEIYU INGENIEROS S.A.C.</t>
  </si>
  <si>
    <t>CAL.1 URB. LOS CLAVELES DE JAVIER PRADO MZA. L LOTE. 18 OTR. 1 LIMA - LIMA - ATE</t>
  </si>
  <si>
    <t>46156058</t>
  </si>
  <si>
    <t xml:space="preserve">	HUARCAYA ROJAS JOSE LUIS</t>
  </si>
  <si>
    <t>14964177</t>
  </si>
  <si>
    <t>AV. MAQUINARIA NRO. 375 A.H. VILLA SEÑOR DE LOS MILAGROS (A LA ESPALDA DE LA GOOD YEAR) PROV. CONST. DEL CALLAO - PROV. CONST. DEL CALLAO - CARMEN DE LA LEGUA REYNOSO</t>
  </si>
  <si>
    <t xml:space="preserve">	CASTILLO MARQUINA SANTOS JAIME</t>
  </si>
  <si>
    <t>06370063</t>
  </si>
  <si>
    <t>MEDINA CHAVEZ DE GILES GLADYS NANCY</t>
  </si>
  <si>
    <t>APLICACIONES DE INGENIERIA Y CONSTRUCCIONES S.A.C.</t>
  </si>
  <si>
    <t>AV. REPUBLICA DE COLOMBIA NRO. 210 LIMA - LIMA - SAN ISIDRO</t>
  </si>
  <si>
    <t>07929391</t>
  </si>
  <si>
    <t>BARANDIARAN VALERA ROSA MARIA</t>
  </si>
  <si>
    <t>03023166</t>
  </si>
  <si>
    <t>08839147</t>
  </si>
  <si>
    <t xml:space="preserve">	ÑAUPARI VALLE RAUL ALBERTO</t>
  </si>
  <si>
    <t>47506255</t>
  </si>
  <si>
    <t xml:space="preserve">	ÑAUPARI BARANDIARAN ALBERTO DAVID</t>
  </si>
  <si>
    <t>XEROGRAFIC E.I.R.L.</t>
  </si>
  <si>
    <t>JR. HUANUCO NRO. 3354 LIMA - LIMA - SAN MARTIN DE PORRES</t>
  </si>
  <si>
    <t>45804001</t>
  </si>
  <si>
    <t>PALOMINO HERRERA JOSUE RUBEN</t>
  </si>
  <si>
    <t>13335790</t>
  </si>
  <si>
    <t xml:space="preserve">72140590 </t>
  </si>
  <si>
    <t>AV. EL PROGRESO A47 - LIMA - LIMA - CARABAYLLO</t>
  </si>
  <si>
    <t>LABORATORIO DE PESAS &amp; MEDIDAS S.A.C. - LABORATORIO P &amp; M S.A.C.</t>
  </si>
  <si>
    <t>CAL.ELEAZAR GUZMAN Y BARRON NRO. 2635 URB. ELIO LIMA - LIMA - LIMA</t>
  </si>
  <si>
    <t>43537157</t>
  </si>
  <si>
    <t>RAMOS PAUCAR GABRIEL FRANCISCO</t>
  </si>
  <si>
    <t>13928145</t>
  </si>
  <si>
    <t>UTKAY ECO ENERGIA S.A.C</t>
  </si>
  <si>
    <t xml:space="preserve">
CAL.MOLINO DEL GATO NRO. 388 DPTO. 1304 INT. M RES. CONDOMINIO PARQUE CENTRAL (ALTURA CUADRA 7 AVENIDA ZORRITOS) LIMA - LIMA - LIMA</t>
  </si>
  <si>
    <t>10124912</t>
  </si>
  <si>
    <t xml:space="preserve">	CABRERA CONTRERAS MIRIAM JANIDET</t>
  </si>
  <si>
    <t>15076339</t>
  </si>
  <si>
    <t>FIBER CABLE E.I.R.L.</t>
  </si>
  <si>
    <t>JR. MIGUEL CARCAMO MZA. K9 LOTE. 28 URB. MARISCAL CACEREZ (PARADERO 3 DE LA AVENIDA CENTRAL) LIMA - LIMA - SAN JUAN DE LURIGANCHO</t>
  </si>
  <si>
    <t xml:space="preserve"> 6110 - ACTIVIDADES DE TELECOMUNICACIONES ALÁMBRICAS</t>
  </si>
  <si>
    <t>47448491</t>
  </si>
  <si>
    <t>VALDIVIA PAREDES OSCAR MARCIAL</t>
  </si>
  <si>
    <t>14597036</t>
  </si>
  <si>
    <t>ALSI HVAC PERU S.A.C.</t>
  </si>
  <si>
    <t>AV. CANADA NRO. 3330 INT. A URB. JACARANADA LIMA - LIMA - SAN BORJA</t>
  </si>
  <si>
    <t>ALARCON VASQUEZ DEYVER</t>
  </si>
  <si>
    <t>15446168</t>
  </si>
  <si>
    <t>FAMEDI SERVICE S.A.C.</t>
  </si>
  <si>
    <t>PRINCIPAL CAJAMARQUILLA LOTE. 29 FND. RUSTICA CAJAMARQUILLA LIMA - LIMA - LURIGANCHO</t>
  </si>
  <si>
    <t>42051612</t>
  </si>
  <si>
    <t>MEJIA DIESTRA RANJU ANDERSON</t>
  </si>
  <si>
    <t>13191442</t>
  </si>
  <si>
    <t>TABLEROS ELECTRICOS CAENSA S.A.C.</t>
  </si>
  <si>
    <t>AV. REPUBLICA DE ARGENTINA NRO. 327 INT. V1-6 URB. LIMA INDUSTRIAL LIMA - LIMA - LIMA</t>
  </si>
  <si>
    <t>73265842</t>
  </si>
  <si>
    <t>SANTOS FARJE CARLOS ENRIQUE</t>
  </si>
  <si>
    <t>14645559</t>
  </si>
  <si>
    <t>INTEGRACION DE TECNOLOGIAS INMOBILIARIAS S.A.C.</t>
  </si>
  <si>
    <t>CAL.MONTE FICUS MZA. P4 LOTE. 29 URB. PROLONG. BENAVIDES LIMA - LIMA - SANTIAGO DE SURCO</t>
  </si>
  <si>
    <t>44510423</t>
  </si>
  <si>
    <t>GALVEZ PAREDES SUSANA REBECA DEL CARMEN</t>
  </si>
  <si>
    <t>14093112</t>
  </si>
  <si>
    <t>LR PIECSEC E.I.R.L.</t>
  </si>
  <si>
    <t>JR. MARFIL NRO. 1340 URB. MARISCAL GAMARRA (CDRA 13 AV IZAGUIRRE) LIMA - LIMA - LOS OLIVOS</t>
  </si>
  <si>
    <t>44061865</t>
  </si>
  <si>
    <t>RODRIGUEZ PALOMARES LEONARDO JONATHAN</t>
  </si>
  <si>
    <t>14111758</t>
  </si>
  <si>
    <t>BHM INDUSTRIAL E.I.R.L.</t>
  </si>
  <si>
    <t>CAL.CALLE 03 MZA. E LOTE. 15 A.V. EL PARAISO LIMA - LIMA - CARABAYLLO</t>
  </si>
  <si>
    <t>46327272</t>
  </si>
  <si>
    <t xml:space="preserve">	HIDALGO MAURICIO BANNER MANUEL</t>
  </si>
  <si>
    <t>13211012</t>
  </si>
  <si>
    <t>ELECK PROYECTOS &amp; SERVICIOS GENERALES S.A.C</t>
  </si>
  <si>
    <t xml:space="preserve">SECTOR 10 GRUPO 01 MZA. I LOTE. 21 A.H. OASIS DE VILLA LIMA - LIMA - VILLA EL SALVADOR
</t>
  </si>
  <si>
    <t xml:space="preserve">70982615	</t>
  </si>
  <si>
    <t xml:space="preserve">SANDOVAL POMACAJA JAIME JESUS	</t>
  </si>
  <si>
    <t>14929117</t>
  </si>
  <si>
    <t xml:space="preserve">
OTR.ZONA F PARCELA SEMI-RUSTICA NRO. 71 FND. CHACRA CERRO LIMA - LIMA - COMAS</t>
  </si>
  <si>
    <t>09466651</t>
  </si>
  <si>
    <t>VEGA PAREDES ANTONIO MICHEL</t>
  </si>
  <si>
    <t>12240274</t>
  </si>
  <si>
    <t>PEÑA NUÑEZ ACHLYE MICHEL</t>
  </si>
  <si>
    <t xml:space="preserve">72440100 </t>
  </si>
  <si>
    <t>MZ. C LOTE 07 AAHH ALAN GARCIA - CALLAO - VENTANILLA - PACHACUTEC</t>
  </si>
  <si>
    <t>72515014</t>
  </si>
  <si>
    <t>PATIÑO TACSA JUAN CARLOS</t>
  </si>
  <si>
    <t>14983656</t>
  </si>
  <si>
    <t>M&amp;M GENERAL SOLUTION SAC</t>
  </si>
  <si>
    <t xml:space="preserve">
JR. MOLINO DEL GATO NRO. 388 DPTO. 107 CND. PARQUE CENTRAL CLUB RESIDENCIAL LIMA - LIMA - LIMA</t>
  </si>
  <si>
    <t>43899530</t>
  </si>
  <si>
    <t xml:space="preserve">	MALPICA MELENDEZ YOJHALMIN</t>
  </si>
  <si>
    <t>AV. CANTA CALLAO NRO. 7261 ASC. SANTA MARIA DEL VALLE (AL COSTDO COLEGIO CRISTIANO AMISTAD) LIMA - LIMA - SAN MARTIN DE PORRES</t>
  </si>
  <si>
    <t>10743515</t>
  </si>
  <si>
    <t>42280225</t>
  </si>
  <si>
    <t>06778427</t>
  </si>
  <si>
    <t>07008046</t>
  </si>
  <si>
    <t>45702985</t>
  </si>
  <si>
    <t>41084909</t>
  </si>
  <si>
    <t>70110698</t>
  </si>
  <si>
    <t>15753125</t>
  </si>
  <si>
    <t>10693637</t>
  </si>
  <si>
    <t>MARTINEZ RIVERA RICARDO MARIANO</t>
  </si>
  <si>
    <t xml:space="preserve">	MOZOMBITE DIAZ MIGUEL ERNESTO</t>
  </si>
  <si>
    <t>40966667</t>
  </si>
  <si>
    <t>42419821</t>
  </si>
  <si>
    <t>25847600</t>
  </si>
  <si>
    <t>43372483</t>
  </si>
  <si>
    <t>45556745</t>
  </si>
  <si>
    <t>45540639</t>
  </si>
  <si>
    <t>47155512</t>
  </si>
  <si>
    <t>10683872</t>
  </si>
  <si>
    <t xml:space="preserve">20578871	</t>
  </si>
  <si>
    <t>47725610</t>
  </si>
  <si>
    <t>43611271</t>
  </si>
  <si>
    <t>70971600</t>
  </si>
  <si>
    <t>10636539</t>
  </si>
  <si>
    <t>40241303</t>
  </si>
  <si>
    <t>TARRILLO SIFUENTES NESTOR GUSTAVO</t>
  </si>
  <si>
    <t>10653881</t>
  </si>
  <si>
    <t>71066783</t>
  </si>
  <si>
    <t>72746535</t>
  </si>
  <si>
    <t>08139317</t>
  </si>
  <si>
    <t>46154636</t>
  </si>
  <si>
    <t>46981301</t>
  </si>
  <si>
    <t>41185085</t>
  </si>
  <si>
    <t>43486174</t>
  </si>
  <si>
    <t>41459588</t>
  </si>
  <si>
    <t>42144251</t>
  </si>
  <si>
    <t>09920500</t>
  </si>
  <si>
    <t xml:space="preserve">	VARGAS LOPEZ BALDOMERO</t>
  </si>
  <si>
    <t>12975338</t>
  </si>
  <si>
    <t xml:space="preserve">
MZA. B LOTE. 18 APVTECS.PROG.EL MANANTIAL LIMA - LIMA - SAN MARTIN DE PORRES</t>
  </si>
  <si>
    <t>72257567</t>
  </si>
  <si>
    <t xml:space="preserve">45437751	</t>
  </si>
  <si>
    <t>47564020</t>
  </si>
  <si>
    <t>46688383</t>
  </si>
  <si>
    <t>48065397</t>
  </si>
  <si>
    <t>70168065</t>
  </si>
  <si>
    <t>PTCD</t>
  </si>
  <si>
    <t>INGENIERÍA DE TECNOLOGÍAS DE LA INFORMACIÓN Y COMUNICACIÓN</t>
  </si>
  <si>
    <t>ASISTENTE INFORMÁTICO</t>
  </si>
  <si>
    <t>INGENIERÍA DE CIENCIA DE DATOS E INTELIGENCIA ARTIFICIAL</t>
  </si>
  <si>
    <t>TÉCNICAS EN INGENIERÍA  MECÁNICA DE MANTENIMIENTO</t>
  </si>
  <si>
    <t>TÉCNICAS EN INGENIERÍA DE INDUSTRIAS ALIMENTARIAS</t>
  </si>
  <si>
    <t>TÉCNICAS EN INGENIERÍA ELECTRÓNICA</t>
  </si>
  <si>
    <t>PROCESOS DE PRODUCCIÓN INDUSTRIAL</t>
  </si>
  <si>
    <t>10203326</t>
  </si>
  <si>
    <t>41379968</t>
  </si>
  <si>
    <t>43578346</t>
  </si>
  <si>
    <t>42838956</t>
  </si>
  <si>
    <t>21550688</t>
  </si>
  <si>
    <t>25561118</t>
  </si>
  <si>
    <t>41342378</t>
  </si>
  <si>
    <t>16023834</t>
  </si>
  <si>
    <t>09990570</t>
  </si>
  <si>
    <t>40443869</t>
  </si>
  <si>
    <t>DATOS DE ALUMNO</t>
  </si>
  <si>
    <t>DATOS DE EMPRESA</t>
  </si>
  <si>
    <t>DATOS DE SEDE DE PRACTICA</t>
  </si>
  <si>
    <t>DATOS DEL MONITOR</t>
  </si>
  <si>
    <t>ID_ALUMNO</t>
  </si>
  <si>
    <t>NOMBRE</t>
  </si>
  <si>
    <t>TELÉFONO</t>
  </si>
  <si>
    <t>¿LA EMPRESA HACE SERVICIO CONSTANTEMENTE FUERA DE SUS INSTALACIONES?</t>
  </si>
  <si>
    <t>DIRECCIÓN DE PRACTICA</t>
  </si>
  <si>
    <t>DEPARTAMENTO SEDE</t>
  </si>
  <si>
    <t>PROVINCIA SEDE</t>
  </si>
  <si>
    <t>DISTRITO SEDE</t>
  </si>
  <si>
    <t>DNI MONITOR</t>
  </si>
  <si>
    <t>NOMBRES MONITOR</t>
  </si>
  <si>
    <t>APELLIDOS MONITOR</t>
  </si>
  <si>
    <t>CARGO MONITOR</t>
  </si>
  <si>
    <t>CORREO MONITOR</t>
  </si>
  <si>
    <t>TELEFONO MONITOR</t>
  </si>
  <si>
    <t>CORREO DE LA PERSONA QUIEN RECIBE EL CONVENIO EN LA EMPRESA</t>
  </si>
  <si>
    <r>
      <rPr>
        <b/>
        <sz val="11"/>
        <color theme="1"/>
        <rFont val="Calibri"/>
        <family val="2"/>
        <scheme val="minor"/>
      </rPr>
      <t>EN DATOS DE SEDE DE PRÁCTICA</t>
    </r>
    <r>
      <rPr>
        <sz val="11"/>
        <color theme="1"/>
        <rFont val="Calibri"/>
        <family val="2"/>
        <scheme val="minor"/>
      </rPr>
      <t xml:space="preserve"> se tiene que colocar la dirección exacta del lugar donde usted se</t>
    </r>
  </si>
  <si>
    <t>EN DATOS DEL MONITOR se tiene que colocar los datos de tu jefe ó supervisor que</t>
  </si>
  <si>
    <t xml:space="preserve">encuentra realizando sus prácticas y si es una empresa que realiza servicios a diferentes partes </t>
  </si>
  <si>
    <t xml:space="preserve">cuente usted dentro de la empresa </t>
  </si>
  <si>
    <t xml:space="preserve">de lima, pues se tendría que colocar la dirección fiscal de la empresa ó en todo caso dirección de </t>
  </si>
  <si>
    <t>taller ú oficina de la empresa</t>
  </si>
  <si>
    <t>PRESENCIAL</t>
  </si>
  <si>
    <t>NO</t>
  </si>
  <si>
    <t>RED NEUMATIC S.A.C.</t>
  </si>
  <si>
    <t>AV. GUILLERMO DANSEY NRO. 666 INT. 4 OTR. DANSEY LIMA - LIMA - LIMA</t>
  </si>
  <si>
    <t>09727064</t>
  </si>
  <si>
    <t>BENDEZU ALCANTARA EDIN ALIPIO</t>
  </si>
  <si>
    <t>11439833</t>
  </si>
  <si>
    <t>FIXMORT SOCIEDAD ANONIMA CERRADA</t>
  </si>
  <si>
    <t xml:space="preserve">
MZA. K LOTE. 6 COO. COP. VIV.VIPOL NARANJAL LIMA - LIMA - SAN MARTIN DE PORRES</t>
  </si>
  <si>
    <t>43885942</t>
  </si>
  <si>
    <t xml:space="preserve">	RODRIGUEZ PADILLA LUIS NICANOR</t>
  </si>
  <si>
    <t>12759323</t>
  </si>
  <si>
    <t>45322225</t>
  </si>
  <si>
    <t xml:space="preserve">	ORTIZ YBARRA JOHANA KATHERINE</t>
  </si>
  <si>
    <t>ELECTROFERNANDEZ S.A.C.</t>
  </si>
  <si>
    <t>PJ. LOS ROSALES MZA. D LOTE. 37 LIMA - LIMA - ATE</t>
  </si>
  <si>
    <t>10261636</t>
  </si>
  <si>
    <t xml:space="preserve">	FERNANDEZ ADAMA TEODORO AQUILES</t>
  </si>
  <si>
    <t>14012987</t>
  </si>
  <si>
    <t>RENAL SUR EMPRESA INDIVIDUAL DE RESPONSABILIDAD LIMITADA - RENAL SUR E.I.R.L.</t>
  </si>
  <si>
    <t xml:space="preserve">
AV. JOSE MARIA SEGUIN NRO. 934 URB. SAN JUAN ZONA D (ALTURA CDRA.6 AV.LOS HEROES) LIMA - LIMA - SAN JUAN DE MIRAFLORES</t>
  </si>
  <si>
    <t>14103034</t>
  </si>
  <si>
    <t>THIAGO &amp; ANELEY INNOVACIONES ELECTRICAS Y CONSTRUCCION E.I.R.L.</t>
  </si>
  <si>
    <t>OTR.1RA ETAPA MZA. N LOTE. 32 URB. PACHACAMAC (FRENTE A COLEGIO PERUANI SUIZO) LIMA - LIMA - VILLA EL SALVADOR</t>
  </si>
  <si>
    <t>15350827</t>
  </si>
  <si>
    <t>F Y C SISTEM CONTROL PERU S.A.C.</t>
  </si>
  <si>
    <t xml:space="preserve">
MZA. J1 LOTE. 15 P.J. URB. POPULAR EL ERMITAÑO (5 PAADEROS DE LA FARMACIA INDEPENDENCIA) LIMA - LIMA - INDEPENDENCIA</t>
  </si>
  <si>
    <t>46526760</t>
  </si>
  <si>
    <t xml:space="preserve">	MORON RODRIGUEZ CARLOS MANUEL</t>
  </si>
  <si>
    <t>14056710</t>
  </si>
  <si>
    <t>F &amp; E INGENIERIA DIVERSA E.I.R.L.</t>
  </si>
  <si>
    <t>JR. RAMON CARCAMO MZA. A8 LOTE. 13 DPTO. 3 LIMA - LIMA - LIMA</t>
  </si>
  <si>
    <t>76277950</t>
  </si>
  <si>
    <t>FERNANDEZ MARIN JHON WILLIAM</t>
  </si>
  <si>
    <t>ELECTROMECANICA RDH S.A.C</t>
  </si>
  <si>
    <t>CAL.4 MZA. D LOTE. 25 A.H. SAN ANTONIO LIMA - LIMA - ATE</t>
  </si>
  <si>
    <t>40893839</t>
  </si>
  <si>
    <t xml:space="preserve">GALVEZ CUENCA MIRTHA	</t>
  </si>
  <si>
    <t>14091504</t>
  </si>
  <si>
    <t>ZAID DISEÑO E INGENIERIA S.A.C.</t>
  </si>
  <si>
    <t>MZA. M LOTE. 3 URB. SAN GABRIEL (PARADERO SAN CARLOS DE LA AV. PROCERES) LIMA - LIMA - SAN JUAN DE LURIGANCHO</t>
  </si>
  <si>
    <t>42598041</t>
  </si>
  <si>
    <t>DIAZ SANCHEZ OLGA JENNIFER</t>
  </si>
  <si>
    <t>13784818</t>
  </si>
  <si>
    <t>CONSTRUCTORA SENSEBE SOCIEDAD ANONIMA CERRADA - CONSTRUCTORA SENSEBE S.A.C.</t>
  </si>
  <si>
    <t xml:space="preserve">
AV. JUAN VELASCO ALVARADO MZA. H LOTE. 6 URB. REPUBLICA FEDERAL ALEMANA (A 2 DRAS. MERCADO VALLE SARON) LIMA - LIMA - SAN JUAN DE MIRAFLORES</t>
  </si>
  <si>
    <t>45153480</t>
  </si>
  <si>
    <t>SANTIAGO RODRIGUEZ STEPHANIE</t>
  </si>
  <si>
    <t>12919583</t>
  </si>
  <si>
    <t>PROVEEDORES MINEROS S.A.C.</t>
  </si>
  <si>
    <t>OTR.SECTOR TINGO MZA. C LOTE. C-33 URB. VILLA DON GENARO (AL COSTADO DEL COLEGIO SAN JOSE JESUITAS) AREQUIPA - AREQUIPA - AREQUIPA</t>
  </si>
  <si>
    <t>09309628</t>
  </si>
  <si>
    <t>RIVERO PIZARRO CESAR GUSTAVO</t>
  </si>
  <si>
    <t>01195009</t>
  </si>
  <si>
    <t>COMPAÑIA LEADER IN MECHANIC INDUSTRIAL S.A.C.</t>
  </si>
  <si>
    <t>AV. CIRCUNVALACION MZA. A LOTE. 39 C.P. SANTA MARIA DE HUACHIPA (SUBLOTE 39–A P.SEMI RUSTICA LA CAPITANA) LIMA - LIMA - LURIGANCHO</t>
  </si>
  <si>
    <t>21542746</t>
  </si>
  <si>
    <t xml:space="preserve">	REYES ROJAS JOEL</t>
  </si>
  <si>
    <t>13981192</t>
  </si>
  <si>
    <t>41643644</t>
  </si>
  <si>
    <t>20030952</t>
  </si>
  <si>
    <t>73742746</t>
  </si>
  <si>
    <t>42413866</t>
  </si>
  <si>
    <t>80416601</t>
  </si>
  <si>
    <t>09026104</t>
  </si>
  <si>
    <t>23960191</t>
  </si>
  <si>
    <t>40808589</t>
  </si>
  <si>
    <t>41571493</t>
  </si>
  <si>
    <t>47371025</t>
  </si>
  <si>
    <t xml:space="preserve">40998985	</t>
  </si>
  <si>
    <t>45206125</t>
  </si>
  <si>
    <t>06288456</t>
  </si>
  <si>
    <t>42628726</t>
  </si>
  <si>
    <t>27063363</t>
  </si>
  <si>
    <t>42184681</t>
  </si>
  <si>
    <t>00839295</t>
  </si>
  <si>
    <t xml:space="preserve">10070943 </t>
  </si>
  <si>
    <t xml:space="preserve">10174560 </t>
  </si>
  <si>
    <t xml:space="preserve">10606451 </t>
  </si>
  <si>
    <t>10540565</t>
  </si>
  <si>
    <t>0085278</t>
  </si>
  <si>
    <t>41622145</t>
  </si>
  <si>
    <t>42327437</t>
  </si>
  <si>
    <t>ABAD CUENCA ANGEL</t>
  </si>
  <si>
    <t>JR. LLUTA NRO. 165</t>
  </si>
  <si>
    <t>48505547</t>
  </si>
  <si>
    <t>ABAD RIVERA MIRIAM CONSUELO</t>
  </si>
  <si>
    <t>MZ. E LT. 18 ASOC. LOS PORTALES DE CARABAYLLO ETAPA III</t>
  </si>
  <si>
    <t>43878853</t>
  </si>
  <si>
    <t>ABANTO CABRERA LUCERO GERALDINE</t>
  </si>
  <si>
    <t>AV. HORACIO URTEAGA N° 1688</t>
  </si>
  <si>
    <t>48375010</t>
  </si>
  <si>
    <t>ABANTO CABRERA, LUCERO GERALDINE</t>
  </si>
  <si>
    <t>ABANTO ESPINOZA FLOR ELIZABETH</t>
  </si>
  <si>
    <t>JR ITALIA 1540</t>
  </si>
  <si>
    <t>4771 - VENTA AL POR MENOR DE PRENDAS DE VESTIR, CALZADO Y ARTÍCULOS DE CUERO EN COMERCIOS ESPECIALIZADOS</t>
  </si>
  <si>
    <t>06815033</t>
  </si>
  <si>
    <t>ABANTO OLORTEGUI JUAN ESTEBAN</t>
  </si>
  <si>
    <t>MERCADO MERPROLIMA PTO 53</t>
  </si>
  <si>
    <t>52335 - VTA. MIN. EQUIPO DE USO DOMESTICO.</t>
  </si>
  <si>
    <t>08471257</t>
  </si>
  <si>
    <t>ABANTO OLORTEGUI, JUAN ESTEBAN</t>
  </si>
  <si>
    <t>ABANTO SANCHEZ JUAN JOSE</t>
  </si>
  <si>
    <t>C.C EL PARAISO JR. SEBASTIAN BARRANCA N° 1556 N°805</t>
  </si>
  <si>
    <t>45292384</t>
  </si>
  <si>
    <t>ABARCA CARRION JORGE</t>
  </si>
  <si>
    <t>AV. ROSA TORO 1067</t>
  </si>
  <si>
    <t>46053842</t>
  </si>
  <si>
    <t>ABARCA HILARIO ANATOL</t>
  </si>
  <si>
    <t>MZ B LT.31 PROVIV LA FLOR DE CARABAYLLO ETP. I</t>
  </si>
  <si>
    <t>74218 - ACTIV.DE ARQUITECTURA E INGENIERIA</t>
  </si>
  <si>
    <t>15209731</t>
  </si>
  <si>
    <t>ABARCA HUARACA ABEL</t>
  </si>
  <si>
    <t>URB. SAN MIGUEL ARCANGEL MZA.B LOTE 7</t>
  </si>
  <si>
    <t>41629175</t>
  </si>
  <si>
    <t>ABREGU BUENDIA WILLIAMS</t>
  </si>
  <si>
    <t>ANTIGUA PANAMERICANA SUR "LA CANDELARIA"</t>
  </si>
  <si>
    <t>43266688</t>
  </si>
  <si>
    <t>ABREGU BUENDIA, WILLIAMS</t>
  </si>
  <si>
    <t>ABREGU LONDOÑE DELEGILIO</t>
  </si>
  <si>
    <t>AV. TOMAS COCHRANE 358</t>
  </si>
  <si>
    <t>42317694</t>
  </si>
  <si>
    <t>ABREGU LONDOÑE, DELEGILIO</t>
  </si>
  <si>
    <t>ABREU MARCANO NUBIA MARINA</t>
  </si>
  <si>
    <t>PASAJE ARONA N° 202, URB. VILLA LOS ANGELES, LIMA, LIMA, LOS OLIVOS</t>
  </si>
  <si>
    <t>00330410</t>
  </si>
  <si>
    <t>ABRIOJO BRUNO VICTOR JOSUE</t>
  </si>
  <si>
    <t>PROLONGACION SAN MARTIN 580</t>
  </si>
  <si>
    <t>44820139</t>
  </si>
  <si>
    <t>ACEVEDO COLOS BIANCA JUANA</t>
  </si>
  <si>
    <t>AV. ARGENTINA 144 CC UNICENTRO  2 PISO 2243</t>
  </si>
  <si>
    <t>43379022 </t>
  </si>
  <si>
    <t>ACEVEDO SARAVIA ERNESTO MIGUEL</t>
  </si>
  <si>
    <t>JR AMAZONAS PRIEMRA CUADRA - FUNDO SEÑOR DE CACHUY, LIMA, CAÑETE, QUILMANA</t>
  </si>
  <si>
    <t>28111 - FAB. PROD. METAL. USO ESTRUCTURAL.</t>
  </si>
  <si>
    <t>41591660</t>
  </si>
  <si>
    <t>ACHO EVANS DE CUEVA MARIA ANGELICA</t>
  </si>
  <si>
    <t>AV. CENTRAL 902 URBANIZACIÓN SAN ROQUE LOS OLIVOS, LIMA, LIMA, LOS OLIVOS</t>
  </si>
  <si>
    <t>06891877</t>
  </si>
  <si>
    <t>ACOSTA AGUIRRE LOURDES CECILIA</t>
  </si>
  <si>
    <t>JIRON HUAROCONDO 210 TAHUANTINSUYO</t>
  </si>
  <si>
    <t>09794562</t>
  </si>
  <si>
    <t>ACOSTA AGUIRRE, LOURDES CECILIA</t>
  </si>
  <si>
    <t>ACOSTA GARCIA JUVENAL RAMIRO</t>
  </si>
  <si>
    <t>JR PEDRO BERTONELLY 742, SAN JUAN DE MIRAFLORES</t>
  </si>
  <si>
    <t>77163756</t>
  </si>
  <si>
    <t>ACOSTA GARCIA WILMER GENI</t>
  </si>
  <si>
    <t>URBANIZACION MANUEL MUJICA GALLO MZ. S LOTE 10 OQUENDO</t>
  </si>
  <si>
    <t>75958821</t>
  </si>
  <si>
    <t>ACOSTA RODRIGUEZ EULEN</t>
  </si>
  <si>
    <t>JR. ICA MZ. F LT. 20 AA.HH. SANTA ROSA, LIMA, LIMA, PUENTE PIEDRA</t>
  </si>
  <si>
    <t>41617086</t>
  </si>
  <si>
    <t>ACOSTA RODRIGUEZ, EULEN</t>
  </si>
  <si>
    <t>ACOSTA SURICHAQUI EDA LUZ</t>
  </si>
  <si>
    <t>PROLONGACION EL PALMO VICTORIA BAJA MZ D LOTE 14</t>
  </si>
  <si>
    <t>10201193</t>
  </si>
  <si>
    <t>ACUÑA ALARCON GIANCARLO</t>
  </si>
  <si>
    <t>CALLE SAN PEDRO MZ B LOTE 6</t>
  </si>
  <si>
    <t>74500475</t>
  </si>
  <si>
    <t>ACUÑA CAHUANA MANUEL JAYME</t>
  </si>
  <si>
    <t>AV. JACARANDA LOTE 25 JULIO CESAR TELLO - PUESTO 81</t>
  </si>
  <si>
    <t>4781 - VENTA AL POR MENOR DE ALIMENTOS, BEBIDAS Y TABACO EN PUESTOS DE VENTA Y MERCADOS</t>
  </si>
  <si>
    <t>46363546</t>
  </si>
  <si>
    <t>ACUÑA CHIRINOS HAMILTON EFRAIN</t>
  </si>
  <si>
    <t>AV. ALFONSO UGARTE 028</t>
  </si>
  <si>
    <t>06104397</t>
  </si>
  <si>
    <t>ACUÑA CHIRINOS, HAMILTON EFRAIN</t>
  </si>
  <si>
    <t>ACUÑA DE LA CRUZ EDILBRANDO</t>
  </si>
  <si>
    <t>AV. RETABLO 1438</t>
  </si>
  <si>
    <t>43787003</t>
  </si>
  <si>
    <t>ACUÑA DE LA CRUZ, EDILBRANDO</t>
  </si>
  <si>
    <t>ACUÑA LLEMPEN EDWAR HENRRY</t>
  </si>
  <si>
    <t>CARRETERA CENTRAL KM. 7.5 ESQUINA CON JIRÓN EL PROGRESO - ATE (CENTRO COMERCIAL LOCAL 2B - 115)</t>
  </si>
  <si>
    <t>45141423</t>
  </si>
  <si>
    <t>ACUÑA PEREZ ALFONSO DAVID</t>
  </si>
  <si>
    <t>AV. METROPOLITANA MZ. J LT. 18 URB. SAN EULOGIO</t>
  </si>
  <si>
    <t>45464230</t>
  </si>
  <si>
    <t>ACUÑA SAMANIEGO JOSE WALTER</t>
  </si>
  <si>
    <t>AV. PRÓCERES DE LA INDEPENDENCIA 2202,</t>
  </si>
  <si>
    <t>50203 - MANTENIMIENTO Y REPARAC. VEHICULOS.</t>
  </si>
  <si>
    <t>40895110</t>
  </si>
  <si>
    <t>ADAUTO TICSE BETTY BEATRIZ</t>
  </si>
  <si>
    <t>CALLE NAZCA 123 MZ UI LOTE 2 URB SANTA MARINA</t>
  </si>
  <si>
    <t>20061192</t>
  </si>
  <si>
    <t>AGENCIA ASTURIANA MARKETINK</t>
  </si>
  <si>
    <t>CIUDAD DEL PESCADOR MZ. T1 LT. 18</t>
  </si>
  <si>
    <t>MARKETING</t>
  </si>
  <si>
    <t>9949770Q</t>
  </si>
  <si>
    <t>HELI CASTAÑEDA TANG</t>
  </si>
  <si>
    <t>AGRAMONTE LOPEZ JOEL ELMER</t>
  </si>
  <si>
    <t>AV. ARGENTINA 144 - 1ER. PISO, STAND 1449 GALERÍA UNICENTRO</t>
  </si>
  <si>
    <t>03363248</t>
  </si>
  <si>
    <t>AGREDA CANCHIS BALTAZAR TEODORO</t>
  </si>
  <si>
    <t>AV. REVOLUCIÓN 2952, ALTURA COLEGIO FE ALEGRIA 13, POR LA  5TA ZONA DE COLLIQUE, LIMA, LIMA, COMAS</t>
  </si>
  <si>
    <t>09789500</t>
  </si>
  <si>
    <t>AGREDA FLORES DANIEL OSCAR</t>
  </si>
  <si>
    <t>AV. REVOLUCIÓN 1298</t>
  </si>
  <si>
    <t>10195535</t>
  </si>
  <si>
    <t>AGUADO BRICEÑO REBECA ALICIA</t>
  </si>
  <si>
    <t>R. GAMARRA 1160, LA VICTORIA - GALERIA SAN PEDRO, PISO 8 OFICINA 842</t>
  </si>
  <si>
    <t>10161020</t>
  </si>
  <si>
    <t>AGUADO GALLEGOS CARLOS ALFREDO</t>
  </si>
  <si>
    <t>URB. SAN ISIDORO MB LOTE 12</t>
  </si>
  <si>
    <t>47182403</t>
  </si>
  <si>
    <t>AGUEDO FIGUEROA HENRY JESUS</t>
  </si>
  <si>
    <t>CALLE MARIA PARADO DE BELLIDO N° 181 - HUARAL</t>
  </si>
  <si>
    <t>40016101</t>
  </si>
  <si>
    <t>AGUEDO FIGUEROA HUGO MIGUEL</t>
  </si>
  <si>
    <t>CAL.MARIA P. DE BELLIDO MZA. J-I LOTE 80 URB. EL MILAGRO 1 (ALT COMPLEJO UNION HUARAL)</t>
  </si>
  <si>
    <t>40923634</t>
  </si>
  <si>
    <t>AGUEDO FIGUEROA JUAN ARTURO</t>
  </si>
  <si>
    <t>CAL. MARIA P. DE BELLIDO S.N. URB. EL MILAGRO 1 ALT. COMPLEJO UNION HUARAL, LIMA, HUARAL, HUARAL</t>
  </si>
  <si>
    <t>15747791</t>
  </si>
  <si>
    <t>AGUEDO FIGUEROA LUIS ALBERTO</t>
  </si>
  <si>
    <t>CALLE MANCO CAPAC MZ E LT 01 MILAGRO 1</t>
  </si>
  <si>
    <t>43199069</t>
  </si>
  <si>
    <t>AGUEDO GUERRERO MARCO ANTONIO</t>
  </si>
  <si>
    <t>AV. TAMBO BLANCO N° 2428</t>
  </si>
  <si>
    <t>15733283</t>
  </si>
  <si>
    <t>MARCO ANTONIO AGUEDO GUERRERO</t>
  </si>
  <si>
    <t>AGUERO DIAZ JUSTINA ILDA</t>
  </si>
  <si>
    <t>AV. TUPAC AMARU 4526</t>
  </si>
  <si>
    <t>09483270</t>
  </si>
  <si>
    <t>AGUILA MANRIQUE NICOLE YAHAIRA</t>
  </si>
  <si>
    <t>AV. JOSE LEAL N° 422</t>
  </si>
  <si>
    <t>73815834</t>
  </si>
  <si>
    <t>AGUILA MANRIQUE, NICOLE YAHAIRA</t>
  </si>
  <si>
    <t>AGUILAR AVALOS CECILIA MAGALY</t>
  </si>
  <si>
    <t>JR. JOSE OLAYA 305 - BARRANCA</t>
  </si>
  <si>
    <t>15848551</t>
  </si>
  <si>
    <t>CECILIA MAGALY AGUILAR AVALOS</t>
  </si>
  <si>
    <t>AGUILAR AVALOS LUIS ANGEL</t>
  </si>
  <si>
    <t>AV. LA MOLINA 324, LIMA, LIMA, ATE</t>
  </si>
  <si>
    <t>72246084</t>
  </si>
  <si>
    <t>AGUILAR CORIZAPRA HENRRY EDWAR</t>
  </si>
  <si>
    <t>CALLE CESAR VALLEJO MZ Y LOTE 19, LIMA, LIMA, SAN MARTIN DE PORRES</t>
  </si>
  <si>
    <t>45801946</t>
  </si>
  <si>
    <t>AGUILAR DE LA CRUZ HELBER MANUEL</t>
  </si>
  <si>
    <t>AV. TOMAS VALLE 1159, LIMA, LIMA, SAN MARTIN DE PORRES</t>
  </si>
  <si>
    <t>45230681</t>
  </si>
  <si>
    <t>AGUILAR LOPEZ JEAN PAUL</t>
  </si>
  <si>
    <t>CALLE 12 MZ15D LTE 03 EX ZONA COMERCIAL VENTANILLA</t>
  </si>
  <si>
    <t>43190295</t>
  </si>
  <si>
    <t>AGUILAR LOPEZ KEVIN DELFORD</t>
  </si>
  <si>
    <t>JR. LOS FLAMENCOS 369</t>
  </si>
  <si>
    <t>76418035</t>
  </si>
  <si>
    <t>AGUILAR MEDINA GODOFREDO DANIEL</t>
  </si>
  <si>
    <t>AVP. LOS CLAVELES MZ. C LT. 10, LIMA, LIMA, LURIN</t>
  </si>
  <si>
    <t>43336064</t>
  </si>
  <si>
    <t>AGUILAR TERRONES JOSE ILLER</t>
  </si>
  <si>
    <t>CALLE LOS CRISTALES MZ H LOTE 8 REFERENCIA ESPALDA DEL GRIFO GNV FRENTE A PLAZA VEA</t>
  </si>
  <si>
    <t>43825578</t>
  </si>
  <si>
    <t>AGUILAR YSLA STEVEN ANTHONY</t>
  </si>
  <si>
    <t>ATE VITARTE-SALAMANCA , RÍO DE JANEIRO 486, ALTURA DEL PARQUE DE LOS ANILLOS SALAMANCA</t>
  </si>
  <si>
    <t>48398619</t>
  </si>
  <si>
    <t>AGUIRRE REVOLLAR KIMBERLEY MADELEN</t>
  </si>
  <si>
    <t>AV. BUENOS AIRES N° 1770</t>
  </si>
  <si>
    <t>43003769</t>
  </si>
  <si>
    <t>AGUIRRE REVOLLAR, KIMBERLEY MADELEN</t>
  </si>
  <si>
    <t>AGUIRRE SONCCO EULALIA</t>
  </si>
  <si>
    <t>AV. SANTIAGO ANTUNEZ DE MAYOLO 1179-A NRO. REF INT. 201 URB. COVIDA, LIMA, LIMA, LOS OLIVOS</t>
  </si>
  <si>
    <t>52391 - OTROS TIPOS DE VENTA AL POR MENOR.</t>
  </si>
  <si>
    <t>08690868</t>
  </si>
  <si>
    <t>ALAMA MOGOLLON LUISA YOHANA</t>
  </si>
  <si>
    <t>MZ N LT 5 NUEVO HORIZONTE - PASAJE MATARANI</t>
  </si>
  <si>
    <t>40729040</t>
  </si>
  <si>
    <t>ALAMA MOGOLLON, LUISA YOHANA</t>
  </si>
  <si>
    <t>ALAMA SALINAS ERICK DAVID</t>
  </si>
  <si>
    <t>JR JOSE TORRES PAZ 582 EL BRILLANTE-SAN JUAN DE MIRAFLORES</t>
  </si>
  <si>
    <t>10557622</t>
  </si>
  <si>
    <t>ALAN INGARUCA FABIAN ALFREDO</t>
  </si>
  <si>
    <t>AV ENCALADA MZ A 2 LOT 5. LAS PRADERAS</t>
  </si>
  <si>
    <t>42640786</t>
  </si>
  <si>
    <t>ALANIA MACHUCA MIGUEL ANGEL</t>
  </si>
  <si>
    <t>AV.TUPAC AMARU 6864 AÑO NUEVO - COMAS</t>
  </si>
  <si>
    <t>44954045</t>
  </si>
  <si>
    <t>ALANOCA TICONA JOSE JESUS</t>
  </si>
  <si>
    <t>CALLE 1RO DE MAYO MZ N LT2</t>
  </si>
  <si>
    <t>40525557</t>
  </si>
  <si>
    <t>ALANOCA YANAPA JENRI</t>
  </si>
  <si>
    <t>AV PACHACUTEC MZ P LOTE 6, AL COSTADO DE REVISIONES TECNICAS - JICAMARCA</t>
  </si>
  <si>
    <t>47507162</t>
  </si>
  <si>
    <t>ALANYA TINCOPA RONAL</t>
  </si>
  <si>
    <t>JR. SAN ANDRÉS 6299 Z.I. LOTIZ. INDUST. MOLITALIA</t>
  </si>
  <si>
    <t>70422083</t>
  </si>
  <si>
    <t>ALARCON ASTURAYME SAMARA JAZMINE</t>
  </si>
  <si>
    <t>JIRON 3 DE FEBRERO N° 1248</t>
  </si>
  <si>
    <t>71440897</t>
  </si>
  <si>
    <t>ALARCON DAVALOS JUAN CARLOS</t>
  </si>
  <si>
    <t>AV 28 DE JULIO #216</t>
  </si>
  <si>
    <t>44044156</t>
  </si>
  <si>
    <t>ALARCON GAMERO OLIVER MARTIN</t>
  </si>
  <si>
    <t>AV. UNIVERSITARIA N° 5644</t>
  </si>
  <si>
    <t>42972610</t>
  </si>
  <si>
    <t>ALARCON LOA RAFHAEL ANGELO</t>
  </si>
  <si>
    <t>CALLE FRANCISCO BOLOGNESI 193 (MEGA WILSON-FRENTE A GALERIA UNION PLAZA)</t>
  </si>
  <si>
    <t>48650192 </t>
  </si>
  <si>
    <t>ALARCON MARTINEZ JESUS EDUARDO</t>
  </si>
  <si>
    <t>JR FRANCISCO ROSAS #345 PIMER PISO, LIMA, HUAURA, HUACHO</t>
  </si>
  <si>
    <t>42773896</t>
  </si>
  <si>
    <t>ALARCON MENDOZA KAREN KEYLI</t>
  </si>
  <si>
    <t>MANZANA M - CALLE 12 HUERTA GUINEA</t>
  </si>
  <si>
    <t>45646075</t>
  </si>
  <si>
    <t>ALARCON SEGIL DORIS CAROLINA</t>
  </si>
  <si>
    <t>JR IGNACIO COSSIO 1295</t>
  </si>
  <si>
    <t xml:space="preserve"> 0474558</t>
  </si>
  <si>
    <t>ALATA CONTRERAS MARCO ANTONIO</t>
  </si>
  <si>
    <t>A.H VILLA LOS JARDINES MZ "K" LOTE 4.</t>
  </si>
  <si>
    <t>43038729</t>
  </si>
  <si>
    <t>ALATA ROMAN ISALIZ YANIRA</t>
  </si>
  <si>
    <t>GRAL. ORBEGOZO 271 BREÑA STAND 544, LIMA, LIMA, BREÑA</t>
  </si>
  <si>
    <t>48263597</t>
  </si>
  <si>
    <t>ALAVE BONIFACIO HUGO DAVID</t>
  </si>
  <si>
    <t>JR SEBASTIAN BARRANCA CON JR ANTONIO BAZO ( GALERIA LAS VICTORIA)</t>
  </si>
  <si>
    <t>73526960</t>
  </si>
  <si>
    <t>ALAVE QUISPE JAIME AURELIO</t>
  </si>
  <si>
    <t>CALLE SANTA SOFIA 115  URB. INDUSTRIAL LA AURORA , AL COSTADO DE LA  EMPRESA COTON</t>
  </si>
  <si>
    <t>43633200</t>
  </si>
  <si>
    <t>ALAYO ALEJOS YARCINIO CESAR</t>
  </si>
  <si>
    <t>CALLE GUAYANA 241 - 243 URB. EL PARRAL</t>
  </si>
  <si>
    <t>52593 - OTROS TIPOS DE VENTA POR MENOR.</t>
  </si>
  <si>
    <t>09973042</t>
  </si>
  <si>
    <t>ALAYO HERRERA PEDRO</t>
  </si>
  <si>
    <t>AV. LOS FAISANES 115</t>
  </si>
  <si>
    <t>42045850 </t>
  </si>
  <si>
    <t>ALBAN CUESTAS GINA CECILIA</t>
  </si>
  <si>
    <t>JR. EL AMARGON 4255, LIMA, LIMA, LOS OLIVOS</t>
  </si>
  <si>
    <t>25854210</t>
  </si>
  <si>
    <t>ALBAN CUESTAS, GINA CECILIA</t>
  </si>
  <si>
    <t>ALBARRACIN DUEÑAS LUIS ALFREDO</t>
  </si>
  <si>
    <t>MZA. B' LOTE. 2 LAS BRISAS DE PACHACAMAC, LIMA, LIMA, VILLA EL SALVADOR</t>
  </si>
  <si>
    <t>ALBERTO NUÑEZ KATTY ARACELLI</t>
  </si>
  <si>
    <t>AV. CENTENARIO # 195 - OVALO DE HUACHO</t>
  </si>
  <si>
    <t>4610 - VENTA AL POR MAYOR A CAMBIO DE UNA RETRIBUCIÓN O POR CONTRATA</t>
  </si>
  <si>
    <t>40746615</t>
  </si>
  <si>
    <t>ALBINES GARCES JOEL ALEXIS</t>
  </si>
  <si>
    <t>URB SANTA PAULA MZ A8 LOTE 14</t>
  </si>
  <si>
    <t>42171009</t>
  </si>
  <si>
    <t>ALBINO BLAS IVAN ANTOLI</t>
  </si>
  <si>
    <t>SAN BARTOLOME (CERCA TANQUE DE AGUA)</t>
  </si>
  <si>
    <t>41321959</t>
  </si>
  <si>
    <t>ALBINO GARCIA SANTOS ALBERTO</t>
  </si>
  <si>
    <t>AV. PERU 3684, LIMA, LIMA, SAN MARTIN DE PORRES</t>
  </si>
  <si>
    <t>08486445</t>
  </si>
  <si>
    <t>ALBINO TINOCO HAYDEE VICTORIA</t>
  </si>
  <si>
    <t>PASAMAYO ALTO LOTE 3-CARNAVAL GRANDE, LIMA, HUARAL, AUCALLAMA</t>
  </si>
  <si>
    <t>16001847</t>
  </si>
  <si>
    <t>ALBORNOZ MISHARI ENZO HAMER</t>
  </si>
  <si>
    <t>C.C PLAZA VITARTE BLOCK 2B STAND 118 - 128 - 132</t>
  </si>
  <si>
    <t>74925772</t>
  </si>
  <si>
    <t>ALBORNOZ MISHARI, ENZO HAMER</t>
  </si>
  <si>
    <t>ALCA ALHUAY BRIAN HECTOR</t>
  </si>
  <si>
    <t>AV. GERMAN AGUIRRE N° 1001</t>
  </si>
  <si>
    <t>48374531</t>
  </si>
  <si>
    <t>ALCA ALHUAY, BRIAN HECTOR</t>
  </si>
  <si>
    <t>ALCA CHAVEZ ADRIAN</t>
  </si>
  <si>
    <t>JR ICA S/N PRIMERA CUADRA</t>
  </si>
  <si>
    <t>AYACUCHO</t>
  </si>
  <si>
    <t>LUCANAS</t>
  </si>
  <si>
    <t>PUQUIO</t>
  </si>
  <si>
    <t>21553880</t>
  </si>
  <si>
    <t>ALCA CHAVEZ, ADRIAN</t>
  </si>
  <si>
    <t>ALCALA GALVAN MARCO ANTONIO</t>
  </si>
  <si>
    <t>AAHH JOSEFINA RAMOSMZ Z LOTE 20</t>
  </si>
  <si>
    <t>73879476</t>
  </si>
  <si>
    <t>ALCALA SANTILLAN BRUCE</t>
  </si>
  <si>
    <t>JR MADERA NRO 215</t>
  </si>
  <si>
    <t>75046961</t>
  </si>
  <si>
    <t>ALCALDE RAMIREZ ANDREA MARTINA</t>
  </si>
  <si>
    <t>AV. NICOLAS AYLLON 1499</t>
  </si>
  <si>
    <t>Principal - 74996 - OTRAS ACTIVIDADES EMPRESARIALES NCP.</t>
  </si>
  <si>
    <t>40639438</t>
  </si>
  <si>
    <t>ALCALDE RAMIREZ, ANDREA MARTINA</t>
  </si>
  <si>
    <t>ALCANTARA JIMENEZ CARMEN LIZETH</t>
  </si>
  <si>
    <t>ASOC. NUEVA AMERICA MZ. L LT. 22</t>
  </si>
  <si>
    <t>43683839</t>
  </si>
  <si>
    <t>ALCANTARA JIMENEZ, CARMEN LIZETH</t>
  </si>
  <si>
    <t>ALCANTARA MEDRANO MIGUEL ALEJANDRO</t>
  </si>
  <si>
    <t>JR PUNO 2DA  CUADRA</t>
  </si>
  <si>
    <t>15404342</t>
  </si>
  <si>
    <t>ALCARRAZ RODAS DANNY EDU</t>
  </si>
  <si>
    <t>AV. PERÚ CUADRA 4464</t>
  </si>
  <si>
    <t>47133664</t>
  </si>
  <si>
    <t>ALCARRAZ SALA ROSARIO ALONDRA</t>
  </si>
  <si>
    <t>ASOCIACIÓN VILLA TALABERA MZ. A LT. 21, CAMPOY</t>
  </si>
  <si>
    <t>48320118</t>
  </si>
  <si>
    <t>ALCCA BALDEON ALFONSO REYMUNDO</t>
  </si>
  <si>
    <t>AV. CAMILO REAL MZ C LOTE 2 ASOC. DE PROP EL EDÉN - CARABAYLLO</t>
  </si>
  <si>
    <t>47824565</t>
  </si>
  <si>
    <t>ALDAVE REBAZA SEGUNDO GENARO</t>
  </si>
  <si>
    <t>AV.LOS VIRREYES MZ. L LT.35-A TIENDA 3 URB. ALAMEDA DE ATE 2DA ETAPA</t>
  </si>
  <si>
    <t xml:space="preserve"> 5610 - ACTIVIDADES DE RESTAURANTES Y DE SERVICIO MÓVIL DE COMIDAS</t>
  </si>
  <si>
    <t>32933885</t>
  </si>
  <si>
    <t>ALEGRE NEPONOCENO FREDY FERNANDO</t>
  </si>
  <si>
    <t>AV.UNIVERSITARIA 6195 - COMAS</t>
  </si>
  <si>
    <t>70478612</t>
  </si>
  <si>
    <t>ALEGRE NEPONOCENO, FREDY FERNANDO</t>
  </si>
  <si>
    <t>ALEGRE NUÑEZ ROQUE DANIEL</t>
  </si>
  <si>
    <t>AV. ANTUNEZ DE MAYOLO MZ A LT 06 COOP. DE VVDA. STA APOLONIA</t>
  </si>
  <si>
    <t>10732680</t>
  </si>
  <si>
    <t>ALEGRE NUÑEZ, ROQUE DANIEL</t>
  </si>
  <si>
    <t>ALEGRIA VALENTIN JUAN</t>
  </si>
  <si>
    <t>AV.CAMINO REAL MZ "Q" LT 8 APV SANTA ROSA DE CARABAYLLO, LIMA, LIMA, CARABAYLLO</t>
  </si>
  <si>
    <t>10202647</t>
  </si>
  <si>
    <t>ALEJANDRO MONTALVO HERCULES</t>
  </si>
  <si>
    <t>CALLE MARIANO DE LOS SANTOS MZ A LT 06, LIMA, LIMA, PUENTE PIEDRA</t>
  </si>
  <si>
    <t>44432221</t>
  </si>
  <si>
    <t>ALEJO BENITES RICHARD ALFREDO</t>
  </si>
  <si>
    <t>AS. VIVIENDA VILLA SANTA ROSA CALLE LOS JAZMINES LT. 3 (A ESPALDA DEL NUEVO AMANECER – SOCABAYA)</t>
  </si>
  <si>
    <t>40314548</t>
  </si>
  <si>
    <t>ALEJO PANEBRA MAURO JAVIER</t>
  </si>
  <si>
    <t>AV. JOSE CARLOS MARIATEGUI 1812</t>
  </si>
  <si>
    <t>ACTIVIDADES DE APOYO A LA ENSEÑANZA</t>
  </si>
  <si>
    <t> 4596358</t>
  </si>
  <si>
    <t>ALEJO PANEBRA, MAURO JAVIER</t>
  </si>
  <si>
    <t>ALEJOS ROBLES ALVARO VINCENT</t>
  </si>
  <si>
    <t>CALLE LEONCIO PRADO S/N, LIMA, HUAURA, VEGETA</t>
  </si>
  <si>
    <t>75280809</t>
  </si>
  <si>
    <t>ALEJOS ROSALES HUGO</t>
  </si>
  <si>
    <t>ANGELICA GAMARRA 526</t>
  </si>
  <si>
    <t>08599482</t>
  </si>
  <si>
    <t>ALEJOS ZAPATA MARIO MARTIN</t>
  </si>
  <si>
    <t>CAR. PANAMERICANA NORTE S/NRO.</t>
  </si>
  <si>
    <t>15739550</t>
  </si>
  <si>
    <t>ALEMAN LUNA AUSBERTA NEREIDA</t>
  </si>
  <si>
    <t>AV. HUANUCO 1420 – GALERIA HERMANOS GUIZADO INDUSTRIAL - PISO 5 TALLER 501, 560, 570 Y 571 Y PISO 10 -  REF: AV. HUANUCO CON AV. 28 DE JULIO</t>
  </si>
  <si>
    <t>25566435</t>
  </si>
  <si>
    <t>ALFARO CUADROS JHON ALEXANDER</t>
  </si>
  <si>
    <t>AV. BERTELLO MZ A LTE. 8 URB. SANTA FE DE NARANJAL</t>
  </si>
  <si>
    <t>41207654</t>
  </si>
  <si>
    <t>JHON ALEXANDER ALFARO CUADROS</t>
  </si>
  <si>
    <t>ALFARO GANTO JUDITH SOLEDAD</t>
  </si>
  <si>
    <t>MZ. C LTE. 1 URB. ROSA LUZ 1ERA ETAPA</t>
  </si>
  <si>
    <t>92413 - ACTIVIDADES DEPORTIVAS</t>
  </si>
  <si>
    <t>10070777</t>
  </si>
  <si>
    <t>ALFARO GANTO, JUDITH SOLEDAD</t>
  </si>
  <si>
    <t>ALFARO POMA SAUL</t>
  </si>
  <si>
    <t>MZA. O LOTE 17 BELLO HORIZONTE DE COPACABANA (A MEDIA CUADRA  PARADERO NORTEÑO)</t>
  </si>
  <si>
    <t>42410716</t>
  </si>
  <si>
    <t>ALIAGA ORTIZ MARCOS</t>
  </si>
  <si>
    <t>AV.LOS HEROES 525 INT.9 CIUDAD DE DIOS (COSTADO DE MCDO.COOP.CIUDAD DE DIOS)</t>
  </si>
  <si>
    <t>10481822</t>
  </si>
  <si>
    <t>ALIENDO JIMENEZ ZARITZA CRISEIDA</t>
  </si>
  <si>
    <t>BOULEVARD DE CHANCAY- GALERÍA PASCO - STAND 7</t>
  </si>
  <si>
    <t>01483435</t>
  </si>
  <si>
    <t>ALLCCA OCHANTE JHARIT AUGUSTO</t>
  </si>
  <si>
    <t>PROLONGACIÓN GAMARRA N°1213-1215-1275</t>
  </si>
  <si>
    <t>77338538</t>
  </si>
  <si>
    <t>ALMEIDA UBILLUS ROBERTO JAVIER</t>
  </si>
  <si>
    <t>JR SAN LUCAS 126</t>
  </si>
  <si>
    <t>Principal - 93098 - OTRAS ACTIVID.DE TIPO SERVICIO NCP</t>
  </si>
  <si>
    <t>42606203</t>
  </si>
  <si>
    <t>ALMENARA BAUTISTA JOSÉ MAXIMO</t>
  </si>
  <si>
    <t>AV. LOS HÉROES 335, SAN JUAN DE MIRAFLORES 15801</t>
  </si>
  <si>
    <t>09253300</t>
  </si>
  <si>
    <t>ALMENDRADES CAQUI JENNY BEATRIZ</t>
  </si>
  <si>
    <t>CENTRO POBLADO QUEPEPAMPA KM4 Y MEDIO MZ E LT10</t>
  </si>
  <si>
    <t>40017143</t>
  </si>
  <si>
    <t>ALMENDRADES CAQUI, JENNY BEATRIZ</t>
  </si>
  <si>
    <t>ALMEYDA NAUPARI JUAN CARLOS</t>
  </si>
  <si>
    <t>AV BELISARIO SUAREZ NRO 1287</t>
  </si>
  <si>
    <t>45384748</t>
  </si>
  <si>
    <t>ALOR MORAN MARITZA ROSARIO</t>
  </si>
  <si>
    <t>JR. FLOR DE VIENTO 182 - 184</t>
  </si>
  <si>
    <t>09471632</t>
  </si>
  <si>
    <t>ALTAMIRANO QUILLA EDWIN</t>
  </si>
  <si>
    <t>AV. TUPAC AMARU 4799 URB. AÑO NUEVO</t>
  </si>
  <si>
    <t>48013508</t>
  </si>
  <si>
    <t>ALTAMIRANO QUILLA, EDWIN</t>
  </si>
  <si>
    <t>ALTUNA CAHUAS LUIS MANUEL</t>
  </si>
  <si>
    <t>CALLE MARISOL SUCRE N° 282, LIMA, HUARAL, CHANCAY</t>
  </si>
  <si>
    <t>9603 - POMPAS FÚNEBRES Y ACTIVIDADES CONEXAS</t>
  </si>
  <si>
    <t>15982414</t>
  </si>
  <si>
    <t>ALTUNA CAHUAS, LUIS MANUEL</t>
  </si>
  <si>
    <t>ALVA ARMAS JAMES ALBERTO</t>
  </si>
  <si>
    <t>CTRA. PANAMERICANA NTE. KM 33.5, MERCADO TRES REGIONES</t>
  </si>
  <si>
    <t>10145515</t>
  </si>
  <si>
    <t>ALVA ARMAS, JAMES ALBERTO</t>
  </si>
  <si>
    <t>ALVA CHAVARRIA MARTIN FACUNDO</t>
  </si>
  <si>
    <t>AV. ABANCAY 1039</t>
  </si>
  <si>
    <t>6920 - ACTIVIDADES DE CONTABILIDAD, TENEDURÍA DE LIBROS Y AUDITORÍA; CONSULTORÍA FISCAL</t>
  </si>
  <si>
    <t xml:space="preserve"> 0993019</t>
  </si>
  <si>
    <t>ALVA COTRINA EDUAR</t>
  </si>
  <si>
    <t>AV ENCALADA 306 URB. CHANCAS ANDAHUAYLAS</t>
  </si>
  <si>
    <t>27573161</t>
  </si>
  <si>
    <t>ALVA PINEDO JUAN JESUS</t>
  </si>
  <si>
    <t>MZ. C LT. 11 LAS CONCEANAS REF. CERCA COLEGIO FE Y ALEGRIA N°59</t>
  </si>
  <si>
    <t>47534771</t>
  </si>
  <si>
    <t>ALVA PINEDO, JUAN JESUS</t>
  </si>
  <si>
    <t>ALVARADO AGUIRRE YACSON TONI</t>
  </si>
  <si>
    <t>MA A LOTE 21 ASC. D PROP. PRESENTACION DE STA LIMA</t>
  </si>
  <si>
    <t>71326617</t>
  </si>
  <si>
    <t>ALVARADO ALFARO VANESSA GRACIELA</t>
  </si>
  <si>
    <t>CALLE SAN MARTIN N° 120/122 URB. INFANTAS</t>
  </si>
  <si>
    <t>76589608</t>
  </si>
  <si>
    <t>ALVARADO DE LA CRUZ CARLOS ALBERTO</t>
  </si>
  <si>
    <t>AV. GRAN CHIMU 1508</t>
  </si>
  <si>
    <t>09669226</t>
  </si>
  <si>
    <t>ALVARADO DE LA CRUZ, CARLOS ALBERTO</t>
  </si>
  <si>
    <t>ALVARADO LIRA CHRISTIAN</t>
  </si>
  <si>
    <t>AV MARIANO CARRANZA 687</t>
  </si>
  <si>
    <t>71395380</t>
  </si>
  <si>
    <t>ALVARADO MORENO FERNANDO ROSAS</t>
  </si>
  <si>
    <t>AV. LOS POSTES OESTE NRO. 306 - ASOC.SAN HILARION</t>
  </si>
  <si>
    <t>10188728</t>
  </si>
  <si>
    <t>ALVARADO OLIVERA JAIME ROGELIO</t>
  </si>
  <si>
    <t>AV. ANGÉLICA GAMARRA N°995 - URB. EL TRÉBOL 3° ETAPA - LOS OLIVOS</t>
  </si>
  <si>
    <t>08644687</t>
  </si>
  <si>
    <t>ALVARADO ORTIZ ROSMERY NAYDU</t>
  </si>
  <si>
    <t>AV. 02 DE MAYO NRO. 294 (SEGUNDO PISO DE BOTICA LA ECONOMICA)</t>
  </si>
  <si>
    <t>76412523</t>
  </si>
  <si>
    <t>ALVARADO ORTIZ, ROSMERY NAYDU</t>
  </si>
  <si>
    <t>ALVARADO POVIS MARLENE</t>
  </si>
  <si>
    <t>CAL. 1, MZ. O, LOTE. 29, INT. 1 PIS A.H. 15 DE ENERO</t>
  </si>
  <si>
    <t>42630631</t>
  </si>
  <si>
    <t>ALVARADO QUIÑONES WRIGHT HAROLD</t>
  </si>
  <si>
    <t>AV. MEXICO 107 INT. 209 URB. HUAQUILLAY I ETAPA, LIMA, LIMA, COMAS</t>
  </si>
  <si>
    <t>45303513</t>
  </si>
  <si>
    <t>ALVARADO RONQUILLO DENYS ALEJANDRO</t>
  </si>
  <si>
    <t>JR. LIMA NRO. 125 (AL FRENTE DE LA EMPRESA MOVIL BUSS)</t>
  </si>
  <si>
    <t>80284623</t>
  </si>
  <si>
    <t>ALVAREZ CORDOVA ANYHIRI LILIANA</t>
  </si>
  <si>
    <t>LOS METALES 245</t>
  </si>
  <si>
    <t>76622347</t>
  </si>
  <si>
    <t>ALVAREZ FALCON ANDRES</t>
  </si>
  <si>
    <t>AV. CARLOS IZAGUIRRE MZ B LOTE. 5 URB. VILLA LOS OLIVOS PARADERO 5</t>
  </si>
  <si>
    <t>ALVAREZ GUTIERREZ CARLOS ENRIQUE</t>
  </si>
  <si>
    <t>AV. JUAN LECAROS 105, PUENTE PIEDRA 15118</t>
  </si>
  <si>
    <t>09935386</t>
  </si>
  <si>
    <t>ALVAREZ HEREDIA LUCIA ROSARIO</t>
  </si>
  <si>
    <t>JR. ANCASH 3956 SAN MARTIN DE PORRES</t>
  </si>
  <si>
    <t>Principal - 52391 - OTROS TIPOS DE VENTA AL POR MENOR.</t>
  </si>
  <si>
    <t>08480542</t>
  </si>
  <si>
    <t>ALVAREZ HERRERA ALEJANDRO MISAEL</t>
  </si>
  <si>
    <t>AV CESAR CANEVARO 122</t>
  </si>
  <si>
    <t>REPARACIÓN DE ORDENADORES Y EQUIPO PERIFÉRICO</t>
  </si>
  <si>
    <t>76433289</t>
  </si>
  <si>
    <t>ALVAREZ MONTALVO IVAN ALFONSO</t>
  </si>
  <si>
    <t>AV. CARLOS IZAGUIRRE Nº 528 DPTO. 301</t>
  </si>
  <si>
    <t>7729 - ALQUILER Y ARRENDAMIENTO DE OTROS EFECTOS PERSONALES Y ENSERES DOMÉSTICOS</t>
  </si>
  <si>
    <t>20725279</t>
  </si>
  <si>
    <t>ALVAREZ MONTALVO, IVAN ALFONSO</t>
  </si>
  <si>
    <t>ALVAREZ MOROTE IVONNE MARISOL</t>
  </si>
  <si>
    <t>JR. ARICA 134, LIMA, LIMA, MAGDALENA DEL MAR</t>
  </si>
  <si>
    <t>09386199</t>
  </si>
  <si>
    <t>ALVAREZ POMA JANETH DELIA</t>
  </si>
  <si>
    <t>CALLE TENIENTE JIMÉNEZ 110 CRUCE CON SAUCES CONDOMINIO LOS SAUCES DPTO B507</t>
  </si>
  <si>
    <t>40318447</t>
  </si>
  <si>
    <t>ALVAREZ QUISPE TEODORO GENARO</t>
  </si>
  <si>
    <t>MZ "E" LOT.49 KM 34 ÓVALO ZAPALLAL</t>
  </si>
  <si>
    <t>07176274</t>
  </si>
  <si>
    <t>ALVAREZ QUISPE, TEODORO GENARO</t>
  </si>
  <si>
    <t>ALVAREZ SOSA MELANY NICOLE</t>
  </si>
  <si>
    <t>CALLE 20 DE AGOSTO N° 132</t>
  </si>
  <si>
    <t>74082205</t>
  </si>
  <si>
    <t>ALVITES JULIAN MARIA ISABEL</t>
  </si>
  <si>
    <t>CALLE MANUEL BONILLA 180</t>
  </si>
  <si>
    <t>10071464</t>
  </si>
  <si>
    <t>ALVITRES PORTILLA WILSON</t>
  </si>
  <si>
    <t>PASAJE LEONCIO PRADO N° 169 ( A UNA CUADRA DE MAXI AHORRO)</t>
  </si>
  <si>
    <t>48075058</t>
  </si>
  <si>
    <t>ALZAMORA MEDINA CARLOS</t>
  </si>
  <si>
    <t>AV. ELMER FAUCETT MZ O LT 24 LAS FRESAS</t>
  </si>
  <si>
    <t>41182518</t>
  </si>
  <si>
    <t>ALZAMORA UBIA CARLOS ALBERTO</t>
  </si>
  <si>
    <t>AV. 2 DE DICIEMBRE S/N (A MEDIA CDRA. DEL MERCADO DE FRUTAS DEL PALMO) LIMA, HUARAL, HUARAL</t>
  </si>
  <si>
    <t>15974094</t>
  </si>
  <si>
    <t>AMADO PRESENTACION JHON JORDY</t>
  </si>
  <si>
    <t>ANEXO CONDORAY S/N, DISTRITO LUNAHUANÁ</t>
  </si>
  <si>
    <t>70477660</t>
  </si>
  <si>
    <t>AMANCA HUAMAN WILLY</t>
  </si>
  <si>
    <t>URB. CHICMABAMBA MZ. D TL 33. LIMA, LIMA, SAN MARTIN DE PORRES</t>
  </si>
  <si>
    <t>09600287</t>
  </si>
  <si>
    <t>AMAU QUISPE MIGUEL ANGEL</t>
  </si>
  <si>
    <t>JR LUIS DE LA PUENTE UCEDA NRO 361 URB UNIVERSAL SANTA ANITA</t>
  </si>
  <si>
    <t>4741 - VENTA AL POR MENOR DE ORDENADORES, EQUIPO PERIFÉRICO</t>
  </si>
  <si>
    <t>46374036</t>
  </si>
  <si>
    <t>AMAYA AGURTO ALEXANDRA JOSELYN</t>
  </si>
  <si>
    <t>JR. VENEGAS 114 DPT. 8</t>
  </si>
  <si>
    <t>48334952</t>
  </si>
  <si>
    <t>AMAYA AGURTO, ALEXANDRA JOSELYN</t>
  </si>
  <si>
    <t>AMAYA PINGO MANUEL JOHNNY</t>
  </si>
  <si>
    <t>CALLE 1 MZ B LTE 4 URB. AERO INDUSTRIAL GAMBETA, PROV. CONST. DEL CALLAO, CALLAO, CALLAO</t>
  </si>
  <si>
    <t>25843712</t>
  </si>
  <si>
    <t>AMBROCIO COSME JANETH SUSY</t>
  </si>
  <si>
    <t>AV. CHILLON TRAPICHE MZ B LT 1 ASC. TUNGASUCA III ET.</t>
  </si>
  <si>
    <t>72329758</t>
  </si>
  <si>
    <t>AMBROSIO ROMERO JENNY</t>
  </si>
  <si>
    <t>ASOCIACION  LA FLORIDA DE CAJAMARQUILLA  MZE, LT16</t>
  </si>
  <si>
    <t>Principal - 4782 - VENTA AL POR MENOR DE PRODUCTOS TEXTILES, PRENDAS DE VESTIR Y CALZADO EN PUESTOS DE VENTA Y MERCADOS</t>
  </si>
  <si>
    <t>40818301</t>
  </si>
  <si>
    <t>ANAYA RODRIGUEZ CARLOS RAUL</t>
  </si>
  <si>
    <t>MZ. E LT. 6 SAN JUAN DE DIOS, AUCALLAMA</t>
  </si>
  <si>
    <t>15754235</t>
  </si>
  <si>
    <t>ANAYA ROMERO MARISOL</t>
  </si>
  <si>
    <t>AV 8 DE DICIEMBRE LOTE 3</t>
  </si>
  <si>
    <t>15747019</t>
  </si>
  <si>
    <t>ANCAJIMA LA CHIRA JORGE LUIS</t>
  </si>
  <si>
    <t>JR. LIMA L51 COLLIQUE</t>
  </si>
  <si>
    <t>46323954</t>
  </si>
  <si>
    <t>ANCALLA FLORES WALTER BENIGNO</t>
  </si>
  <si>
    <t>CALLE H MZ 633, CALLE 10 A.H BOCANEGRA, ZONA 5,</t>
  </si>
  <si>
    <t>45114593</t>
  </si>
  <si>
    <t>ANCALLA HUAMANI RUBEN</t>
  </si>
  <si>
    <t>AVENIDA TUPAC CAMARU 4774 VILLA COLLIQUE COMAS</t>
  </si>
  <si>
    <t>24808791</t>
  </si>
  <si>
    <t>ANCHAYHUA JOTA PABLO FAUSTINO</t>
  </si>
  <si>
    <t>JR. AMAZONAS NRO 424</t>
  </si>
  <si>
    <t>10659155</t>
  </si>
  <si>
    <t>ANCHAYHUA JOTA, PABLO FAUSTINO</t>
  </si>
  <si>
    <t>ANCIETA BERNAL JORGE PASCUAL</t>
  </si>
  <si>
    <t>LOTE 10 COOP. DE VIV.LA FLORESTA</t>
  </si>
  <si>
    <t>10149243</t>
  </si>
  <si>
    <t>ANCY GOICOCHEA VIVIANA RAQUEL</t>
  </si>
  <si>
    <t>AV. GRAU NRO. 104 (ESQUINA CON TOTTUS)</t>
  </si>
  <si>
    <t>313 - ACABADO DE PRODUCTOS TEXTILES</t>
  </si>
  <si>
    <t>45908721</t>
  </si>
  <si>
    <t>ANDAGUA MARQUEZ ELVIS RENZO</t>
  </si>
  <si>
    <t>CALLE JOSE SALAZAR N° 165 3ER PISO, LIMA, LIMA, LOS OLIVOS</t>
  </si>
  <si>
    <t>8522 - ENSEÑANZA SECUNDARIA DE FORMACIÓN TÉCNICA Y PROFESIONAL</t>
  </si>
  <si>
    <t>21418946 </t>
  </si>
  <si>
    <t>ANDAYA CHINCHAY ROSSI AMELIA</t>
  </si>
  <si>
    <t>KENJI FUJIMORI, VENTANILLA 07051</t>
  </si>
  <si>
    <t>76578023</t>
  </si>
  <si>
    <t>ANDIA CHUMPITAZ VALERIA ISABEL</t>
  </si>
  <si>
    <t>ANTIGUA PANAMERICANA SUR 1080 CHILCA CAÑETE</t>
  </si>
  <si>
    <t>40930333</t>
  </si>
  <si>
    <t>ANDRADE ALVARO VENANCIO VICTOR</t>
  </si>
  <si>
    <t>CALLE MZ. "E2" LT. 2 CALLE LOS CRISOLES</t>
  </si>
  <si>
    <t>10441385</t>
  </si>
  <si>
    <t>ANDRADE ECHEVARREA NICIDA FLORA</t>
  </si>
  <si>
    <t>SAN MARTIN .C C. ACOMERSUR STAND E-12</t>
  </si>
  <si>
    <t>15217172</t>
  </si>
  <si>
    <t>ANDRADE NAVARRO ARTURO ALEXANDER</t>
  </si>
  <si>
    <t>JR. BOLIVAR S/N CUADRA 6, LIMA, BARRANCA, SUPE</t>
  </si>
  <si>
    <t>43377677</t>
  </si>
  <si>
    <t>ANDRADE NORIEGA PEDRO ANTONIO</t>
  </si>
  <si>
    <t>AV PACHACUTEC 5603, VELAZCO CON PACHACUTEC CRUZANDO AL FRENTE DE LA MADERERA</t>
  </si>
  <si>
    <t>45880072</t>
  </si>
  <si>
    <t>ANDREU PEÑA AUGUSTO</t>
  </si>
  <si>
    <t>CALLE CARLOS MOORE 102-186 COLLIQUE - COMAS</t>
  </si>
  <si>
    <t>41883130</t>
  </si>
  <si>
    <t>ANGELES PEÑA JUAN PABLO</t>
  </si>
  <si>
    <t>AV. GERARDO UNGER # 5787</t>
  </si>
  <si>
    <t>47796235</t>
  </si>
  <si>
    <t>ANGELES REYES WALTER</t>
  </si>
  <si>
    <t>PROLONGACION HUANUCO NRO. 1934 - SEGUNDO PISO INT. 4,</t>
  </si>
  <si>
    <t>41202034</t>
  </si>
  <si>
    <t>ANGELES YANAC JULIAN ROBERTO</t>
  </si>
  <si>
    <t>CARRETERA PANAMERICANA NORTE S/N OVALO CHANCAY</t>
  </si>
  <si>
    <t>41696709</t>
  </si>
  <si>
    <t>ANGULO HERNANDEZ MIRIAM ELIZABETH</t>
  </si>
  <si>
    <t>AV CANTA CALLAO MZ E LOTE 10 ASOCIACION JARDINES DE SANTA ROSA</t>
  </si>
  <si>
    <t>08633483</t>
  </si>
  <si>
    <t>ANICAMA CUEVA JULIO CESAR</t>
  </si>
  <si>
    <t>JR. PEREZ DE TUDELA 2984</t>
  </si>
  <si>
    <t>40790080</t>
  </si>
  <si>
    <t>ANICAMA MIRANDA ANDRES ELEODORO</t>
  </si>
  <si>
    <t>AV. PUENTE PIEDRA NRO. 1231 ASC. DE POBL LOS GRAMADALES (PARADERO NORTEÑO)</t>
  </si>
  <si>
    <t>ANTAURCO FLORES CHRISTIAN MARTIN</t>
  </si>
  <si>
    <t>ANTIGUA CARRETERA PANAMERICANA NORTE NRO 1574</t>
  </si>
  <si>
    <t>71448899</t>
  </si>
  <si>
    <t>ANTEZANA PILLPE ERASMO</t>
  </si>
  <si>
    <t>AV. MELITON CARBAJAL 511 URB. VALDIVIEZO ATE (A LA ESPALDA DE FABRICA SAYON)</t>
  </si>
  <si>
    <t>09059871</t>
  </si>
  <si>
    <t>ANTICONA ARROYO SONIA MARYLIN</t>
  </si>
  <si>
    <t>JR. CAMANA 1153 (CC. CENTRO DE LIMA 2DO NIVEL STAND 2197)</t>
  </si>
  <si>
    <t>45480718</t>
  </si>
  <si>
    <t>ANTICONA ARROYO, SONIA MARYLIN</t>
  </si>
  <si>
    <t>ANTIKONA JUAREZ ELLSER DAYEZ</t>
  </si>
  <si>
    <t>CA 27 MZ. U4 LT: 11 SECTOR A</t>
  </si>
  <si>
    <t>70012188</t>
  </si>
  <si>
    <t>ANTIKONA JUAREZ, ELLSER DAYEZ</t>
  </si>
  <si>
    <t>ANTONIO SICCOS NILS RENE</t>
  </si>
  <si>
    <t>AV. AGROINDUSTRIAL (RUTA E) CRUCE AV. CESAR VALLEJO</t>
  </si>
  <si>
    <t>FABRICACIÓN DE MUEBLES</t>
  </si>
  <si>
    <t>45089672</t>
  </si>
  <si>
    <t>ANTUNEZ COLOS ANGEL ARTURO</t>
  </si>
  <si>
    <t>AV. AVIACIÓN NRO. 3992 LA CALERA</t>
  </si>
  <si>
    <t>47541538</t>
  </si>
  <si>
    <t>ANTUNEZ OBREGON OVER CLEMENTE</t>
  </si>
  <si>
    <t>CENTRO POBLADO EL TOLON PASAJE EL SAUCE S/N, ALTURA TAPICERIA LA MODERNA - EL TOTORA I</t>
  </si>
  <si>
    <t>44876138</t>
  </si>
  <si>
    <t>APARICIO MARROQUIN NOELIA ANGELICA</t>
  </si>
  <si>
    <t>MATEO PUMACAHUA "298", LIMA, HUAURA, HUALMAY</t>
  </si>
  <si>
    <t>15764014</t>
  </si>
  <si>
    <t>APAZA RIVAS DJALMA CLAUDIO</t>
  </si>
  <si>
    <t>AV. OSCAR R. BENAVIDES 1591</t>
  </si>
  <si>
    <t>41912433</t>
  </si>
  <si>
    <t>APEÑA APARICIO ELIAS TEODORO</t>
  </si>
  <si>
    <t>VILLA ELVA MZ. E LT. 22</t>
  </si>
  <si>
    <t>07796222</t>
  </si>
  <si>
    <t>APESTEGUI SOTO DIEGO AURELIO</t>
  </si>
  <si>
    <t>AV. NARANJAL N° 1341, LIMA, LIMA, LOS OLIVOS</t>
  </si>
  <si>
    <t>46418281</t>
  </si>
  <si>
    <t>APESTEGUI SOTO, DIEGO AURELIO</t>
  </si>
  <si>
    <t>APOLINARIO CANCHUMUNI DENIS TITO</t>
  </si>
  <si>
    <t>AA.HH. LAS ESTRELLAS DE SIMON BOLIVAR MZ. J LT. 4</t>
  </si>
  <si>
    <t>43823296</t>
  </si>
  <si>
    <t>APOLINARIO CHANGANAQUI DE CHAMPA JULY MARGOT</t>
  </si>
  <si>
    <t>PROLONG-MOORE MZ C L T 4</t>
  </si>
  <si>
    <t>15724886</t>
  </si>
  <si>
    <t>AQUIJE ECHAGAYA WILLIAM FREDDY</t>
  </si>
  <si>
    <t>CALLE MANUEL GARAY 289 INT 5</t>
  </si>
  <si>
    <t>40158630</t>
  </si>
  <si>
    <t>AQUIJE MUÑOZ JOSE FELIX</t>
  </si>
  <si>
    <t>PASAJE VELARDE N° 122 / CALLE ENRIQUE LA ROSA N° 123</t>
  </si>
  <si>
    <t>06870017</t>
  </si>
  <si>
    <t>AQUIJE MUÑOZ, JOSE FELIX</t>
  </si>
  <si>
    <t>AQUINO FELIX WILLY ADRIAN</t>
  </si>
  <si>
    <t>AV. TOMAS VALLE N° 120 - MERCADO CENTRAL</t>
  </si>
  <si>
    <t>42972566</t>
  </si>
  <si>
    <t>AQUINO HUAMAN NELLY CRISTINA</t>
  </si>
  <si>
    <t>AA. HH TUPAC AMARU MZ "O"LT 3, LIMA, HUAURA, VEGUETA</t>
  </si>
  <si>
    <t>15761738</t>
  </si>
  <si>
    <t>AQUINO MENDEZ YONER YOEL</t>
  </si>
  <si>
    <t>AV. LOS SAUCES 163</t>
  </si>
  <si>
    <t>44795077</t>
  </si>
  <si>
    <t>AQUINO RIVERA MARCELINA ERASMA</t>
  </si>
  <si>
    <t>AV JOSE SACO ROJAS MZ. A4 LT. 14 URB, SAN ANTONIO DE CARABAYLLO 15121</t>
  </si>
  <si>
    <t>09788496</t>
  </si>
  <si>
    <t>AQUINO ROCCA ELSA</t>
  </si>
  <si>
    <t>JR. A. RAYMUNDI 533 INT. 28-45 C.C. LUNA PIZARRO</t>
  </si>
  <si>
    <t>40067408</t>
  </si>
  <si>
    <t>AQUINO ROCCA, ELSA</t>
  </si>
  <si>
    <t>AQUINO ROSALES EDITSON DAVID</t>
  </si>
  <si>
    <t>AV. AVENIDA NICOLLAS AYLLON 2025 Z.I ZONA INDUSTRIAL</t>
  </si>
  <si>
    <t>44936673</t>
  </si>
  <si>
    <t>AQUINO SANCHEZ ELMER ROMULO</t>
  </si>
  <si>
    <t>MZ. B LTE 16 RES. SAN CARLOS (PLAZA VEA PTE PIEDRA CON MOTO A PRDRO SAN CARLOS) CARABAYLLO</t>
  </si>
  <si>
    <t>00105626</t>
  </si>
  <si>
    <t>AQUINO SOTO DAYSE MEDALIT</t>
  </si>
  <si>
    <t>JR. FRANKLIN D. ROOSEVELT 164, CERCADO DE LIMA 15049</t>
  </si>
  <si>
    <t>40806546</t>
  </si>
  <si>
    <t>AQUINO VILCAYAURI EDUARDO</t>
  </si>
  <si>
    <t>AV. PETIT THOUARS NRO. 5356 INT. 2041 - 20469 COMPU PALACE (2DO. PISO</t>
  </si>
  <si>
    <t>45616160</t>
  </si>
  <si>
    <t>AQUINO VILCAYAURI, EDUARDO</t>
  </si>
  <si>
    <t>AQUISE TICONA ADOLFO</t>
  </si>
  <si>
    <t>AV.TUPAC AMARUC NRO.350 A.H VILLA CLORINDA DE MALAGA, LIMA, LIMA, COMAS</t>
  </si>
  <si>
    <t>45753437</t>
  </si>
  <si>
    <t>AQUISE VILCA JHON EDGAR</t>
  </si>
  <si>
    <t>MZ. G5 LT. 14 URB. VIRGEN DEL BUEN PASO</t>
  </si>
  <si>
    <t>71287487</t>
  </si>
  <si>
    <t>ARAMBURU CHAVEZ LUZ AMPARO</t>
  </si>
  <si>
    <t>AV. DOMINICOS PARADERO. EL TORNO. MZ M LOTE 04 FND VIRGEN DEL CARMEN.</t>
  </si>
  <si>
    <t>09911284</t>
  </si>
  <si>
    <t>ARAMBURU PUMACALLAO GIAN PIERRE</t>
  </si>
  <si>
    <t>JR LOS CLAVELES 349 URB MICAELA BASTIDAS</t>
  </si>
  <si>
    <t>72035738</t>
  </si>
  <si>
    <t>ARANA MANTILLA ROSA MARIA</t>
  </si>
  <si>
    <t>CALLE SANTA ROSA 1101 PARADERO 5 N.E.</t>
  </si>
  <si>
    <t>10078015</t>
  </si>
  <si>
    <t>ARANA MANTILLA, ROSA MARIA</t>
  </si>
  <si>
    <t>ARANCIVIA HORNA GIANCARLO</t>
  </si>
  <si>
    <t>CALLE ANTERIOR RISO PATRÓN N° 130</t>
  </si>
  <si>
    <t>09866020</t>
  </si>
  <si>
    <t>ARANDA BENAVENTE ANDERSON ALEXANDER</t>
  </si>
  <si>
    <t>JR. CAMANA 1135 - INT. 486</t>
  </si>
  <si>
    <t>40482967</t>
  </si>
  <si>
    <t>ARANDA BENAVENTE, ANDERSON ALEXANDER</t>
  </si>
  <si>
    <t>ARANDA CABANILLAS ELMER</t>
  </si>
  <si>
    <t>JR. PUNO N° 409</t>
  </si>
  <si>
    <t>22214 - ACTIVIDADES DE IMPRESION</t>
  </si>
  <si>
    <t>09957406 </t>
  </si>
  <si>
    <t>ARANDA ESCALANTE CRISTIAN RICARDO</t>
  </si>
  <si>
    <t>MZN2 TL1 CENTRO POBLADO ZAPALLAL</t>
  </si>
  <si>
    <t>43019112</t>
  </si>
  <si>
    <t>ARANDA GRADOS JULIO CESAR</t>
  </si>
  <si>
    <t>PSJ SANTA ROSA 183 ALTURA  AV ANGAMOS</t>
  </si>
  <si>
    <t>15700093</t>
  </si>
  <si>
    <t>ARANDA ROJAS EDWIN LUIS</t>
  </si>
  <si>
    <t>LOS ARBOLES ,MZ I LOTE 3 AAHH  SAN PABLO, VENTANILLA</t>
  </si>
  <si>
    <t>47745498</t>
  </si>
  <si>
    <t>ARANDA SALOME JOSE ALBERTO</t>
  </si>
  <si>
    <t>JR. FEDERICO BARRETO NRO. 379</t>
  </si>
  <si>
    <t>4530 - VENTAS DE PARTES, PIEZAS Y ACCESORIOS PARA VEHÍCULOS AUTOMOTORES</t>
  </si>
  <si>
    <t>40437974</t>
  </si>
  <si>
    <t>ARANGO SULCA ALFREDO</t>
  </si>
  <si>
    <t>JR. SAENZ PEÑA N° 170 INT. 4, LIMA, LIMA, LA VICTORIA</t>
  </si>
  <si>
    <t>41919423</t>
  </si>
  <si>
    <t>ARANGO SULCA, ALFREDO</t>
  </si>
  <si>
    <t>ARANZABAL RIOS MARIA ELENA</t>
  </si>
  <si>
    <t>AV. TUPAC AMARU N°5424 KM.12</t>
  </si>
  <si>
    <t>08133971</t>
  </si>
  <si>
    <t>ARAPA TICONA TITO DAVID</t>
  </si>
  <si>
    <t>GALERIA PLAZA HORIZONTE PRIMER SOTANO 123</t>
  </si>
  <si>
    <t>40802441</t>
  </si>
  <si>
    <t>ARAUJO ORTIZ ROSA MARIA</t>
  </si>
  <si>
    <t>SECTOR 1 GRUPO 12 MZ N LOTE 1</t>
  </si>
  <si>
    <t>09294296</t>
  </si>
  <si>
    <t>ARBIETO CALLO ELSA</t>
  </si>
  <si>
    <t>CALLE LOS TOPACIOS , MZ  C LOTE 8</t>
  </si>
  <si>
    <t>10623656</t>
  </si>
  <si>
    <t>ARCE ARMAS LUIS ELADIO</t>
  </si>
  <si>
    <t>AV. PUENTE PIEDRA NRO 1809 CALT DEL MERCADO 3 REGIONES</t>
  </si>
  <si>
    <t>41300205</t>
  </si>
  <si>
    <t>ARCE CARHUAMACA DASDY KARIN</t>
  </si>
  <si>
    <t>CALLE SANTA ROSA MZ H LOTE 2</t>
  </si>
  <si>
    <t>73090498</t>
  </si>
  <si>
    <t>ARCE LEON WILLIAMS ALEJANDRO</t>
  </si>
  <si>
    <t>AV. ANGAMOS ESTE NRO. 2485, LIMA, LIMA, SAN BORJA</t>
  </si>
  <si>
    <t>07546927</t>
  </si>
  <si>
    <t>ARCE MEJICO FROILAN MANUEL</t>
  </si>
  <si>
    <t>PASAJE INDACOCHEA 219</t>
  </si>
  <si>
    <t>15744328</t>
  </si>
  <si>
    <t>ARCE ROBLES JONATAN CRISTIAN</t>
  </si>
  <si>
    <t>CALLE MICAELA BASTIDAS NRO 210 SAN BARTOLOME ( A UNAS CUADRAS DEL COLISEO CERRADO)</t>
  </si>
  <si>
    <t>7500 - ACTIVIDADES VETERINARIAS</t>
  </si>
  <si>
    <t>48147198</t>
  </si>
  <si>
    <t>ARCE SALDIVAR EVELIN CARLA</t>
  </si>
  <si>
    <t>AV. CARLOS IZAGUIRRE 1570, SAN MARTIN DE PORRES 15109</t>
  </si>
  <si>
    <t>ARCE YAÑEZ HECTOR</t>
  </si>
  <si>
    <t>MZ. N  LT. 4 EL AGUSTINO (FRENTE AL PARQUE CAANAN)</t>
  </si>
  <si>
    <t>08330004</t>
  </si>
  <si>
    <t>ARCIBIA SAUNE SANTOS</t>
  </si>
  <si>
    <t>CP MENOR HUALCARA LOTE 21 CEDROS DE VILLA</t>
  </si>
  <si>
    <t>SAN VICENTE DE CAÑETE</t>
  </si>
  <si>
    <t>15357617</t>
  </si>
  <si>
    <t>ARCOS FLORES YSAAC MARCELINO</t>
  </si>
  <si>
    <t>MZ. C, LOTE 11, CALLE 1, ASOCIACION TRABAJO DE CHACRA CERRO</t>
  </si>
  <si>
    <t>ENSEÑANZA PREESCOLAR Y PRIMARIA</t>
  </si>
  <si>
    <t>06976352</t>
  </si>
  <si>
    <t>Ysaac Marcelino Arcos Flores</t>
  </si>
  <si>
    <t>ARECHE FERNANDEZ DIGNA TRINIDAD</t>
  </si>
  <si>
    <t>AV- LOS POSTES OESTE N 416 URB. SAN HILARION ALTO</t>
  </si>
  <si>
    <t>10353720</t>
  </si>
  <si>
    <t>ARELLANO HUATUCO ABDI OBED SANTOS</t>
  </si>
  <si>
    <t>PASAJE LOS FICUS NRO. 118 MZ. UC ASOCIACIÓN VILLA SHANGRILA, LIMA, LIMA, PUENTE PIEDRA</t>
  </si>
  <si>
    <t>47369908</t>
  </si>
  <si>
    <t>ARELLANO NUÑEZ ROLANDO ABIMAEL</t>
  </si>
  <si>
    <t>MANZANA B5 LOTE 11SECTOR B CPR HUERTOS DE MANCHAY-REFERENCIA FRENTE A LA MUNICIPALIDAD DE HUERTOS</t>
  </si>
  <si>
    <t>43112309</t>
  </si>
  <si>
    <t>ARELLANO PEREZ CELESTINO FERNANDO</t>
  </si>
  <si>
    <t>UCV 78 LOT. 48 ZONA E HUAYCÁN</t>
  </si>
  <si>
    <t>46239417</t>
  </si>
  <si>
    <t>ARENAS FRIAS CESAR RENATO</t>
  </si>
  <si>
    <t>JR. TNTE ARISTIDES DEL CARPIO NRO. 1626 URB. LOS CIPRESES  (ALT. CDRA 32 AV. VENEZUELA)</t>
  </si>
  <si>
    <t>Principal - 6209 - OTRAS ACTIVIDADES DE TECNOLOGÍA DE LA INFORMACIÓN Y DE SERVICIOS INFORMÁTICOS</t>
  </si>
  <si>
    <t>74870474</t>
  </si>
  <si>
    <t>ARENAS FRIAS, CESAR RENATO</t>
  </si>
  <si>
    <t>ARENAS HERRERA JESUS ALEXANDER</t>
  </si>
  <si>
    <t>AV. LOS ALIZOS MZ. B LOTE 06 ASOC. HORIZONTE AZUL ET. II - CALLAO (FRENTE AL CENTRO COMERCIAL LOS ALIZOS)</t>
  </si>
  <si>
    <t>42451188</t>
  </si>
  <si>
    <t>ARENAS VILLANUEVA SERGIO KEVIN</t>
  </si>
  <si>
    <t>JR. CARLOS CABRERA NRO 411</t>
  </si>
  <si>
    <t>60153865</t>
  </si>
  <si>
    <t>ARESTE GUTIERREZ LUIS ANGEL</t>
  </si>
  <si>
    <t>AV. SANTA ROSA DE LIMA 2212 MZ. G-1 LT. 16A URB. LA HUAYRONA 2DO PISO</t>
  </si>
  <si>
    <t>47391945</t>
  </si>
  <si>
    <t>AREVALO FLORES JORGE ARTURO</t>
  </si>
  <si>
    <t>JR. GUAYABAS 2089 BLOCK C DPTO. 306</t>
  </si>
  <si>
    <t>ARI SOTACURO JOSE LUIS</t>
  </si>
  <si>
    <t>KM 16 EXFUNDO PARIACHI, LIMA-ATE</t>
  </si>
  <si>
    <t>71033513</t>
  </si>
  <si>
    <t>ARI SOTACURO, JOSE LUIS</t>
  </si>
  <si>
    <t>ARIAS FRANCIA JHAIR SEBASTIAN</t>
  </si>
  <si>
    <t>SAN ANTONIO  .H. VILLA PARAISO</t>
  </si>
  <si>
    <t>73980479</t>
  </si>
  <si>
    <t>ARIAS HUAMAN ELIANA</t>
  </si>
  <si>
    <t>URB. SAN CARLOS MZ B LOTE 10</t>
  </si>
  <si>
    <t>72553143</t>
  </si>
  <si>
    <t>ARIAS RAMOS SEGUNDO</t>
  </si>
  <si>
    <t>JIRON SUSPIROS NRO. 313, LIMA, LIMA, PACHACAMAC</t>
  </si>
  <si>
    <t>07889539</t>
  </si>
  <si>
    <t>ARIAS RAMOS, SEGUNDO</t>
  </si>
  <si>
    <t>ARIAS VALENCIA ALEX ROLANDO</t>
  </si>
  <si>
    <t>JR. LORENZO LOZANO 982</t>
  </si>
  <si>
    <t>40083953</t>
  </si>
  <si>
    <t>ARIAS VEGA JOSE ANTONIO</t>
  </si>
  <si>
    <t>AV ANTIGUA PANAMERICANA SUR 602</t>
  </si>
  <si>
    <t>70200852</t>
  </si>
  <si>
    <t>ARIMAYA MELENDEZ MELANIE ZOILA HELLEN</t>
  </si>
  <si>
    <t>AV. FAUSTO FAUSTOR 305</t>
  </si>
  <si>
    <t>48743600</t>
  </si>
  <si>
    <t>ARMAS BENAVIDES RAUL MARCELO</t>
  </si>
  <si>
    <t>CALLE FORTUNATO QUEZADA 113, LIMA, LIMA, SAN MIGUEL</t>
  </si>
  <si>
    <t>73262442</t>
  </si>
  <si>
    <t>ARMAS BENAVIDES, RAUL MARCELO</t>
  </si>
  <si>
    <t>ARMAS MANDUJANO VICENTE EDINSON</t>
  </si>
  <si>
    <t>URBANIZACION LOS SAUCES MZ. H LT.10 ATE</t>
  </si>
  <si>
    <t>Principal - 4520 - MANTENIMIENTO Y REPARACIÓN DE VEHÍCULOS AUTOMOTORES</t>
  </si>
  <si>
    <t>06550241</t>
  </si>
  <si>
    <t>ARMAS MANDUJANO, VICENTE EDINSON</t>
  </si>
  <si>
    <t>ARNAO TREJO ARACELY MARGORIT</t>
  </si>
  <si>
    <t>AV. BUENOS AIRES MZ "L" LT "26" ASOC. DE VIVIENDA GRAMADAL (REFERENCIA AL FRENTE DEL MECADO 3 REGIONES. TALLER PERUSHI.)</t>
  </si>
  <si>
    <t>73232234</t>
  </si>
  <si>
    <t>ARNERO ANTAY CAROLINE JEANNETTE</t>
  </si>
  <si>
    <t>JR.ANDAHUAYLAS 665 STAND 360 3ER.PISO GALERIA EL DORADO 1</t>
  </si>
  <si>
    <t>47951279</t>
  </si>
  <si>
    <t>ARONI ALVARADO WILLIAM</t>
  </si>
  <si>
    <t>AV. DEFENSORES DE LIMA MZA. D-7 LOTE. 12 -V25G+J39, ALLENDE</t>
  </si>
  <si>
    <t>10489105</t>
  </si>
  <si>
    <t>ARPI JESUS FIORELLA VANESSA</t>
  </si>
  <si>
    <t>AV. PEDRO BELTRAN CALLE 17 S/N AL COSTADO DEL LOCAL DE LOS JUBILADOS</t>
  </si>
  <si>
    <t>44121110</t>
  </si>
  <si>
    <t>ARQUE CARREÑO ALFREDO MAXIMILIANO</t>
  </si>
  <si>
    <t>CALLE LOS OLIVOS 107 LA ALBORADA</t>
  </si>
  <si>
    <t>46730609 </t>
  </si>
  <si>
    <t>ARRECE PRIETO JACQUELINE MONICA</t>
  </si>
  <si>
    <t>AV. SANTO DOMINGO, CARABAYLLO 15319</t>
  </si>
  <si>
    <t>43846725</t>
  </si>
  <si>
    <t>ARRIBASPLATA RAMIREZ WALTER ALCIDES</t>
  </si>
  <si>
    <t>JN. 11 DE AGOSTO 769 P.J. CERCADO</t>
  </si>
  <si>
    <t>08957252</t>
  </si>
  <si>
    <t>ARRIETA ROSALES ELSA LUZ</t>
  </si>
  <si>
    <t>LAS GARDENIAS MZ B12 LT 18</t>
  </si>
  <si>
    <t>09595589</t>
  </si>
  <si>
    <t>ARROYO CHUNGA JOSE WILDER</t>
  </si>
  <si>
    <t>JR CARLOS GUTIERREZ, FRENTE A MERCADO LA POLVORA - LA VICTORIA</t>
  </si>
  <si>
    <t>MANTENIMIENTO DEL SISTEMA ELECTRICO DE VEHÍCULOS</t>
  </si>
  <si>
    <t>07514990</t>
  </si>
  <si>
    <t>ARROYO PACHECO RICARDO</t>
  </si>
  <si>
    <t>CARRETERA CENTRAL KM13.5- PARADERO LOS PINOS ( MECANICA DIESSEL RICARDO)</t>
  </si>
  <si>
    <t>45666635</t>
  </si>
  <si>
    <t>ARTEAGA SORIA LUIS ANGEL</t>
  </si>
  <si>
    <t>CALLE SATURNO 129, MARIATEGUI, VILLA MARIA DEL TRIUNFO.</t>
  </si>
  <si>
    <t>PROGRAMACIÓN INFORMÁTICA</t>
  </si>
  <si>
    <t>47802005</t>
  </si>
  <si>
    <t>ARTEAGA TAVERA FIORELLA</t>
  </si>
  <si>
    <t>AVENICA URUBAMBA 468</t>
  </si>
  <si>
    <t>43041970</t>
  </si>
  <si>
    <t>ARTICA FLORES LUIS MIGUEL</t>
  </si>
  <si>
    <t>URBANIZACIÓN LA AURORA CALLE ATAHUALPA</t>
  </si>
  <si>
    <t>47003299</t>
  </si>
  <si>
    <t>ARVELO VEGAS YOSSUA ALEJANDRO</t>
  </si>
  <si>
    <t>AV GARCILASO DE LA VEGA 1272 INT 139</t>
  </si>
  <si>
    <t>03285756</t>
  </si>
  <si>
    <t>ARZAPALO ARIAS ESTHER BEATRIZ</t>
  </si>
  <si>
    <t>MZ. A LT.8 PARTE DEL FDO. CARAPONGO DE VIVI. EL PORTILLO</t>
  </si>
  <si>
    <t>48145767</t>
  </si>
  <si>
    <t> ARZAPALO ARIAS ESTHER BEATRIZ</t>
  </si>
  <si>
    <t>ASCARZA VILLARREAL CESAR ANTONIO</t>
  </si>
  <si>
    <t>LOS ANGELES 418 , HUARAL, HUARAL, HUARAL</t>
  </si>
  <si>
    <t>32047831</t>
  </si>
  <si>
    <t>ASENCIOS DAMIAN MANUEL TEODOCIO</t>
  </si>
  <si>
    <t>CAL.30 MZA. C1 LOTE. 10 URB. SANTA AURELIA (ALT DE LA PUERTA 4 DE PRODUCTORES) LIMA, LIMA, SANTA ANITA</t>
  </si>
  <si>
    <t>ASENCIOS ESPINOZA YULVET ALEXIA</t>
  </si>
  <si>
    <t>ASC.Y PRO LA GRAMA CALLE LAS VIÑAS 110B H1 PUENTE PIEDRA</t>
  </si>
  <si>
    <t>74532831</t>
  </si>
  <si>
    <t>ASENCIOS ÑAHUI LENIN</t>
  </si>
  <si>
    <t>JR COROPUNA MZ G14  LT1(LAS DELICIAS DE VILLA -3RA ZONA) CHORRILLOS</t>
  </si>
  <si>
    <t>45002427</t>
  </si>
  <si>
    <t>ASENCIOS PASCUAL VICTOR TEODORO</t>
  </si>
  <si>
    <t>MZ. H LT. 03 URB. ASOCIACION DE VIVIENDA SANTA ROSA, LIMA, LIMA, ANCON</t>
  </si>
  <si>
    <t>25755033</t>
  </si>
  <si>
    <t>ASENCIOS PASCUAL, VICTOR TEODORO</t>
  </si>
  <si>
    <t>ASIS VALVERDE YESICA NELIDA</t>
  </si>
  <si>
    <t>MZ. B LOTE 03 VALLE CHILLÓN</t>
  </si>
  <si>
    <t>46747166</t>
  </si>
  <si>
    <t>ASPAJO MONTOYA JAIME FRANCISCO</t>
  </si>
  <si>
    <t>AV 200 MILLAS MZ B LT 8 LIBERTAD PACHATUTEC VENTANILLA</t>
  </si>
  <si>
    <t>OTRAS ACTIVIDADES DE VENTA AL POR MENOR NO REALIZADAS EN COMERCIOS, PUESTOS DE VENTA O MERCADOS</t>
  </si>
  <si>
    <t>46614526</t>
  </si>
  <si>
    <t>ASTETE HUAYRE MANUEL ABRAHAN</t>
  </si>
  <si>
    <t>MZ R LOTE 7 ASOCIACION DE PROPIETARIOS PARQUE INDUSTRIAL EL ASESOR, LIMA, ATE VITARTE</t>
  </si>
  <si>
    <t>43627675</t>
  </si>
  <si>
    <t>ASTETE PORRAS EDWIN</t>
  </si>
  <si>
    <t>PAN. NORTE KM 35.5 MERCADO TRES REGIONES MZ A LT 2 ASOC. MICAELA BASTIDAS</t>
  </si>
  <si>
    <t>45236762</t>
  </si>
  <si>
    <t>ASTO LUPA JUAN PABLO</t>
  </si>
  <si>
    <t>AV. EL SOL MZ R1 LOTE 47 URB SAN CARLOS</t>
  </si>
  <si>
    <t>40872412</t>
  </si>
  <si>
    <t>ASTO MONTES BENIGNO LEANDRO</t>
  </si>
  <si>
    <t>CALLE LEONCIO PRADO N° 159</t>
  </si>
  <si>
    <t>70751857</t>
  </si>
  <si>
    <t>ASTOYAURE CASAFRANCA EVER LUIS</t>
  </si>
  <si>
    <t>AV BELISARIO SUAREZ 1102</t>
  </si>
  <si>
    <t>43814692</t>
  </si>
  <si>
    <t>ASTUDILLOS SANTISTEBAN EDER</t>
  </si>
  <si>
    <t>CALLE LAS PRENSAS 175, INDEPENDENCIA</t>
  </si>
  <si>
    <t>43906987</t>
  </si>
  <si>
    <t>ATAHUA RIVERA EMERSON PIO</t>
  </si>
  <si>
    <t>MZ. A LT. 1 URB. - LOS FRUTALES</t>
  </si>
  <si>
    <t>40485116</t>
  </si>
  <si>
    <t>ATAO CABALLERO ENRIQUE ESTANISLAO</t>
  </si>
  <si>
    <t>LOTIZACION NARANJITOS MZ. D LT. 6, LIMA, LIMA, PUENTE PIEDRA</t>
  </si>
  <si>
    <t>09012251</t>
  </si>
  <si>
    <t>ATAPAUCAR BARDALES RICHARD RAFAEL</t>
  </si>
  <si>
    <t>JR. JUAN JOSE MUÑOZ N354</t>
  </si>
  <si>
    <t>09962338</t>
  </si>
  <si>
    <t>ATAPAUCAR BARDALES, RICHARD RAFAEL</t>
  </si>
  <si>
    <t>ATAUSUPA PARRAGUEZ LUZ YRENE</t>
  </si>
  <si>
    <t>AV. SUCRE 1430, MAGDALENA DEL MAR</t>
  </si>
  <si>
    <t>10595958</t>
  </si>
  <si>
    <t>ATENCIA TORRES ENRIQUE ROY</t>
  </si>
  <si>
    <t>P.J PORRAS BARRENECHEA MZ. 111 LT. 2</t>
  </si>
  <si>
    <t>40140398</t>
  </si>
  <si>
    <t>ATENCIA TORRES, ENRIQUE ROY</t>
  </si>
  <si>
    <t>ATENCIO CRISTOBAL QUENYI LUCERO</t>
  </si>
  <si>
    <t>MZ F1 LT 03 JR. JESURALEN</t>
  </si>
  <si>
    <t>72935791</t>
  </si>
  <si>
    <t>ATOCHE BARBOZA JOSE LUIS</t>
  </si>
  <si>
    <t>MZ B LT 18 AA.HH. SEÑOR DE LOS MILAGROS</t>
  </si>
  <si>
    <t>09695607</t>
  </si>
  <si>
    <t>ATTO MERINO BENITA MADELEINE</t>
  </si>
  <si>
    <t>CALLE LOS GERANEOS MZ. K LT. 15 URB. COOVITIOMAR</t>
  </si>
  <si>
    <t>52206 - VTA. MIN. ALIMENTOS, BEBIDAS, TABACO.</t>
  </si>
  <si>
    <t>25700913</t>
  </si>
  <si>
    <t>ATUSPARIA CCORA LUCY GIOVANNA</t>
  </si>
  <si>
    <t>AV 23 DE SETEMBRE MZ K5 LOTE</t>
  </si>
  <si>
    <t>41243648</t>
  </si>
  <si>
    <t>AUCCA USANDIVAREZ ABEL JHONY</t>
  </si>
  <si>
    <t>SAN DIEGO  3RA ETAPA CARABAYLLO MZ C LOTE 22 CARABAYLLO - LIMA</t>
  </si>
  <si>
    <t>44529113</t>
  </si>
  <si>
    <t>AUCCAPUCLLA MORAN WALTER JESUS</t>
  </si>
  <si>
    <t>AV. LA MOLINA NRO. SN (RESTAURANT DENTRO DE LA UNIVERSIDAD AGRARIA), LIMA, LIMA, LA MOLINA</t>
  </si>
  <si>
    <t>80180624</t>
  </si>
  <si>
    <t>AUCCAPUCLLA MORAN, WALTER JESUS</t>
  </si>
  <si>
    <t>AUQUI PONGO JULY PILAR</t>
  </si>
  <si>
    <t>AV. LOS ALISOS NRO 966, LIMA, LIMA, LOS OLIVOS</t>
  </si>
  <si>
    <t>9412 - ACTIVIDADES DE ASOCIACIONES PROFESIONALES</t>
  </si>
  <si>
    <t>70033595</t>
  </si>
  <si>
    <t>AUQUI PONGO, JULY PILAR</t>
  </si>
  <si>
    <t>AUSEJO ESCRIBA CARLOS ERICK</t>
  </si>
  <si>
    <t>AV. INCA GARCILASO DE LA VEGA #1261 INTERIOR S143</t>
  </si>
  <si>
    <t>41106122</t>
  </si>
  <si>
    <t>AVALOS ESPINOZA GERARDO CESAR</t>
  </si>
  <si>
    <t>CALLE AV. LIMA SUR 1702</t>
  </si>
  <si>
    <t>41252164</t>
  </si>
  <si>
    <t>AVALOS MARRUFO OFELIA GRIMANESA</t>
  </si>
  <si>
    <t>AV DESCANSO MZ 38 LT 1</t>
  </si>
  <si>
    <t>07696395</t>
  </si>
  <si>
    <t>AVILA CHUQUICAJA ERIKA MILAGROS</t>
  </si>
  <si>
    <t>JR. LAS CORALINAS N°. 626A URB. LAS FLORES</t>
  </si>
  <si>
    <t>41104994</t>
  </si>
  <si>
    <t>AVILA MENDOZA FELIPE</t>
  </si>
  <si>
    <t>MZA. A LOTE. 25 BUENAVISTA (AV. LAS MORAS SUB LOTE 4-5)</t>
  </si>
  <si>
    <t>07690024</t>
  </si>
  <si>
    <t>AVILA RUEDA WILLINTONG VICENTE</t>
  </si>
  <si>
    <t>HUARANGAL BAJO LOTE 1, LIMA, LIMA, LURIN</t>
  </si>
  <si>
    <t>44775837</t>
  </si>
  <si>
    <t>AVILES GOMEZ YAKELIN CAROL</t>
  </si>
  <si>
    <t>AV. BOLIVIA 15001 STAND 2221 GALERÍA</t>
  </si>
  <si>
    <t>16022027</t>
  </si>
  <si>
    <t>AVILES GOMEZ, YAKELIN CAROL</t>
  </si>
  <si>
    <t>AVILES ORTIS EDUVIO</t>
  </si>
  <si>
    <t>MZ D LT 1 ASOC MIRAFLORES, PTE PIEDRA, AV COPACABANA</t>
  </si>
  <si>
    <t>45129042</t>
  </si>
  <si>
    <t>AYALA CAMPO ADOLFO</t>
  </si>
  <si>
    <t>AV. 2 DE OCTUBRE MZ H LOTE 5, AA.HH LOS OLIVOS DE PRO</t>
  </si>
  <si>
    <t>44282517</t>
  </si>
  <si>
    <t>AYALA CORZO TEOFILO PAULINO</t>
  </si>
  <si>
    <t>URB LAS PRADERAS DE OQUENDO MZ. H LT 2 (PRDRO. ZETAGAS DE GAMBETTA, ACAPULCO CON ALAMEDA CENTRAL) OQUENDO</t>
  </si>
  <si>
    <t>25429095</t>
  </si>
  <si>
    <t>AYALA GUTIERREZ SAMUEL</t>
  </si>
  <si>
    <t>ASOC. DE VIV. 3 DE MAYO MZ.C LT. 17 (ALTURA PTE. HUAYCOLORO)</t>
  </si>
  <si>
    <t>09563132</t>
  </si>
  <si>
    <t>AYALA HUAMANI JUAN CARLOS</t>
  </si>
  <si>
    <t>LA MOLINA CALLE LAS PALMERAS MZ. P LOTE.09, VIÑA ALTA</t>
  </si>
  <si>
    <t>10065314</t>
  </si>
  <si>
    <t>AYALA LEON DANNA</t>
  </si>
  <si>
    <t>AV. A MZ. 27 LT. 14</t>
  </si>
  <si>
    <t>75374791</t>
  </si>
  <si>
    <t>AYALA LEON, DANNA</t>
  </si>
  <si>
    <t>AYALA PALOMINO CECILIA</t>
  </si>
  <si>
    <t>AV. NICOLAS AYLLON N° 212</t>
  </si>
  <si>
    <t>41868331</t>
  </si>
  <si>
    <t>AYALA PALOMINO, CECILIA</t>
  </si>
  <si>
    <t>AYALA POLLO DIANA</t>
  </si>
  <si>
    <t>JR. CAPAC YUPANQUI NRO 1515</t>
  </si>
  <si>
    <t>55205 - RESTAURANTES, BARES Y CANTINAS.</t>
  </si>
  <si>
    <t>43203204</t>
  </si>
  <si>
    <t>AYALA QUISPE HECTOR GERARDO</t>
  </si>
  <si>
    <t>JR.LOS ROSALES 410 EL PROGRESO</t>
  </si>
  <si>
    <t>42850744</t>
  </si>
  <si>
    <t>AYALA SOTO DE QUISPE BETTY MAGDA</t>
  </si>
  <si>
    <t>AV. A.TORRES NRO. 366 URB. CESAR VALLEJO</t>
  </si>
  <si>
    <t>09724216</t>
  </si>
  <si>
    <t>AYLAS NIETO DARIO CIRO</t>
  </si>
  <si>
    <t>AV. GERARDO UNGER 5133 URBANIZACIÓN INDUSTRIAL NARANJAL</t>
  </si>
  <si>
    <t>25832052</t>
  </si>
  <si>
    <t>AYLLON CANDELA KUSWAN JOEL</t>
  </si>
  <si>
    <t>JR 2 DE MAYO 141</t>
  </si>
  <si>
    <t>40348288</t>
  </si>
  <si>
    <t>AYLLON CAPCHA ROGER</t>
  </si>
  <si>
    <t>CALLE MARISCAL CASTILLA S/N</t>
  </si>
  <si>
    <t>09349948</t>
  </si>
  <si>
    <t>AYMA PUMASUPA NELIDA</t>
  </si>
  <si>
    <t>URB. LOS CLAVELES MZ. K LT. 18 NUEVO LURIN</t>
  </si>
  <si>
    <t>VTA. MIN. PRODUCTOS TEXTILES, CALZADO.</t>
  </si>
  <si>
    <t>10182256</t>
  </si>
  <si>
    <t>AYMA VALENCIA JIMMY PEDRO</t>
  </si>
  <si>
    <t>AV. URUBAMBA N° 440 COOPERATIVA 27 DE ABRIL, LIMA, LIMA, ATE</t>
  </si>
  <si>
    <t>41689660</t>
  </si>
  <si>
    <t>AYMARA TORRES FELIPE</t>
  </si>
  <si>
    <t>AV. PALERMO 235 URB. BALCONCILLO</t>
  </si>
  <si>
    <t>07500476</t>
  </si>
  <si>
    <t>AYRA HERRERA EDITH CELIA</t>
  </si>
  <si>
    <t>JIRON CANTA 322</t>
  </si>
  <si>
    <t>75376781</t>
  </si>
  <si>
    <t>AZABACHE BOBADILLA JOSE</t>
  </si>
  <si>
    <t>CALLE YUPANQUI MZ A LOTE 6 CERRO CACHITO.</t>
  </si>
  <si>
    <t>16559553</t>
  </si>
  <si>
    <t>AZABACHE SARMIENTO LUIS AURELIO</t>
  </si>
  <si>
    <t>CALLE EL PARQUE 220 URB. EL OLIVAR MZ C LT.18 CALLAO</t>
  </si>
  <si>
    <t>25793283</t>
  </si>
  <si>
    <t>AZAÑERO RIVERA ETHEL FIORELLA</t>
  </si>
  <si>
    <t>JR. BARREDA Y AGUILAR 113</t>
  </si>
  <si>
    <t>47111031</t>
  </si>
  <si>
    <t>AZAÑERO RIVERA, ETHEL FIORELLA</t>
  </si>
  <si>
    <t>AZULA FIGUEROA JUAN MANUEL</t>
  </si>
  <si>
    <t>FUNDO SAN VICENTE KM.36, CENTRO COMERCIAL PLAZA SUR, 1ER PISO - MODULO 1</t>
  </si>
  <si>
    <t>40644543</t>
  </si>
  <si>
    <t>AZURZA AVILA PERLA PALOMA</t>
  </si>
  <si>
    <t>AV. DEFENSORES DEL MORRO MZ. K LT. 14 SAGRADA FAMILIA</t>
  </si>
  <si>
    <t>75491659</t>
  </si>
  <si>
    <t>AZURZA AVILA, PERLA PALOMA</t>
  </si>
  <si>
    <t>AZURZA CRUZ EDWIN</t>
  </si>
  <si>
    <t>AV. 28 DE JULIO 199, SAN VICENTE DE CAÑETE</t>
  </si>
  <si>
    <t>40753593</t>
  </si>
  <si>
    <t>BADAJOS CUYAHUACHI CLAUDIO LUCIANO</t>
  </si>
  <si>
    <t>ASOC. DE VIVIENDA SAN FELIPE MZ A LT 2 SAN PEDRO CARABAYLLO</t>
  </si>
  <si>
    <t>06817165</t>
  </si>
  <si>
    <t>BADARACCO MATOS RUDY YOVANNI</t>
  </si>
  <si>
    <t>CALLE TEGUCIGALPA 320 URB. PERÚ SAN MARTIN DE PORRES</t>
  </si>
  <si>
    <t>40639215</t>
  </si>
  <si>
    <t>BALBIN PACHECO HERMELINDA DARIA</t>
  </si>
  <si>
    <t>AV. BOLIVIA N° 148 STAND 2142, LIMA, LIMA, LIMA</t>
  </si>
  <si>
    <t>02638679</t>
  </si>
  <si>
    <t>BALBIN PACHECO, HERMELINDA DARIA</t>
  </si>
  <si>
    <t>BALBOA ORQUECHO JUAN DE DIOS</t>
  </si>
  <si>
    <t>AV. INDUSTRIAL MZ.Q-LTE. 17 URB. EL PINO</t>
  </si>
  <si>
    <t>09766818</t>
  </si>
  <si>
    <t>BALDEON LAVALLE DIEGO DANIEL</t>
  </si>
  <si>
    <t>CALLE PUNO 331</t>
  </si>
  <si>
    <t>71329383</t>
  </si>
  <si>
    <t>BALDEON MEZA SAUL LEONIDAS</t>
  </si>
  <si>
    <t>JIRON TACNA N° 568</t>
  </si>
  <si>
    <t>40814235</t>
  </si>
  <si>
    <t>BALDEON MEZA, SAUL LEONIDAS</t>
  </si>
  <si>
    <t>BALDERA BANCES FAUSTO</t>
  </si>
  <si>
    <t>MZ. B LOTE. 03 A.V. LA CAPITANA</t>
  </si>
  <si>
    <t>41642954</t>
  </si>
  <si>
    <t xml:space="preserve"> BALDERA BANCES FAUSTO</t>
  </si>
  <si>
    <t>BALDOCEDA EGOAVIL ABEL ESTEBAN</t>
  </si>
  <si>
    <t>AV CHIMPU OCLLO 1383 TRAPICHE</t>
  </si>
  <si>
    <t>50203 - MANTENIMIENTO Y REPARAC. VEHÍCULOS</t>
  </si>
  <si>
    <t>09019597</t>
  </si>
  <si>
    <t>BALDOCEDA RODRIGUEZ FRANCISCO</t>
  </si>
  <si>
    <t>AV. LIMA 1430, LIMA, LIMA, SMP</t>
  </si>
  <si>
    <t>09913351</t>
  </si>
  <si>
    <t>BALTAZAR BELTRAN MARJORIE LUISA</t>
  </si>
  <si>
    <t>URB. LIMA CERCADO JR. PUNO NRO 409</t>
  </si>
  <si>
    <t>47965626</t>
  </si>
  <si>
    <t>BANCES CABRERA MARCOS ANTONIO</t>
  </si>
  <si>
    <t>JR. SAN MARTIN 432</t>
  </si>
  <si>
    <t>PUNO</t>
  </si>
  <si>
    <t>SAN ROMAN</t>
  </si>
  <si>
    <t>JULIACA</t>
  </si>
  <si>
    <t>VENTA AL POR MENOR DE ORDENADORES, EQUIPO PERIFÉRICO, PROGRAMA DE INFORM. Y EQU. DE TELEC. EN COMERCIOS ESPECIALIZADOS</t>
  </si>
  <si>
    <t>74894996</t>
  </si>
  <si>
    <t>BANDA MOZO VIRGILIO</t>
  </si>
  <si>
    <t>AV. CATALINA MIRANDA 282</t>
  </si>
  <si>
    <t>41704765</t>
  </si>
  <si>
    <t>BAÑON ROSALES RICARDO</t>
  </si>
  <si>
    <t>AV. SAN FRANCISCO S/NRO ( A DOS CUADRAS DE PANADERIA MI CASITA)</t>
  </si>
  <si>
    <t>15859939</t>
  </si>
  <si>
    <t>BARBOZA DE LAS CASAS ANGELA GERALDINE</t>
  </si>
  <si>
    <t>JULIO CESAR TELLO 154</t>
  </si>
  <si>
    <t>40251283</t>
  </si>
  <si>
    <t>BARBUDO ALVA ELIZABETH YOVANA</t>
  </si>
  <si>
    <t>JR. FERNANDO LOPEZ ALDAÑA 396 (CRUCE CON AV.GERARDO UNGER 6302)</t>
  </si>
  <si>
    <t>47104454</t>
  </si>
  <si>
    <t>BARDALES SORIA EDWIN ROLAND</t>
  </si>
  <si>
    <t>JR. PEDRO RUIZ GALLO 203</t>
  </si>
  <si>
    <t>05415345</t>
  </si>
  <si>
    <t>BARDALES SUNG MIGUEL MARTIN ARTURO</t>
  </si>
  <si>
    <t>PROG DE VIVI. LOS NOGALES DE SAN DIEGO MZ F LOTE 22 ETAPA 2</t>
  </si>
  <si>
    <t>46073402</t>
  </si>
  <si>
    <t>BARILLAS PEVE EUDENIA CELEDONIA</t>
  </si>
  <si>
    <t>CALLE LOS OLIVOS HERBAY ALTO</t>
  </si>
  <si>
    <t>15359218</t>
  </si>
  <si>
    <t>BARRAGAN MELENDEZ EDUARDO ALFONSO</t>
  </si>
  <si>
    <t>CALLE LOS OLIVOS NRO. 195 URB. ALBORADA</t>
  </si>
  <si>
    <t>03341151</t>
  </si>
  <si>
    <t>BARRANTES SANCHEZ SEGUNDO SEVERINO</t>
  </si>
  <si>
    <t>AV. METROPOLITANO 746</t>
  </si>
  <si>
    <t>46321897</t>
  </si>
  <si>
    <t>BARRAZA JIMENEZ JOEL ENRIQUE</t>
  </si>
  <si>
    <t>AV REPÚBLICA DE PANAMÁ NRO 5104</t>
  </si>
  <si>
    <t>48219406</t>
  </si>
  <si>
    <t>BARRENECHEA MANRIQUE ANA RUBI</t>
  </si>
  <si>
    <t>JR. AUSEJO SALAS NRO 189 - HUACHO</t>
  </si>
  <si>
    <t>52322 - VTA. MIN. PRODUCTOS TEXTILES, CALZADO.</t>
  </si>
  <si>
    <t>15616234</t>
  </si>
  <si>
    <t>BARRETO MAYON VICTOR</t>
  </si>
  <si>
    <t>AV. URUBAMBA N° 313 COOP. 27 DE ABRIL, LIMA, LIMA, ATE</t>
  </si>
  <si>
    <t>46503924</t>
  </si>
  <si>
    <t>BARRETO PALACIOS JOSE DANIEL</t>
  </si>
  <si>
    <t>CAR. PANAMERICA NORTE KM 1574</t>
  </si>
  <si>
    <t>43352647</t>
  </si>
  <si>
    <t>BARRETO PARRA MAIRA NATALY</t>
  </si>
  <si>
    <t>SANTA ELVIRA MZ B LT 1</t>
  </si>
  <si>
    <t>45835363</t>
  </si>
  <si>
    <t>BARRETO PARRA, MAIRA NATALY</t>
  </si>
  <si>
    <t>BARRETO ROJAS EDITH FLORENCIA</t>
  </si>
  <si>
    <t>JIRON JOSÉ SANTOS ATAHUALPA 901 URB. EL TREBOL 3 ERA ETAPA</t>
  </si>
  <si>
    <t>4822501</t>
  </si>
  <si>
    <t>BARRIENTOS AQUINO ALEX JUNIOR</t>
  </si>
  <si>
    <t>AV NN5 S-8 ASOC CIVIL PARIACHI 3 ETAPA</t>
  </si>
  <si>
    <t>43270642</t>
  </si>
  <si>
    <t>BARRIENTOS AQUINO, ALEX JUNIOR</t>
  </si>
  <si>
    <t>BARRIENTOS BIZARRO EDUARDO</t>
  </si>
  <si>
    <t>JR. 28 DE DICIEMBRE 431</t>
  </si>
  <si>
    <t>4751 - VENTA AL POR MENOR DE PRODUCTOS TEXTILES EN COMERCIOS ESPECIALIZADOS</t>
  </si>
  <si>
    <t>77669392</t>
  </si>
  <si>
    <t>BARRIONUEVO TAIPE JAVIER ANDY</t>
  </si>
  <si>
    <t>AV. ARGENTINA 344, LIMA 15001 CENTRO COMERCIAL EL PROGRESO 2 TIENDAS I-41, I-42, I-43</t>
  </si>
  <si>
    <t>42375107</t>
  </si>
  <si>
    <t>BARRIOS HUAMANLAZO REBECA</t>
  </si>
  <si>
    <t>OTR.PARCELA NRO. A24 C.C. AUCALLAMA (SECTOR SAN GRACIANO ALTO)</t>
  </si>
  <si>
    <t>22461385</t>
  </si>
  <si>
    <t>BARRIOS HUAMANLAZO, REBECA</t>
  </si>
  <si>
    <t>BARRUTIA CILIPU LUIS ALEJANDRO</t>
  </si>
  <si>
    <t>PASAJE VALDIVIA N° 134 FRENTE DEL TERMINAL DEL OVALO</t>
  </si>
  <si>
    <t>74295620</t>
  </si>
  <si>
    <t>BARTOLO TORRES VILMA</t>
  </si>
  <si>
    <t>AV. MARISCAL NIETO 119</t>
  </si>
  <si>
    <t>21285514</t>
  </si>
  <si>
    <t>BARZOLA CAPCHA JHON WAGNER</t>
  </si>
  <si>
    <t>AV. NARANJAL MZ. A LOTE 12 - OVALA DE CANTA CALLAO</t>
  </si>
  <si>
    <t>51906 - VTA. MAY. DE OTROS PRODUCTOS</t>
  </si>
  <si>
    <t>45515065</t>
  </si>
  <si>
    <t>BARZOLA CASAÑO ERICK PAUL</t>
  </si>
  <si>
    <t>AV. BOLIVIA NRO. 148 INT. 2306 (C.C. CENTRO LIMA) LIMA, LIMA, LIMA</t>
  </si>
  <si>
    <t>22214 - ACTIVIDADES DE IMPRESION.</t>
  </si>
  <si>
    <t>44922647</t>
  </si>
  <si>
    <t>BARZOLA LEON MAX JONATHAN</t>
  </si>
  <si>
    <t>AV. BOLIVIA NRO 148 INT. 163 PSJE C</t>
  </si>
  <si>
    <t>48225216</t>
  </si>
  <si>
    <t>BARZOLA OROPEZA LUZ LIZET</t>
  </si>
  <si>
    <t>AV ARGENTINA 281 PASAJE 9 TDA AG5 CC NICOLINI</t>
  </si>
  <si>
    <t>70231195</t>
  </si>
  <si>
    <t>BASILIO FLORES CESAR AUGUSTO</t>
  </si>
  <si>
    <t>ANTONIO RAYMONDI 109 (A 300 METROS DE LA MUNICIPALIDAD DE HUALMAY)</t>
  </si>
  <si>
    <t>15647178</t>
  </si>
  <si>
    <t xml:space="preserve">CESAR AUGUSTO BASILIO FLORES </t>
  </si>
  <si>
    <t>BASILIO GOMEZ MARCOS ALFREDO</t>
  </si>
  <si>
    <t>MZ BZ 01 LOTE 03. CALLE ARICA. SECTOR FRANCISCO BOLOGNESI. JICAMARCA ANEXO 22</t>
  </si>
  <si>
    <t>73761739</t>
  </si>
  <si>
    <t>BASILIO GUZMAN CELEDONIO ALIPIO</t>
  </si>
  <si>
    <t>JR HUALLAGA 482 OF 445A TERCER PISO GALERÍA LA CASONA DE LA VIRREYNA</t>
  </si>
  <si>
    <t>41305519</t>
  </si>
  <si>
    <t>BASILIO GUZMAN, CELEDONIO ALIPIO</t>
  </si>
  <si>
    <t>BASTANTE CALDERON MARCO ANTONIO</t>
  </si>
  <si>
    <t>PROLONGACION HUANUCO 2069 INT 1043</t>
  </si>
  <si>
    <t>41659152</t>
  </si>
  <si>
    <t>BASUALDO LUNA REYDA</t>
  </si>
  <si>
    <t>MZ. 32 LTE 19 - URB LAURA CALLER</t>
  </si>
  <si>
    <t>09635874</t>
  </si>
  <si>
    <t>BASURTO ORTIZ ELIZABETH VERONICA</t>
  </si>
  <si>
    <t>AV MARISCAL CASTILLA N° 142 (A 25 METROS DEL COLEGIO PARROQUIAL NUESTRA SEÑORA DE LA ANUNCIACION)</t>
  </si>
  <si>
    <t>15764922</t>
  </si>
  <si>
    <t>BAUTISTA MENDOZA JHON JAIRO</t>
  </si>
  <si>
    <t>AV SOLAR 217 STAND 4 2DO PISO</t>
  </si>
  <si>
    <t>72202 - CONSULTORES PROG. Y SUMIN. INFORMATIC</t>
  </si>
  <si>
    <t>70351560</t>
  </si>
  <si>
    <t>BAUTISTA MENDOZA YANNINA</t>
  </si>
  <si>
    <t>AA.HH VIRGEN DE LAS MERCEDES MZ C LT. 3 CRACA Y MAR</t>
  </si>
  <si>
    <t>45485615</t>
  </si>
  <si>
    <t>BAUTISTA OBREGON MARYURI JUSTA</t>
  </si>
  <si>
    <t>AV.SAN FELIPE MZ.J  LT.5 (AL LADO DE LA FERRETERIA FERREMUNDO) MEDIO MUNDO</t>
  </si>
  <si>
    <t>73325859</t>
  </si>
  <si>
    <t>BAUTISTA OLIVARES KATHERINE WENDY</t>
  </si>
  <si>
    <t>AV. TUPAC AMARU URB. TORRE BLANCA 2DA. ETAPA - MZ. 29 LOTE.24</t>
  </si>
  <si>
    <t>72361172</t>
  </si>
  <si>
    <t>BAUTISTA OLIVARES, KATHERINE WENDY</t>
  </si>
  <si>
    <t>BAUTISTA ORTIZ DE ABRIGO YANNET DORIS</t>
  </si>
  <si>
    <t>JIRON JOSE GALVEZ 1327</t>
  </si>
  <si>
    <t>15862518</t>
  </si>
  <si>
    <t xml:space="preserve">YANNET DORIS BAUTISTA ORTIZ DE ABRIGO </t>
  </si>
  <si>
    <t>BAZALAR DIAZ PEDRO LUIS</t>
  </si>
  <si>
    <t>SAN MARTIN 131 ACOMERSUR STAND C-33, LIMA, HUAURA, HUACHO</t>
  </si>
  <si>
    <t>15728623</t>
  </si>
  <si>
    <t>BAZAN GUEVARA RUDIEL VERCRUYSSE</t>
  </si>
  <si>
    <t>CALLE BETA MZ Z LT 28 PARQUE INDUSTRIAL EL ASESOR ATE VITARTE</t>
  </si>
  <si>
    <t>45796438</t>
  </si>
  <si>
    <t>BAZAN MILLA JUAN DEMETRIO</t>
  </si>
  <si>
    <t>JIRON JUNIN 587 INT 303 MAGDALENA DEL MAR</t>
  </si>
  <si>
    <t>19260787</t>
  </si>
  <si>
    <t>BAZAN MIRANDA YOLANDA GRACIELA</t>
  </si>
  <si>
    <t>CALLE LOS MEMBRILLOS MZD LT12 VIRGEN DE LA PUERTA LOS OLIVOS</t>
  </si>
  <si>
    <t>10050343</t>
  </si>
  <si>
    <t>BAZAN NONATO EUSEBIO</t>
  </si>
  <si>
    <t>UCV 164 LT 21 ZN K HUAYCAN - ATE</t>
  </si>
  <si>
    <t>09368960</t>
  </si>
  <si>
    <t>BAZAN NONATO, EUSEBIO</t>
  </si>
  <si>
    <t>BAZAN ONCIHUAY DARREL GILLER</t>
  </si>
  <si>
    <t>JR. SAN LORENZO 380, LIMA, LIMA, SURQUILLO</t>
  </si>
  <si>
    <t>4520 - MANTENIMIENTO  Y REPARACIÓN DE VEHÍCULOS AUTOMOTORES</t>
  </si>
  <si>
    <t>09687827</t>
  </si>
  <si>
    <t>BAZAN SIFUENTES WALTER ANDREE</t>
  </si>
  <si>
    <t>LAS LOMAS DE HUANCHACO MZ 39 LT 2</t>
  </si>
  <si>
    <t>HUANCHACO</t>
  </si>
  <si>
    <t>72128258</t>
  </si>
  <si>
    <t>BAZAN SIFUENTES, WALTER ANDREE</t>
  </si>
  <si>
    <t>BAZO LOPEZ ENRIQUE OTILIO</t>
  </si>
  <si>
    <t>ADAN ACEVEDO 122  HUACHO</t>
  </si>
  <si>
    <t>15763784</t>
  </si>
  <si>
    <t>BAZURTO YOTO ILAIN LEONERGIS</t>
  </si>
  <si>
    <t>MZ. J LT. 14 COOP. VIRGEN DEL ROSARIO</t>
  </si>
  <si>
    <t>43953554</t>
  </si>
  <si>
    <t>BAZURTO YOTO, ILAIN LEONERGIS</t>
  </si>
  <si>
    <t>BEAS ELIAS JOSE TOMAS</t>
  </si>
  <si>
    <t>URB SANTA ROSA DE HUALCARA MZ D LT 4 - SAN VICENTE DE CAÑETE</t>
  </si>
  <si>
    <t>45863982</t>
  </si>
  <si>
    <t>BECERRA FLORES JORGE LUIS</t>
  </si>
  <si>
    <t>ASOCIACIÓN AGROPECUARIA, LA RINCONADA MZ E LT 2 EDILBERTO RAMOS SAN JUAN DE MIRAFLORES</t>
  </si>
  <si>
    <t>42483449</t>
  </si>
  <si>
    <t>BECKER LA CRUZ ANGEL RUBEN</t>
  </si>
  <si>
    <t>URB. APARICIO MZ. N LT. 12</t>
  </si>
  <si>
    <t>15941325</t>
  </si>
  <si>
    <t>BEDON GAMARRA ARISELY GEOVANA</t>
  </si>
  <si>
    <t>JIRON PANCHO FIERRO 3479, LIMA 15301, LIMA, LOS OLIVOS</t>
  </si>
  <si>
    <t>43729291</t>
  </si>
  <si>
    <t>BEDON VILLANUEVA ALBERTA TEODORA</t>
  </si>
  <si>
    <t>AV. SAN MARTIN 353</t>
  </si>
  <si>
    <t>15650604</t>
  </si>
  <si>
    <t>BELLEZA CASTELLARES MANUEL ANTONIO</t>
  </si>
  <si>
    <t>CALLE SAN LUIS VILLA SNATA MARIA MZ B LT 16</t>
  </si>
  <si>
    <t>15428830</t>
  </si>
  <si>
    <t>BELLIDO AJAHUANA SONIA FLOR</t>
  </si>
  <si>
    <t>AV.JOSE CARLOS MARIQTEGUI N⁰ 2003</t>
  </si>
  <si>
    <t>75238127</t>
  </si>
  <si>
    <t>BELLIDO HUAÑA DONATO</t>
  </si>
  <si>
    <t>AV. UNIVERSITARIA ,MZA  A LOTE 02 APV EL MANANTIAL</t>
  </si>
  <si>
    <t>10776437</t>
  </si>
  <si>
    <t>BELLIDO LLASA FRANK HILDER</t>
  </si>
  <si>
    <t>JR BASILO AUQUE MZ C LOTE 1 A. VILLA EL SALVADOR LIMA</t>
  </si>
  <si>
    <t>48108292</t>
  </si>
  <si>
    <t>BELLIDO PAUCCA SILVIO</t>
  </si>
  <si>
    <t>MZ E LOTE 48 ASOC DE PROPIETARIOS LOS GRAMADALES (EN LA MISMA PANAMERICANA NORTE VIA AUXILIAR)</t>
  </si>
  <si>
    <t>06908019</t>
  </si>
  <si>
    <t>BELLODAS TAVARA JOSE LUIS</t>
  </si>
  <si>
    <t>AV.REPUBLICA DEL PERÚ 387 URB.HUAQUILLAY COMAS</t>
  </si>
  <si>
    <t>40789271</t>
  </si>
  <si>
    <t>BENANCIO ULLOA HILTON</t>
  </si>
  <si>
    <t>AV. 13 DE ENERO 1817 MZ. U1 LT. 10 URB. - SAN CARLOS</t>
  </si>
  <si>
    <t>52593 - OTROS TIPOS DE VENTA POR MENOR</t>
  </si>
  <si>
    <t>41587376</t>
  </si>
  <si>
    <t>BENAVENTE VARAS JULIO JOSE</t>
  </si>
  <si>
    <t>MZ. BBB5 INT. 80 LOTE 2A  URB. PRO 5TO SECTOR DE LOS OLVIOS(AV. CORDIALIDAD POR LA ALTURA HORADEZ ENTRANDO A LA RUTA DEL MERCADO DE PRO CALLA 7)</t>
  </si>
  <si>
    <t>07985493</t>
  </si>
  <si>
    <t>BENAVENTE VARAS, JULIO JOSE</t>
  </si>
  <si>
    <t>BENDEZU RUIZ OSCAR ALONZO</t>
  </si>
  <si>
    <t>A</t>
  </si>
  <si>
    <t>09374428</t>
  </si>
  <si>
    <t>BENITES BLAS ANA DELIA</t>
  </si>
  <si>
    <t>AV. PASEO DE LA REPUBLICA 475, EDIFICIO C, BLOCK 38, PASAJE 15, PRIMER PISO INT 22 C.C. POLVOS AZULES</t>
  </si>
  <si>
    <t>Principal - 4773 - VENTA AL POR MENOR DE OTROS PRODUCTOS NUEVOS EN COMERCIOS ESPECIALIZADOS</t>
  </si>
  <si>
    <t>10383101</t>
  </si>
  <si>
    <t>BENITES CAIRUNA DANIEL</t>
  </si>
  <si>
    <t>AV JUAN DE DIOS KM 2.5 - PARADERO SAN ISIDRO</t>
  </si>
  <si>
    <t>80294385</t>
  </si>
  <si>
    <t>BENITES GASTAÑADUI WILMER RAFAEL</t>
  </si>
  <si>
    <t>CALLE EL PALOMINO B1 PUENTE PIEDRA 15121</t>
  </si>
  <si>
    <t>40264250</t>
  </si>
  <si>
    <t>BENITES PALACIOS JOSE LUIS</t>
  </si>
  <si>
    <t>AV. 2 DE OCTUBRE MZ N LT 23 LOS ROSALES DE PRO, LIMA, LIMA, LOS OLIVOS</t>
  </si>
  <si>
    <t>10682665</t>
  </si>
  <si>
    <t>BENITES TORRES EDGAR ABILIO</t>
  </si>
  <si>
    <t>AV. PROCERES DE HUANDOY N° 5040 URB. PARQUE NARANJAL</t>
  </si>
  <si>
    <t>43276944</t>
  </si>
  <si>
    <t>BENITES TORRES, EDGAR ABILIO</t>
  </si>
  <si>
    <t>BENITEZ MAGUIÑA JUAN DAVID</t>
  </si>
  <si>
    <t>CALLE BELLAVISTA 326 (ESPALDA DEL CEMENTERIO DE HUACHO)</t>
  </si>
  <si>
    <t>73575716</t>
  </si>
  <si>
    <t>BERMEJO SANCHEZ LEIDY</t>
  </si>
  <si>
    <t>JR SAO PAULO 2215</t>
  </si>
  <si>
    <t xml:space="preserve"> Principal - 9602 - PELUQUERÍA Y OTROS TRATAMIENTOS DE BELLEZA</t>
  </si>
  <si>
    <t>45910803</t>
  </si>
  <si>
    <t>BERMEJO SANCHEZ, LEIDY</t>
  </si>
  <si>
    <t>BERMUDES CARRION SANTOS NICOLAS</t>
  </si>
  <si>
    <t>KM 22 AV TUPAC AMARU, SAN ANTONIO, LIMA, CARABAYLLO</t>
  </si>
  <si>
    <t>06834859</t>
  </si>
  <si>
    <t>BERNA AQUINO HAMERDINE</t>
  </si>
  <si>
    <t>LA FORESTA MZ. B LOTE. 2 - TRAPICHE - PARADERO OFICINA</t>
  </si>
  <si>
    <t>47566089</t>
  </si>
  <si>
    <t>BERNA LLOCCLLA JOEL</t>
  </si>
  <si>
    <t>AV.BOLIVIA N°148 - C.C.CENTRO LIMA 3ER NIVEL, STAND 3006 O 3289</t>
  </si>
  <si>
    <t>46265579</t>
  </si>
  <si>
    <t>BERNABE QUICHE FRANCO GERARDO</t>
  </si>
  <si>
    <t>MZA. K LOTE. 11 URB. LAS GARDENIAS (II ETAPA 3CDRA DE LA NUEVA PANAMERICANA)</t>
  </si>
  <si>
    <t>71196729</t>
  </si>
  <si>
    <t>BERNABE QUICHE GERARDO ORLANDO</t>
  </si>
  <si>
    <t>JR. GALVEZ N° 335</t>
  </si>
  <si>
    <t>71196731</t>
  </si>
  <si>
    <t>BERNABE ROMERO GERMAN OVER</t>
  </si>
  <si>
    <t>ASOC. REFORMA AGRARIA MZ H LOTE 3 LOS OLIVOS</t>
  </si>
  <si>
    <t>43010352</t>
  </si>
  <si>
    <t>BERNABEL VARGAS OSCAR JULIO</t>
  </si>
  <si>
    <t>JR LOS DIAMANTES 103 BALCONCILLO (ALT CRD 5 DE LAS AMERICAS)</t>
  </si>
  <si>
    <t>07429390</t>
  </si>
  <si>
    <t>BERNAL ROJAS JHONATAN TIMOTEO</t>
  </si>
  <si>
    <t>AV. PERU MZ. F LT. 10 (ESPALDA DE PLAZA VEA - FRENTE AL MERCADO ROSARIO)</t>
  </si>
  <si>
    <t>8219 - FOTOCOPIADO, PREPARACIÓN DE DOCUMENTOS Y OTRAS ACTIVIDADES ESPECIALIZADAS DE APOYO DE OFICINA</t>
  </si>
  <si>
    <t>75109034</t>
  </si>
  <si>
    <t>BERNALES BRICEÑO RAFAEL JESUS</t>
  </si>
  <si>
    <t>AV. SAN MARTIN 352</t>
  </si>
  <si>
    <t>40757338</t>
  </si>
  <si>
    <t>BERNARDO SOTO CESAR JONATANH</t>
  </si>
  <si>
    <t>URB.MARISCAL CACERES MZ S 17 LOTE 51 SAN JUAN DE LURIGANCHO</t>
  </si>
  <si>
    <t>73832654</t>
  </si>
  <si>
    <t>BERNILLA DE LA CRUZ FELBER</t>
  </si>
  <si>
    <t>CAR. PANAMERICA SUR PARCELA B63 INT.11KM.36 PUESTO 11 EN LA GALERIA SUR</t>
  </si>
  <si>
    <t>IMPRESIÓN</t>
  </si>
  <si>
    <t>40526732</t>
  </si>
  <si>
    <t>BERNILLA DE LA CRUZ, FELBER</t>
  </si>
  <si>
    <t>BERNUI ARIAS RENZO URIEL</t>
  </si>
  <si>
    <t>MZ. D LT. 12 URB. LAS VIÑAS, LIMA, LIMA, SURCO</t>
  </si>
  <si>
    <t>45350437</t>
  </si>
  <si>
    <t>BERNUI ARIAS, RENZO URIEL</t>
  </si>
  <si>
    <t>BERROCAL JARA ELIZABETH NORKA</t>
  </si>
  <si>
    <t>AV. DANIEL ALCIDES CARRIÓN URB.AEROPUERTO</t>
  </si>
  <si>
    <t>44076555</t>
  </si>
  <si>
    <t>BERROCAL JARA, ELIZABETH NORKA</t>
  </si>
  <si>
    <t>BERROCAL TANTA GLADYS</t>
  </si>
  <si>
    <t>AV. EL SOL NRO. 332 URB. - SAN CARLOS</t>
  </si>
  <si>
    <t>5221 - ACTIVIDADES DE SERVICIOS VINCULADAS AL TRANSPORTE TERRESTRE</t>
  </si>
  <si>
    <t>40983616</t>
  </si>
  <si>
    <t>BERROSPI FALCON ALJIMIRO ALFREDO</t>
  </si>
  <si>
    <t>AV UNIVERSITARIA N° 6698 URB. SANTA LUZMILA</t>
  </si>
  <si>
    <t>47441475</t>
  </si>
  <si>
    <t>BERROSPI FALCON JUDITH ISABEL</t>
  </si>
  <si>
    <t>JR CHACO N° 1711, SAN MARTIN DE PORRES</t>
  </si>
  <si>
    <t>LAVADO Y LIMPIEZA, INCLUIDA LA LIMPIEZA EN SECO, DE PRODUCTOS TEXTILES Y DE PIEL</t>
  </si>
  <si>
    <t>46344143</t>
  </si>
  <si>
    <t>BERROSPI GOMEZ ELIAZARO PERSHING</t>
  </si>
  <si>
    <t>ASOC. VIVIENDA SANTA ROSA MZ. K LOTE 37 - CARABAYLLO (PRDRO GRIFO CHAPERITO,EN AV CAMINNO REAL CON UNIVERSITARIA 1 CUADRA A LA IZQUIERDA)</t>
  </si>
  <si>
    <t>29190 - FAB. OTRO TIPO MAQUINARIA USO GRAL.</t>
  </si>
  <si>
    <t>06829908</t>
  </si>
  <si>
    <t>BERROSPI LOPEZ JUAN CARLOS</t>
  </si>
  <si>
    <t>AV. MIGUEL IGLESIAS CUADRA 7 CON AV.GUILLERMO BILLINGHURST</t>
  </si>
  <si>
    <t>06989742</t>
  </si>
  <si>
    <t>BERROSPI TARAZONA ANA MARIA</t>
  </si>
  <si>
    <t>AV. ABANCAY N° 291 INT. 503</t>
  </si>
  <si>
    <t>09950198</t>
  </si>
  <si>
    <t>BERROSPI TARAZONA, ANA MARIA</t>
  </si>
  <si>
    <t>BIEBERACH DIAZ CARLOS WILFREDO</t>
  </si>
  <si>
    <t>AV LA MARINA 3439</t>
  </si>
  <si>
    <t>48096168</t>
  </si>
  <si>
    <t>CARLOS WILFREDO BIEBERACH DIAZ</t>
  </si>
  <si>
    <t>BILLINGHURST YATACO ALEXANDER</t>
  </si>
  <si>
    <t>AVENIDA FRANKLIN ROOSVELT 750, LIMA, LIMA SANTIAGO DE SURCO</t>
  </si>
  <si>
    <t>80654512</t>
  </si>
  <si>
    <t>BILLINGHURST YATACO, ALEXANDER</t>
  </si>
  <si>
    <t>BIZARES JUSTANO SEM</t>
  </si>
  <si>
    <t>AV. EL SOL MZ. Z1 LT. 16 URB SAN CARLOS</t>
  </si>
  <si>
    <t>41969233</t>
  </si>
  <si>
    <t>BLACIDO ROBLES ELMER AGUSTIN</t>
  </si>
  <si>
    <t>PARCELA B - 35 VICENTE SUB LT 18 KM 35 ANTIG. PANAMER SUR, LIMA, LIMA, LURIN</t>
  </si>
  <si>
    <t>44049659</t>
  </si>
  <si>
    <t>BLANCAS KAYTUIRO CESAR AUGUSTO</t>
  </si>
  <si>
    <t>JR.PARURO 1322 INT. 207 URB. BARRIOS ALTOS</t>
  </si>
  <si>
    <t>25619388</t>
  </si>
  <si>
    <t>BLAS CABELLO MARIBEL JESSICA</t>
  </si>
  <si>
    <t>MORA PARRA</t>
  </si>
  <si>
    <t>72132189</t>
  </si>
  <si>
    <t>BLAS MEJIA NINA TAIT</t>
  </si>
  <si>
    <t>CALLE HUARAL MZ A LT 2 - PJ JUAN VELASCO ALVARADO.</t>
  </si>
  <si>
    <t>50203 - MANTENIMIENTO Y REPARAC. VEHICULOS</t>
  </si>
  <si>
    <t>42989555</t>
  </si>
  <si>
    <t>BLAS SALIRROSAS MARIBEL YSENIA</t>
  </si>
  <si>
    <t>JR. AMAZONAS N° 401 TIENDA B21</t>
  </si>
  <si>
    <t>07500165</t>
  </si>
  <si>
    <t>BLAS SALIRROSAS, MARIBEL YSENIA</t>
  </si>
  <si>
    <t>BOBADILLA LARA GEORGE RAUL</t>
  </si>
  <si>
    <t>MZ. N LT. 1 C.P. LOS MOLINOS, LIMA, BARRANCA, SUPE</t>
  </si>
  <si>
    <t>8542 - ENSEÑANZA CULTURAL</t>
  </si>
  <si>
    <t>71323224</t>
  </si>
  <si>
    <t>BOCANEGRA CONDE KARIN JANET</t>
  </si>
  <si>
    <t>AV. ABANCAY Nº 817</t>
  </si>
  <si>
    <t>80653231</t>
  </si>
  <si>
    <t>BOCANEGRA CONDE, KARIN JANET</t>
  </si>
  <si>
    <t>BOLAÑOS CAMPOS MERCEDES</t>
  </si>
  <si>
    <t>AV.PRINCIPAL LT 41 PARCELA</t>
  </si>
  <si>
    <t>10175331</t>
  </si>
  <si>
    <t>BOLAÑOS ROMERO GYNA RENNEE</t>
  </si>
  <si>
    <t>AV. BOLIVIA 148 CERCADO DE LIMA TDA. 2159 PASAJE A CENTRO COMERCIAL CENTRO LIMA</t>
  </si>
  <si>
    <t>40210016</t>
  </si>
  <si>
    <t>BOLAÑOS VASQUEZ OFNY DAN</t>
  </si>
  <si>
    <t>AV. PACASMAYO MZ C LOTE 27 ASOCIACIÓN LOS ROBLES DE SANTA ROSA</t>
  </si>
  <si>
    <t>16722883</t>
  </si>
  <si>
    <t>BOLIVIA MOISES MARICELA</t>
  </si>
  <si>
    <t>AV. LAS CUMBRES MZ. A LT. 5</t>
  </si>
  <si>
    <t>3211 - FABRICACIÓN DE JOYAS Y ARTÍCULOS CONEXOS</t>
  </si>
  <si>
    <t>46872581</t>
  </si>
  <si>
    <t>BOLIVIA MOISES, MARICELA</t>
  </si>
  <si>
    <t>BOLIVIA SOSA FRANCISCO</t>
  </si>
  <si>
    <t>AV. LAS CUMBRES MZ A LOTE 5</t>
  </si>
  <si>
    <t>06973647</t>
  </si>
  <si>
    <t>BONILLA CHICAHUARI JOSMELL BENJAMIN</t>
  </si>
  <si>
    <t>JR. LOS ZAFIROS 1788 1790 ,LIMA ,LIMA, SAN JUAN DE LURIGANCHO</t>
  </si>
  <si>
    <t>72740623</t>
  </si>
  <si>
    <t>BONYS PALOMINO EDWIN HERCILIO</t>
  </si>
  <si>
    <t>PROLONGACIÓN AVENIDA LA MOLINA MZ A LOTE 47  ASOCIACIÓN PARQUE INDUSTRIAL</t>
  </si>
  <si>
    <t>31479521</t>
  </si>
  <si>
    <t>BONYS PALOMINO, EDWIN HERCILIO</t>
  </si>
  <si>
    <t>BORDA ATAHUALPA CRUZ ALFREDO</t>
  </si>
  <si>
    <t>AV. LOS PROCERES MZ D4 LOTE 11 (AV. CORDIALIDAD Y BANCO NEGREIRO)</t>
  </si>
  <si>
    <t>08606191</t>
  </si>
  <si>
    <t>BORDA HUAMAN HILDA LUZ</t>
  </si>
  <si>
    <t>AV.PETIT THOUAS NRO 5356 TDA 3011</t>
  </si>
  <si>
    <t>10340302</t>
  </si>
  <si>
    <t>BORDA HUAMAN, HILDA LUZ</t>
  </si>
  <si>
    <t>BORJA NAZARIO RUBEN ADRIAN</t>
  </si>
  <si>
    <t>CAMINO CORRAL DE PIEDRA LA HOYADA, LIMA, HUAURA, SAYAN</t>
  </si>
  <si>
    <t>40623730</t>
  </si>
  <si>
    <t>BRANDAN ORTEGA VDA DE MEZA ELBA EDDA</t>
  </si>
  <si>
    <t>AV. TUPAC AMARU 299 INT.8 (FER. ESTUDIO CONTABLE BRANDAN), LIMA, HUAURA, HUACHO</t>
  </si>
  <si>
    <t>15591437</t>
  </si>
  <si>
    <t>BRAVO AGUADO JORGE ALBERTO</t>
  </si>
  <si>
    <t>CASA 2 URB. LOS SAUCES MZ. K LT. 12 C - ATE</t>
  </si>
  <si>
    <t>48638894</t>
  </si>
  <si>
    <t>BRAVO ALBORNOZ OSHIN CARITO</t>
  </si>
  <si>
    <t>MERCADO SAN MARTIN PABELLON F  PUESTO 5 Y 6 (FRENTE AL MERCADO MUNICIPAL), LIMA, HUAURA, HUAURA</t>
  </si>
  <si>
    <t>48137117</t>
  </si>
  <si>
    <t>BRAVO ALBORNOZ YAQUELIN GREISSY</t>
  </si>
  <si>
    <t>MERCADO SAN MARTIN PABELLOM F PUESTO 5 Y 6</t>
  </si>
  <si>
    <t>76638924</t>
  </si>
  <si>
    <t>BRAVO ARBIETO ETEL REVECA</t>
  </si>
  <si>
    <t>JUAN PABLO LL MZ B1 LOTE 16</t>
  </si>
  <si>
    <t>76220362</t>
  </si>
  <si>
    <t>BRAVO ARBIETO, ETEL REVECA</t>
  </si>
  <si>
    <t>BRAVO CAPUÑAY JOSE LUIS</t>
  </si>
  <si>
    <t>AV.INCA GARCILASO DE LA VEGA NRO 1348</t>
  </si>
  <si>
    <t>46215403</t>
  </si>
  <si>
    <t>BRAVO DEL CARPIO JOSEFINA MAGALI</t>
  </si>
  <si>
    <t>AV. SANTA ROSA MZ. O LT. 1 URB. LOS CHASQUIS</t>
  </si>
  <si>
    <t>10411762</t>
  </si>
  <si>
    <t>BRAVO GONZALES ALBERTO</t>
  </si>
  <si>
    <t>AV. SANTA ADELA S/N - ALTURA DE COLEGIO HIDEYO NOGUCHI AV TRAPICHE</t>
  </si>
  <si>
    <t>48206951</t>
  </si>
  <si>
    <t>BRAVO PONCE JUNIOR JESUS</t>
  </si>
  <si>
    <t>AV. ALFREDO MENDIOLA 7962 URB. PRO INDUSTRIAL</t>
  </si>
  <si>
    <t>76209094</t>
  </si>
  <si>
    <t>BRAVO SOLORZANO JOHNY FRANCIS</t>
  </si>
  <si>
    <t>AV.LOS FICUS MZ. T LT 5-C LURIN</t>
  </si>
  <si>
    <t>46816544</t>
  </si>
  <si>
    <t>BREAS ITA DANIEL ANGEL</t>
  </si>
  <si>
    <t>AV. LOS TALLERES MZ E LT 16 URB. EL NARANJAL (A LA ESPALDA DE LA PURINA), LIMA, LIMA, INDEPENDENCIA</t>
  </si>
  <si>
    <t>74769819</t>
  </si>
  <si>
    <t>BRICEÑO BAUTISTA CESAR SEBASTIAN</t>
  </si>
  <si>
    <t>AV. TUPAC AMARU 106</t>
  </si>
  <si>
    <t>76271821</t>
  </si>
  <si>
    <t>BRICEÑO GALVAN PAUL JESUS</t>
  </si>
  <si>
    <t>MZ. L LT. 28 ASOC. FILADELFIA IV ETAPA</t>
  </si>
  <si>
    <t>40104521</t>
  </si>
  <si>
    <t>BRICEÑO SOTO CLAUDINA LIZBET</t>
  </si>
  <si>
    <t>C.C GARCILAZO DE LA VEGA 1261 STAND S-138</t>
  </si>
  <si>
    <t>Principal - 4741 - VENTA AL POR MENOR DE ORDENADORES, EQUIPO PERIFÉRICO, PROGRAMA DE INFORM. Y EQU. DE TELEC. EN COMERCIOS ESPECIALIZADOS</t>
  </si>
  <si>
    <t>43643885</t>
  </si>
  <si>
    <t>BRIONES QUISPE NERIDA MELISSA</t>
  </si>
  <si>
    <t>SECTOR 10 GRUPO 1, MZ B, LT 16 VILLA EL SALVADOR, LIMA</t>
  </si>
  <si>
    <t>45748266</t>
  </si>
  <si>
    <t>BRITO SOTO ROXANA DEL PILAR</t>
  </si>
  <si>
    <t>JR. ANTONIO BAZO NRO. 522 - SOTANO INT. 228 GALERIA PLAZA HORIZONTE</t>
  </si>
  <si>
    <t>45423687</t>
  </si>
  <si>
    <t>BRIZUELA TIPISMANA MAYKEL ORLANDO</t>
  </si>
  <si>
    <t>UR. STA ROSA DEL PALMAR E-11 ICA-ICA</t>
  </si>
  <si>
    <t>40383349</t>
  </si>
  <si>
    <t>BRONCANO GODOY INES CARINA</t>
  </si>
  <si>
    <t>AV. ATREN MZ B LT. 03 - LLOMAS DE CARABAYLLO</t>
  </si>
  <si>
    <t>44734092</t>
  </si>
  <si>
    <t>BUENO CUSIHUAMAN RAUL</t>
  </si>
  <si>
    <t>MZ.2 LT. 4 CMONITE 36A AMPLIACION NUEVA ESPERANZA  PARADERO 5</t>
  </si>
  <si>
    <t>80456717</t>
  </si>
  <si>
    <t>BUHEZO FRANCO RODOLFO CARLO</t>
  </si>
  <si>
    <t>JR GENERAL VIDAL 963 - REF AL COSTADO DE CEVICHERIA EL PICHITO</t>
  </si>
  <si>
    <t>06794213</t>
  </si>
  <si>
    <t>BURGOS NAVARRETE ALFREDO</t>
  </si>
  <si>
    <t>AV. MIGUEL IGLESIAS 320</t>
  </si>
  <si>
    <t>06792128</t>
  </si>
  <si>
    <t>BUSTAMANTE HUAPAYA CHRISTIAN</t>
  </si>
  <si>
    <t>AV. 16 DE MARZO N° 154</t>
  </si>
  <si>
    <t>41659179</t>
  </si>
  <si>
    <t>BUSTAMANTE HUAPAYA, CHRISTIAN</t>
  </si>
  <si>
    <t>BUSTIOS MUÑOZ GINO GIANPAOLO</t>
  </si>
  <si>
    <t>AV. SANTA ROSA MZ. F LT. 18 LA FLORIDA</t>
  </si>
  <si>
    <t>09463733</t>
  </si>
  <si>
    <t>BUTRON RIVEROS JOHNNY AUGUSTO</t>
  </si>
  <si>
    <t>CALLE LOS QUEROS 7400 - INDEPENDENCIA</t>
  </si>
  <si>
    <t>08611507</t>
  </si>
  <si>
    <t>BUTRON VERA ALBERTO</t>
  </si>
  <si>
    <t>PROLONGACION CASANAVE 822,COMAS</t>
  </si>
  <si>
    <t>71802648</t>
  </si>
  <si>
    <t>CABALLERO DOMINGUEZ JUAN JOSE</t>
  </si>
  <si>
    <t>AV .UNIVERSITARIA N°5050 MZ.N LT 1 19 DE MAYO</t>
  </si>
  <si>
    <t>09036461</t>
  </si>
  <si>
    <t>CABALLERO GUTIERREZ RODRIGO</t>
  </si>
  <si>
    <t>CAL. AGUSTIN JAURIGUI CON SAN PABLO N° 347</t>
  </si>
  <si>
    <t>48027259</t>
  </si>
  <si>
    <t>CABALLERO VARGAS JACKELINEE CELESTE</t>
  </si>
  <si>
    <t>URB LOS ÁNGELES MANZANA D LOTE 41 (ESQUINA CARRETERA CENTRAL CON RIO MORONA)</t>
  </si>
  <si>
    <t>3311 - REPARACION DE PRODUCTOS ELABORADOS DE METAL</t>
  </si>
  <si>
    <t>43505671</t>
  </si>
  <si>
    <t xml:space="preserve">JACKELINEE CELESTE CABALLERO VARGAS </t>
  </si>
  <si>
    <t>CABALLERO VIERA LISHELY</t>
  </si>
  <si>
    <t>INTISUYO NRO. 278</t>
  </si>
  <si>
    <t>48436478</t>
  </si>
  <si>
    <t>CABANILLAS COLLANTES LITA DANY</t>
  </si>
  <si>
    <t>JR. RIMAC 473</t>
  </si>
  <si>
    <t>06862436</t>
  </si>
  <si>
    <t>CABANILLAS TUCTO HEVER ANIBAL</t>
  </si>
  <si>
    <t>PSJE JORGE CHAVEZ N° 209, LIMA, LIMA, PUENTE PIEDRA</t>
  </si>
  <si>
    <t>45562817</t>
  </si>
  <si>
    <t>CABANILLAS TUCTO, HEVER ANIBAL</t>
  </si>
  <si>
    <t>CABELLO CONTRERAS WALTER</t>
  </si>
  <si>
    <t>CALLE EL PORVENIR ZAPALLAL KM. 33 LT. 169 (ANTES DE LLEGAR AL MERCADO 3 REGIONES) LIMA, LIMA, PUENTE PIEDRA</t>
  </si>
  <si>
    <t>41451980</t>
  </si>
  <si>
    <t>CABELLOS VARGAS RAYMUNDO</t>
  </si>
  <si>
    <t>ASOC. VILLA MARGARITA MZ A LOTE 8-9</t>
  </si>
  <si>
    <t>07157459</t>
  </si>
  <si>
    <t>CABOS MOSTACERO IRVING FERNANDO</t>
  </si>
  <si>
    <t>AV. BUENOS AIRES 320</t>
  </si>
  <si>
    <t>45476799</t>
  </si>
  <si>
    <t>CABOS MOSTACERO, IRVING FERNANDO</t>
  </si>
  <si>
    <t>CABREJOS CALIENES CHRISTIAN STEVE</t>
  </si>
  <si>
    <t>ISLA DE CORCOVADO 160</t>
  </si>
  <si>
    <t>6311 - PROCESAMIENTO DE DATOS, HOSPEDAJE Y ACTIVIDADES CONEXAS</t>
  </si>
  <si>
    <t>25831463</t>
  </si>
  <si>
    <t>CABREL VALVERDE ANGELINA</t>
  </si>
  <si>
    <t>AV. 2 DE MAYO 424</t>
  </si>
  <si>
    <t>45829380</t>
  </si>
  <si>
    <t>CABRERA AYBAR NATALI RUFINA</t>
  </si>
  <si>
    <t>CALLE 15 LOTE 12 PARQUE INDUSTRIAL EL ASESO, LIMA, LIMA, ATE</t>
  </si>
  <si>
    <t>43495338</t>
  </si>
  <si>
    <t>CABRERA CASTILLO DANILO JAIME</t>
  </si>
  <si>
    <t>AV. JOSE PARDO NRO 200</t>
  </si>
  <si>
    <t>41500325</t>
  </si>
  <si>
    <t>CABRERA FERNANDEZ FREDDY</t>
  </si>
  <si>
    <t>MZ "C" LOTE 22 AH: KEYKO SOFIA</t>
  </si>
  <si>
    <t>43153997</t>
  </si>
  <si>
    <t>CABRERA LEVANO LOURDES</t>
  </si>
  <si>
    <t>JIRÓN EL CARMEN</t>
  </si>
  <si>
    <t>09145358</t>
  </si>
  <si>
    <t>CABRERA QUISPE JORGE DENIS</t>
  </si>
  <si>
    <t>AV. PRINCIPAL B - VENTANILLA ALTA ( PROYECTO 7)</t>
  </si>
  <si>
    <t>47455891</t>
  </si>
  <si>
    <t>CABRERA SALDAÑA JOSE ELMER</t>
  </si>
  <si>
    <t>AV LIMA MZ B LT 4</t>
  </si>
  <si>
    <t>42022864</t>
  </si>
  <si>
    <t>CACERES ARCOS MARIA DEL CARMEN</t>
  </si>
  <si>
    <t>AV. CENTRARL MZ 121 LOTE 11 E.M.O, LOS OLIVO</t>
  </si>
  <si>
    <t>41185262</t>
  </si>
  <si>
    <t>CACERES GONZALES JOSEPH VALENTIN</t>
  </si>
  <si>
    <t>SECTOR 3 GRUPO 13 MANZANA A LOTE 21</t>
  </si>
  <si>
    <t>40041857</t>
  </si>
  <si>
    <t>CACERES GONZALES, JOSEPH VALENTIN</t>
  </si>
  <si>
    <t>CACERES MORALES JOSE CARLOS</t>
  </si>
  <si>
    <t>CALLE PROLONGACION CENTENARIO 600, URB. LOS FERROLES</t>
  </si>
  <si>
    <t>06103290</t>
  </si>
  <si>
    <t>CACERES QUISPE JESUS</t>
  </si>
  <si>
    <t>AV. PACHACUTEC 4735,LIMA, LIMA, VILLA EL SALVADOR</t>
  </si>
  <si>
    <t>04438810</t>
  </si>
  <si>
    <t>CACERES SANCHEZ YIREH</t>
  </si>
  <si>
    <t>AV JOSE CARLOS MARIATEGUI 3408 LIMA</t>
  </si>
  <si>
    <t>76228950</t>
  </si>
  <si>
    <t>CACHA COTILLO JOB JOEL</t>
  </si>
  <si>
    <t>ANTIGUA PANAMERICANA, LETICIA - PUERTO SUPE REF AL COSTADO DEL GRIFO PETRONORT, LIMA, BARRANCA, SUPE</t>
  </si>
  <si>
    <t>77682736</t>
  </si>
  <si>
    <t>CACHAY CHAVEZ JUAN FRANCISCO</t>
  </si>
  <si>
    <t>MZA. G LOTE. 22 URB. LEONCIO PRADO HUANUCO - HUANUCO - AMARILIS</t>
  </si>
  <si>
    <t>46002783</t>
  </si>
  <si>
    <t>CACHAY CHAVEZ, JUAN FRANCISCO</t>
  </si>
  <si>
    <t>CACHIQUE SANGAMA MANRIQUE</t>
  </si>
  <si>
    <t>MZ 9 LT 1 ASOCIACIÓN VIV. VILLA JESÚS, LIMA, LIMA, VILLA EL SALVADOR</t>
  </si>
  <si>
    <t>70055688</t>
  </si>
  <si>
    <t>CACHIQUE SANGAMA MILLER</t>
  </si>
  <si>
    <t>AV. BOLIVIA 148, LIMA CC. CENTRO LIMA STAND 2166 - 2167/ REF. AL FRENTE DEL CENTRO CIVICO</t>
  </si>
  <si>
    <t>42212141</t>
  </si>
  <si>
    <t>CACSIRE CACSIRE JAIME OSCAR</t>
  </si>
  <si>
    <t>MERCADO COOPERATIVO CIUDAD DE DIOS AV LOS HEROES 515 PUESTO 56 A</t>
  </si>
  <si>
    <t>10013978</t>
  </si>
  <si>
    <t>CADENAS CASTILLO EDWIN ALEXANDER</t>
  </si>
  <si>
    <t>CALLE JUAN VELASCO ALVARADO N° 165</t>
  </si>
  <si>
    <t>41677764</t>
  </si>
  <si>
    <t>CADILLO ALVA BRAYAN ANTHONY</t>
  </si>
  <si>
    <t>LA CANDELARIA MZ. H LT. 04</t>
  </si>
  <si>
    <t>6110 - ACTIVIDADES DE TELECOMUNICACIONES ALÁMBRICAS</t>
  </si>
  <si>
    <t>76770241</t>
  </si>
  <si>
    <t>CADILLO ALVA, BRAYAN ANTHONY</t>
  </si>
  <si>
    <t>CADILLO ORTIZ SEBASTIAN HUGO</t>
  </si>
  <si>
    <t>AV CARLOS IZAGUIRRE MZ C LOTE 09 Y 10</t>
  </si>
  <si>
    <t>10615374</t>
  </si>
  <si>
    <t>CADILLO SOTO JULIO</t>
  </si>
  <si>
    <t>CA 22 P-02 3- A.H VILLA LOS REYES- SECTOR I</t>
  </si>
  <si>
    <t>40200462</t>
  </si>
  <si>
    <t>CAHUANA FLORES DUSTIN JACKSON</t>
  </si>
  <si>
    <t>JR EL CARMEN S/N 2DA CUADRA</t>
  </si>
  <si>
    <t>40791547</t>
  </si>
  <si>
    <t>CAHUANA FLORES GUILLERMO EDUARDO</t>
  </si>
  <si>
    <t>JR AYACUCHO 547</t>
  </si>
  <si>
    <t>15423726</t>
  </si>
  <si>
    <t>CAICEDO TORRES JULIO</t>
  </si>
  <si>
    <t>AV JIRON CARLOS BACA FLOR 549</t>
  </si>
  <si>
    <t>10412935</t>
  </si>
  <si>
    <t>CAJA ZAVALETA LUIS JOSE</t>
  </si>
  <si>
    <t>VILLA EL SALVADOR/AV.PASTOR SEVILLA  MZ14 LT 25</t>
  </si>
  <si>
    <t>70883706</t>
  </si>
  <si>
    <t>CAJA ZAVALETA, LUIS JOSE</t>
  </si>
  <si>
    <t>CAJACHAGUA LOARTE SANDRA VIOLETA</t>
  </si>
  <si>
    <t>SANTO DOMINGO DE CARABAYLLO MZ C LT 13</t>
  </si>
  <si>
    <t>52206 - VTA. MIN. ALIMENTOS, BEBIDAS, TABACO</t>
  </si>
  <si>
    <t>42938877</t>
  </si>
  <si>
    <t>CAJAS IZAGUIRRE JORGE LUIS</t>
  </si>
  <si>
    <t>MZ. C LT. 11 ASOC. VILLA LOS ROSALES</t>
  </si>
  <si>
    <t>46609534</t>
  </si>
  <si>
    <t>CALDAS MEJIA NAIN JUNKEL</t>
  </si>
  <si>
    <t>AV. MI PERÚ MZ R LT 09 ASENTAMIENTO HUMANO MARIA JESUS ESPINOZA</t>
  </si>
  <si>
    <t>44316072</t>
  </si>
  <si>
    <t>CALDERON ALBORNOZ JHON ALEX</t>
  </si>
  <si>
    <t>CALLE LOS ALAMOS S/N (ESQUINA DE MALVINAS CON MAREATEGUI)</t>
  </si>
  <si>
    <t>15743494</t>
  </si>
  <si>
    <t>CALDERON CARRERA JULIAN</t>
  </si>
  <si>
    <t>AV. JOSE SACO KM. 4 MZ. A LOTE 4 ASOC. DE VIVI. SANTO TOMAS SAN PEDRO DE CARABAYLLO</t>
  </si>
  <si>
    <t>07992086</t>
  </si>
  <si>
    <t>CALDERON CHUNGA WALTER</t>
  </si>
  <si>
    <t>AV TUPAC AMARU MZ.B LOTE 4 SAN AMADEO</t>
  </si>
  <si>
    <t>45256455</t>
  </si>
  <si>
    <t>CALDERON ESPINOZA ENEDINO RAFAEL</t>
  </si>
  <si>
    <t>MZ. CLL5 LT. 2 VILLA EL TREBOL, JICAMARCA, LIMA, HUAROCHIRI, SAN ANTONIO</t>
  </si>
  <si>
    <t>40010607</t>
  </si>
  <si>
    <t>CALDERON ESPINOZA, ENEDINO RAFAEL</t>
  </si>
  <si>
    <t>CALDERON HUALLANCA MARIO</t>
  </si>
  <si>
    <t>AV. INCA GARCILAZO DE LA VEGA Nº1358, INT. 230 - C.C. PLAZA TEC</t>
  </si>
  <si>
    <t>OTRAS ACTIVIDADES DE VENTA AL POR MENOR EN COMERCIOS NO ESPECIALIZADOS</t>
  </si>
  <si>
    <t>46160666</t>
  </si>
  <si>
    <t>CALDERON HUALLANCA, MARIO</t>
  </si>
  <si>
    <t>CALDERON PINEDO MILAGROS YHOSSELIN</t>
  </si>
  <si>
    <t>AV. LOS ANGELES 535</t>
  </si>
  <si>
    <t xml:space="preserve"> 7425389</t>
  </si>
  <si>
    <t>CALDERON RODRIGUEZ ELMER JESUS</t>
  </si>
  <si>
    <t>CALLE 4 MZ. D LOTE 2 LOS PORTALES DEL NORTE</t>
  </si>
  <si>
    <t>46250536</t>
  </si>
  <si>
    <t>CALDERON VELIZ MIGUEL ANGEL</t>
  </si>
  <si>
    <t>AV. HUAROCHIRI 1327 (POR OVALO MONUMENTAL)</t>
  </si>
  <si>
    <t>43634026</t>
  </si>
  <si>
    <t>CALIXTO MAGUIÑA JOHN KENEDY</t>
  </si>
  <si>
    <t>MZ. 14 LOTE 8 C.12 URB NICOLAS DE PIEROLA</t>
  </si>
  <si>
    <t>07670117</t>
  </si>
  <si>
    <t>CALIXTO VALERIANO EDDY FRANCISCO</t>
  </si>
  <si>
    <t>ZEUS 393 OLIMPO SALAMANCA, LIMA, LIMA, ATE</t>
  </si>
  <si>
    <t>09517849</t>
  </si>
  <si>
    <t>CALLATA MAMANI RICHAR JHONY</t>
  </si>
  <si>
    <t>AV SAMUEL ALCÁZAR 992 URBANIZACIÓN LA FLORIDA</t>
  </si>
  <si>
    <t>40705485</t>
  </si>
  <si>
    <t>CALLE PEÑA RAUL SANTIAGO</t>
  </si>
  <si>
    <t>40300273</t>
  </si>
  <si>
    <t>CALLUPE CELIS VICTORIA MARIA</t>
  </si>
  <si>
    <t>MZA. LL LOTE. 10 COO. 27 ABRIL 1ET. LIMA - LIMA - SANTA ANITA</t>
  </si>
  <si>
    <t>50203 - TRASPORTE DE CARGA POR CARRETERA</t>
  </si>
  <si>
    <t>20901681</t>
  </si>
  <si>
    <t>CALMET CHACALIAZA JUAN CONCE</t>
  </si>
  <si>
    <t>CALLE LOS COCHAS MZ J LT 6 URB LOS NARANJOS</t>
  </si>
  <si>
    <t>07430404</t>
  </si>
  <si>
    <t>CALVAY TORRES ISABEL DEL MILAGRO</t>
  </si>
  <si>
    <t>PP.JJ JOSE CARLOS MARIATEGUI CALLE ANDRES RAZURI N° 136, LAMBAYEQUE, LAMBAYEQUE, MOTUPE</t>
  </si>
  <si>
    <t>75525282</t>
  </si>
  <si>
    <t>CALVAY TORRES, ISABEL DEL MILAGRO</t>
  </si>
  <si>
    <t>CALVO ROBLES CARMEN ESTELA</t>
  </si>
  <si>
    <t>CA R S/N MZ- K1 LT-12 ETAPA 3 PISO 1 URB. SANTO DOMINGO (PRODUCTOS TOTO)</t>
  </si>
  <si>
    <t>06858583</t>
  </si>
  <si>
    <t>CALZADA SANTIAGO ELTON JHON</t>
  </si>
  <si>
    <t>URB. ALAMEDA DE LA RIVERA MZA. F LOTE. 4 POR EL PARADERO SURGE LIMA LIMA ATE</t>
  </si>
  <si>
    <t>43247889</t>
  </si>
  <si>
    <t>CAMA SANCHEZ VICTOR ALEJANDRO</t>
  </si>
  <si>
    <t>AV BENAVIDES S/N - SAN VICENTE - CAÑETE COSTADO DEL GRIFO PRIMAX</t>
  </si>
  <si>
    <t>15430780</t>
  </si>
  <si>
    <t>CAMAC FLORES EDUARDO</t>
  </si>
  <si>
    <t>15491 URB. DIAZ MALACHE MZ C LT. 18, 15491</t>
  </si>
  <si>
    <t xml:space="preserve"> 9609 - OTRAS ACTIVIDADES DE SERVICIOS PERSONALES N.C.P.</t>
  </si>
  <si>
    <t>46146288</t>
  </si>
  <si>
    <t>CAMACHO PALOMINO FLAVIO EUTEMIO</t>
  </si>
  <si>
    <t>AV. CANTA CALLAO MZ. S LOTE 46</t>
  </si>
  <si>
    <t>09672938</t>
  </si>
  <si>
    <t>CAMARENA MENA MAURA BETTY</t>
  </si>
  <si>
    <t>SAN CARLOS MZ J LTE. 8. VENTANILLA</t>
  </si>
  <si>
    <t>42314599</t>
  </si>
  <si>
    <t>CAMARENA OVIEDO HANS FRITZ</t>
  </si>
  <si>
    <t>AV DE LOS HEROES 293- URB PAMPLONA BAJA, LIMA, LIMA, SAN JUAN DE MIRAFLORES</t>
  </si>
  <si>
    <t>42570545</t>
  </si>
  <si>
    <t>CAMARGO HUARINGA RUDDY</t>
  </si>
  <si>
    <t>MZ. G34 LOTE 32 A.H. BOCANEGRA SECTOR 5 CALLAO- CALLAO</t>
  </si>
  <si>
    <t>45002512</t>
  </si>
  <si>
    <t>CAMARGO SALCEDO EDGARD NELSON</t>
  </si>
  <si>
    <t>MZA. J LOTE. 21 GRUPO 25 A SECTOR 1</t>
  </si>
  <si>
    <t>43953203</t>
  </si>
  <si>
    <t>CAMARGO TACUNAN JEAN CARLO</t>
  </si>
  <si>
    <t>AV. MIGUEL IGLESIAS Nº 542</t>
  </si>
  <si>
    <t>46634256</t>
  </si>
  <si>
    <t>CAMAYO HUAMAN ESTEFANY KATERIN</t>
  </si>
  <si>
    <t>AV. TUPAC AMARU NRO 312</t>
  </si>
  <si>
    <t>72097031</t>
  </si>
  <si>
    <t>CAMONES LOPEZ DANIEL MARTIN</t>
  </si>
  <si>
    <t>JR. AREQUIPA 241 AÑO NUEVO</t>
  </si>
  <si>
    <t>07263562</t>
  </si>
  <si>
    <t>CAMPO ANICETO DAVID ANGEL</t>
  </si>
  <si>
    <t>AV. TUPAZ AMARU - CARABAYLLO 15319, LIMA, LIMA, CARABAYLLO</t>
  </si>
  <si>
    <t>76698383</t>
  </si>
  <si>
    <t>CAMPOS ANDRADE PEDRO DAMIAN</t>
  </si>
  <si>
    <t>JR. TORRES BELON NRO. 249</t>
  </si>
  <si>
    <t>15397847</t>
  </si>
  <si>
    <t>CAMPOS BENDEZU ELSA MARLENE</t>
  </si>
  <si>
    <t>AV. BOLIVIA NRO 148 INT. 2067, LIMA, LIMA, LIMA</t>
  </si>
  <si>
    <t>41447204</t>
  </si>
  <si>
    <t>CAMPOS CAYCHO LUIS ALBERTO</t>
  </si>
  <si>
    <t>PROLONGACIÓN MARCHAND 122</t>
  </si>
  <si>
    <t>15426067</t>
  </si>
  <si>
    <t>CAMPOS CHAUCA ELVIRA AZUCENA</t>
  </si>
  <si>
    <t>AV. LOS POSTES OESTE 325</t>
  </si>
  <si>
    <t>74285546</t>
  </si>
  <si>
    <t>CAMPOS LORENZO EFRAIN CARMELO</t>
  </si>
  <si>
    <t>JR. BOLOGNESI NRO. 209</t>
  </si>
  <si>
    <t>15609939</t>
  </si>
  <si>
    <t>CAMPOS MONTALVAN KAREN STEFANNY</t>
  </si>
  <si>
    <t>CAÑETE - SAN VICENTE</t>
  </si>
  <si>
    <t>47806418</t>
  </si>
  <si>
    <t>CAMPOS MONTES MARCIAL ROLANDO</t>
  </si>
  <si>
    <t>JR. SAN MARTIN 3605</t>
  </si>
  <si>
    <t>06077874</t>
  </si>
  <si>
    <t>CAMPOS MONTES, MARCIAL ROLANDO</t>
  </si>
  <si>
    <t>CAMPOS ORTIZ ANDONY RORY</t>
  </si>
  <si>
    <t>CONDOMINIO VILLA SANTA CLARA BLOQUE 7 DPTO 202</t>
  </si>
  <si>
    <t>44608620</t>
  </si>
  <si>
    <t>CAMPOS PADILLA JESUS ALEXANDER</t>
  </si>
  <si>
    <t>MZ A LT 1 ASOCIACION LOS  EUCALIPTOS</t>
  </si>
  <si>
    <t>46940083</t>
  </si>
  <si>
    <t>CAMPOS TORRES JUAN DIEGO</t>
  </si>
  <si>
    <t>AH JOSEFINA RAMOS MZ P LT 24, LIMA, CAÑETE, IMPERIAL</t>
  </si>
  <si>
    <t>46305571</t>
  </si>
  <si>
    <t>CAMPOS TRIVEÑO JESSICA ROSSMERY</t>
  </si>
  <si>
    <t>AV. CÉSAR VALLEJO N° 1355</t>
  </si>
  <si>
    <t>44730559</t>
  </si>
  <si>
    <t>CAMPOS TRIVEÑO, JESSICA ROSSMERY</t>
  </si>
  <si>
    <t>CAMPOS VALENTIN DEIVETH GERMAN</t>
  </si>
  <si>
    <t>CARRETERA CENTRAL KM. 13 LOTE. 17 SEC. PACAYAL LIMA - LIMA - ATE</t>
  </si>
  <si>
    <t>70888489</t>
  </si>
  <si>
    <t>CAMPOS VERA MERY LUZ</t>
  </si>
  <si>
    <t>JR. 10 DE DICIEMBRE N°269 URB. VILLA HIPER</t>
  </si>
  <si>
    <t>48599085</t>
  </si>
  <si>
    <t>CAMPOS VERA, MERY LUZ</t>
  </si>
  <si>
    <t>CAMPOS VILCA ERNESTO ANTONIO</t>
  </si>
  <si>
    <t>JR. RIOBAMBA NRO.1624</t>
  </si>
  <si>
    <t>42204516</t>
  </si>
  <si>
    <t>CANAHUALPA CANCHANYA CARLOS</t>
  </si>
  <si>
    <t>PUESTO 13 PERIMETRO 21 MERCADO HUAMANTANGA</t>
  </si>
  <si>
    <t>43809768</t>
  </si>
  <si>
    <t>CANAHUALPA CANCHANYA, CARLOS</t>
  </si>
  <si>
    <t>CANAHUIRE LLANOS ALEX RAFAEL</t>
  </si>
  <si>
    <t>MZ A LOTE 04 ASOC. MICAELA BASTIDAS PUENTE PIEDRA</t>
  </si>
  <si>
    <t>41975338</t>
  </si>
  <si>
    <t>CANALES GONZALES JOSE LUIS</t>
  </si>
  <si>
    <t>CALLE LOS JARDINES S/N, LIMA, HUAURA, VEGUETA</t>
  </si>
  <si>
    <t>80271474</t>
  </si>
  <si>
    <t>CANALES USCATA NILTON ALBERTO</t>
  </si>
  <si>
    <t>MZ. E LOTE 20 AA.HH. ESTERAS I</t>
  </si>
  <si>
    <t>799 - OTRAS ACTIVIDADES DE VENTA AL POR MENOR NO REALIZADAS EN COMERCIOS, PUESTOS DE VENTA O MERCADOS</t>
  </si>
  <si>
    <t>75592593</t>
  </si>
  <si>
    <t>CANCHARI ANTEZANA JHONNY VICTOR</t>
  </si>
  <si>
    <t>JR. JOSE MARIA QUIROGA NRO. 384 URB. SANTA LUZMILA ET. DOS (ESPALDA CLINICA UNIVERSITARIA)</t>
  </si>
  <si>
    <t>1629 - FABRICACIÓN DE OTROS PRODUCTOS DE MADERA; FABRICACIÓN DE ARTÍCULOS DE CORCHO, PAJA Y MATERIALES TRENZABLES</t>
  </si>
  <si>
    <t>15423745</t>
  </si>
  <si>
    <t xml:space="preserve"> CANCHARI ANTEZANA JHONNY VICTOR</t>
  </si>
  <si>
    <t>CANCHARI CUADRADO FIDEL ALI</t>
  </si>
  <si>
    <t>AV. LOS PINOS NRO. 413</t>
  </si>
  <si>
    <t>8541 - ENSEÑANZA DEPORTIVA Y RECREATIVA</t>
  </si>
  <si>
    <t>42973681</t>
  </si>
  <si>
    <t>CANCHARI UGARTE OSCAR EDWIN</t>
  </si>
  <si>
    <t>CALLE 28 DE JULION MZ P1 LOTE 18 LOS OLIVOS</t>
  </si>
  <si>
    <t>09630517</t>
  </si>
  <si>
    <t>CANCHUCAJA LOAYZA HAROLD ALBERTO</t>
  </si>
  <si>
    <t>AV. LOS HÉROES 1151 - LIMA - LIMA - SAN JUAN DE MIRAFLORES</t>
  </si>
  <si>
    <t>42569060</t>
  </si>
  <si>
    <t>CANCHUCAJA LOAYZA, HAROLD ALBERTO</t>
  </si>
  <si>
    <t>CANCHUMANI HUAMAN JUAN FRANCISCO</t>
  </si>
  <si>
    <t>AV. INTIHUATANA 650</t>
  </si>
  <si>
    <t>45350137</t>
  </si>
  <si>
    <t>CANCHUMANI HUAMAN, JUAN FRANCISCO</t>
  </si>
  <si>
    <t>CANDELA FLORES LUIS ASCENCION</t>
  </si>
  <si>
    <t>JR. ONIX NRO. 1538 DPTO. 2A APV. INCA MANCO CAPAC LIMA - LIMA - SAN JUAN DE LURIGANCHO</t>
  </si>
  <si>
    <t>10677225</t>
  </si>
  <si>
    <t>CANDELA TOMAS JULIA</t>
  </si>
  <si>
    <t>AV. ALFREDO MENDIOLA 3571</t>
  </si>
  <si>
    <t>07402590</t>
  </si>
  <si>
    <t>CANDELARIO CASTILLO JHOEL ENRIQUE</t>
  </si>
  <si>
    <t>AV. SAN MARTIN N° 669</t>
  </si>
  <si>
    <t>47282636</t>
  </si>
  <si>
    <t>CAÑA LLANOS RENDO FERMIN</t>
  </si>
  <si>
    <t>AV 9 DE DICIMEBRE #740</t>
  </si>
  <si>
    <t>15356763</t>
  </si>
  <si>
    <t>CAPACOILA ARAPA JULIO JESUS</t>
  </si>
  <si>
    <t>LAS GARDENIAS MZ C LOTE 39 URB SAN JUAN ATE</t>
  </si>
  <si>
    <t>10129995</t>
  </si>
  <si>
    <t>CAPACOILA ARAPA, JULIO JESUS</t>
  </si>
  <si>
    <t>CAPCHA CARDENAS AMOS JOEL</t>
  </si>
  <si>
    <t>CALLE SANTA ROSA LUCIA 161 URB VILLA MARIA</t>
  </si>
  <si>
    <t>04026362</t>
  </si>
  <si>
    <t>CAPCHA MATOS JULIO CRISPIN</t>
  </si>
  <si>
    <t>SAN ANTONIO DE PREDREGAL ALTO - MZ23 - LOTE. 28 - CHOSICA - REFERENCIA: JOSE GALVEZ` A UNA CUADRA DE EL TALLER CHIPANI</t>
  </si>
  <si>
    <t>07681834</t>
  </si>
  <si>
    <t>CAPCHA PINO RAUL AGUSTIN</t>
  </si>
  <si>
    <t>REF. "CONDOMINIO LA PLANICIE" ENTRE SAN BENITO Y LA QUEBRADA</t>
  </si>
  <si>
    <t>15413904</t>
  </si>
  <si>
    <t>CAPCHA REYNALDO JOHN RICHARD</t>
  </si>
  <si>
    <t>AV ANTISUYO N° 245, LIMA, LIMA, INDEPENDENCIA</t>
  </si>
  <si>
    <t>10154929</t>
  </si>
  <si>
    <t>CAPCHA REYNALDO, JOHN RICHARD</t>
  </si>
  <si>
    <t>CAQUI RUBINA JUGLARESA</t>
  </si>
  <si>
    <t>AA.HH LEJANO OESTE,HUERTOS DE SANTA ROSA</t>
  </si>
  <si>
    <t>42667636</t>
  </si>
  <si>
    <t>CARAMANTIN FARROÑAN YANETT MELISA</t>
  </si>
  <si>
    <t>AV 27 DE DICIEMBRE 1052 VILLA MARIA DEL TRIUNFO</t>
  </si>
  <si>
    <t>46789560</t>
  </si>
  <si>
    <t>CARAZAS CABRERA ROSA YSABEL</t>
  </si>
  <si>
    <t>JIRON PALLARDELI 381 URB. CHACRA CERRO</t>
  </si>
  <si>
    <t>06854212</t>
  </si>
  <si>
    <t>CARAZAS CABRERA, ROSA YSABEL</t>
  </si>
  <si>
    <t>CARBAJAL CUEVA RENNE JERSON</t>
  </si>
  <si>
    <t>AV. CENTENARIO 431 – REF. CERCA AL CRUCE DE PISTA NUEVA</t>
  </si>
  <si>
    <t>43021997</t>
  </si>
  <si>
    <t>CARBAJAL DIAZ ALEX ALFREDO</t>
  </si>
  <si>
    <t>JIRON CHANCAY 627- EMPRESA SANTA ELENA (PANAMERICANA NORTE KM.83.5)</t>
  </si>
  <si>
    <t>15726646</t>
  </si>
  <si>
    <t>CARBAJAL PAREDES ANA MARIVEL</t>
  </si>
  <si>
    <t>AV. PEDRO DE LAS GASCA 709</t>
  </si>
  <si>
    <t>09476235</t>
  </si>
  <si>
    <t>CARBAJAL PAREDES, ANA MARIVEL</t>
  </si>
  <si>
    <t>CARBAJAL SORIA XIOMARA ANAIR</t>
  </si>
  <si>
    <t>AV LOS ANGELES 489 URB SANTA LUZMILA</t>
  </si>
  <si>
    <t>VENTA AL POR MAYOR DE PRODUCTOS TEXTILES, PRENDAS DE VESTIR Y CALZADO</t>
  </si>
  <si>
    <t>71838817</t>
  </si>
  <si>
    <t>CARBONELL SARAVIA ROBERTO GIAN FRANCO</t>
  </si>
  <si>
    <t>CALLE SAN FRANCISOC N° 213</t>
  </si>
  <si>
    <t>CHINCHA ALTA</t>
  </si>
  <si>
    <t>71733184</t>
  </si>
  <si>
    <t>CARBONELL SARAVIA, ROBERTO GIAN FRANCO</t>
  </si>
  <si>
    <t>CARDENAS ALEGRE EDWIN JUVENAL</t>
  </si>
  <si>
    <t>AV. ABANCAY N° 1041 GALERIA LUREN</t>
  </si>
  <si>
    <t>44544505</t>
  </si>
  <si>
    <t>CARDENAS ALEGRE, EDWIN JUVENAL</t>
  </si>
  <si>
    <t>CARDENAS ARTEAGA SUSANA</t>
  </si>
  <si>
    <t>URB. ALAMEDA DE VILLASOL MZ . E2 LT.2.</t>
  </si>
  <si>
    <t>07621566</t>
  </si>
  <si>
    <t>CARDENAS ARZAPALO ROLANDO PASCUAL</t>
  </si>
  <si>
    <t>AV 2 MZ D ASOCIACION CULTURA PERUANA MODERNA</t>
  </si>
  <si>
    <t>20079114</t>
  </si>
  <si>
    <t>CARDENAS CORDOVA JUAN CARLOS</t>
  </si>
  <si>
    <t>AV. ABELARDO GAMARRA 399 URBANIZACION EL BOSQUE, LIMA, LIMA, RIMAC</t>
  </si>
  <si>
    <t>10763117</t>
  </si>
  <si>
    <t>CARDENAS LLANOS IDER</t>
  </si>
  <si>
    <t>MZ A LT 8 ASOCIACION AMANTES DE LA PAZ VILLA LOS REYES</t>
  </si>
  <si>
    <t>43712927</t>
  </si>
  <si>
    <t>CARDENAS NUÑEZ CARMEN CRISTINA JANETT</t>
  </si>
  <si>
    <t>JR MOQUEGUA C/ CALLE PAMPA DE LARA</t>
  </si>
  <si>
    <t>0161 - ACTIVIDADES DE APOYO A LA AGRICULTURA</t>
  </si>
  <si>
    <t>45466326</t>
  </si>
  <si>
    <t>CARDENAS PIÑIN AUGUSTO RENZO</t>
  </si>
  <si>
    <t>CAL. PORTADA DEL SOL N° 665, LIMA, LIMA, SAN JUAN DE LURIGANCHO</t>
  </si>
  <si>
    <t>74922768</t>
  </si>
  <si>
    <t>CARDENAS PIÑIN, AUGUSTO RENZO</t>
  </si>
  <si>
    <t>CARDENAS TORRES PEDRO JAVIER</t>
  </si>
  <si>
    <t>AV. METROPOLITANA 285, COMAS 15314</t>
  </si>
  <si>
    <t>09967650</t>
  </si>
  <si>
    <t>CARDOZO GALARZA FRANCI NORMA</t>
  </si>
  <si>
    <t>JR. ANDAHUAYLAS N° 665, LIMA, LIMA, RIMAC</t>
  </si>
  <si>
    <t>47857426</t>
  </si>
  <si>
    <t>CARDOZO GALARZA, FRANCI NORMA</t>
  </si>
  <si>
    <t>CARHUACHIN TOLENTINO KLEVER RAUL</t>
  </si>
  <si>
    <t>AV. 06 DE DICIEMBRE N° 707</t>
  </si>
  <si>
    <t>YANACANCHA</t>
  </si>
  <si>
    <t>04069208</t>
  </si>
  <si>
    <t>CARHUACHIN TOLENTINO, KLEVER RAUL</t>
  </si>
  <si>
    <t>CARHUACUSMA CCOLQUE MIGUEL ANGEL</t>
  </si>
  <si>
    <t>MZ F LOTE 2 VISTA ALEGRE MANCHAY</t>
  </si>
  <si>
    <t>48248432</t>
  </si>
  <si>
    <t>CARHUAMACA MENDEZ CINTHIA MEDALID</t>
  </si>
  <si>
    <t>AA.HH COLLASUYO MZ "D" LOTE 5</t>
  </si>
  <si>
    <t xml:space="preserve"> 7631792</t>
  </si>
  <si>
    <t>CARHUAPOMA RUPAY MERCEDES</t>
  </si>
  <si>
    <t>JR. FRANCISCO BOLOGNESI N° 193 (ALT. DE LA RENIEC), LIMA, LIMA, PUENTE PIEDRA</t>
  </si>
  <si>
    <t>46635968</t>
  </si>
  <si>
    <t>CARHUAPOMA RUPAY, MERCEDES</t>
  </si>
  <si>
    <t>CARHUAYANO GARCIA ANIBAL ROSAS</t>
  </si>
  <si>
    <t>AV. 2 DE MAYO #139, LIMA, HUARAL, HUARAL</t>
  </si>
  <si>
    <t>40219976</t>
  </si>
  <si>
    <t>CARHUAZ CHAVEZ ANDRES EVER</t>
  </si>
  <si>
    <t>AV. JOSE CARLOS MARIATEGUI A.H. HUAYCAN ZONA F MZA. 06 LOTE. 21A FRENTE A HOSPITAL DE HUAYCAN PTA EMERG</t>
  </si>
  <si>
    <t>20891610</t>
  </si>
  <si>
    <t>CARHUAZ ESTRELLA MAIKEN MELTINA</t>
  </si>
  <si>
    <t>MZ.C LT. 4 . ASOCIACIÓN EL LUCUMO - ATE</t>
  </si>
  <si>
    <t>46316670</t>
  </si>
  <si>
    <t>CARLOS SANCHEZ DANIEL</t>
  </si>
  <si>
    <t>AV. RAFAEL ESCARDO N° 448, SAN MIGUEL 15087</t>
  </si>
  <si>
    <t>10375926</t>
  </si>
  <si>
    <t>CARLOS VILLARREAL SMITH</t>
  </si>
  <si>
    <t>JR.CORNEJO 262 CERCADO DE LIMA</t>
  </si>
  <si>
    <t>43702970</t>
  </si>
  <si>
    <t>CARLOS ZAMBRANO CESAR ERINSON</t>
  </si>
  <si>
    <t>CALLE RAMON CASTILLA N° 225</t>
  </si>
  <si>
    <t>16775473</t>
  </si>
  <si>
    <t>CARMEN ROSA CHACHAQUE QUISPE</t>
  </si>
  <si>
    <t>VILLA EL SALVADOR SECTOR VI GRUPO 1, LIMA, LIMA, VILLA EL SALVADOR</t>
  </si>
  <si>
    <t>10238327</t>
  </si>
  <si>
    <t>CHACHAQUE QUISPE CARMEN ROSA</t>
  </si>
  <si>
    <t>CARNICA RIMACHI JORGE LUIS</t>
  </si>
  <si>
    <t>JR. 28 DE JULIO 478 IMPERIAL - CAÑETE</t>
  </si>
  <si>
    <t>4799 - OTRAS ACTIVIDADES DE VENTA AL POR MENOR NO REALIZADAS EN COMERCIOS - PUESTOS DE VENTA O MERCADOS</t>
  </si>
  <si>
    <t>43035154</t>
  </si>
  <si>
    <t>CARPIO VASQUEZ JOAQUIN STALIN</t>
  </si>
  <si>
    <t>CENTRO COMERCIAL PLAZA VITARTE BLOCK "A" I.N.T 110</t>
  </si>
  <si>
    <t>43159554</t>
  </si>
  <si>
    <t>CARQUIN GRADOS ULISES ADINO</t>
  </si>
  <si>
    <t>CAR.PANAMERICANA NORTE NRO. 1104 (VALDIVIA)</t>
  </si>
  <si>
    <t>15689622</t>
  </si>
  <si>
    <t>CARRANZA MARTOS SEGUNDO ISIDRO</t>
  </si>
  <si>
    <t>AV. NUEVA TOLEDO NRO. 97-B</t>
  </si>
  <si>
    <t>46187800</t>
  </si>
  <si>
    <t>CARRANZA MENDEZ DE FALEN MARIA ESTHER</t>
  </si>
  <si>
    <t>SEGUNDO PASAJE N°135</t>
  </si>
  <si>
    <t>15712409</t>
  </si>
  <si>
    <t>CARRASCO CARRANZA IVAN</t>
  </si>
  <si>
    <t>CALLE SALAVERY N° 3836</t>
  </si>
  <si>
    <t>43311873</t>
  </si>
  <si>
    <t>CARRASCO PEREZ RUBEN</t>
  </si>
  <si>
    <t>ANEXO SAN JOSE COMUNIDAD. CUCUYA MZA. E LOTE 6A</t>
  </si>
  <si>
    <t>44038877</t>
  </si>
  <si>
    <t>CARRASCO SANEZ WILHELM</t>
  </si>
  <si>
    <t>ANTIG. PANAMERICANA SUR KM 135 SAN LUIS</t>
  </si>
  <si>
    <t>15348506</t>
  </si>
  <si>
    <t>CARREÑO MENENDEZ ELIZA LETIZAYDA</t>
  </si>
  <si>
    <t>JR MANUEL SEGURA 750</t>
  </si>
  <si>
    <t>40506236</t>
  </si>
  <si>
    <t>CARREON CRUZ TEOFILO</t>
  </si>
  <si>
    <t>URB VILLA CAÑETE AL COSTADO DEL GRIFO GAS PETROL SAN VICENTE DE CAÑETE</t>
  </si>
  <si>
    <t>15343088</t>
  </si>
  <si>
    <t>CARRERA LEON EDBI ALFREDO</t>
  </si>
  <si>
    <t>AV. CINCUENTENARIO S/NRO (FRESH GYM "TU GIMNASIO"), LIMA, HUAURA, HUALMAY</t>
  </si>
  <si>
    <t>9312 - ACTIVIDADES DE CLUBES DEPORTIVOS</t>
  </si>
  <si>
    <t>15727628</t>
  </si>
  <si>
    <t>CARRILLO MORALES HEYDI GABRIELA</t>
  </si>
  <si>
    <t>AV. EZEQUIEL GAGO MZA. G LOTE. 11 C.P. MEDIO MUNDO</t>
  </si>
  <si>
    <t>47085409</t>
  </si>
  <si>
    <t>CARRILLO NAKASHIMA DAYANA ARIANET</t>
  </si>
  <si>
    <t>CALLE CELEDIN 273</t>
  </si>
  <si>
    <t>71599205</t>
  </si>
  <si>
    <t>CARRILLO VIELMA NHELDA NEREIDA</t>
  </si>
  <si>
    <t>R. CAMANA 540</t>
  </si>
  <si>
    <t>00401044</t>
  </si>
  <si>
    <t>CARRILLO ZELAYA ALBERT FRANZ</t>
  </si>
  <si>
    <t>CAL. STA CRUZ DE TENERIFE MZA. C LOTE. 6 URB. LA CAPILLA LIMA - LIMA - LA MOLINA</t>
  </si>
  <si>
    <t>41387130</t>
  </si>
  <si>
    <t>CARRION CORDOVA DIEGO FERNANDO</t>
  </si>
  <si>
    <t>AV. UNIVERSITARIA Nª 600 URB. EL ROSARIO, LIMA, LIMA, SAN MARTIN DE PORRES</t>
  </si>
  <si>
    <t>71487154</t>
  </si>
  <si>
    <t>CARRION GUTIERREZ FABIO</t>
  </si>
  <si>
    <t>DEP. CALLAO PROV. CALLAO DIST. CALLAO  JR. CMTE VILLAR  474, CALLAO, CALLAO, CALLAO</t>
  </si>
  <si>
    <t>25450721</t>
  </si>
  <si>
    <t>CARRION PARDO EDISON VICTOR</t>
  </si>
  <si>
    <t>CALLE 2 MZ 3 LOTE 7 URBANIZACION SATELITE</t>
  </si>
  <si>
    <t>40411652</t>
  </si>
  <si>
    <t>CARRION PARDO, EDISON VICTOR</t>
  </si>
  <si>
    <t>CARRION SIFUENTES WILLIAM MIGUEL</t>
  </si>
  <si>
    <t>CALLE SANTA LUISA MZ M1 LT 11 CRUCE VENTANILLA, LIMA, LIMA, PUENTE PIEDRA</t>
  </si>
  <si>
    <t>42733144</t>
  </si>
  <si>
    <t>CARTAGENA DIAZ PETER DELIS</t>
  </si>
  <si>
    <t>AV UNIVERSITARIA NORTE 10395 URB SAN FELIPE</t>
  </si>
  <si>
    <t>00125930</t>
  </si>
  <si>
    <t>CARTOLIN ROJAS FIDEL</t>
  </si>
  <si>
    <t>CALLE 34 MZ. H LT 30 - VENTANILLA ALTA</t>
  </si>
  <si>
    <t>72244086</t>
  </si>
  <si>
    <t>CARUANAMBO CUSQUISIBAN CLARA</t>
  </si>
  <si>
    <t>ASOC. VIV. LOS ROSALES DE SANTA ROSA MZ. A LT. 03</t>
  </si>
  <si>
    <t>25457949</t>
  </si>
  <si>
    <t>CARUANAMBO CUSQUISIBAN, CLARA</t>
  </si>
  <si>
    <t>CASALINO ZAMBRANO RAFAEL GUIDO</t>
  </si>
  <si>
    <t>CALLE AGATAS 10 1521</t>
  </si>
  <si>
    <t>80357722</t>
  </si>
  <si>
    <t>CASAS CUYA LUIS ALBERTO</t>
  </si>
  <si>
    <t>MZ 6 LOTE 6 SAN JUAN DE MIRAFLORES</t>
  </si>
  <si>
    <t>10079848</t>
  </si>
  <si>
    <t>CASAS CUYA, LUIS ALBERTO</t>
  </si>
  <si>
    <t>CASAS SANDOVAL CARLOS ALBERTO</t>
  </si>
  <si>
    <t>SEC 6 GR 1A MZ B LT 14 (AV EL SOL CON AV VILLA EL MAR), LIMA, LIMA, VILLA EL SALVADOR</t>
  </si>
  <si>
    <t>10442965</t>
  </si>
  <si>
    <t>CASAS TORRES LUCIDORES</t>
  </si>
  <si>
    <t>AV. SANTA ROSA N° 410</t>
  </si>
  <si>
    <t>41239112</t>
  </si>
  <si>
    <t>CASIQUE MARTINEZ ISLEY MIROSLAVA</t>
  </si>
  <si>
    <t>JIRON RECUAY  864, BREÑA 15082</t>
  </si>
  <si>
    <t>00302936</t>
  </si>
  <si>
    <t>CASTAÑEDA AGUIRRE LUIS ALBERTO</t>
  </si>
  <si>
    <t>AV CARLOS YZAGUIRRE SAN MARTIN DE PORRES 1969  REFERENCIA COSTADO HOTEL CALYPSO</t>
  </si>
  <si>
    <t>40238807</t>
  </si>
  <si>
    <t>CASTAÑEDA AMBROSIO VICENTE</t>
  </si>
  <si>
    <t>AV. RAMON CASTILLA 519</t>
  </si>
  <si>
    <t>OTRAS ACTIVIDADES EMPRESARIALES NCP.</t>
  </si>
  <si>
    <t>42621743</t>
  </si>
  <si>
    <t>CASTAÑEDA BAUTISTA MIGUEL ANGEL</t>
  </si>
  <si>
    <t>AV. UNIVERSITARIA N 6393 URB. SANTA LUZMILA, LIMA, LIMA, COMAS</t>
  </si>
  <si>
    <t>44181921</t>
  </si>
  <si>
    <t>CASTAÑEDA CABALLERO MARCELINO RENAN</t>
  </si>
  <si>
    <t>AV. FRANCISCO FORCELLEDO 171</t>
  </si>
  <si>
    <t>70675987</t>
  </si>
  <si>
    <t>CASTAÑEDA CABRERA RONAL GABRIEL</t>
  </si>
  <si>
    <t>AV. SANTA ROSA MZA A LT 07 CANTA CALLAO</t>
  </si>
  <si>
    <t>44797603</t>
  </si>
  <si>
    <t>CASTAÑEDA CABRERA, RONAL GABRIEL</t>
  </si>
  <si>
    <t>CASTAÑEDA COLACHAGUA ELIZABETH NELLY</t>
  </si>
  <si>
    <t>JR. MARCELINO VARELA N° 413</t>
  </si>
  <si>
    <t>71718443</t>
  </si>
  <si>
    <t>CASTAÑEDA COLACHAGUA, ELIZABETH NELLY</t>
  </si>
  <si>
    <t>CASTAÑEDA ROJAS JIMMY JULIO</t>
  </si>
  <si>
    <t>AV. ARGENTINA N° 144 GALERIA UNICENTRO STAND 3249</t>
  </si>
  <si>
    <t>40437960</t>
  </si>
  <si>
    <t>CASTAÑEDA ROJAS, JIMMY JULIO</t>
  </si>
  <si>
    <t>CASTAÑEDA RUIZ NORMA YSABEL</t>
  </si>
  <si>
    <t>AV GUILLERMO DE LA FUENTE 280</t>
  </si>
  <si>
    <t>07520247</t>
  </si>
  <si>
    <t>CASTAÑEDA VALVERDE FREDY</t>
  </si>
  <si>
    <t>SAN MARCOS DE LA AGUADA SEÑOR DE LOS MILAGROS NORTE MZ L LOTE 5</t>
  </si>
  <si>
    <t>46163610</t>
  </si>
  <si>
    <t>CASTILLA BECERRA JOSE ALBERTO</t>
  </si>
  <si>
    <t>ANTIGUA PANAMERICANA SUR KM 145 VIALES FRENTE A EX LOCAL DONOFRIO</t>
  </si>
  <si>
    <t>09129219</t>
  </si>
  <si>
    <t>CASTILLO ARANA YESABEL JAQUELINE</t>
  </si>
  <si>
    <t>AV SAN MARTÍN 269 HUAURA</t>
  </si>
  <si>
    <t>44608413</t>
  </si>
  <si>
    <t>CASTILLO CERNA ALEX</t>
  </si>
  <si>
    <t>AV. LAS PRENSAS 175 - INDEPENDENCIA</t>
  </si>
  <si>
    <t>47831510</t>
  </si>
  <si>
    <t>CASTILLO CERNA YOSELIN ANDREINA</t>
  </si>
  <si>
    <t>CALLE CALLAO 468 PUERTO SUPE, LIMA, BARRANCA, PUERTO</t>
  </si>
  <si>
    <t>48338385</t>
  </si>
  <si>
    <t>CASTILLO CHAPEYQUEN ITALO FELIX</t>
  </si>
  <si>
    <t>AV. FRANCISCO BOLOGNESI 981</t>
  </si>
  <si>
    <t>92149 - ACTIV.TEATRALES, MUSICALES Y OTRAS.</t>
  </si>
  <si>
    <t>45631835</t>
  </si>
  <si>
    <t>CASTILLO CHAPEYQUEN, ITALO FELIX</t>
  </si>
  <si>
    <t>CASTILLO COLLANTES CHRISTIAM JORGE</t>
  </si>
  <si>
    <t>JR. ATAHUALPA 330 INTERIOR 72 HUACHO, LIMA, HUAURA, HUALMAY</t>
  </si>
  <si>
    <t>15760802</t>
  </si>
  <si>
    <t>CASTILLO COLLANTES CHRISTIAN JORGE</t>
  </si>
  <si>
    <t>CASTILLO COLLANTES YOBER PERCI</t>
  </si>
  <si>
    <t>AV TOMAS CALLE CUADRA 18 PARADERO ANTARES (ESPALDA DE GRIFO PECSA)</t>
  </si>
  <si>
    <t>42993930</t>
  </si>
  <si>
    <t>CASTILLO FARFAN LUCIA</t>
  </si>
  <si>
    <t>UCV 3 LT. 28 ZONA A - HUAYCAN</t>
  </si>
  <si>
    <t>75861609</t>
  </si>
  <si>
    <t>CASTILLO FARFAN, LUCIA</t>
  </si>
  <si>
    <t>CASTILLO FLORES LISETH LUCIA</t>
  </si>
  <si>
    <t>JR. LETICIA 948 STAND 75-76-77</t>
  </si>
  <si>
    <t>72204652</t>
  </si>
  <si>
    <t>CASTILLO FLORES PIERO ALEXANDER</t>
  </si>
  <si>
    <t>MDO. SESQUINCENTENARIO INT. C7 - C6</t>
  </si>
  <si>
    <t>76750408</t>
  </si>
  <si>
    <t>CASTILLO FLORES, PIERO ALEXANDER</t>
  </si>
  <si>
    <t>CASTILLO GALINDO IRMA</t>
  </si>
  <si>
    <t>AV. 26 DE MAYO S/N ASOC. JARDINES DE ZAVALETA MZ A LT2</t>
  </si>
  <si>
    <t>06566121</t>
  </si>
  <si>
    <t>CASTILLO HIDALGO JUAN CARLOS</t>
  </si>
  <si>
    <t>JR. PEDRO DONOFRIO 103</t>
  </si>
  <si>
    <t>06773370</t>
  </si>
  <si>
    <t>CASTILLO MESIAS IVAN ROY</t>
  </si>
  <si>
    <t>CARRETERA CENTRAL KM 280 COLQUIJIRCA TINYAHUARCO (COSTADO DE RESTAURANTE EL SABOR DE DON JOSE)</t>
  </si>
  <si>
    <t>TINYAHUARCO</t>
  </si>
  <si>
    <t>04050816</t>
  </si>
  <si>
    <t>CASTILLO MORI CARLOS BONIFACIO</t>
  </si>
  <si>
    <t>CALLE LAS LUCUMAS 4168 URB. NARANJAL, LIMA, LIMA, INDEPENDENCIA</t>
  </si>
  <si>
    <t>10727501</t>
  </si>
  <si>
    <t>CASTILLO NAVA ROSINA JUDITH</t>
  </si>
  <si>
    <t>CALLE COLON # 262 (COSTADO REST. TACONAZO)</t>
  </si>
  <si>
    <t>10812837</t>
  </si>
  <si>
    <t>CASTILLO PAZ DANIEL ALEXANDER</t>
  </si>
  <si>
    <t>AV BUENOS AIRES 374 PUENTE PIEDRA</t>
  </si>
  <si>
    <t>4692779</t>
  </si>
  <si>
    <t>CASTILLO REYES RENZO AUGUSTO</t>
  </si>
  <si>
    <t>AV. ALFONSO UGARTE NRO 208 INT. 2194</t>
  </si>
  <si>
    <t>48053389</t>
  </si>
  <si>
    <t>CASTILLO RIOS FILEMON</t>
  </si>
  <si>
    <t>AV. EDUARDO DE HABICH 144 INGENIERÍA SAN MARTÍN DE PORRES</t>
  </si>
  <si>
    <t>08448673</t>
  </si>
  <si>
    <t>CASTILLO RIVERA ERIK ELMER</t>
  </si>
  <si>
    <t>AV UNIVERSITARIA 9702 LA ALBORADA</t>
  </si>
  <si>
    <t>40086031</t>
  </si>
  <si>
    <t>CASTILLO RODRIGUEZ SHARLLYNG KRALOVNA SILNY</t>
  </si>
  <si>
    <t>AV. BOLIVIA NRO. 148 INT. 3152 CENTRO COMERCIAL CENTRO</t>
  </si>
  <si>
    <t>47487292</t>
  </si>
  <si>
    <t>CASTILLO RODRIGUEZ, SHARLLYNG KRALOVNA SILNY</t>
  </si>
  <si>
    <t>CASTILLO SALDAÑA ELMER EDINSON</t>
  </si>
  <si>
    <t>AV. PRÓCERES DE LA INDEPENDENCIA 2376, LIMA, LIMA, SAN JUAN DE LURIGANCHO</t>
  </si>
  <si>
    <t>46109725</t>
  </si>
  <si>
    <t>CASTILLO VILLANUEVA ORLANDO STEPHEN</t>
  </si>
  <si>
    <t>CALLE ALFONSO UGARTE MZ B LT 9</t>
  </si>
  <si>
    <t>CASTILLO VILLANUEVA, ORLANDO STEPHEN</t>
  </si>
  <si>
    <t>CASTILLON CAMPOS MIRIAN ROXANA</t>
  </si>
  <si>
    <t>PANAMERICANA SUR KM 144 URB CASUARINAS MZ C LOTE 16 SANVICENTE-CAÑETE-LIMA</t>
  </si>
  <si>
    <t>48055957</t>
  </si>
  <si>
    <t>CASTILLON CASAS STHALIN NIKE</t>
  </si>
  <si>
    <t>MZ P1 LT 14 SECTOR C3 CALLAO, CALLAO, PACHACUTEC</t>
  </si>
  <si>
    <t>4741- VENTA AL POR MENOR DE ORDENADORES, EQUIPO PERIFÉRICO, PROGRAMA DE INFORM. Y EQU. DE TELEC. EN COMERCIOS ESPECIALIZADOS</t>
  </si>
  <si>
    <t>70240650</t>
  </si>
  <si>
    <t>CASTRO ALARCON BERNARDO</t>
  </si>
  <si>
    <t>AV.MOLINA 701</t>
  </si>
  <si>
    <t xml:space="preserve"> 4530 - VENTA DE PARTES, PIEZAS Y ACCESORIOS PARA VEHÍCULOS AUTOMOTORES</t>
  </si>
  <si>
    <t>08345049</t>
  </si>
  <si>
    <t>CASTRO AVALOS ENRIQUE JAVIER</t>
  </si>
  <si>
    <t>AV. LAS VIÑAS MZ.H LT.1 COPACABANA</t>
  </si>
  <si>
    <t>21872215</t>
  </si>
  <si>
    <t>CASTRO AVALOS, ENRIQUE JAVIER</t>
  </si>
  <si>
    <t>CASTRO CASTRO JOSE MARDEN</t>
  </si>
  <si>
    <t>PASAJE LA PAZ CON LEONCIO PRADO</t>
  </si>
  <si>
    <t>46029965</t>
  </si>
  <si>
    <t>CASTRO CONTRERAS LUIS FERNANDO</t>
  </si>
  <si>
    <t>PANAM. NORTE KM. 77.5 URB. LAS SALINAS</t>
  </si>
  <si>
    <t>15977192</t>
  </si>
  <si>
    <t>CASTRO CUBA MAURICIO DANIEL</t>
  </si>
  <si>
    <t>LOS FILOSOFOS MZ. N LT. 3 COOP. HUANCARAY 15400</t>
  </si>
  <si>
    <t>75173576</t>
  </si>
  <si>
    <t>CASTRO CUBA, MAURICIO DANIEL</t>
  </si>
  <si>
    <t>CASTRO DE QUISPE LUZ ELENA</t>
  </si>
  <si>
    <t>AV. TACNA MZ K3 LOTE 08</t>
  </si>
  <si>
    <t>8521 - ENSEÑANZA SECUNDARIA DE FORMACIÓN GENERAL</t>
  </si>
  <si>
    <t>25817506</t>
  </si>
  <si>
    <t>CASTRO FLORES CESAR JAHIR</t>
  </si>
  <si>
    <t>AV. 28  DE JULIO MZ.8 LT.1. EXP. URBANA SANTA CRUZ - MEDIO MUNDO</t>
  </si>
  <si>
    <t>75384614</t>
  </si>
  <si>
    <t>CASTRO GUADAMUR JOSE ALBERTO</t>
  </si>
  <si>
    <t>JR.BENITO PÉREZ 3182 SMP</t>
  </si>
  <si>
    <t>41025718</t>
  </si>
  <si>
    <t>CASTRO HERRERA SILVESTRE</t>
  </si>
  <si>
    <t>CALLELAS PRADERAS DEL NARANJAL MZ B LTE 16, II ETAPA DEL NARANJAL, LIMA, LIMA, SAN MARTIN DE PORRES</t>
  </si>
  <si>
    <t>07076643</t>
  </si>
  <si>
    <t>CASTRO HINOSTROZA JESUS DIONICIO</t>
  </si>
  <si>
    <t>AV. PERÚ 2612</t>
  </si>
  <si>
    <t>22184955</t>
  </si>
  <si>
    <t>CASTRO MARIANO JUANA GISVEL</t>
  </si>
  <si>
    <t>AV. SANTA ROSAC.P. IRRIGACION SANTA ROSA MZ A1 LT 3 ENTRADA A FUNDO ESCORPIO</t>
  </si>
  <si>
    <t>70461791</t>
  </si>
  <si>
    <t>CASTRO ORTIZ LUIS ALFREDO</t>
  </si>
  <si>
    <t>PJ. VIÑA DORADA MZA. B LOTE 05 A.H. VIÑA DORADA</t>
  </si>
  <si>
    <t>40727256</t>
  </si>
  <si>
    <t>CASTRO QUEZADA JUAN LUIS</t>
  </si>
  <si>
    <t>PUERTO BELEN 174 MZ. V LT. 18</t>
  </si>
  <si>
    <t>48065902</t>
  </si>
  <si>
    <t>CASTRO QUEZADA, JUAN LUIS</t>
  </si>
  <si>
    <t>CASTRO ROSAS ANGELA MAGDALENA</t>
  </si>
  <si>
    <t>JR. FEDERICO RECALVARREN MZ E5 LT. 11</t>
  </si>
  <si>
    <t>10114799</t>
  </si>
  <si>
    <t>CASTRO VARGAS ROBERTO CARLOS</t>
  </si>
  <si>
    <t>AV. PLAYA HONDABLE M T5 - L 4 ASOC. PRO VIVIENDA PROFAM PERU</t>
  </si>
  <si>
    <t>42588589</t>
  </si>
  <si>
    <t>CATANO BENITES ROBERTO</t>
  </si>
  <si>
    <t>CALLE BELLO HORIZONTE MZA.K LT-5</t>
  </si>
  <si>
    <t>15286398</t>
  </si>
  <si>
    <t>CATCOPARCO QUISPE JAIME ELISEO</t>
  </si>
  <si>
    <t>AV. CARLOS IZAGUIRRE NRO 1463</t>
  </si>
  <si>
    <t>10400761</t>
  </si>
  <si>
    <t>JAIME ELISEO CATCOPARCO QUISPE</t>
  </si>
  <si>
    <t>CAUCHOS DOROTEO MARCOS ANTONIO</t>
  </si>
  <si>
    <t>URB.SAN ROQUE S/N-SAN VICENTE DE CAÑETE</t>
  </si>
  <si>
    <t>30482053</t>
  </si>
  <si>
    <t>CAUSSO VASQUEZ JOICE KAROLAY</t>
  </si>
  <si>
    <t>AV. MARISCAL OSCAR R. BENAVIDES, 4929</t>
  </si>
  <si>
    <t>Principal - 9609 - OTRAS ACTIVIDADES DE SERVICIOS PERSONALES N.C.P.</t>
  </si>
  <si>
    <t>75201896</t>
  </si>
  <si>
    <t>CAVERO CALERO ADRIAN JAHZIEL</t>
  </si>
  <si>
    <t>CALLE LEONCIO PRADO MZ. T4 LT. 24</t>
  </si>
  <si>
    <t>47933337</t>
  </si>
  <si>
    <t>CAVERO CALERO, ADRIAN JAHZIEL</t>
  </si>
  <si>
    <t>CAVERO ROJAS FRANCO ANTONIO</t>
  </si>
  <si>
    <t>AV.PERU 4179, LIMA, LIMA, SAN MARTÍN DE PORRES</t>
  </si>
  <si>
    <t>42532629</t>
  </si>
  <si>
    <t>CAYCHO CHACARA JEAN PIERE</t>
  </si>
  <si>
    <t>AV. BRASIL 1033 - JESUS MARIA</t>
  </si>
  <si>
    <t>74148876</t>
  </si>
  <si>
    <t>CAYCHO YACTAYO IVAN NOEE</t>
  </si>
  <si>
    <t>AV. MARCHAND NRO. 333</t>
  </si>
  <si>
    <t>80652813</t>
  </si>
  <si>
    <t>CAYO LLUFIRE VICTOR ALFONSO</t>
  </si>
  <si>
    <t>MZ. O LT. 42 URB. SAN DIEGO</t>
  </si>
  <si>
    <t>41942993</t>
  </si>
  <si>
    <t>CAYO LLUFIRE, VICTOR ALFONSO</t>
  </si>
  <si>
    <t>CAYO LUJAN JORGE RAMIRO</t>
  </si>
  <si>
    <t>AV TUPAC AMARU N° 2607 ( ALT KM 19- POR LA AUXILIAR)</t>
  </si>
  <si>
    <t>41940756</t>
  </si>
  <si>
    <t>CCAHUANA CAMPOS ELIZABETH DIONICIA</t>
  </si>
  <si>
    <t>NEPOMUCEMO VARGAS 349</t>
  </si>
  <si>
    <t>41541390</t>
  </si>
  <si>
    <t>CCAHUANA CAMPOS, ELIZABETH DIONICIA</t>
  </si>
  <si>
    <t>CCAMA NINA DIEGO RUBEN</t>
  </si>
  <si>
    <t>AV. PRINCIPAL 145 URB. EL REDUCTO</t>
  </si>
  <si>
    <t>41424208</t>
  </si>
  <si>
    <t>CCAMA VARGAS EDWIN LEONARDO</t>
  </si>
  <si>
    <t>GALERIA LETICIA 1000 PUESTO 8</t>
  </si>
  <si>
    <t>46368331</t>
  </si>
  <si>
    <t>CCAMA VARGAS, EDWIN LEONARDO</t>
  </si>
  <si>
    <t>CCANCHI CCALLO JOHN HIPOLITO</t>
  </si>
  <si>
    <t>JR. HUALLAGA NRO. 820 URB. BARRIOS ALTOS</t>
  </si>
  <si>
    <t>44811721</t>
  </si>
  <si>
    <t>CCANCHI CUSIMAYTA MERY ISABEL</t>
  </si>
  <si>
    <t>AV REVOLUCION 15834- VILLA EL SALVADOR</t>
  </si>
  <si>
    <t>IMPRESION</t>
  </si>
  <si>
    <t>0987274</t>
  </si>
  <si>
    <t>CCANCHI CUSIMAYTA, MERY ISABEL</t>
  </si>
  <si>
    <t>CCOAPAZA CHURASACARI NILTON CESAR</t>
  </si>
  <si>
    <t>AV. FERROCARRIL 215</t>
  </si>
  <si>
    <t>10230058</t>
  </si>
  <si>
    <t>CCONOVILCA ALCANTARA RUBEN</t>
  </si>
  <si>
    <t>PJ. CENTRO DE LIMA NRO. 196 URB. LIMA CERCADO LIMA</t>
  </si>
  <si>
    <t>23717468</t>
  </si>
  <si>
    <t>CCONOVILCA ALCANTARA, RUBEN</t>
  </si>
  <si>
    <t>CCORMORAY ALMANZA JOSE ALBERTO</t>
  </si>
  <si>
    <t>AV. CANTA CALLAO MZ A LT 9 BRISAS DE SANTA ROSA</t>
  </si>
  <si>
    <t>45078350</t>
  </si>
  <si>
    <t>CEFERINO CARHUAPOMA LIDER JOHON</t>
  </si>
  <si>
    <t>AV. PUENTE PIEDRA N°200 - PABELLON A PSTO. 49 MEGA MERCADO HUAMANTANGA</t>
  </si>
  <si>
    <t>45662188</t>
  </si>
  <si>
    <t>LIDER JOHON CEFERINO CARHUAPOMA</t>
  </si>
  <si>
    <t>CEFERINO REYES LALI VIOLETA</t>
  </si>
  <si>
    <t>PASAJE PUERTO MALDONADO 288-URBANIZACIÓN CAJA DE AGUA</t>
  </si>
  <si>
    <t>40782817</t>
  </si>
  <si>
    <t>CELESTINO ESTRADA RONALD EDINSON</t>
  </si>
  <si>
    <t>JIRON OLAYA NRO 235</t>
  </si>
  <si>
    <t>44643630</t>
  </si>
  <si>
    <t>CELESTINO HURTADO MANUEL</t>
  </si>
  <si>
    <t>MZ-B LT-13 ASOCIACIÓN LOS PORTALES DE CHAVÍN III SAN MARTIN DE PORRES LIMA LIMA</t>
  </si>
  <si>
    <t>70837924</t>
  </si>
  <si>
    <t>CELIO CAMPOS JULIO CESAR</t>
  </si>
  <si>
    <t>MZ. D LT. 17 A.H. - NEUVO PUCUSANA</t>
  </si>
  <si>
    <t>15426730</t>
  </si>
  <si>
    <t>CELIS CORTEZ JUAN ANTONIO</t>
  </si>
  <si>
    <t>JR RAMÓN CASTILLO 114 VILLA CLORINDA</t>
  </si>
  <si>
    <t>09989319</t>
  </si>
  <si>
    <t>CELIS DE INFANTES BETTY TEODORA</t>
  </si>
  <si>
    <t>C. JOSE OLAYA 163, LIMA, BARRANCA 15169, SUPE</t>
  </si>
  <si>
    <t>15623722</t>
  </si>
  <si>
    <t>CELIZ HERNANDEZ GILMER</t>
  </si>
  <si>
    <t>AV. TOMAS VALLE 1617</t>
  </si>
  <si>
    <t>47053675</t>
  </si>
  <si>
    <t>CENTENO URBINA CARLOS MARX</t>
  </si>
  <si>
    <t>URB SAN AGUSTIN MZ S LOTE 4</t>
  </si>
  <si>
    <t>43783768</t>
  </si>
  <si>
    <t>CERDA PRADO PEDRO NOLASCO</t>
  </si>
  <si>
    <t>MZ.D-2 LT.52 URB.27 DE ABRIL 2DA.ETAPA. LIMA - LIMA - ATE</t>
  </si>
  <si>
    <t>06973112</t>
  </si>
  <si>
    <t>CERDAN ABANTO ALEJANDRO</t>
  </si>
  <si>
    <t>PASAJE LOS AROS #158 SAN LUIS</t>
  </si>
  <si>
    <t>10068012</t>
  </si>
  <si>
    <t>CERRUDO OCHOA SERGIO DISEY</t>
  </si>
  <si>
    <t>AV. BOLIVIA N° 148 INT. 125</t>
  </si>
  <si>
    <t>25483312</t>
  </si>
  <si>
    <t>CERRUDO OCHOA, SERGIO DISEY</t>
  </si>
  <si>
    <t>CERVANTES LIVIA CESAR WUILVER</t>
  </si>
  <si>
    <t>BELISARIO CARRILLO 114</t>
  </si>
  <si>
    <t>16169819</t>
  </si>
  <si>
    <t>CESPEDES CASTILLO YARLETH IVONNE</t>
  </si>
  <si>
    <t>MZ C LT 11 CASAS HUERTAS</t>
  </si>
  <si>
    <t>76460600</t>
  </si>
  <si>
    <t>CESPEDES CHOQUE LUIS</t>
  </si>
  <si>
    <t>MZ. 153 LT 12 AV. ENRIQUE MILLA OCHOA</t>
  </si>
  <si>
    <t>74162016</t>
  </si>
  <si>
    <t>CESPEDES HUAMAN EDUARDO ENRIQUE</t>
  </si>
  <si>
    <t>PASAJE JOSE PABLO DE OLAVIDE Y JAUREGUI 191</t>
  </si>
  <si>
    <t>75201097</t>
  </si>
  <si>
    <t>CESPEDES HUAMAN TITO</t>
  </si>
  <si>
    <t>AV NARANJAL MZ A LT 9 _ 10 OTRA. PROG DE VIV. EL MIRADOR II SMP</t>
  </si>
  <si>
    <t>10537471</t>
  </si>
  <si>
    <t>CESPEDES PALMA RAUL WASHINGTON</t>
  </si>
  <si>
    <t>AV. CÉSAR CANEVARO 165</t>
  </si>
  <si>
    <t>80059106</t>
  </si>
  <si>
    <t>CEVALLOS PORTUGUEZ KAREN YANETT</t>
  </si>
  <si>
    <t>URB. SINDICATO DE CHOFERES MZ:R LT:19 SAN VICENTE- CAÑETE</t>
  </si>
  <si>
    <t>40198600</t>
  </si>
  <si>
    <t>CHACALIAZA NUÑEZ MARCOS JOSE</t>
  </si>
  <si>
    <t>AV. PUENTE PIEDRA 1235 (PUENTE PIEDRA-LIMA)</t>
  </si>
  <si>
    <t>07996754</t>
  </si>
  <si>
    <t>CHACON MOREANO MARINA DORA</t>
  </si>
  <si>
    <t>JR. INCA PACHACUTE N°700,</t>
  </si>
  <si>
    <t>10487390</t>
  </si>
  <si>
    <t>CHACON VILLANUEVA RYCKY AMADEO</t>
  </si>
  <si>
    <t>PSJE. GASPAR NRO. 269 CERCADO DE LIMA (RICKY RICON)</t>
  </si>
  <si>
    <t>43223562</t>
  </si>
  <si>
    <t>CHAFLOQUE CHAFLOQUE GUSTAVO FREDDY</t>
  </si>
  <si>
    <t>AV. HUAROCHIRI 417, LIMA 15012</t>
  </si>
  <si>
    <t>10200191</t>
  </si>
  <si>
    <t>CHAFLOQUE CHUMIOQUE CESAR VALENTIN</t>
  </si>
  <si>
    <t>AV. URUBAMBA MZ. F LOTE 9 ASOC. SAN JUAN, LIMA, LIMA, ATE</t>
  </si>
  <si>
    <t>45496972</t>
  </si>
  <si>
    <t>CHAHUA MELCHOR FILIMON DANIEL</t>
  </si>
  <si>
    <t>AV SEPARADORA INDUSTRIAL R´-40 AGRU PACHACAMAC PARC 3 SECTOR 1 B2 VILLA EL SALVADOR BARRIO 2</t>
  </si>
  <si>
    <t>74068409</t>
  </si>
  <si>
    <t>CHALCO FLORES FIDENCIO</t>
  </si>
  <si>
    <t>AV. ANGELICA GAMARRA 2342</t>
  </si>
  <si>
    <t>520 - MANTENIMIENTO Y REPARACIÓN DE VEHÍCULOS AUTOMOTORES</t>
  </si>
  <si>
    <t>71537184</t>
  </si>
  <si>
    <t>CHAMACHE ANTICONA JUAN CARLOS</t>
  </si>
  <si>
    <t>JR. RIO SANTA FE NRO. I INT. 24 URB. CANTO REY</t>
  </si>
  <si>
    <t>10111492</t>
  </si>
  <si>
    <t>CHAMBI SUCASAIRE JULIO CESAR</t>
  </si>
  <si>
    <t>MZ D8 LT 28 A.H. ANGAMOS SECTOR 1</t>
  </si>
  <si>
    <t>70617679</t>
  </si>
  <si>
    <t>CHAMBI SUCASAIRE, JULIO CESAR</t>
  </si>
  <si>
    <t>CHAMORRO ARAUJO MELECIO</t>
  </si>
  <si>
    <t>AV. 15 DE JULIO- PUESTO N°83 2DO PISO MERCADO MODELO (FRENTE A BANCO CONFIANZA )HUAYCAN</t>
  </si>
  <si>
    <t>40821568</t>
  </si>
  <si>
    <t>CHAMORRO BONILLA EDITH ISABEL</t>
  </si>
  <si>
    <t>JR.MALECÓN S/N - YANAHUANCA - PASCO</t>
  </si>
  <si>
    <t>DANIEL ALCIDES CARRION</t>
  </si>
  <si>
    <t>YANAHUANCA</t>
  </si>
  <si>
    <t>42324080</t>
  </si>
  <si>
    <t>CHAMORRO DIAZ ADDIS</t>
  </si>
  <si>
    <t>LOTE 5 PARCELA "D" LURIGANCHO CHOSICA 15461 CON AV. COLECTORA - MERCADO DE NIEVERIA</t>
  </si>
  <si>
    <t>23709004</t>
  </si>
  <si>
    <t>CHAMORRO GALLEGOS JORGE EDUARDO</t>
  </si>
  <si>
    <t>JR. OSCAR R. BENAVIDES NRO 261 EL PROGRESO ALT. KM 205 AV. TUPAC AMARU, LIMA, LIMA, CARABAYLLO</t>
  </si>
  <si>
    <t>10407221</t>
  </si>
  <si>
    <t>CHAMORRO MAGARIÑO CELSO MAVILO</t>
  </si>
  <si>
    <t>AV. PACHACUTEC 2465, LIMA, LIMA, VILLA MARIA DEL TRIUNFO</t>
  </si>
  <si>
    <t>09703766</t>
  </si>
  <si>
    <t>CHAMORRO SEGUIL JHONATAN</t>
  </si>
  <si>
    <t>URB.VIRGEN DE COCHARCAS MZ. E LOTE10</t>
  </si>
  <si>
    <t>46874302</t>
  </si>
  <si>
    <t>CHAMPA CASTRO CRISTHIAN ARNALDO</t>
  </si>
  <si>
    <t>CAR. ANTIGUA PANAMERICANA NORTE KM 148, LIMA, HUAURA, SANTA MARIA</t>
  </si>
  <si>
    <t>44342047</t>
  </si>
  <si>
    <t>CHANCA CARHUALLANQUI NORMA SOLEDAD</t>
  </si>
  <si>
    <t>AV. AYACUCHO MZ G1 LOTE 11 MI PERU</t>
  </si>
  <si>
    <t>VENTA AL POR MENOR DE PRODUCTOS FARMACÉUTICOS Y MÉDICOS, COSMÉTICOS Y ARTÍCULOS DE TOCADOR EN COMERCIOS ESPECIALIZADOS</t>
  </si>
  <si>
    <t>10501909</t>
  </si>
  <si>
    <t>CHANG DIESTRA JUAN FELIPE</t>
  </si>
  <si>
    <t>AV. CRUZ BLANCA N° 883 - HUALMAY</t>
  </si>
  <si>
    <t>17191649</t>
  </si>
  <si>
    <t>CHANG LOPEZ KARINA MUIKUAY</t>
  </si>
  <si>
    <t>AV. 28 DE JULIO NRO. 573 INT. 1</t>
  </si>
  <si>
    <t>15737284</t>
  </si>
  <si>
    <t>CHANG MARTINEZ HECTOR ALEJANDRO</t>
  </si>
  <si>
    <t>CALLE ANDRES DE LOS REYES MZ. B LT. 4 AGROBANK</t>
  </si>
  <si>
    <t>40277472</t>
  </si>
  <si>
    <t>CHAVARRI LEYVA OSWALDO</t>
  </si>
  <si>
    <t>AV ALFONSO UGARTE N° 252 CC. UNICENTRO INT. 1355</t>
  </si>
  <si>
    <t>42507993</t>
  </si>
  <si>
    <t>CHAVARRIA CONTRERAS ROGER ALEXANDER</t>
  </si>
  <si>
    <t>ASOC. MELCHORITA DE VITARTE MZ. B LOTE. 11</t>
  </si>
  <si>
    <t>71891861</t>
  </si>
  <si>
    <t>CHAVARRIA CONTRERAS, ROGER ALEXANDER</t>
  </si>
  <si>
    <t>CHAVEZ DE CASTILLO MARIA ROSA</t>
  </si>
  <si>
    <t>AV. LAS PALOMAS DENTRO DE GALERIA SANTA ROSA, CALLAO, CALLAO, VENTANILLA</t>
  </si>
  <si>
    <t>25500185</t>
  </si>
  <si>
    <t>CHAVEZ DE CASTILLO, MARIA ROSA</t>
  </si>
  <si>
    <t>CHAVEZ ESPINOZA KATHERINE PAULINA</t>
  </si>
  <si>
    <t>CP GLORIA ALCAFORE LT. 39 CARRETERA CENTRAL KM. 13.5, LIMA, LIMA, ATE</t>
  </si>
  <si>
    <t>47507710</t>
  </si>
  <si>
    <t>CHAVEZ ESPINOZA, KATHERINE PAULINA</t>
  </si>
  <si>
    <t>CHAVEZ GOMEZ ESCOLASTICA CARMEN</t>
  </si>
  <si>
    <t>AV. ARGENTINA 144, LIMA, LIMA, LIMA</t>
  </si>
  <si>
    <t>42666304</t>
  </si>
  <si>
    <t>CHAVEZ GOMEZ, ESCOLASTICA CARMEN</t>
  </si>
  <si>
    <t>CHAVEZ GRADOS NOE JOHANATAN</t>
  </si>
  <si>
    <t>CALLE LOS ALAMOS 257 (REF. 2 CASA DE LA TORRE DE MOVISTAR )</t>
  </si>
  <si>
    <t>71707461</t>
  </si>
  <si>
    <t>CHAVEZ HIDALGO ISABEL VIVIANA</t>
  </si>
  <si>
    <t>AV. TUPAC AMARU Nº 108</t>
  </si>
  <si>
    <t>06986495</t>
  </si>
  <si>
    <t>CHAVEZ ICHPAS DANIEL</t>
  </si>
  <si>
    <t>AV. ALISOS 24 2A, LIMA, LIMA , INDEPENDENDIA</t>
  </si>
  <si>
    <t>23471488</t>
  </si>
  <si>
    <t>CHAVEZ LLANOS THOMAS ANTHONY</t>
  </si>
  <si>
    <t>AV. ARGENTINA N°449-04</t>
  </si>
  <si>
    <t>16695838</t>
  </si>
  <si>
    <t>CHAVEZ MEDINA CELINA TELMA</t>
  </si>
  <si>
    <t>JR. ABRAHAM VALDELOMAR NRO. 128 A.H. PASCANA</t>
  </si>
  <si>
    <t>46301181</t>
  </si>
  <si>
    <t>CHAVEZ MELGAREJO RICK BRAYAN</t>
  </si>
  <si>
    <t>CALLE 28 DE JULIO MZ H LOTE 10 - PURMACANA (REF. RESTAURANTE SABE A PERÚ)</t>
  </si>
  <si>
    <t>70403728</t>
  </si>
  <si>
    <t>RICK BRAYAN CHAVEZ MELGAREJO</t>
  </si>
  <si>
    <t>CHAVEZ MORALES DANIEL ARTURO</t>
  </si>
  <si>
    <t>ASOC. DE POBLADORES LOS GRAMADALES MZ E LT. 49 - PUENTE PIEDRA</t>
  </si>
  <si>
    <t>47175047</t>
  </si>
  <si>
    <t>CHAVEZ NATIVIDAD DEMESIA</t>
  </si>
  <si>
    <t>URB. SAN JUAN MZ 49 LT 11 (COSTADO DEL DEPOSITO MUNICIPAL)</t>
  </si>
  <si>
    <t>41855245</t>
  </si>
  <si>
    <t>CHAVEZ NAVEDA JORGE LUIS</t>
  </si>
  <si>
    <t>AV. PETIT THOUARS 5356, MIRAFLORES 15074</t>
  </si>
  <si>
    <t>44112637</t>
  </si>
  <si>
    <t>CHAVEZ QUIROZ DECIDERIO</t>
  </si>
  <si>
    <t>CALLE AMERICA UMAMARCA, 5 CUADRAS DEL PUENTE AMERICA LIMA - LIMA - SJM</t>
  </si>
  <si>
    <t>42501980</t>
  </si>
  <si>
    <t>CHAVEZ TAMAYO ROBERTO CARLOS</t>
  </si>
  <si>
    <t>AV. EL SANTUARIO 1119 , ZARATE, SAN JUAN DE LURIGANCHO</t>
  </si>
  <si>
    <t>10129626</t>
  </si>
  <si>
    <t>CHAVEZ VALER DEYBY MITZAEL</t>
  </si>
  <si>
    <t>MZ. N LT. 27 A.H LOS ROSALES DE PRO LOS OLIVOS</t>
  </si>
  <si>
    <t>47756264</t>
  </si>
  <si>
    <t>CHAVEZ VALLEJOS ANA ELISABET</t>
  </si>
  <si>
    <t>MZ E LOTE 13 COOP. UMAMARCA</t>
  </si>
  <si>
    <t>45524938</t>
  </si>
  <si>
    <t>CHAVEZ VALLEJOS, ANA ELISABET</t>
  </si>
  <si>
    <t>CHAVEZ VILLANUEVA ROBERTO</t>
  </si>
  <si>
    <t>CALLE PASO DE LOS ANDES 103</t>
  </si>
  <si>
    <t>08046153</t>
  </si>
  <si>
    <t>CHAVEZ VILLAVICENCIO LUIS ALBERTO</t>
  </si>
  <si>
    <t>AV. GRAU 147 -MÁNCORA - TALARA - PIURA</t>
  </si>
  <si>
    <t>TALARA</t>
  </si>
  <si>
    <t>MANCORA</t>
  </si>
  <si>
    <t>80419519</t>
  </si>
  <si>
    <t>CHAVEZ VILLAVICENCIO, LUIS ALBERTO</t>
  </si>
  <si>
    <t>CHENTA ORE JOSE LUIS</t>
  </si>
  <si>
    <t>AV. BOLIVIA N° 148 INT. 549 CC CENTRO LIMA</t>
  </si>
  <si>
    <t>74992257</t>
  </si>
  <si>
    <t>CHENTA ORE, JOSE LUIS</t>
  </si>
  <si>
    <t>CHERO CAVERO CESAR AUGUSTO</t>
  </si>
  <si>
    <t>AV. LA MOLINA 504, REF. DE LA AVENIDA LA MOLINA CON SEPARADORA INDUSTRIAL</t>
  </si>
  <si>
    <t>45466877</t>
  </si>
  <si>
    <t>CHERO CAVERO, CESAR AUGUSTO</t>
  </si>
  <si>
    <t>CHERO MONTALVAN DARWIN DANIEL</t>
  </si>
  <si>
    <t>MZ. Q LOTE 10 SANTA FE DE TOTORITA 1RA ETAPA, LIMA, LIMA, SAN JUAN DE LURIGANCHO</t>
  </si>
  <si>
    <t>70988678</t>
  </si>
  <si>
    <t>CHERO MONTALVAN, DARWIN DANIEL</t>
  </si>
  <si>
    <t>CHERREPANO CONDE HECTOR ANIBAL</t>
  </si>
  <si>
    <t>CAR. ANTIGUA PANAMERICANA NORTE S/NRO. (TALLER GALARZA VOLVO)</t>
  </si>
  <si>
    <t>15691061</t>
  </si>
  <si>
    <t>HECTOR ANIBAL CHERREPANO CONDE</t>
  </si>
  <si>
    <t>CHICLAYO SANCHÉZ ESMERALDA STEPHANY</t>
  </si>
  <si>
    <t>AV. AGUSTIN DE LA ROSA TORO 280 - SAN LUIS</t>
  </si>
  <si>
    <t>48753906</t>
  </si>
  <si>
    <t>CHIHUALA REATEGUI JAIR</t>
  </si>
  <si>
    <t>CA 3 F 05A- APV SEÑOR DE LOS MILAGROS</t>
  </si>
  <si>
    <t>70153299</t>
  </si>
  <si>
    <t>CHILINGANO ARANGO JUAN PABLO</t>
  </si>
  <si>
    <t>AV. ALFREDO MENDIOLA #4456 URB. NARANJAL</t>
  </si>
  <si>
    <t>40027643</t>
  </si>
  <si>
    <t>CHILON LEYVA CARMEN BEATRIZ</t>
  </si>
  <si>
    <t>AV. EL ARENAL MZ "N" LOTE 06 LA CANDELARIA</t>
  </si>
  <si>
    <t>10397636</t>
  </si>
  <si>
    <t>CHILON LEYVA, CARMEN BEATRIZ</t>
  </si>
  <si>
    <t>CHINCHAY BADAJOS MARA</t>
  </si>
  <si>
    <t>4XW5+M7R, CARABAYLLO 15121,</t>
  </si>
  <si>
    <t>42287880</t>
  </si>
  <si>
    <t>CHINCHAY CLEMENTE FERNANDO EUSEBIO</t>
  </si>
  <si>
    <t>S/N CALLE CAYAHUANCA</t>
  </si>
  <si>
    <t>16178098</t>
  </si>
  <si>
    <t>CHIPANA BERAUN ALEJANDRO FELIX</t>
  </si>
  <si>
    <t>JR. VALPARAISO 389, LIMA, LIMA, SAN MARTIN DE PORRES</t>
  </si>
  <si>
    <t>08583731</t>
  </si>
  <si>
    <t>CHIPANA FELIPE JUAN CLODOALDO</t>
  </si>
  <si>
    <t>URB. CAUSUARINAS JR. VICTOR ANDRES BELAUNDE N.297</t>
  </si>
  <si>
    <t>80128672</t>
  </si>
  <si>
    <t>CHIPANA OBREGON GLORIA ENRIQUETA</t>
  </si>
  <si>
    <t>PSJ. CERRO DE PASCO MZ. 2R LT. 25 URB. DULANTO</t>
  </si>
  <si>
    <t>07254663</t>
  </si>
  <si>
    <t>CHIPANA OBREGON, GLORIA ENRIQUETA</t>
  </si>
  <si>
    <t>CHIPAYO CONCHA OSCAR</t>
  </si>
  <si>
    <t>AV.LEONCIO PRADO MZ Y LT 11 PAMPLONA ALTA . A 5 CUADRAS ANTES DE EL MERCADO ARGEDAS , PARADERO 22</t>
  </si>
  <si>
    <t>MANTENIMIENTO Y REPARACION DE VEHICULOS</t>
  </si>
  <si>
    <t>44814183</t>
  </si>
  <si>
    <t>CHIRE LEON WILDER ISIDRO</t>
  </si>
  <si>
    <t>AV. SEPARADORA INDUSTRIAL MZ 1 LT 47, LIMA, LIMA, VILLA EL SALVADOR</t>
  </si>
  <si>
    <t>10228380</t>
  </si>
  <si>
    <t>CHIRINOS PHILLIPS DE TRECE CARMEN</t>
  </si>
  <si>
    <t>AV. LA MOLINA NRO. 748 URB. RESIDENNCIAL MONTERRICO</t>
  </si>
  <si>
    <t>10609024</t>
  </si>
  <si>
    <t>CHIRITO BUITRON CESAR HERNAN</t>
  </si>
  <si>
    <t>CALLE LEONCIO PRADO NRO CUADRA 2-TALLER MECÁNICA- URB CERCADO DE HUARAL, AUCALLAMA</t>
  </si>
  <si>
    <t>80117236</t>
  </si>
  <si>
    <t>CHIROQUE ALBURQUEQUE JUAN CARLOS</t>
  </si>
  <si>
    <t>AV. QUILCA N° 663 URB. PERU</t>
  </si>
  <si>
    <t>40369967</t>
  </si>
  <si>
    <t>CHIROQUE VALENCIA SUSANA REYES</t>
  </si>
  <si>
    <t>CENTRO COMERCIAL PLAZA VITARTE BLOCK 2A OFICINA 135</t>
  </si>
  <si>
    <t>43632427</t>
  </si>
  <si>
    <t>CHIRRE SOLIS LUIS ANGEL</t>
  </si>
  <si>
    <t>AV. JOSE SANCHEZ CARRION NRO. 350 (REF. FRENTE A LA  FERRETERIA VICOTA)</t>
  </si>
  <si>
    <t>42542235</t>
  </si>
  <si>
    <t>CHOMBO YANAYACO DENNIS</t>
  </si>
  <si>
    <t>PASAJE 15 DE AGOSTO MZ H LT 6 SUB. URB. TAHUANT. INDEPENDENCIA</t>
  </si>
  <si>
    <t>42656642</t>
  </si>
  <si>
    <t>CHOQUE NAVARRO FRANKLIN JEFFERSON</t>
  </si>
  <si>
    <t>AV. ALFREDO MENDIOLA NRO. 7810</t>
  </si>
  <si>
    <t>76136387</t>
  </si>
  <si>
    <t>CHOQUE SALAZAR EDWAR ALEXANDER</t>
  </si>
  <si>
    <t>JR. ANTONIO DE ELIZALDE N° 480 PUESTO 169, LIMA, LIMA, LIMA</t>
  </si>
  <si>
    <t>41635487</t>
  </si>
  <si>
    <t>CHOQUE SALAZAR, EDWAR ALEXANDER</t>
  </si>
  <si>
    <t>CHOQUE SUYO GUILLERMO</t>
  </si>
  <si>
    <t>JR. EL RUBI  MZ C LT 7 .  URB. ANGELICA GAMARRA - LOS OLIVOS</t>
  </si>
  <si>
    <t>24705567</t>
  </si>
  <si>
    <t>CHOQUECOTA MAMANI JOEL GUALBERTO</t>
  </si>
  <si>
    <t>AV CHILLON 34 A</t>
  </si>
  <si>
    <t>45027953</t>
  </si>
  <si>
    <t>CHOQUEHUANCA JIBAJA FREDESMINDA</t>
  </si>
  <si>
    <t>AV. JAVIER PRADO ESTE 2010, LIMA 15036</t>
  </si>
  <si>
    <t>45223141</t>
  </si>
  <si>
    <t>CHUCO ESPINOZA RONAL</t>
  </si>
  <si>
    <t>PROCERES 170 ESPALDA DE CDRA 7 AV. PIZARRO - RIMAC</t>
  </si>
  <si>
    <t>44652734</t>
  </si>
  <si>
    <t>CHUMBES FARROMEQUE AYMEE JENNIFER</t>
  </si>
  <si>
    <t>JR. GALVEZ 1179 , BARRANCA</t>
  </si>
  <si>
    <t>40093691</t>
  </si>
  <si>
    <t>CHUMBES GARCIA MANUEL ALBERTO</t>
  </si>
  <si>
    <t>JR. BRASILIA NRO 184 URB. EL PARRAL</t>
  </si>
  <si>
    <t>47867051</t>
  </si>
  <si>
    <t>CHUMBIMUNE ROSADO VICTORIA</t>
  </si>
  <si>
    <t>PARQUE INDUSTRIAL STAND E10A FERIA APIME VES</t>
  </si>
  <si>
    <t>40796573</t>
  </si>
  <si>
    <t>CHUMPITAZ CASTAÑEDA JOHNNY ALFREDO</t>
  </si>
  <si>
    <t>AV. UNIVERSITARIA MZ G LOTE 6 URBANIZACION APAVIC, LIMA, LIMA, CARABAYLLO</t>
  </si>
  <si>
    <t>45911733</t>
  </si>
  <si>
    <t>CHUMPITAZ VELASQUEZ LUIS GILBERTO</t>
  </si>
  <si>
    <t>CALLE LOS LAURELES MZ M LT 2 EL CALICHE (FRENTE A LA CANCHA SINTETICA DEL CALICHE)</t>
  </si>
  <si>
    <t>43423953</t>
  </si>
  <si>
    <t>CHUQUI MOYA GIANELLA CINDI</t>
  </si>
  <si>
    <t>JIRON LA LIBERTAD (REF. CERCA A LAPLAZA DE ARMAS AL LADO DE LA LIBRERIA BAZAR CESY)</t>
  </si>
  <si>
    <t>75195415</t>
  </si>
  <si>
    <t>CHUQUICONDOR RIVERA ELISA</t>
  </si>
  <si>
    <t>JR AMERICA #334 INT 1, LIMA, LIMA, LA VICTORIA</t>
  </si>
  <si>
    <t>VENTA AL POR MENOR DE PRODUCTOS TEXTILES EN COMERCIOS ESPECIALIZADOS</t>
  </si>
  <si>
    <t>25755395</t>
  </si>
  <si>
    <t>ELISA CHUQUICONDOR RIVERA</t>
  </si>
  <si>
    <t>CHUQUILIN GUEVARA ELVER ANTONIO</t>
  </si>
  <si>
    <t>MZ F, LT 39, SAN MIGUEL ARCANGEL (REF AV. TANTAMAYO CON AV. LOS SAUCES )</t>
  </si>
  <si>
    <t>41445289</t>
  </si>
  <si>
    <t>CHUQUIZUTA ORTIZ LUZMILA MATILDE</t>
  </si>
  <si>
    <t>SECTOR 7 GRUPO 3A D4 LOTE 36</t>
  </si>
  <si>
    <t>61382482</t>
  </si>
  <si>
    <t>CHURA JAHUIRA EMILIO</t>
  </si>
  <si>
    <t>MZ N - LT 35 - SC 2 - BA 1 - 4TA ETAPA</t>
  </si>
  <si>
    <t>00513268</t>
  </si>
  <si>
    <t>CHURAMPI DE ESPIRITU MERY CELIA</t>
  </si>
  <si>
    <t>AV. NECOCHEA CON JORGE CHÁVEZ PILCOMAYO S/N</t>
  </si>
  <si>
    <t>PILCOMAYO</t>
  </si>
  <si>
    <t>ACTIVIDADES DE RESTAURANTES Y DE SERVICIO MÓVIL DE COMIDAS</t>
  </si>
  <si>
    <t>21284924</t>
  </si>
  <si>
    <t>CHURAMPI DE ESPIRITU, MERY CELIA</t>
  </si>
  <si>
    <t>CHURAMPI RAFAEL PEDRO GERMAN</t>
  </si>
  <si>
    <t>UCV 204 LT. 40 ZONA R HUAYCAN (4 CUADRAS ARRIBA DEL PARADERO HGK), LIMA, LIMA, ATE</t>
  </si>
  <si>
    <t>40077147</t>
  </si>
  <si>
    <t>CHURAMPI RAFAEL, PEDRO GERMAN</t>
  </si>
  <si>
    <t>CIEZA ECHEVARRIA DEYCI LORENA</t>
  </si>
  <si>
    <t>AV. JOSE GRANDA - AV. CHILE 135 CIEZ A.H. SAN MARTIN DE PORRES</t>
  </si>
  <si>
    <t>72967803</t>
  </si>
  <si>
    <t>CIEZA ECHEVARRIA, DEYCI LORENA</t>
  </si>
  <si>
    <t>CIEZA ROJAS YANALI</t>
  </si>
  <si>
    <t>AV SAN MARTIN NRO 392 (COSTADO DE LA TIENDA LONDON PRAZE)</t>
  </si>
  <si>
    <t>47050313</t>
  </si>
  <si>
    <t>CIPRA GUEVARA CESAR EDUARDO</t>
  </si>
  <si>
    <t>AV. TUPAC AMARU MZ. A LT. 17 6923 REF: CRUCE DE AV. TUPAC AMARU Y  AV. JAMAICA</t>
  </si>
  <si>
    <t>06938823</t>
  </si>
  <si>
    <t>CIPRIAN POMA ROLANDO ELVIDIO</t>
  </si>
  <si>
    <t>P° DE LA SOLIDARIDAD CON AV APURÍMAC / AL COSTADO DEL RESTAURANTE D' MARY Y AL COSTADO DEL COLEGIO SOL MARÍA DE LOS ÁNGELES</t>
  </si>
  <si>
    <t>46592436</t>
  </si>
  <si>
    <t> CIPRIAN POMA, ROLANDO ELVIDIO</t>
  </si>
  <si>
    <t>CISNEROS VELASQUEZ ROBERTO NICK</t>
  </si>
  <si>
    <t>MZ. D1 LT. 7</t>
  </si>
  <si>
    <t>5621 - SUMINISTRO DE COMIDAS POR ENCARGO</t>
  </si>
  <si>
    <t>44541076</t>
  </si>
  <si>
    <t>CIURLIZZA RAMOS JERRY EDMUNDO</t>
  </si>
  <si>
    <t>JR SAENZ PEÑA 162 PACHACAMAC -LIMA/LIMA/PACHACAMAC</t>
  </si>
  <si>
    <t>40531062</t>
  </si>
  <si>
    <t>CIVICO GALINDO LUCIO BERNARDO</t>
  </si>
  <si>
    <t>CALLE. 21 DE OCTUBRE N°137 URB. SEÑOR DE LOS MILAGROS</t>
  </si>
  <si>
    <t>15745219</t>
  </si>
  <si>
    <t>CJUMO MEZA NATIVIDAD</t>
  </si>
  <si>
    <t>URBANIZACION SNATO DOMINGO AV. U T 2 LT:15</t>
  </si>
  <si>
    <t>42101860</t>
  </si>
  <si>
    <t>CLAUDIO PAYE NANCY CATALINA</t>
  </si>
  <si>
    <t>AV. BOLIVIA 148</t>
  </si>
  <si>
    <t>09043786</t>
  </si>
  <si>
    <t>CLAUDIO PAYE, NANCY CATALINA</t>
  </si>
  <si>
    <t>CLAVO VALDIVIESO CARLOS ADOLFO</t>
  </si>
  <si>
    <t>AV. LAS PALMERAS 435 LA ENSENADA PUENTE PIEDRA (REFERENCIA ULTIMO PARADERO DE LOS CHINO LETRA A)</t>
  </si>
  <si>
    <t>10219544</t>
  </si>
  <si>
    <t>CLEMENTE AMADO MAURO GIANCARLO</t>
  </si>
  <si>
    <t>AV. ARGENTINA NRO 2032</t>
  </si>
  <si>
    <t>47358496</t>
  </si>
  <si>
    <t>CLEMENTE IGNACIO JOSE LUIS</t>
  </si>
  <si>
    <t>LAS PRADERAS PRIMERA ETAPA MZ. G LT. 6 , SANTA ANITA , LIMA</t>
  </si>
  <si>
    <t>45422962</t>
  </si>
  <si>
    <t>COCHA CAMARGO ANTONIO HARRY</t>
  </si>
  <si>
    <t>CALLE LAS TAPADAS Nº 126 URB. EL MANZANO RIMAC</t>
  </si>
  <si>
    <t>08175382</t>
  </si>
  <si>
    <t>COCHA CAMARGO, ANTONIO HARRY</t>
  </si>
  <si>
    <t>COCHACHI ROSALES JUNIOR ALFREDO</t>
  </si>
  <si>
    <t>AV. LIMA SUR 1329 - LURIGANCHO, CHOSICA</t>
  </si>
  <si>
    <t>45976483</t>
  </si>
  <si>
    <t>COCHACHI TINEO ANA MARIA</t>
  </si>
  <si>
    <t>AV RIVA AGÜERO N° 1381 ( 2DO PISO)</t>
  </si>
  <si>
    <t>09506362</t>
  </si>
  <si>
    <t>COILA BENDITA LUIS HERNAN</t>
  </si>
  <si>
    <t>MZ. O LT. 2 NUEVO JERUSALEN</t>
  </si>
  <si>
    <t>FABRICACIÓN DE PRENDAS DE VESTIR, EXCEPTO PRENDAS DE PIEL</t>
  </si>
  <si>
    <t>75389375</t>
  </si>
  <si>
    <t>COILA YTO ALBERTO</t>
  </si>
  <si>
    <t>AV. CARLOS IZAGUIRRE MZ G LOTE 6</t>
  </si>
  <si>
    <t>10535748</t>
  </si>
  <si>
    <t>COLAN RAMIREZ MANUEL IVAN</t>
  </si>
  <si>
    <t>AV. CHANCAY S/N EX HDA. ESQUIVEL (POR LA LADRILLERA / POR MEGA PLAZA)</t>
  </si>
  <si>
    <t>15951792</t>
  </si>
  <si>
    <t>COLLANA MELENDEZ CAROL GUISELLA</t>
  </si>
  <si>
    <t>AV. BELISARIO SUAREZ NRO. 1102 URB. SAN JUAN LIMA - LIMA - SAN JUAN DE MIRAFLORES</t>
  </si>
  <si>
    <t>42854908</t>
  </si>
  <si>
    <t>COLLANA MELENDEZ, CAROL GUISELLA</t>
  </si>
  <si>
    <t>COLLANTES DIAZ JOSE HERNAN</t>
  </si>
  <si>
    <t>CALLE BOLOGNESI NRO. 298 (REF. AL FRENTE DE POLLERIA "EL RUSTICO")</t>
  </si>
  <si>
    <t>15717692</t>
  </si>
  <si>
    <t>COLLAS LABAJOS NILA</t>
  </si>
  <si>
    <t>JR. JOSÉ SANTOS CHOCANO 298 SAN JOAQUÍN, CALLAO, CALLAO, BELLAVISTA</t>
  </si>
  <si>
    <t>42409979</t>
  </si>
  <si>
    <t>COLLAS MARCHAND VIVIANA KELLY</t>
  </si>
  <si>
    <t>CALLE LOPEZ ALBUJAR N° 356 LA PASCANA, LIMA, LIMA, COMAS</t>
  </si>
  <si>
    <t>75930089</t>
  </si>
  <si>
    <t>COLLAZOS LOPEZ DANIEL ABRAM</t>
  </si>
  <si>
    <t>AV.C MZ.2 LT.31 VENTANILLA ALTA LAS LOMAS</t>
  </si>
  <si>
    <t>45665155</t>
  </si>
  <si>
    <t>COLOMA PARADA CÉSAR JESÚS</t>
  </si>
  <si>
    <t>CALLE LAS PALOMAS MZ. T-4 LT. 13, GALERIA EL DUBAITT, CALLAO, CALLAO, VENTANILLA</t>
  </si>
  <si>
    <t>49029670</t>
  </si>
  <si>
    <t>COLOMA PARADA, CÉSAR JESÚS</t>
  </si>
  <si>
    <t>COLON CAJAVILCA JESUS ANGEL</t>
  </si>
  <si>
    <t>AV. UNIVERSITARIA NORTE NRO. 9708 URB. - LA ALBORADA</t>
  </si>
  <si>
    <t>41670319</t>
  </si>
  <si>
    <t>COLONIA DOMINGUEZ LILA DEL ROSARIO</t>
  </si>
  <si>
    <t>AV. 28 DE JULIO #161, LIMA, HUAURA, HUACHO</t>
  </si>
  <si>
    <t>47490219</t>
  </si>
  <si>
    <t>COLONIO POMA ELVIS LUIS</t>
  </si>
  <si>
    <t>URB. UNIDAD CATASTRAL 10736 UR LOTE. 16 LIMA LIMA ATE</t>
  </si>
  <si>
    <t>42963945</t>
  </si>
  <si>
    <t>CONCEPCION CHAVARRIA JAYME</t>
  </si>
  <si>
    <t>AV. 26 DE NOVIEMBRE, MZ. C, LT. 12, LIMA, LIMA, VILLA MARIA DEL TRIUNFO</t>
  </si>
  <si>
    <t>43666901</t>
  </si>
  <si>
    <t>CONCEPCION CHAVARRIA, JAYME</t>
  </si>
  <si>
    <t>CONCEPCION CUENCA LEYDI DOLORES</t>
  </si>
  <si>
    <t>JR. PUNO 538, LIMA, LIMA, LIMA</t>
  </si>
  <si>
    <t>45485230</t>
  </si>
  <si>
    <t>CONCEPCION CUENCA, LEYDI DOLORES</t>
  </si>
  <si>
    <t>CONCEPCION CUENCA LY ROCIO</t>
  </si>
  <si>
    <t>JR. PUNO NRO 536 INT. 101</t>
  </si>
  <si>
    <t>48026344</t>
  </si>
  <si>
    <t>CONCEPCION CUENCA, LY ROCIO</t>
  </si>
  <si>
    <t>CONCEPCION TAICAS VICTORIO EUGENIO</t>
  </si>
  <si>
    <t>JR. JUNIN NRO 536 INT.1 101, LIMA, LIMA, CERCADO DE LIMA</t>
  </si>
  <si>
    <t>06215350</t>
  </si>
  <si>
    <t>CONCEPCION TAICAS, VICTORIO EUGENIO</t>
  </si>
  <si>
    <t>CONDE APARICIO WILLIAM DAVID</t>
  </si>
  <si>
    <t>JR. LETICIA N.º 948 INT. 27</t>
  </si>
  <si>
    <t>Principal - 9511 - REPARACIÓN DE ORDENADORES Y EQUIPO PERIFÉRICO</t>
  </si>
  <si>
    <t>07467351</t>
  </si>
  <si>
    <t>CONDE CARHUANCHO LACEY LISBETH</t>
  </si>
  <si>
    <t>PASAJE 1ERO DE JULIO MZ B LT 3 JOSE GALVEZ</t>
  </si>
  <si>
    <t>VENTA AL POR MENOR POR CORREO Y POR INTERNET</t>
  </si>
  <si>
    <t>44982280</t>
  </si>
  <si>
    <t>CONDE COLLANTES CARLOS EDUARDO</t>
  </si>
  <si>
    <t>AV SAN JUAN NRO 1090 URB. SAN JUAN ZONA D SAN JUAN DE MIRAFLORES</t>
  </si>
  <si>
    <t>70888662</t>
  </si>
  <si>
    <t>CONDE FAUSTOR MARCELINO JACINTO</t>
  </si>
  <si>
    <t>PJ. BAHIA DE PISCO N° 135 URB. SAN PEDRITO, LIMA, LIMA, SANTIAGO DE SURCO</t>
  </si>
  <si>
    <t>08752892</t>
  </si>
  <si>
    <t>CONDE FAUSTOR, MARCELINO JACINTO</t>
  </si>
  <si>
    <t>CONDE HERVIAS EMMA ESPERANZA</t>
  </si>
  <si>
    <t>JR, AZANGARO Nº 634</t>
  </si>
  <si>
    <t>06217744</t>
  </si>
  <si>
    <t>CONDE HERVIAS, EMMA ESPERANZA</t>
  </si>
  <si>
    <t>CONDEZO GABRIEL JULIO CESAR</t>
  </si>
  <si>
    <t>PARCELA 60 URB. CAJAMARQUILLA (FGA INGENIEROS S.A) CHOSICA</t>
  </si>
  <si>
    <t>41695968</t>
  </si>
  <si>
    <t>CONDOR CARHUAVILCA JHON FRANK ANGELO</t>
  </si>
  <si>
    <t>MZ. H LOTE 2 ASOCIACION LAS PRADERAS DE PIRIACHI ATE- VITARTE</t>
  </si>
  <si>
    <t>45130926</t>
  </si>
  <si>
    <t>CONDOR MEJIA ELVIS</t>
  </si>
  <si>
    <t>AV. 2 DE OCTUBRE N° 108</t>
  </si>
  <si>
    <t>80532551</t>
  </si>
  <si>
    <t>CONDOR MEJIA, ELVIS</t>
  </si>
  <si>
    <t>CONDOR MENDOZA DELIA OFELIA</t>
  </si>
  <si>
    <t>CALLE TIAHUANACO 192</t>
  </si>
  <si>
    <t>10050453</t>
  </si>
  <si>
    <t>CONDOR NAULA ROBERTO</t>
  </si>
  <si>
    <t>AV SAN LUIS NRO 1040</t>
  </si>
  <si>
    <t>42924502</t>
  </si>
  <si>
    <t>CONDOR SANCHEZ EDIN FROILAN</t>
  </si>
  <si>
    <t>AV. GRAU 279 - 284, LIMA, HUAURA, HUACHO</t>
  </si>
  <si>
    <t>7420 - ACTIVIDADES DE FOTOGRAFÍA</t>
  </si>
  <si>
    <t>15725524</t>
  </si>
  <si>
    <t>CONDOR TEJADA ELSA ANITA</t>
  </si>
  <si>
    <t>AV. NARANJAL MZ. D LT. 10</t>
  </si>
  <si>
    <t>10530050</t>
  </si>
  <si>
    <t>CONDOR TEJADA, ELSA ANITA</t>
  </si>
  <si>
    <t>CONDOR TORRES SONIA LUZ</t>
  </si>
  <si>
    <t>AV. JOSE CARLOS MARIATEGUI MZA C LT 01</t>
  </si>
  <si>
    <t>07647577</t>
  </si>
  <si>
    <t>CONDOR TORRES, SONIA LUZ</t>
  </si>
  <si>
    <t>CONDORI ATAUCUSI VALERIANO</t>
  </si>
  <si>
    <t>JR BUENAVENTURA REY 741 ZONA K CIUDAD DE DIOS, LIMA, LIMA, SAN JUAN DE MIRAFLORES</t>
  </si>
  <si>
    <t>44250432</t>
  </si>
  <si>
    <t>CONDORI BERNUY MILTON</t>
  </si>
  <si>
    <t>MZ. N LOTE. 24 LOS OLIVOS DE PRO</t>
  </si>
  <si>
    <t>47794946</t>
  </si>
  <si>
    <t>CONDORI CARDENAS DAVID ANGEL</t>
  </si>
  <si>
    <t>MZ E LOTE2 VILLA DEL MAR MI PERU, CALLAO, CALLAO, MI PERÚ</t>
  </si>
  <si>
    <t>20112695</t>
  </si>
  <si>
    <t>CONDORI GODOY TRINIDAD</t>
  </si>
  <si>
    <t>CAL. AGUSTIN JAURIGUI CON  SAN PABLO</t>
  </si>
  <si>
    <t>70521309</t>
  </si>
  <si>
    <t>CONDORI HILARIO JOSSELIN KAREN</t>
  </si>
  <si>
    <t>AV. ANDRÉS AV. CACERES UCV 23 LOTE 35 ZN A  ATE 15006 (YAVADÚ)</t>
  </si>
  <si>
    <t>74118307</t>
  </si>
  <si>
    <t>CONDORI HUAMAN ESTEBAN DANIEL</t>
  </si>
  <si>
    <t>AVENIDA CANTO GRANDE 271 REF. CINEPLANET CANTO GRANDE, LIMA, LIMA, SJL</t>
  </si>
  <si>
    <t>75922296</t>
  </si>
  <si>
    <t>CONDORI MAQUERA ALEX</t>
  </si>
  <si>
    <t>AV. METROPOLITANA 574 TDA B-18 URBANIZACION C</t>
  </si>
  <si>
    <t>41867701</t>
  </si>
  <si>
    <t>CONDORI MENDOZA JUAN CARLOS</t>
  </si>
  <si>
    <t>JIRÓN CENTENARIO N° 444</t>
  </si>
  <si>
    <t>73528923</t>
  </si>
  <si>
    <t>CONDORI MENDOZA, JUAN CARLOS</t>
  </si>
  <si>
    <t>CONDORI QUILLA KEWIN RAAY</t>
  </si>
  <si>
    <t>JIRON CUZCO 440 CERCADO DE LIMA</t>
  </si>
  <si>
    <t>76804067</t>
  </si>
  <si>
    <t>CONDORI TAYPE ORLANDO</t>
  </si>
  <si>
    <t>A.V-DEFENSORES DE LIMA1098</t>
  </si>
  <si>
    <t>47987365</t>
  </si>
  <si>
    <t>CONTRERAS AYROS ENZO LEONEL</t>
  </si>
  <si>
    <t>CARRETERA CENTRAL. KM 12 PARADERO: PACAYAL REFERENCIA: PASANDO SANTA CLARA</t>
  </si>
  <si>
    <t>47663515</t>
  </si>
  <si>
    <t>CONTRERAS DE LA CRUZ ERICK DANTE</t>
  </si>
  <si>
    <t>URB. SINDICATO DE CHÓFERES MZ. Q LT. 17 SAN VICENTE</t>
  </si>
  <si>
    <t>77431603</t>
  </si>
  <si>
    <t>CONTRERAS ESCOBAR JAIME</t>
  </si>
  <si>
    <t>LAS TORRES SUB. LT. 18 A-1D FDO. HUACHIPA PARCELA MEDIA LUNA, LIMA, LURIGANCHO, CHOSICA</t>
  </si>
  <si>
    <t>45103387</t>
  </si>
  <si>
    <t>CONTRERAS RAMIREZ VERONICA</t>
  </si>
  <si>
    <t>CONDOMINIO CASA DEL VALLE Q24, URB. EL PINO</t>
  </si>
  <si>
    <t>45003487</t>
  </si>
  <si>
    <t>CONTRERAS RAMIREZ, VERONICA</t>
  </si>
  <si>
    <t>CONTRERAS ROMERO JHON CHARLES</t>
  </si>
  <si>
    <t>AV. SAN JUAN N° 335 GALERÍA SANTA ROSA ÁNGELES</t>
  </si>
  <si>
    <t>42694994</t>
  </si>
  <si>
    <t>CONTRERAS ROMERO, JHON CHARLES</t>
  </si>
  <si>
    <t>CONTRERAS VILLANUEVA WILDER</t>
  </si>
  <si>
    <t>AV. CAMINO REAL ASOC. PROP. EL EDEN MZ C LT. 238, LIMA, LIMA, CARABAYLLO</t>
  </si>
  <si>
    <t>44576028</t>
  </si>
  <si>
    <t>CORAJE MENACHO JUAN ERINEO</t>
  </si>
  <si>
    <t>A.V 20 DE DICIEMBRE N.569</t>
  </si>
  <si>
    <t>4763 - VENTA AL POR MENOR DE EQUIPO DE DEPORTE EN COMERCIOS ESPECIALIZADOS</t>
  </si>
  <si>
    <t>32878773</t>
  </si>
  <si>
    <t>CORAL GARCIA VICTORIANO TEOFILO</t>
  </si>
  <si>
    <t>MZ K2 LT 27 AA-HH SAN BENITO LOMAS DE CARABAYLLO</t>
  </si>
  <si>
    <t>32117334</t>
  </si>
  <si>
    <t>CORDERO SALAS YSAAC</t>
  </si>
  <si>
    <t>JR. MONTEVIDEO MZ F LOTE 16 ASOC. LOS OLIVOS SECTOR EDUC. SMP (PARADERO DANIEL ALCIDES CARRIÓN - METROPOLITANO)</t>
  </si>
  <si>
    <t>08074650</t>
  </si>
  <si>
    <t>CORDOVA ACARO NANCY</t>
  </si>
  <si>
    <t>AV GERARDO UNGER N1581 URB. FIORI SAN MARTIN DE PORRES</t>
  </si>
  <si>
    <t>71917369</t>
  </si>
  <si>
    <t>Jamis Saldaña Gonzales</t>
  </si>
  <si>
    <t>CORDOVA BULEJE LISBETH LEONOR</t>
  </si>
  <si>
    <t>CALLE SANTA NATALIA N° 163 DPTO 108 URB. SANTA EMMA</t>
  </si>
  <si>
    <t>09607132</t>
  </si>
  <si>
    <t>CORDOVA CANALES YANIRE ADALAI</t>
  </si>
  <si>
    <t>AV. URUGUAY Nº 389 CON JR. WASHINGTON Nº 1207 GALERIA PLAZA REAL - STAND Nº17</t>
  </si>
  <si>
    <t>75426772</t>
  </si>
  <si>
    <t>CORDOVA FLORES LIZET JAHAIRA</t>
  </si>
  <si>
    <t>AV. AVIACIÓN NRO. 2706</t>
  </si>
  <si>
    <t>73030707</t>
  </si>
  <si>
    <t>CORDOVA FLORES, LIZET JAHAIRA</t>
  </si>
  <si>
    <t>CORDOVA FLORES NELTA EDIHT</t>
  </si>
  <si>
    <t>AV. LOS HEROES NRO. 521 INT. 2 LIMA - LIMA - SAN JUAN DE MIRAFLORES</t>
  </si>
  <si>
    <t>43052863</t>
  </si>
  <si>
    <t>CORDOVA FLORES, NELTA EDIHT</t>
  </si>
  <si>
    <t>CORDOVA LEYVA MARIA MERCEDES</t>
  </si>
  <si>
    <t>AV. CENTRAL 1437 / CRUCE CON CALLE PRINCIPAL</t>
  </si>
  <si>
    <t>40277822</t>
  </si>
  <si>
    <t>CORDOVA PIMENTEL MITCHELL ERNESTO</t>
  </si>
  <si>
    <t>URB EL ALAMO MZ C LOTE 11</t>
  </si>
  <si>
    <t>Principal - 74996 - OTRAS ACTIVIDADES EMPRESARIALES NCP</t>
  </si>
  <si>
    <t>25858929</t>
  </si>
  <si>
    <t>CORDOVA ROJAS FELIPE JAVIER</t>
  </si>
  <si>
    <t>JR. MIGUEL GRAU NRO. 201</t>
  </si>
  <si>
    <t>SATIPO</t>
  </si>
  <si>
    <t>44463309</t>
  </si>
  <si>
    <t>CORNEJO BERROCAL JOHN ANTHONY</t>
  </si>
  <si>
    <t>AVENIDA LOS FAISANES 865 LA CAMPIÑA CHORRILLOS</t>
  </si>
  <si>
    <t>47650423</t>
  </si>
  <si>
    <t>CORNEJO LIBORA LUIS DAVID</t>
  </si>
  <si>
    <t>JIRÓN. CESAR VALLEJO 108 - URBANICACIÓN LA PASCANCA, COMAS.</t>
  </si>
  <si>
    <t>47865588</t>
  </si>
  <si>
    <t>CORPUS ANGELES FLOR VIOLETA</t>
  </si>
  <si>
    <t>AV. LOS PROCERES N° 8120 URB. PRO INDUSTRIAL</t>
  </si>
  <si>
    <t>10374059</t>
  </si>
  <si>
    <t>CORPUS ANGELES, FLOR VIOLETA</t>
  </si>
  <si>
    <t>CORRALES CUBILLAS ANGEL</t>
  </si>
  <si>
    <t>MZ. F LT. 13 URB. JOSE C. MARIATEGUI , LIMA, LIMA, LOS OLIVOS</t>
  </si>
  <si>
    <t>09904623</t>
  </si>
  <si>
    <t>ANGEL CORRALES CUBILLAS</t>
  </si>
  <si>
    <t>CORTEZ BUENO IRVING WILLINGTON</t>
  </si>
  <si>
    <t>AV. UNIVERSITARIA 9856 URB. LA ALBORADA - COMAS</t>
  </si>
  <si>
    <t>45807276</t>
  </si>
  <si>
    <t>CORTEZ CHOQUEHUANCA YOELITO</t>
  </si>
  <si>
    <t>AV, TALARA LA( C )V.EL.S</t>
  </si>
  <si>
    <t>47924276</t>
  </si>
  <si>
    <t>CORTEZ LACHERRE ROBERTO CARLOS</t>
  </si>
  <si>
    <t>JR SALAVERRY 1260, LIMA, LIMA, SURQUILLO</t>
  </si>
  <si>
    <t>25773037</t>
  </si>
  <si>
    <t>CORTEZ RODAS MARIO FELIX</t>
  </si>
  <si>
    <t>AV, WASHINGTON CUADRA 13 CYBER PLAZA PUESTO SSB 157 SOTANO</t>
  </si>
  <si>
    <t>06212790</t>
  </si>
  <si>
    <t>CORTEZ SAAVEDRA NESTOR CARLOS</t>
  </si>
  <si>
    <t>AA.HH. SAN CAMILO MZ. G LT. 31, LIMA, LIMA, INDEPENDENCIA</t>
  </si>
  <si>
    <t>46325795</t>
  </si>
  <si>
    <t>CORTEZ SAAVEDRA, NESTOR CARLOS</t>
  </si>
  <si>
    <t>CORTEZ SAAVEDRA RONALD RICARDO</t>
  </si>
  <si>
    <t>URB. MARISCAL GAMARRA MZ. J LT. 25</t>
  </si>
  <si>
    <t>46060514</t>
  </si>
  <si>
    <t>CORTEZ SUAREZ CARMEN</t>
  </si>
  <si>
    <t>CALLE SAN LUCAS N°293</t>
  </si>
  <si>
    <t>03235398</t>
  </si>
  <si>
    <t>CORTEZ VALDEZ JUAN CARLOS HUMBERTO</t>
  </si>
  <si>
    <t>JIRON LIMA N° 69 ( FRENTE AL MUELLE POR EL EX BANCO DE CREDITO)</t>
  </si>
  <si>
    <t>73877468</t>
  </si>
  <si>
    <t>COSCO RODRIGUEZ WILIAM WILMER</t>
  </si>
  <si>
    <t>MZ. B LT. 30 URB. LOS PORTALES DEL NORTE</t>
  </si>
  <si>
    <t>45564051</t>
  </si>
  <si>
    <t>COSME JULCA SALVADOR</t>
  </si>
  <si>
    <t>MZ I LOTE 14 1RO DE NOVIEMBRE</t>
  </si>
  <si>
    <t>06893767</t>
  </si>
  <si>
    <t>COSTA CARLOTTO SCARLETT MILAGROS</t>
  </si>
  <si>
    <t>AV. COLETORA MZA. A2 LOTE. 12 LIMA - LIMA - SANTA ANITA</t>
  </si>
  <si>
    <t>70189562</t>
  </si>
  <si>
    <t>COTA HUANCOLLO ANGELICA TERESA</t>
  </si>
  <si>
    <t>SENATI VILLA EL SALVADOR</t>
  </si>
  <si>
    <t>29415281</t>
  </si>
  <si>
    <t>COTAQUISPE BARRIENTOS RICHARD</t>
  </si>
  <si>
    <t>CALLE PENSAMIENTO &amp; AZUCENAS N° 15316, LIMA, LIMA, COMAS</t>
  </si>
  <si>
    <t>44970416</t>
  </si>
  <si>
    <t>COTAQUISPE BARRIENTOS, RICHARD</t>
  </si>
  <si>
    <t>COTAQUISPE PAICO ANGEL HERACLIDES</t>
  </si>
  <si>
    <t>VENTAN.-PYA. HERMOSA MZ L LT 107 L.PRAD.P.PI</t>
  </si>
  <si>
    <t>43270085</t>
  </si>
  <si>
    <t>COTRINA GOMEZ JHERSON JOEL</t>
  </si>
  <si>
    <t>TUPAC AMARU MZA. A LOTE. 16 (KM 18-1/2 PARADERO LOS CEDROS)</t>
  </si>
  <si>
    <t>48436533</t>
  </si>
  <si>
    <t>COTRINA GOMEZ YUDIANA RUTH</t>
  </si>
  <si>
    <t>AV. UNIVERSITARIA NRO. 432 URB. SANTA ISABEL (ANTES DE LA AV CHIMPU OCLLO).</t>
  </si>
  <si>
    <t>52391 - OTROS TIPOS DE VENTA AL POR MENOR</t>
  </si>
  <si>
    <t>45263590</t>
  </si>
  <si>
    <t>COTRINA LOPEZ JENNER HUBNNER</t>
  </si>
  <si>
    <t>AV PARINACOCHAS 1714-1716 URB.BALCONCILLO</t>
  </si>
  <si>
    <t>10817010</t>
  </si>
  <si>
    <t>COTRINA MEDRANO CRISTIAN IVAN</t>
  </si>
  <si>
    <t>CA A A-29 - APV LAS CASUARINAS DE OQUENDO (AV CANTA CALLO CON AV LOS OLIVOS A 3 CUADRAS)</t>
  </si>
  <si>
    <t>42587103</t>
  </si>
  <si>
    <t>COTRINA MENDOZA ISRAEL</t>
  </si>
  <si>
    <t>ASOC. DE VIV. CERRO COLORADO MZ. A LT 3</t>
  </si>
  <si>
    <t>75141 - SERVIC. AUXIL.PARA ADMINIST.PUBLICA.</t>
  </si>
  <si>
    <t>15743250</t>
  </si>
  <si>
    <t>COTRINA SAUCEDO EDER DUBER</t>
  </si>
  <si>
    <t>AV REPUBLICA DE POLONIA 900 -  972</t>
  </si>
  <si>
    <t>42735487</t>
  </si>
  <si>
    <t>COTRINA TABACO LEBET EDER</t>
  </si>
  <si>
    <t>AV. MÉXICO N°107 COMAS-STAND-N°216, SEGUNDO PISO</t>
  </si>
  <si>
    <t>70104930</t>
  </si>
  <si>
    <t>COTRINA VELASQUEZ JESUS PEDRO</t>
  </si>
  <si>
    <t>AV. PROCERES DE LA INDEPENDENCIA 1431</t>
  </si>
  <si>
    <t>45802154</t>
  </si>
  <si>
    <t>COTRINA YNFANTE EVER OBET</t>
  </si>
  <si>
    <t>AV. HUAROCHIRI MZA. B6 LOTE. 14 APV. RESIDENCIAL SANTA ANITA (ALTURA AV. 02 CON AV. HUAROCHIRI)</t>
  </si>
  <si>
    <t>47092338</t>
  </si>
  <si>
    <t>CRESPO CCERHUAYO WILDER</t>
  </si>
  <si>
    <t>MZ 1 LOTE 7B ASOC. DE POBLADORES POSESIONARIOS SECTOR EL PEDREGAL - ANEXO22, LIMA, HUAROCHIRI, SAN ANTONIO</t>
  </si>
  <si>
    <t>43809795</t>
  </si>
  <si>
    <t>CRISANTO SAAVEDRA RUBEN</t>
  </si>
  <si>
    <t>CAL. GUANAY SUR 480 MZ B LT 239 POR EL CASTILLO</t>
  </si>
  <si>
    <t>76678016</t>
  </si>
  <si>
    <t>CRISANTO SAAVEDRA, RUBEN</t>
  </si>
  <si>
    <t>CRISTOBAL PAUCAR JHONY RICHARD</t>
  </si>
  <si>
    <t>CARRETERA PANAMERICANA SUR KM38. MZ.C LT.17</t>
  </si>
  <si>
    <t>41647061</t>
  </si>
  <si>
    <t>CRUZ ASTO EDWIN ROQUE</t>
  </si>
  <si>
    <t>AV. ABANCAY NRO 815 TDA 139</t>
  </si>
  <si>
    <t>10088190</t>
  </si>
  <si>
    <t>CRUZ ASTO, EDWIN ROQUE</t>
  </si>
  <si>
    <t>CRUZ BECERRA ELMER EUCLIDES</t>
  </si>
  <si>
    <t>ASOC DE PROPIETARIO DE VILLA LA OROYA MZC LT24, LIMA, LIMA, SANTA ANITA</t>
  </si>
  <si>
    <t>72152737</t>
  </si>
  <si>
    <t>CRUZ BRAVO JUANA</t>
  </si>
  <si>
    <t>C. PANAMÁ ASOC. "LA VIRREYNA" MZ. "A" LT. "22"</t>
  </si>
  <si>
    <t>06852855</t>
  </si>
  <si>
    <t>CRUZ GARCIA JUDITH LADY</t>
  </si>
  <si>
    <t>JR. CAMANA 1003</t>
  </si>
  <si>
    <t>43475419</t>
  </si>
  <si>
    <t>CRUZ GARCIA, JUDITH LADY</t>
  </si>
  <si>
    <t>CRUZ HANCCO BELTRAN</t>
  </si>
  <si>
    <t>AV. LA MAR NRO. 505 COO. - 27 DE ABRIL</t>
  </si>
  <si>
    <t>42229264</t>
  </si>
  <si>
    <t>CRUZ MURIEL HECTOR</t>
  </si>
  <si>
    <t>LOS PORTALES DE CARABAYLLO MZ. F LT. 4</t>
  </si>
  <si>
    <t>06836414</t>
  </si>
  <si>
    <t>CRUZ PAICO GEYNEXS ALONSO</t>
  </si>
  <si>
    <t>AV. SAN MARTIN NRO 159</t>
  </si>
  <si>
    <t>45992636</t>
  </si>
  <si>
    <t>CRUZ RODRIGUEZ MILTON DEMER</t>
  </si>
  <si>
    <t>AV. UNIVERSITARIA NORTE N° 9587</t>
  </si>
  <si>
    <t>46038117</t>
  </si>
  <si>
    <t>CRUZ ROMERO EDITH MILAGRITOS</t>
  </si>
  <si>
    <t>LAS GARDENIAS MZ E LT 04, LIMA, BARRANCA, BARRANCA</t>
  </si>
  <si>
    <t>15864001</t>
  </si>
  <si>
    <t>CRUZ SILLOCCA LUZMARINA</t>
  </si>
  <si>
    <t>AV. JORGE BASADRE 314 MZ P1 LTE 5, ESPALDA DEL PARQUE DE CHAVIN DE HUANTAR</t>
  </si>
  <si>
    <t>43269759</t>
  </si>
  <si>
    <t>CRUZ SOLIS DENNIS</t>
  </si>
  <si>
    <t>MZ D LT 15 CALLE LOS DIAMANTES URB. LOS PORTALES DE CHAVIN</t>
  </si>
  <si>
    <t>4262196</t>
  </si>
  <si>
    <t>CRUZ TICONA WILLY JORGE</t>
  </si>
  <si>
    <t>SECTOR 3 MZ. B LT. 13A GRU. - 23, LIMA, LIMA, VILLA EL SALVADOR</t>
  </si>
  <si>
    <t>42693536</t>
  </si>
  <si>
    <t>CRUZ UGARTE HELMER YULER</t>
  </si>
  <si>
    <t>ASOCIACION 20 DE OCTUBRE/ARCO DE CARQUIN</t>
  </si>
  <si>
    <t>40306316</t>
  </si>
  <si>
    <t>CUADROS MINAYA YENE MARGOT</t>
  </si>
  <si>
    <t>ASOCIACION LOS CEDROS  MZ. E-8 LT. 34 , LIMA, LIMA, SANTA ANITA</t>
  </si>
  <si>
    <t>64207 - TELECOMUNICACIONES</t>
  </si>
  <si>
    <t>23713995</t>
  </si>
  <si>
    <t>CUADROS YGAR PILAR MARTINA</t>
  </si>
  <si>
    <t>AV. ARGENTINA 639 GALERIA UDAMPE CALLE 8 STAND A-255</t>
  </si>
  <si>
    <t>06114367</t>
  </si>
  <si>
    <t>CUAQUIRA ARTEAGA VICTOR HENRY</t>
  </si>
  <si>
    <t>AV. DOMINICOS N° 706, ALT. DE LA CDRA. 6 - CALLAO</t>
  </si>
  <si>
    <t>25714248</t>
  </si>
  <si>
    <t>CUBAS ACUÑA ODALIS</t>
  </si>
  <si>
    <t>CALLE22 MZ.J LT.3 ETAPA 10 SANTO DOMINGO</t>
  </si>
  <si>
    <t>40986679</t>
  </si>
  <si>
    <t>CUBAS MEJIA YOBER NILSON</t>
  </si>
  <si>
    <t>AA.HH LOS JASMINES DE NARANJAL MZ. Q LT. 1</t>
  </si>
  <si>
    <t>43249379</t>
  </si>
  <si>
    <t>CUBAS MEJIA, YOBER NILSON</t>
  </si>
  <si>
    <t>CUCHO ACOSTA REGINA MIRTHA</t>
  </si>
  <si>
    <t>JR LETICIA 959</t>
  </si>
  <si>
    <t>09704106</t>
  </si>
  <si>
    <t>CUCHO ACOSTA, REGINA MIRTHA</t>
  </si>
  <si>
    <t>CUCHULA ROJAS JORGE GREGORIO</t>
  </si>
  <si>
    <t>AVENIDA LAS AMÉRICAS #153</t>
  </si>
  <si>
    <t>10154356</t>
  </si>
  <si>
    <t>CUENCA BAZAN IRENE BENIGNA</t>
  </si>
  <si>
    <t>MZ. J LOTE 14 URB. COOVITIOMAR</t>
  </si>
  <si>
    <t>08744999</t>
  </si>
  <si>
    <t>CUENCA MEJIA HAYDEE</t>
  </si>
  <si>
    <t>JR PUNO N° 756 (CRUCE CON ABANCAY)</t>
  </si>
  <si>
    <t>08322669</t>
  </si>
  <si>
    <t>CUENTAS CASTILLO JESUS ANGEL</t>
  </si>
  <si>
    <t>AV. 15 DE JULIO LT. 18 MERCADO MODELO PUESTO Z-4 SOTANO, ZN "A"</t>
  </si>
  <si>
    <t>45665191</t>
  </si>
  <si>
    <t>CUENTAS CASTILLO, JESUS ANGEL</t>
  </si>
  <si>
    <t>CUETO MESONES JESUS ANGEL</t>
  </si>
  <si>
    <t>AV. HAITI MZ.S. LOTE 8 MARÍA JESUS PACHACÚTEC</t>
  </si>
  <si>
    <t>70903126</t>
  </si>
  <si>
    <t>CUEVA ANTEZANA FLOR DE LEYDI</t>
  </si>
  <si>
    <t>AV. UNIVERSITARIA N° 6331</t>
  </si>
  <si>
    <t>48816151</t>
  </si>
  <si>
    <t>CUEVA ANTEZANA, FLOR DE LEYDI</t>
  </si>
  <si>
    <t>CUEVA ANTEZANA JHONATAN</t>
  </si>
  <si>
    <t>PEDRO PAULET NO. 514 15102</t>
  </si>
  <si>
    <t>48383877</t>
  </si>
  <si>
    <t>CUEVA RAMOS CARLOS ALBERTO</t>
  </si>
  <si>
    <t>AV. BOLIVIA NRO. 148 INT. 3205 CC CENTRO LIMA (FRENTE AL REAL PLAZA)</t>
  </si>
  <si>
    <t>16009409</t>
  </si>
  <si>
    <t>CUEVA RODRIGUEZ KAREN JUDITH</t>
  </si>
  <si>
    <t>JR. OVIEDO 287</t>
  </si>
  <si>
    <t>Principal - 1811 - IMPRESIÓN</t>
  </si>
  <si>
    <t>41927823</t>
  </si>
  <si>
    <t>CUEVA RODRIGUEZ, KAREN JUDITH</t>
  </si>
  <si>
    <t>CUEVA SHAPIAMA JUAN CARLOS</t>
  </si>
  <si>
    <t>MZ. TT2 LT. 56A URB. LA FLORESTA, LIMA, LIMA, LOS OLIVOS</t>
  </si>
  <si>
    <t>42021420</t>
  </si>
  <si>
    <t>CUEVA SHAPIAMA, JUAN CARLOS</t>
  </si>
  <si>
    <t>CUEVA VILLEGAS JENNYFER VANESSA</t>
  </si>
  <si>
    <t>AV. BOLIVIA 148 OF. 2095</t>
  </si>
  <si>
    <t>45048619</t>
  </si>
  <si>
    <t>CUEVA VILLEGAS, JENNYFER VANESSA</t>
  </si>
  <si>
    <t>CUEVA YAURI LUCIA</t>
  </si>
  <si>
    <t>AV. PARQUE ZONAL, CARABAYLLO 15318</t>
  </si>
  <si>
    <t>32296525</t>
  </si>
  <si>
    <t>CULQUE PASTOR NOLBERTO SOLANO</t>
  </si>
  <si>
    <t>AV. SAN MARTIN DE PORRES 1754</t>
  </si>
  <si>
    <t>78109873</t>
  </si>
  <si>
    <t>CULQUE PASTOR, NOLBERTO SOLANO</t>
  </si>
  <si>
    <t>CULQUI MALDONADO EDIN ROISER</t>
  </si>
  <si>
    <t>CALLE A 5160 URB. JORGE CHAVEZ ET. I MZ K LT 19 CALLAO (CRUCE AV PERÚ CON TOMAS VALLE)</t>
  </si>
  <si>
    <t>45425126</t>
  </si>
  <si>
    <t>CULQUI VELASQUE JHONY</t>
  </si>
  <si>
    <t>CALLE SEÑOR DE LOS MILAGROS MZ S LOTE 12 CAÑETE MALA LIMA</t>
  </si>
  <si>
    <t>46628384</t>
  </si>
  <si>
    <t>CURI CISNEROS GABRIEL CHRISTIAN</t>
  </si>
  <si>
    <t>JUAN CASTILLA N° 1138</t>
  </si>
  <si>
    <t>41117148</t>
  </si>
  <si>
    <t>CURI CISNEROS, GABRIEL CHRISTIAN</t>
  </si>
  <si>
    <t>CURI MOTA OMAR REYNALDO</t>
  </si>
  <si>
    <t>CALLE 9 MZ. H LT. 30 URB. SESQUICENTENARIO</t>
  </si>
  <si>
    <t>25759528</t>
  </si>
  <si>
    <t>CURI SALVADOR MARCIA EVELYN</t>
  </si>
  <si>
    <t>CA. LOS JAZMINES MZ. B LT. 23  (PARADERO ARICA, TOMAR MOTO COMPLEJO DEPORTIVO EL TORITO)</t>
  </si>
  <si>
    <t>45142385</t>
  </si>
  <si>
    <t>CURIHUAMAN LANDEO MARCELA DORIS</t>
  </si>
  <si>
    <t>AV. UNIVERSITARIA 4901 , LOS OLIVOS</t>
  </si>
  <si>
    <t>20672215</t>
  </si>
  <si>
    <t>CUSINGA BARBOZA HEBER</t>
  </si>
  <si>
    <t>MZ B  LOTE 01  A.V. SANTA PATRICA DE PUENTE PIEDRA</t>
  </si>
  <si>
    <t>70669114</t>
  </si>
  <si>
    <t>CUYA MENDOZA MARLENE PAOLA</t>
  </si>
  <si>
    <t>AV MARCHAND MZ 21 LT 21 INTERIOR J . MALA, LIMA, CAÑETE, MALA</t>
  </si>
  <si>
    <t>15435408</t>
  </si>
  <si>
    <t>CUYOS PALACIOS MARIA ELENA</t>
  </si>
  <si>
    <t>AV.GARCILAZO DE LA VEGA N° 1272 INT. 141 "GLOBALCOM"</t>
  </si>
  <si>
    <t>10424545</t>
  </si>
  <si>
    <t>DA CRUZ NUÑEZ WILMER</t>
  </si>
  <si>
    <t>AV. TUPAC AMARU 4545 (KM.13- FRENTE PARADERO VELAZCO)</t>
  </si>
  <si>
    <t>DAMASO ARIZA GERALDINE NOHELY</t>
  </si>
  <si>
    <t>CALLE DOMINGO TORERO MZ A LT 26 (REF. COSTADO FIGRORIFICO TAURO)</t>
  </si>
  <si>
    <t>71116265</t>
  </si>
  <si>
    <t>DAMAZO LLANCA YUDITH</t>
  </si>
  <si>
    <t>AV. MÉXICO MZ. K LT. 6 URB. LAS VEGAS</t>
  </si>
  <si>
    <t>73227497</t>
  </si>
  <si>
    <t>DAVILA CHAVEZ MIGUEL</t>
  </si>
  <si>
    <t>JR. SANTIAGO TAVARA NRO. 1636 URB. CHACRA RIOS (ANTES CALLE B)</t>
  </si>
  <si>
    <t>42308462</t>
  </si>
  <si>
    <t>DAVILA FERNANDEZ JULIA NILDA</t>
  </si>
  <si>
    <t>AV MILAGROS CRUZ DE MOTUPE MZ B LT 14, PARADERO ESTABLO, PUENTE PIEDRA</t>
  </si>
  <si>
    <t>06922869</t>
  </si>
  <si>
    <t>DAVILA LLAMO ALBERTO</t>
  </si>
  <si>
    <t>AV. MANUEL PRADO MZ D LT 13</t>
  </si>
  <si>
    <t>45175289</t>
  </si>
  <si>
    <t>DAVILA PEREZ PAULINO</t>
  </si>
  <si>
    <t>ASOC. MELCHORITA MZ.G LT. 6</t>
  </si>
  <si>
    <t>20722141</t>
  </si>
  <si>
    <t>DAVILA PUELL STEVEN SNEIDER</t>
  </si>
  <si>
    <t>ABRAHAM VALDELOMAR N° 657</t>
  </si>
  <si>
    <t>77342778</t>
  </si>
  <si>
    <t>DAVILA ROJAS MANUEL OTTO</t>
  </si>
  <si>
    <t>AV. JORGE CHAVEZ Nº 0 LOTE. C-3, LIMA, HUARAL, HUARAL</t>
  </si>
  <si>
    <t>16012040</t>
  </si>
  <si>
    <t>DAVILA VILLAVICENCIO YESENIA ANAELI</t>
  </si>
  <si>
    <t>MZ D-3 LT1, AMATISTAS URB ROSARIO DEL NTE., LIMA, LIMA, SAN MARTÍN DE PORRES</t>
  </si>
  <si>
    <t>70918681</t>
  </si>
  <si>
    <t>DAZA TOMAS JOEL</t>
  </si>
  <si>
    <t>AV. INCA GARCILAZO DE LA VEGA NRO. 1348 INT. 134, LIMA, LIMA, LIMA</t>
  </si>
  <si>
    <t>4741 - VENTA AL POR MENOR DE ORDENADORES, EQUIPO PERIFÉRICO, PROGRAMAS INFORMÁTICOS Y EQUIPO DE TELECOMUNICACIONES EN COMERCIOS ESPECIALIZADOS</t>
  </si>
  <si>
    <t>72565245</t>
  </si>
  <si>
    <t>DE LA CRUZ ALCALA HEBERT ANTONIO</t>
  </si>
  <si>
    <t>NRO. G INT. 22 URB. SINDICATO DE CHOFERES (FTE. GRIFO SHELL)</t>
  </si>
  <si>
    <t>DE LA CRUZ ALMEYDA VICTOR ATANACIO</t>
  </si>
  <si>
    <t>CALLE INCLAN 380 URB.LOS FICUS (SANTA ANITA)</t>
  </si>
  <si>
    <t>10049690</t>
  </si>
  <si>
    <t>DE LA CRUZ ALTAMIRANO GABRIEL</t>
  </si>
  <si>
    <t>AV. LA PLAYA MZ. A LT. 21 A.H. DESARROLLO 2000 PROV. CONST. DEL CALLAO</t>
  </si>
  <si>
    <t>31182222</t>
  </si>
  <si>
    <t>DE LA CRUZ ARAMBURU WILFREDO</t>
  </si>
  <si>
    <t>AV. 2 DE OCTUBRE MZ N LT 23 LOS ROSALES DE PRO</t>
  </si>
  <si>
    <t>41585276</t>
  </si>
  <si>
    <t>DE LA CRUZ CANDELA HECTOR ALFREDO</t>
  </si>
  <si>
    <t>MZA. A LOTE. 06 ASC. POPULAR EL SOL (A 1 CDRA POSTA MEDICA A LA IZQ ACALLE 22)</t>
  </si>
  <si>
    <t>15431055</t>
  </si>
  <si>
    <t>DE LA CRUZ CARREÑO HENRY LUIGI PAOLO</t>
  </si>
  <si>
    <t>CAL. BUENOS AIRES NRO. S/N SEC. - AMAY, LIMA, HUAURA, HUACHO</t>
  </si>
  <si>
    <t>74201606</t>
  </si>
  <si>
    <t>DE LA CRUZ CHUPAYO JAVIER JUSTO</t>
  </si>
  <si>
    <t>PJ. 2 DE MAYO MZA. B2 LOTE. 2 ASUNCION 8 (AL PIE DE COCHARCA)</t>
  </si>
  <si>
    <t>46509947</t>
  </si>
  <si>
    <t>DE LA CRUZ CONDOR JHONY</t>
  </si>
  <si>
    <t>AV. LOS PROCERES MZA. U LOTE. 05A APV. COMPRADORES DE TERRENOS D LIMA - LIMA - SAN JUAN DE LURIGANCHO</t>
  </si>
  <si>
    <t>43040517</t>
  </si>
  <si>
    <t>DE LA CRUZ CUZCANO GUILLERMO ALFONSO</t>
  </si>
  <si>
    <t>ANEXO SAN JERÓNIMO S/N</t>
  </si>
  <si>
    <t>44785574</t>
  </si>
  <si>
    <t>DE LA CRUZ ESCATE GERALDINE ANGELICA</t>
  </si>
  <si>
    <t>AV. LIBERTAD 2358 INTERIOR 502</t>
  </si>
  <si>
    <t>71977366</t>
  </si>
  <si>
    <t>DE LA CRUZ HERNANDEZ EDGAR LEONEL</t>
  </si>
  <si>
    <t>AV. RIVA AGÜERO NRO 1358</t>
  </si>
  <si>
    <t>70278609</t>
  </si>
  <si>
    <t>DE LA CRUZ HIDALGO RICHARD JOSUE</t>
  </si>
  <si>
    <t>MZ. O LOTE. 1 A.V. RIO SANTA</t>
  </si>
  <si>
    <t>76122350</t>
  </si>
  <si>
    <t>DE LA CRUZ HUAMAN EDISON</t>
  </si>
  <si>
    <t>CALLE LA UNION MZ D LT 6, LIMA, LIMA, SAN JUAN DE MIRAFLORES</t>
  </si>
  <si>
    <t>43568790</t>
  </si>
  <si>
    <t>DE LA CRUZ MALDONADO KAREN JULISSA</t>
  </si>
  <si>
    <t>AV SAN LUIS 557, CERCA COLEGIO LABARTE</t>
  </si>
  <si>
    <t>70540979</t>
  </si>
  <si>
    <t>DE LA CRUZ MOGOLLON JULIO ANGEL</t>
  </si>
  <si>
    <t>AGRUPACION FAMILIAR RAICES DE JICAMARCA MZ F LOTE 03</t>
  </si>
  <si>
    <t>71694217</t>
  </si>
  <si>
    <t>DE LA CRUZ PALMA LIBIO</t>
  </si>
  <si>
    <t>CAL. LAS PRENSAS N° 258 URB NARANJAL INDUSTRIAL</t>
  </si>
  <si>
    <t>43491802</t>
  </si>
  <si>
    <t>DE LA CRUZ RAMIREZ JORGE LUIS</t>
  </si>
  <si>
    <t>CALLE AMPARO CARDENAS N° 329</t>
  </si>
  <si>
    <t>08761476</t>
  </si>
  <si>
    <t>DE LA CRUZ ROJAS NILTON ELIAS</t>
  </si>
  <si>
    <t>SECTOR LOS MEDANOS MZ "C" LOTE 12-SAYAN</t>
  </si>
  <si>
    <t>46616398</t>
  </si>
  <si>
    <t>DE LA CRUZ ROJAS, NILTON ELIAS</t>
  </si>
  <si>
    <t>DE LA CRUZ SANCHEZ GIANCARLO</t>
  </si>
  <si>
    <t>40729216</t>
  </si>
  <si>
    <t>DE LA FUENTE POLO JOSE FRANCISCO</t>
  </si>
  <si>
    <t>AV. GARCILAZO DE LA VEGA N° 1236- S112</t>
  </si>
  <si>
    <t>41525069</t>
  </si>
  <si>
    <t>DE LA FUENTE POLO, JOSE FRANCISCO</t>
  </si>
  <si>
    <t>DE LA O LAUREANO MISAEL RENSO</t>
  </si>
  <si>
    <t>AV. SIMON BOLIVAR 1176 SANTA EULALIA</t>
  </si>
  <si>
    <t>45210505</t>
  </si>
  <si>
    <t>DE LA VEGA VEGA LADISMIRO RUBEN</t>
  </si>
  <si>
    <t>JR LOS CINCELES 362</t>
  </si>
  <si>
    <t>43250309</t>
  </si>
  <si>
    <t>DE LOS SANTOS VALLE YANN PIEERE</t>
  </si>
  <si>
    <t>CALLE EL BOSQUE 753A - SAN JUAN DE LURIGANCHO - LIMA</t>
  </si>
  <si>
    <t>76433308</t>
  </si>
  <si>
    <t>DE PAZ MORALES RONALD RENZO</t>
  </si>
  <si>
    <t>CAR. EX PANAMERICANA NORTE, LIMA, HUAURA, SANTA MARIA</t>
  </si>
  <si>
    <t>73089421</t>
  </si>
  <si>
    <t>DEL AGUILA MALLQUI JESUS EDUARDO</t>
  </si>
  <si>
    <t>SAN JUAN DE LA LIBERTAD CMT 18</t>
  </si>
  <si>
    <t>42791185</t>
  </si>
  <si>
    <t>DEL AGUILA SILVA JONATHAN</t>
  </si>
  <si>
    <t>AV. GUARDIA CHALACA 982</t>
  </si>
  <si>
    <t xml:space="preserve"> 3312 - REPARACIÓN DE MAQUINARIA</t>
  </si>
  <si>
    <t>46701254</t>
  </si>
  <si>
    <t>DEL CASTILLO CAMPOS EÑER LELO</t>
  </si>
  <si>
    <t>SANTO TORIBIO DE PUCARA MZ. C LT. 23, LIMA, CANTA, SANTA ROSA DE QUIVES</t>
  </si>
  <si>
    <t>10484407</t>
  </si>
  <si>
    <t>DEL CASTILLO CONTRERAS WILBER</t>
  </si>
  <si>
    <t>MZ J LT. 12 ASOCIACION VIVIENDA VILLA SALUD, LIMA, LIMA, SAN MARTÍN DE PORRES</t>
  </si>
  <si>
    <t>40550499</t>
  </si>
  <si>
    <t>DEL PINO MEDINA KATIA GABRIELA</t>
  </si>
  <si>
    <t>URBANIZACION SANTA AURELIA MZ C5 LOTE 3, LIMA, LIMA, SANTA ANITA</t>
  </si>
  <si>
    <t>70091698</t>
  </si>
  <si>
    <t>DELGADILLO LARICO WILMER ANTHONY</t>
  </si>
  <si>
    <t>MZ F6 LT 9 H. H. A.A KEIKO SOFIA PRIMERA ETAPA VENTANILLA - CALLAO</t>
  </si>
  <si>
    <t>Principal - 8211 - ACTIVIDADES COMBINADAS DE SERVICIOS ADMINISTRATIVOS DE OFICINA</t>
  </si>
  <si>
    <t>71956172</t>
  </si>
  <si>
    <t>DELGADO CALLE JOSE JOSE</t>
  </si>
  <si>
    <t>AV. LAS PALMERAS 5720 - A</t>
  </si>
  <si>
    <t>47594193</t>
  </si>
  <si>
    <t>JOSE JOSE DELGADO CALLE</t>
  </si>
  <si>
    <t>DELGADO GARCIA ERMENES</t>
  </si>
  <si>
    <t>AV. LOS FAISANES MZ. C LT. 21B (163) URB. LA CAMPIÑA, LIMA, LIMA, CHORRILLOS</t>
  </si>
  <si>
    <t>40447689</t>
  </si>
  <si>
    <t>DELGADO SANCHEZ GILMER JULIO</t>
  </si>
  <si>
    <t>CAR. PANAMERICANA NORTE KM 83 (FRENTE A LA EMPRESA AVICOLA - EX AVINKA)</t>
  </si>
  <si>
    <t>40635407</t>
  </si>
  <si>
    <t>DELGADO VELA EVER</t>
  </si>
  <si>
    <t>JR. CONDE DE SUPERUNDA 239 - INTERIOR 131 (CENTRO ARTESANAL SANTO DOMINGO)</t>
  </si>
  <si>
    <t>46894319</t>
  </si>
  <si>
    <t>DELGADO VELA, EVER</t>
  </si>
  <si>
    <t>DENEGRI RODRIGUEZ ANGIE BELEN</t>
  </si>
  <si>
    <t>AV. REPÚBLICA DE PANAMÁ 348</t>
  </si>
  <si>
    <t>10774346</t>
  </si>
  <si>
    <t>DENEGRI RODRIGUEZ, ANGIE BELEN</t>
  </si>
  <si>
    <t>DESCALZI SILVA JONATÁN ESGARDO</t>
  </si>
  <si>
    <t>FRANCISCO OLAZABAL 143 LIMA, LIMA, COMAS</t>
  </si>
  <si>
    <t>48909440</t>
  </si>
  <si>
    <t>DESCALZI SILVA, JONATÁN ESGARDO</t>
  </si>
  <si>
    <t>DEXTRE CASTILLO JOAQUIN</t>
  </si>
  <si>
    <t>SANTA HILDA MZ. G LT. 17</t>
  </si>
  <si>
    <t>00252853</t>
  </si>
  <si>
    <t>DEZA CHECCORI FRANKLIN DANTHE</t>
  </si>
  <si>
    <t>A.V. PACHACUTEC - ANEXO 22 SECT. UNION VELLAVISTA / MZ. BJ LT. 03B</t>
  </si>
  <si>
    <t>07761722</t>
  </si>
  <si>
    <t>DIAZ ARCE JULIO CESAR</t>
  </si>
  <si>
    <t>AV.PROLONGACIÓN PERÚ 4791, CALLAO, CALLAO, CALLAO</t>
  </si>
  <si>
    <t>27075603</t>
  </si>
  <si>
    <t>DIAZ CAPUENA OFELIA</t>
  </si>
  <si>
    <t>JR. LAS GAVIOTAS NRO 1000 INT.A- HORIZONTE DE ZARATE</t>
  </si>
  <si>
    <t>10542251</t>
  </si>
  <si>
    <t>DIAZ CARDENAS WILFREDO ALEXANDER</t>
  </si>
  <si>
    <t>LINOS 257, LIMA, LIMA, SAN JUAN DE LURIGANCHO</t>
  </si>
  <si>
    <t>07529447</t>
  </si>
  <si>
    <t>DIAZ CARDOZO HANS DETTMAR</t>
  </si>
  <si>
    <t>AV. ALFREDO MENDIOLA 8037- URBANIZACION PRO</t>
  </si>
  <si>
    <t>48581884</t>
  </si>
  <si>
    <t>DIAZ CHAVEZ CINTYA DEL PILAR</t>
  </si>
  <si>
    <t>AV. GRAN CHIMU 911</t>
  </si>
  <si>
    <t>85193 - OTRAS ACTIV.RELAC. CON SALUD HUMANA</t>
  </si>
  <si>
    <t>46758666</t>
  </si>
  <si>
    <t>DIAZ CHAVEZ, CINTYA DEL PILAR</t>
  </si>
  <si>
    <t>DIAZ CHUNGA KENNETH ALAN</t>
  </si>
  <si>
    <t>JR. BRASILIA N°140 URB. SICUANI ATE-LIMA</t>
  </si>
  <si>
    <t>42771658</t>
  </si>
  <si>
    <t>DIAZ CIEZA ALVITA</t>
  </si>
  <si>
    <t>SANTA ANA DE SAN LORENZO-CARABAYLLO  MZ: C - LT:14</t>
  </si>
  <si>
    <t>46080882</t>
  </si>
  <si>
    <t>DIAZ LA ROSA ROLANDO VICTOR</t>
  </si>
  <si>
    <t>AV. ECHENIQUE 332 STAN 3</t>
  </si>
  <si>
    <t>15728080</t>
  </si>
  <si>
    <t>DIAZ LINO MARIO</t>
  </si>
  <si>
    <t>AV. ADAN CEVEDO S/N (ACOMERSUR STAN 39), LIMA, HUAURA, HUACHO</t>
  </si>
  <si>
    <t>40195472</t>
  </si>
  <si>
    <t>DIAZ LOPEZ JUAN CESAR</t>
  </si>
  <si>
    <t>JR. PUNO 552 PRIMER PISO - TIENDA 118</t>
  </si>
  <si>
    <t>07568541</t>
  </si>
  <si>
    <t>DIAZ MALCA FLOR YANIRA</t>
  </si>
  <si>
    <t>AV. PROCERES DE LA INDEPENDENCIA 2352</t>
  </si>
  <si>
    <t>75368638</t>
  </si>
  <si>
    <t>DIAZ MARIN GUSTAVO ALFREDO</t>
  </si>
  <si>
    <t>JR. VALDIVIA 146 (FRENTE DEL HOTEL CONTADO)</t>
  </si>
  <si>
    <t>43889997</t>
  </si>
  <si>
    <t>DIAZ MATEO CARLOS YAHIR</t>
  </si>
  <si>
    <t>JIRON SUCRE 771 IMPERIAL - CAÑETE</t>
  </si>
  <si>
    <t>2012 - FABRICACIÓN DE ABONOS Y COMPUESTOS DE NITRÓGENO</t>
  </si>
  <si>
    <t>75269709</t>
  </si>
  <si>
    <t>DIAZ MENDOZA SERAFIN MAXIMILIANO</t>
  </si>
  <si>
    <t>2V5V+68R, CALLAO 15109</t>
  </si>
  <si>
    <t>08457945</t>
  </si>
  <si>
    <t>DIAZ MONDRAGON JOSE DANY</t>
  </si>
  <si>
    <t>AV. TUPAC AMARU 1330</t>
  </si>
  <si>
    <t>47183759</t>
  </si>
  <si>
    <t>DIAZ MONDRAGON, JOSE DANY</t>
  </si>
  <si>
    <t>DIAZ MUNDACA ITELA</t>
  </si>
  <si>
    <t>AV. PASTOR SEVILLA MZ-JLT18 SECTOR 3 GRUPO 28</t>
  </si>
  <si>
    <t>42643277</t>
  </si>
  <si>
    <t>DIAZ NUÑEZ MARUJA</t>
  </si>
  <si>
    <t>PSJ. JOSE ANTONIO PRATT MZ. D1 LT. 23 URB. 1RO DE OCTUBRE</t>
  </si>
  <si>
    <t>41322617</t>
  </si>
  <si>
    <t>DIAZ OBLITAS DIGCER GEUNER</t>
  </si>
  <si>
    <t>AV.LA CULTURA MZ. C 9 LOTE 1 SANTA ANITA FRENTE A LA PUERTA 3 DEL MERCADO MAYORISTA DE LIMA</t>
  </si>
  <si>
    <t>46844726</t>
  </si>
  <si>
    <t>DIAZ PEÑA ALEX DANIEL</t>
  </si>
  <si>
    <t>CALLE MONSEÑOR FIDEL TUBINO 190 URB. PANDO, LIMA, LIMA, SAN MIGUEL</t>
  </si>
  <si>
    <t>70201782</t>
  </si>
  <si>
    <t>DIAZ PEÑA, ALEX DANIEL</t>
  </si>
  <si>
    <t>DIAZ PEÑA WALTER HUGO</t>
  </si>
  <si>
    <t>JR. ALFONSO UGARTE 224</t>
  </si>
  <si>
    <t>41187450</t>
  </si>
  <si>
    <t>DIAZ RAVENNA JUAN JOSE</t>
  </si>
  <si>
    <t>JR JOSE SANTOS ATAHUALPA 862</t>
  </si>
  <si>
    <t>44787033</t>
  </si>
  <si>
    <t>DIAZ RAVENNA, JUAN JOSE</t>
  </si>
  <si>
    <t>DIAZ VEGA ROBERT WILLIAM</t>
  </si>
  <si>
    <t>AV NARANJAL 311, LIMA, LIMA, LOS OLIVOS</t>
  </si>
  <si>
    <t>09519988</t>
  </si>
  <si>
    <t>DIBURGA REVOLLAR DENNIS JESUS</t>
  </si>
  <si>
    <t>AV. SAN HILARIOS OESTE 352 MZ. Q1 LT. 3</t>
  </si>
  <si>
    <t>42272062</t>
  </si>
  <si>
    <t>DIESTRA PRINCIPE JOSE BERNARDO</t>
  </si>
  <si>
    <t>LAS PRADERAS MZF LOTE 22 - CARABAYLLO</t>
  </si>
  <si>
    <t>70988907</t>
  </si>
  <si>
    <t>DIESTRA PRINCIPE, JOSE BERNARDO</t>
  </si>
  <si>
    <t>DOLORES ALVARADO PEDRO EDGAR</t>
  </si>
  <si>
    <t>JR.ZAVALA 401, LIMA, BARRANCA, BARRANCA</t>
  </si>
  <si>
    <t>15635328</t>
  </si>
  <si>
    <t>DOLORIER MORI GUSTAVO CLEMENT</t>
  </si>
  <si>
    <t>AV. MIGUEL GRAU 195</t>
  </si>
  <si>
    <t>09529424</t>
  </si>
  <si>
    <t>DOMINGUEZ ACOSTA PAUL</t>
  </si>
  <si>
    <t>AV. TUPAC AMARU CON MARIA PARADO DE BELLIDO 1950, LIMA, LIMA, CARABAYLLO</t>
  </si>
  <si>
    <t>06830764</t>
  </si>
  <si>
    <t>DOMINGUEZ ALCEDO VICTOR MARCIANO</t>
  </si>
  <si>
    <t>MZ A LOTE 15 URBANICACIÓN SANTA ELVIRA,LIMA, LIMA,  ATE</t>
  </si>
  <si>
    <t>09776349</t>
  </si>
  <si>
    <t>DOMINGUEZ OLIVAS AGAPITO LUIS</t>
  </si>
  <si>
    <t>MZ. C 14 LT. 4-5 AV TACNA</t>
  </si>
  <si>
    <t>25819728</t>
  </si>
  <si>
    <t>DOMINGUEZ PICON PAULO CESAR</t>
  </si>
  <si>
    <t>AV LAS AMERICAS NRO 585 MAZO-VEGUETA</t>
  </si>
  <si>
    <t>42112312</t>
  </si>
  <si>
    <t>DOMINGUEZ REMIGIO DIEGO ARMANDO</t>
  </si>
  <si>
    <t>JR. CERRO DE PASCO 499, CARMEN ALTO</t>
  </si>
  <si>
    <t>4723 - VENTA AL POR MENOR DE PRODUCTOS DE TABACO EN COMERCIOS ESPECIALIZADOS</t>
  </si>
  <si>
    <t>46195322</t>
  </si>
  <si>
    <t>DOMINGUEZ TREVEJO JONATHAN ELIUD</t>
  </si>
  <si>
    <t>INTERS. CAMANA CON BOLIVIA GALERIA PERRICHOLI 1180 2DO PISO</t>
  </si>
  <si>
    <t>41521465</t>
  </si>
  <si>
    <t>DOMINGUEZ TREVEJO, JONATHAN ELIUD</t>
  </si>
  <si>
    <t>DOMINGUEZ USURIAGA NOEMI</t>
  </si>
  <si>
    <t>AV.GRAU 657, STAN 1002, CERCADO DE LIMA</t>
  </si>
  <si>
    <t>45054621</t>
  </si>
  <si>
    <t>DOMINGUEZ VILLAR DE ALVAREZ ELIZABETH</t>
  </si>
  <si>
    <t>AV.MARIATEGUI CON AV.SEPARADORA INDUSTRIAL  MZ 7    LT 3</t>
  </si>
  <si>
    <t>10592755</t>
  </si>
  <si>
    <t>DOMINGUEZ VILLAR DE ALVAREZ, ELIZABETH</t>
  </si>
  <si>
    <t>DONAYRE ROJAS PEDRO MANUEL</t>
  </si>
  <si>
    <t>AV. HERNAN CORTEZ N° 190 PISO 2 URB. MARANGA, LIMA, LIMA, SAN MAIGUEL</t>
  </si>
  <si>
    <t>44815044</t>
  </si>
  <si>
    <t>DONAYRE ROJAS, PEDRO MANUEL</t>
  </si>
  <si>
    <t>DONAYRE UCHUYA FELIX EZEQUIEL</t>
  </si>
  <si>
    <t>CAR. PANAMERICANA NORTE KM 188 (REF. FRENTE RESTAURANTE CABAÑITA MARTITA)</t>
  </si>
  <si>
    <t>50304 - VENTA PARTES, PIEZAS, ACCESORIOS.</t>
  </si>
  <si>
    <t>15853112</t>
  </si>
  <si>
    <t>FELIX EZEQUIEL DONAYRE UCHUYA</t>
  </si>
  <si>
    <t>DORREGARAY VILLAZANA AIDE NELLY</t>
  </si>
  <si>
    <t>AV.GRAU MIGUEL MZ. B LT. 11C - A.H SECTOR CENTRAL DE LA ZONA 5</t>
  </si>
  <si>
    <t>47411654</t>
  </si>
  <si>
    <t>DUCOS IRRAZABAL MIGUEL ANGEL</t>
  </si>
  <si>
    <t>AV. LA PLAYA MZ. P5 LT. 22 URB. LOS LICENCIADOS</t>
  </si>
  <si>
    <t>09641106</t>
  </si>
  <si>
    <t>DUCOS IRRAZABAL, MIGUEL ANGEL</t>
  </si>
  <si>
    <t>DUEÑAS CARHUAZ LUIS ALBERTO</t>
  </si>
  <si>
    <t>ASENT. H. HIJOS DE LA 2 ETAPA DE PERALES MZ. V LT. 13</t>
  </si>
  <si>
    <t>73615734</t>
  </si>
  <si>
    <t>DURAN CALERO MAURO ESTENIO</t>
  </si>
  <si>
    <t>AV 26 DE NOVIEMBRE 1728PDRO 9 N. E VILLA MARIA DEL TRIUNFO</t>
  </si>
  <si>
    <t>09714887</t>
  </si>
  <si>
    <t>DURAN NAVARRO ANABIL</t>
  </si>
  <si>
    <t>SECTOR 6 GRUPO 8MZ. F LT.1 -  VILLA EL SALVADOR</t>
  </si>
  <si>
    <t>23393174</t>
  </si>
  <si>
    <t> DURAN NAVARRO, ANABIL</t>
  </si>
  <si>
    <t>DURAN VARAZ DE ERAZO ZENOBIA</t>
  </si>
  <si>
    <t>JIRON ALTO PERU MANZANA "J" LOTE 6 EL VOLANTE</t>
  </si>
  <si>
    <t>06946914</t>
  </si>
  <si>
    <t>DURAND MEDRANO VICTOR MIGUEL</t>
  </si>
  <si>
    <t>GRUPO 2A- SECTOR 6 - MZ A - LT 10 - RIO JORDAN, LIMA, LIMA, VILLA EL SALVADOR</t>
  </si>
  <si>
    <t>41572649</t>
  </si>
  <si>
    <t>DURAND ROTTIERS LUCÍA AMARANTA</t>
  </si>
  <si>
    <t>JR LOS SAUCES 157-URB. SANTA ISABEL</t>
  </si>
  <si>
    <t>77637827</t>
  </si>
  <si>
    <t>ECHEANDIA LOBATTO MALENA RUTH</t>
  </si>
  <si>
    <t>AV. ARGENTINA 144 OF.1223 (1ER.PISO) C.C.UNICENTRO</t>
  </si>
  <si>
    <t>08064149</t>
  </si>
  <si>
    <t>ECHEANDIA LOBATTO, MALENA RUTH</t>
  </si>
  <si>
    <t>ECHEGARAY CHAMPA CARLOS ALFONSO</t>
  </si>
  <si>
    <t>PROLONGACION MOORE NRO 368 (COSTADO DEL HOSPITAL REGIONAL)</t>
  </si>
  <si>
    <t>15617170</t>
  </si>
  <si>
    <t>ECHEGARAY HUAROTO ELVIS</t>
  </si>
  <si>
    <t>CORICANCHA#180, URB BARRIO CHORRILLOS</t>
  </si>
  <si>
    <t>42904707</t>
  </si>
  <si>
    <t>ECHEVARRIA ALANIA ELFER MOISES</t>
  </si>
  <si>
    <t>AV. SANTA ANA MZ A31 LT 42 (FRENTE A UN PARQUE)</t>
  </si>
  <si>
    <t>48220100</t>
  </si>
  <si>
    <t>ECHEVERRE VELA ALONZO</t>
  </si>
  <si>
    <t>AV. LEONCIO PRADO MZ. C-1 LT.2</t>
  </si>
  <si>
    <t>07986817</t>
  </si>
  <si>
    <t>ECOS LEYVA RICHARD ORLANDO</t>
  </si>
  <si>
    <t>CALLE MANCO INCA NRO. 170 URB. SAN AGUSTIN - COMAS</t>
  </si>
  <si>
    <t>07493388</t>
  </si>
  <si>
    <t>EGOAVIL MEDINA LUZ MARIA</t>
  </si>
  <si>
    <t>AV. CHIMPU OCLLO 524, CARABAYLLO 15318</t>
  </si>
  <si>
    <t>55205 - RESTAURANTES, BARES Y CANTINAS</t>
  </si>
  <si>
    <t>10215843</t>
  </si>
  <si>
    <t>EGOAVIL POVIS DANIEL RICHARD</t>
  </si>
  <si>
    <t>MZ I LOTE 02 ASOC  LOS JARDINES DE SAN VICENTE</t>
  </si>
  <si>
    <t>20113462</t>
  </si>
  <si>
    <t>EGUIZABAL BRANDAN GIOVANA</t>
  </si>
  <si>
    <t>AV. ANDRES YARES MZ N LT 1 (REF. MULTISERVICIOS MICHELLY / COSTADO FER. PIEDRON)</t>
  </si>
  <si>
    <t>44882405</t>
  </si>
  <si>
    <t>GIOVANA EGUIZABAL BRANDAN</t>
  </si>
  <si>
    <t>EGUIZABAL ROQUE MARLENI SIRENA</t>
  </si>
  <si>
    <t>AV. CANTA CALLAO MZ. Q5 LT. 10-PRO LOS OLIVOS-861</t>
  </si>
  <si>
    <t>22888170</t>
  </si>
  <si>
    <t>ELGUERA AREVALO ISRAEL ELISEO</t>
  </si>
  <si>
    <t>JR. LAS BLENDAS 638, URB. INCA MANCO CAPAC. REF. ALTURA PARADERO 8, LIMA, LIMA, SAN JUAN DE LUGANCHO</t>
  </si>
  <si>
    <t>47204636</t>
  </si>
  <si>
    <t>ELGUERA AREVALO, ISRAEL ELISEO</t>
  </si>
  <si>
    <t>ENCALADA VALDIVIA ELIZABETH EVELYN</t>
  </si>
  <si>
    <t>AV. MARCO POLO N° 162 TDA 144, CALLAO, CALLAO, CALLAO</t>
  </si>
  <si>
    <t>40385130</t>
  </si>
  <si>
    <t>ENCALADA VALDIVIA, ELIZABETH EVELYN</t>
  </si>
  <si>
    <t>ENCARNACION TORRES JORGE HANDERSON</t>
  </si>
  <si>
    <t>AV TOMAS VALLE N° 1139 SAN MARTIN DE PORRES</t>
  </si>
  <si>
    <t>42328067</t>
  </si>
  <si>
    <t>ENCISO PUGA LUIS ALBERTO</t>
  </si>
  <si>
    <t>LOS CASTILLOS MZ. B LT. 01 SANTA ROSA</t>
  </si>
  <si>
    <t>21562612</t>
  </si>
  <si>
    <t>ENCISO SANCHEZ ROSA MARIA</t>
  </si>
  <si>
    <t>PROLONGACIÓN PARINACOCHAS 2014</t>
  </si>
  <si>
    <t>40801021</t>
  </si>
  <si>
    <t>ENCO CALVO ELVIS ALEJANDRO</t>
  </si>
  <si>
    <t>AV PACHACUTEC 7621. A DOS CUADRAS DE SUNAT</t>
  </si>
  <si>
    <t>42078979</t>
  </si>
  <si>
    <t>ENERO MEDINA LUIS ALBERTO</t>
  </si>
  <si>
    <t>AV LOS POSTES OESTE 415 SAN HILARION, LIMA, LIMA, SAN JUAN DE LURIGANCHO</t>
  </si>
  <si>
    <t>40050587</t>
  </si>
  <si>
    <t>ENRIQUE RIVERA ELMER ELEODORO</t>
  </si>
  <si>
    <t>AV. METROPOLITANA - SANTA ANITA A ESPALDA DE TORTELIN PARQUE 2  SAN CARLOS</t>
  </si>
  <si>
    <t>48203941</t>
  </si>
  <si>
    <t>ENRIQUE TORRES ALEJANDRO</t>
  </si>
  <si>
    <t>ASOC DE VIV RESD LA CAPITANA MZ E LT 27</t>
  </si>
  <si>
    <t>10126667</t>
  </si>
  <si>
    <t>ENRRIQUEZ SOTO TANIA ISABEL</t>
  </si>
  <si>
    <t>AV. AVIACION N° 350 TIENDA 13 SEGUNDO PISO</t>
  </si>
  <si>
    <t>40159730</t>
  </si>
  <si>
    <t>EPEQUIN VALLE AGUSTIN</t>
  </si>
  <si>
    <t>CALLE CARACAS N°140 URB. NOCHETO COMITE 24 EL AGUSTINO - LIMA</t>
  </si>
  <si>
    <t>10044791</t>
  </si>
  <si>
    <t>ERRIBARREN CRISTOBAL CIPERIANO JUAN</t>
  </si>
  <si>
    <t>JR. ANCASH N° 1634, LIMA, LIMA, EL AGUSTINO</t>
  </si>
  <si>
    <t>06000449</t>
  </si>
  <si>
    <t>ERRIBARREN CRISTOBAL, CIPERIANO JUAN</t>
  </si>
  <si>
    <t>ERRIBARREN CRISTOBAL JACINTO ELOY</t>
  </si>
  <si>
    <t>AV LA MOLINA N° 810</t>
  </si>
  <si>
    <t>10730598</t>
  </si>
  <si>
    <t>ESCALANTE QUISPE ROLANDO GUIDO</t>
  </si>
  <si>
    <t>SECTOR 1 GRUPO 2 MZA.C LT.21</t>
  </si>
  <si>
    <t>10094625</t>
  </si>
  <si>
    <t>ESCALANTE QUISPE, ROLANDO GUIDO</t>
  </si>
  <si>
    <t>ESCOBAR CABRERA LUIS WALTER</t>
  </si>
  <si>
    <t>9476+FHJ, AV.CANADA 138, ABANCAY 03001 / A MEDIA CUADRA DE LA IGLESIA GUADALUPE</t>
  </si>
  <si>
    <t>70173904</t>
  </si>
  <si>
    <t>ESCOBAR CONTRERAS ALFREDO</t>
  </si>
  <si>
    <t>ANTIGUA PANAMERICANA SUR KM 143.5 SECTOR VIALES AL FRENTE DE</t>
  </si>
  <si>
    <t>43203432</t>
  </si>
  <si>
    <t>ESCUDERO RIOS LIDIA ABIGAIL</t>
  </si>
  <si>
    <t>MZ J LOTE 7 URBANIZACIÓN LA CASUARINAS</t>
  </si>
  <si>
    <t>70288800</t>
  </si>
  <si>
    <t>ESLAVA APARI FELICITA YOLANDA</t>
  </si>
  <si>
    <t>JR SANTIAGO NORERO N°313 EL TAMBO HUANCAYO. ENTRE SANTA ISABEL Y SANTIAGO NORERO</t>
  </si>
  <si>
    <t xml:space="preserve"> 9602 - PELUQUERÍA Y OTROS TRATAMIENTOS DE BELLEZA</t>
  </si>
  <si>
    <t>19870889</t>
  </si>
  <si>
    <t>ESPANTOSO CHUNGA RICARDO ROBERTO</t>
  </si>
  <si>
    <t>AV. CARLOS GUTIERREZ NORIEGA N°294 - B. ENTRE LA AV. PARINACOCHAS Y AV. LAS AMÉRICAS. LA VICTORIA</t>
  </si>
  <si>
    <t>07494034</t>
  </si>
  <si>
    <t>ESPEJO ALARCON JACK PIERRE</t>
  </si>
  <si>
    <t>PASAJE SANTA SOFIA N° 196 URB LOS SAUCES</t>
  </si>
  <si>
    <t>10070904</t>
  </si>
  <si>
    <t>ESPICHAN TASAYCO LUIS EDGARD</t>
  </si>
  <si>
    <t>JR ANCASH 2 CUADRA</t>
  </si>
  <si>
    <t>77464016</t>
  </si>
  <si>
    <t>ESPINAL INGA ROLANDO</t>
  </si>
  <si>
    <t>AV. CAMINOS DEL INCA NRO. 243, LIMA, LIMA, SAN MIGUEL</t>
  </si>
  <si>
    <t>08028726</t>
  </si>
  <si>
    <t>ESPINOZA ACUÑA ARMANDO SAMUEL</t>
  </si>
  <si>
    <t>AV PERALDILLO N° 2746 SANTA MARÍA (ANTES DE LA PISCINA DE HUAURA)</t>
  </si>
  <si>
    <t>41828294</t>
  </si>
  <si>
    <t>ARMANDO SAMUEL ESPINOZA ACUÑA</t>
  </si>
  <si>
    <t>ESPINOZA ALCANTARA CHRISTIAN LANDER</t>
  </si>
  <si>
    <t>AV SOLIDARIDAD MZD2 LT12 PARQUE INDUSTRIAL DE VILLA EL SALVADOR</t>
  </si>
  <si>
    <t>76076292</t>
  </si>
  <si>
    <t>ESPINOZA ALCANTARA, CHRISTIAN LANDER</t>
  </si>
  <si>
    <t>ESPINOZA AMAYA CANDY KRISTEL</t>
  </si>
  <si>
    <t>AV. LAS MALVINAS S/NRO. (REF. A UNA CUADRA DE COLEGIO TRIOLET)</t>
  </si>
  <si>
    <t>41495557</t>
  </si>
  <si>
    <t>CANDY KRISTEL ESPINOZA AMAYA</t>
  </si>
  <si>
    <t>ESPINOZA BEDON GABY</t>
  </si>
  <si>
    <t>C. CESAR AUGUSTO S/NRO BARRANCA 15169</t>
  </si>
  <si>
    <t>47920318</t>
  </si>
  <si>
    <t>ESPINOZA CHAVEZ FRANCO</t>
  </si>
  <si>
    <t>AV. AVIACION 123 (AL COSTADO DE LA DISTRIBUIDORA GRUPO ANTHONY)</t>
  </si>
  <si>
    <t>70121295</t>
  </si>
  <si>
    <t>ESPINOZA CONDOR LUIS ROBERT</t>
  </si>
  <si>
    <t>AV. GUILLERMO DANSEY N°354 INT. C-02 SS, CENTRO COMERCIAL BOULEVARD ELECTRO FERRETERO (SEMI SÓTANO)</t>
  </si>
  <si>
    <t>70220777</t>
  </si>
  <si>
    <t>ESPINOZA CORAHUA YAQUELIN</t>
  </si>
  <si>
    <t>A 27 LOS JARDINES DE NARANJAL ALT CDRA 20 DE AV ALISOS - LOS OLIVOS</t>
  </si>
  <si>
    <t>10380978</t>
  </si>
  <si>
    <t>ESPINOZA CRUZ ALEJANDRO</t>
  </si>
  <si>
    <t>CALLE LAS PALMERAS MZ. K LTE. 15 LA ENSENADA</t>
  </si>
  <si>
    <t>44257458</t>
  </si>
  <si>
    <t>ESPINOZA DAVILA ALDO MANUEL</t>
  </si>
  <si>
    <t>LORETO NRO 615</t>
  </si>
  <si>
    <t>43460092</t>
  </si>
  <si>
    <t>ESPINOZA DEL CASTILLO IVAN</t>
  </si>
  <si>
    <t>CALLE STA HILDA G 15 (A LA ESPALDA DEL COLEGIO SANTA INÉS SACO OLIVEROS)</t>
  </si>
  <si>
    <t>16023199</t>
  </si>
  <si>
    <t>ESPINOZA GONZALES MANUEL</t>
  </si>
  <si>
    <t>AV.CESAR MONTALVO MZA U 02 LOTE, A C, P CIUDAD DE DIOS</t>
  </si>
  <si>
    <t>71916288</t>
  </si>
  <si>
    <t>ESPINOZA LUNA SORAYRA MARGARITA</t>
  </si>
  <si>
    <t>AV. UNIVERSITARIA, ALBORADA N° 9723 (FRENTE A LA ESTACIÓN ALBORADA)</t>
  </si>
  <si>
    <t>42290272</t>
  </si>
  <si>
    <t>ESPINOZA MAGUIÑA JULIO CESAR</t>
  </si>
  <si>
    <t>URB EL MILAGRO CALLE 21 DE OCTUBRE S/N (GIMNASIO BET FITNESS 37 AL COSTADO DE COLEGIO INNOVAS SCHOOL</t>
  </si>
  <si>
    <t>15744719</t>
  </si>
  <si>
    <t>ESPINOZA MEJIA JUAN ARBUS</t>
  </si>
  <si>
    <t>AV. ELMER FAUCETT N° 1784</t>
  </si>
  <si>
    <t>06814872</t>
  </si>
  <si>
    <t>ESPINOZA MENDIETA BERTHA</t>
  </si>
  <si>
    <t>JR. HUALLAGA 258-278</t>
  </si>
  <si>
    <t>40983015</t>
  </si>
  <si>
    <t>ESPINOZA NAVARRO SANTOS</t>
  </si>
  <si>
    <t>VIRGEN DE LOURDES AMPLIACIÓN 3 SUR MZ. C LT.2</t>
  </si>
  <si>
    <t>25811053</t>
  </si>
  <si>
    <t>ESPINOZA NAVARRO, SANTOS</t>
  </si>
  <si>
    <t>ESPINOZA NUÑEZ RAFAEL ESTUARDO</t>
  </si>
  <si>
    <t>MZ G, ITE 26 URB CHAVIN DE HUANTAR, CARABAYLLO.</t>
  </si>
  <si>
    <t>09917950</t>
  </si>
  <si>
    <t>ESPINOZA NUÑEZ, RAFAEL ESTUARDO</t>
  </si>
  <si>
    <t>ESPINOZA NUÑEZ SEVERINO</t>
  </si>
  <si>
    <t>CALLE LAS PRENSAS N°265-INT.1 URB.INDUSTRIAL NARANJA</t>
  </si>
  <si>
    <t>07471780</t>
  </si>
  <si>
    <t>ESPINOZA PEREZ ANDRES</t>
  </si>
  <si>
    <t>AV. DANIEL A. CARRION NRO. 1033 INT. A P.J. JOSE GALVEZ LIMA - LIMA - VILLA MARIA DEL TRIUNFO</t>
  </si>
  <si>
    <t>40488845</t>
  </si>
  <si>
    <t>ESPINOZA PEREZ, ANDRES</t>
  </si>
  <si>
    <t>ESPINOZA PUICAN JOSE RAMON</t>
  </si>
  <si>
    <t>AV. SAN JOSE MZ. A LT. 5 URB. SANTA PATRICIA</t>
  </si>
  <si>
    <t>40164913</t>
  </si>
  <si>
    <t>ESPINOZA RIVERA DEYCE ASUCENA</t>
  </si>
  <si>
    <t>AV. LAURIAMA MZA. C LOTE 03, LIMA, BARRANCA, BARRANCA</t>
  </si>
  <si>
    <t>48147235</t>
  </si>
  <si>
    <t>ESPINOZA ROMERO CARMEN SOCORRO</t>
  </si>
  <si>
    <t>AV. EL SOL 892 SAN JUAN LURIGANCHO</t>
  </si>
  <si>
    <t>09563971</t>
  </si>
  <si>
    <t>ESPINOZA ROSALES OMAR WALDO</t>
  </si>
  <si>
    <t>AV. SINCHI ROCA 1013 ALT. HOSPITAL COLLIQUE</t>
  </si>
  <si>
    <t>09748043</t>
  </si>
  <si>
    <t>ESPINOZA SILVA KARLA MABEL</t>
  </si>
  <si>
    <t>AV. ECHENIQUE NRO. 570 - OF.02 PRIMER PISO, LIMA, HUAURA, HUACHO</t>
  </si>
  <si>
    <t>40660042</t>
  </si>
  <si>
    <t>ESPINOZA SILVA, KARLA MABEL</t>
  </si>
  <si>
    <t>ESPINOZA SOTO JHONNI</t>
  </si>
  <si>
    <t>AV. GENERAL EUGENIO GARZON NRO 901 - JESUS MARIA</t>
  </si>
  <si>
    <t>4772 - Venta al por menor de productos farmacéuticos y médicos, cosméticos y artículos de tocador en comercios especializados</t>
  </si>
  <si>
    <t>42938142</t>
  </si>
  <si>
    <t>ESPINOZA SOTO, JHONNI</t>
  </si>
  <si>
    <t>ESPINOZA TOLENTINO TEODORO ALEJANDRO</t>
  </si>
  <si>
    <t>CALLE CESAR VALLEJO MZ. F LT. 29 LOS OLIVOS</t>
  </si>
  <si>
    <t>08585437</t>
  </si>
  <si>
    <t>ESPINOZA TOLENTINO, TEODORO ALEJANDRO</t>
  </si>
  <si>
    <t>ESPINOZA USURIAGA IVAN ABDIAS</t>
  </si>
  <si>
    <t>MZ A LT 11 BAR 2 UNIDAD IINBMOBIALIARIA N1</t>
  </si>
  <si>
    <t>73699512</t>
  </si>
  <si>
    <t>ESPINOZA VELA KARLA CIBELE</t>
  </si>
  <si>
    <t>CALLE LAS MARGARITAS MZ. A LT. 11</t>
  </si>
  <si>
    <t>77098178</t>
  </si>
  <si>
    <t>ESPINOZA YANAC JOEL MERCEDES</t>
  </si>
  <si>
    <t>JR. FELIPE VARGNA 144 - SAN LUIS</t>
  </si>
  <si>
    <t>09682796</t>
  </si>
  <si>
    <t>ESPINOZA YUCA YANET DIANA</t>
  </si>
  <si>
    <t>SAN FERNANDO CARABAYLLO MZ: B LOTE: 7 (A LA DERECHA DEL MERCADO LOS ANGELES)</t>
  </si>
  <si>
    <t>10069180</t>
  </si>
  <si>
    <t>ESPIRE ALLCA JACKSON JESUS</t>
  </si>
  <si>
    <t>MZ. A LT. 2 AA.HH. 10 DE MARZO, LIMA, LIMA, SAN JUAN DE LURIGANCHO</t>
  </si>
  <si>
    <t>43094113</t>
  </si>
  <si>
    <t>ESPIRITU CAPCHA JHONATAN</t>
  </si>
  <si>
    <t>C.C PLAZA SUR TDA. 24</t>
  </si>
  <si>
    <t>44969789</t>
  </si>
  <si>
    <t>ESQUECHE FLORES JUAN PEDRO</t>
  </si>
  <si>
    <t>AV. CESAR VALLEJO 430, LIMA, LIMA, CARABAYLLO</t>
  </si>
  <si>
    <t>47693423</t>
  </si>
  <si>
    <t>ESQUEN VIDARTE TATIANA</t>
  </si>
  <si>
    <t>URB. SAN PEDRO DE GARAGAY MZ B LT 30</t>
  </si>
  <si>
    <t>73929658</t>
  </si>
  <si>
    <t>ESTARES ANTICONA MILTON SANTOS</t>
  </si>
  <si>
    <t>MZ.B.LOTE 13 LADERAS DE CERRO CACHITO</t>
  </si>
  <si>
    <t>21075871</t>
  </si>
  <si>
    <t>ESTARES ANTICONA, MILTON SANTOS</t>
  </si>
  <si>
    <t>ESTEBAN CUCHILLA DE SOLIS CHARO PILAR</t>
  </si>
  <si>
    <t>AV. LOS RUISEÑORES N° 764 URB. SANTA ANITA SEC. DOS / LIMA, LIMA, SANTA ANITA</t>
  </si>
  <si>
    <t>45392946</t>
  </si>
  <si>
    <t>ESTEBAN SANTOS PERCY</t>
  </si>
  <si>
    <t>PSJ. PACHITEA AAHH. MARIATEGUI SECTOR. VALLECITO AL MZ. 195A LT 09 (GRIFO VELLECITO ALTO)</t>
  </si>
  <si>
    <t>10551102</t>
  </si>
  <si>
    <t>ESTEBAN VILLANUEVA ALBERTA MAGNA</t>
  </si>
  <si>
    <t>AV. CARLOS IZAGUIRRE CON AV. CANTA CALLAO</t>
  </si>
  <si>
    <t>45437085</t>
  </si>
  <si>
    <t>ESTELA DA SILVA JOSE ANTONIO</t>
  </si>
  <si>
    <t>AV.INCA GARCILAZO DR LA VEGA 1236 G. MAXIPLAZA INT.115-S, LIMA</t>
  </si>
  <si>
    <t>16807821</t>
  </si>
  <si>
    <t>ESTELA DA SILVA, JOSE ANTONIO</t>
  </si>
  <si>
    <t>ESTRADA CUBA ANGEL EMILIO</t>
  </si>
  <si>
    <t>AV.SEPARADORA CON LOS ANGELES. REF A DOS CUADRAS SALIENDO DE LA ESTACION DEL TREN DEL PARQUE INDUSTRIAL</t>
  </si>
  <si>
    <t>45108600</t>
  </si>
  <si>
    <t>ESTRADA MORENO ALBINO DOMINGO</t>
  </si>
  <si>
    <t>MZ.P. LT.42 URB FONDO DE TARO ALBORADA</t>
  </si>
  <si>
    <t>08177874</t>
  </si>
  <si>
    <t>ESTRADA PEREZ WILDER</t>
  </si>
  <si>
    <t>AV. UNIVERSITARIA 8931UPIS CIUDAD DE LIMA, LIMA, COMAS</t>
  </si>
  <si>
    <t>40524390</t>
  </si>
  <si>
    <t>ESTUPIÑAN CAVERO LUIS ANDERSSON</t>
  </si>
  <si>
    <t>AV. CENTENARIO N° 389, LIMA, HUAURA, SANTA MARIA</t>
  </si>
  <si>
    <t>74761300</t>
  </si>
  <si>
    <t>ESTUPIÑAN CAVERO, LUIS ANDERSSON</t>
  </si>
  <si>
    <t>EVANGELISTA CHICO HERMENEGILDO MAXIMO</t>
  </si>
  <si>
    <t>MANZANA C LOTE 3 OLIVAR DE OQUENDO PROLONGACIÓN PACASMAYO</t>
  </si>
  <si>
    <t>33341637</t>
  </si>
  <si>
    <t>EVANGELISTA MATOS ERIKA LIZANKA</t>
  </si>
  <si>
    <t>AV. FRANCISCO DE ZELA MZ.A LT.17</t>
  </si>
  <si>
    <t>40200899</t>
  </si>
  <si>
    <t>EVANGELISTA ZELAYA YONEL FRAY</t>
  </si>
  <si>
    <t>PJ. GONZALES DEL RIEGO NRO. 141 URB. OSCAR RAUL BENAVIDES, LIMA, LIMA, LIMA</t>
  </si>
  <si>
    <t>70541190</t>
  </si>
  <si>
    <t>EYNA MUNAYCO JESUS ALBERTO</t>
  </si>
  <si>
    <t>CALLE SALAVERRY 606</t>
  </si>
  <si>
    <t>47090860</t>
  </si>
  <si>
    <t>FABIAN FERRER YONEL</t>
  </si>
  <si>
    <t>LOS CIPRECES MZ X LT 5 REF A ESPALDA DEL COLEGIO CUBANOS</t>
  </si>
  <si>
    <t>15742572</t>
  </si>
  <si>
    <t>FABIAN FLORES JUDITH ROSARIO</t>
  </si>
  <si>
    <t>CALLE LOS LAURELES 3756 MERCADO CESAR VALLEJO PUESTO Nº 23</t>
  </si>
  <si>
    <t>09889175</t>
  </si>
  <si>
    <t>FABIAN FLORES, JUDITH ROSARIO</t>
  </si>
  <si>
    <t>FABIAN HINOSTROZA RISEYRE NILDER</t>
  </si>
  <si>
    <t>AV. CORONEL MARCO PUENTE LLANOS 305, LIMA, LIMA, ATE</t>
  </si>
  <si>
    <t>45271107</t>
  </si>
  <si>
    <t>FABIAN SOTO JORGE DAVID</t>
  </si>
  <si>
    <t>AV. GRAU N°298 CON T.GARCIA-HUACHO</t>
  </si>
  <si>
    <t>45651275</t>
  </si>
  <si>
    <t>FALCON CERDA MARISOL MIRIAM</t>
  </si>
  <si>
    <t>AV. BOLIVIA 148 STAND 2195 PSJE C</t>
  </si>
  <si>
    <t>42480631</t>
  </si>
  <si>
    <t>FALCON ERAZO LIZBETH ESTRELLA</t>
  </si>
  <si>
    <t>AV. GERARDO UNGER 247 GALERIA SIGLO XXI</t>
  </si>
  <si>
    <t>47662588</t>
  </si>
  <si>
    <t>FALCON ERAZO, LIZBETH ESTRELLA</t>
  </si>
  <si>
    <t>FALCON GABRIEL BEATRIZ ANICETA</t>
  </si>
  <si>
    <t>AV PACASMAYO CALLE 15  MZ X L1 LIMA, LIMA, SAN MARTIN DE PORRES</t>
  </si>
  <si>
    <t>09441926</t>
  </si>
  <si>
    <t>FALCON TORRES YURI MELANIO</t>
  </si>
  <si>
    <t>LETICIA 1000 - STAND 6 CERCADO DE LIMA 15001</t>
  </si>
  <si>
    <t>42409538</t>
  </si>
  <si>
    <t>FALCON TORRES, YURI MELANIO</t>
  </si>
  <si>
    <t>FALEN CARRANZA ROSSMERY MICHAELL</t>
  </si>
  <si>
    <t>SEGUNDO PASAJE N°145 NUEVA VICTORIA REF FRENTE A LA FERRETERIA CASA BLANCA</t>
  </si>
  <si>
    <t>71791917</t>
  </si>
  <si>
    <t>FALVY AGURTO JULIO CESAR</t>
  </si>
  <si>
    <t>JR. CORDOVA 151 - SUPE (A DOS CASAS HACIA ARRIBA DEL COLEGIO I.E FRANCISCO VIDAL LAOS)</t>
  </si>
  <si>
    <t>45448103</t>
  </si>
  <si>
    <t>FANOLA ZAMORA AURELIO</t>
  </si>
  <si>
    <t>AV . SANTA ROSA 885 COOP DE VIV. JULIO C TELLO MZ `B` LT 01 -SANTA ANITA</t>
  </si>
  <si>
    <t>47559755</t>
  </si>
  <si>
    <t>FARFAN ACHULLI LIGORIO</t>
  </si>
  <si>
    <t>SECTOR 6 MZ. H LT. 4 GRU. - 4A</t>
  </si>
  <si>
    <t>28111 - FAB. PROD. METAL. USO ESTRUCTURAL</t>
  </si>
  <si>
    <t>08899084</t>
  </si>
  <si>
    <t>FARFAN CCORI NORMA</t>
  </si>
  <si>
    <t>AV. LURIGANCHO 1051, HORIZONTE DE ZARATE</t>
  </si>
  <si>
    <t>40238656</t>
  </si>
  <si>
    <t>FARFAN CUYUBAMBA ALESHKA NAOMY</t>
  </si>
  <si>
    <t>CALLE LOS FICUS MZ. F LOTE 6 ASOC. LA ENCALADA DE HUACHIPA</t>
  </si>
  <si>
    <t>72013950</t>
  </si>
  <si>
    <t>FARIAS RIVERA FRANK JOEL</t>
  </si>
  <si>
    <t>MIGUEL GRAU FND.STA CLARA LOTE. REF. SUBLT 45 A3 . JARDIN AZUL - ATE</t>
  </si>
  <si>
    <t>VENTA AL POR MENOR DE ARTÍCULOS DE FERRETERÍA, PINTURAS Y PRODUCTOS DE VIDRIO EN COMERCIOS ESPECIALIZADOS</t>
  </si>
  <si>
    <t>43150600</t>
  </si>
  <si>
    <t>FASABI VALENCIA MARISABEL NAGELLY</t>
  </si>
  <si>
    <t>PS 49 MZ.D LT.9 URB. EL RETABLO II ETAPA</t>
  </si>
  <si>
    <t>74169451</t>
  </si>
  <si>
    <t>FASANANDO PUYO ALVARO</t>
  </si>
  <si>
    <t>AV AGRICULTURA 1049 PARADERO 6 DE JOSE GALVEZ VMT--(MERCADO ATECA ,JOSE GALVEZ)</t>
  </si>
  <si>
    <t>09975850</t>
  </si>
  <si>
    <t>FELIX FERNANDEZ MANUEL HORLANDO</t>
  </si>
  <si>
    <t>CALLE PEDRO SAYAN N° 159 (REF. FRENTE AL COLEGIO ROUSSEAU) BARRANCA</t>
  </si>
  <si>
    <t>15859623</t>
  </si>
  <si>
    <t>FELIX FERNANDEZ MANUEL HORLAND</t>
  </si>
  <si>
    <t>FELIX ORIHUELA ELZA MARTHA</t>
  </si>
  <si>
    <t>AV.HUAROCHIRI MZ A34 LT02 URBANIZACIÓN CULTURA PERUANA MODERNA, LIMA, LIMA, SANTA ANITA</t>
  </si>
  <si>
    <t>40450347</t>
  </si>
  <si>
    <t>FERNANDEZ BEJAR EMPERATRIZ</t>
  </si>
  <si>
    <t>CALLE 75 MZ. I LT 03 URB. PACHACAMAC BARRIO 4 SECTOR 2</t>
  </si>
  <si>
    <t>48417940</t>
  </si>
  <si>
    <t>FERNANDEZ BEJAR, EMPERATRIZ</t>
  </si>
  <si>
    <t>FERNANDEZ CALATAYUD ANDRE ALEXIS</t>
  </si>
  <si>
    <t>AV. TUPAC AMARU N° 181, LIMA, HUAURA, HUACHO</t>
  </si>
  <si>
    <t>44311216</t>
  </si>
  <si>
    <t>FERNANDEZ CALATAYUD, ANDRE ALEXIS</t>
  </si>
  <si>
    <t>FERNANDEZ DIAZ JUAN</t>
  </si>
  <si>
    <t>JR. BENITO PARDO FIGUEROA 183,LIMA, LIMA, LA VICTORIA</t>
  </si>
  <si>
    <t>09664234</t>
  </si>
  <si>
    <t>FERNANDEZ ESPINOZA ALEJANDRO FELIX</t>
  </si>
  <si>
    <t>CALLE 22 MZ O LOTE 8 COOPERATIVA PRIMAVERA</t>
  </si>
  <si>
    <t>FERNANDEZ ESPINOZA, ALEJANDRO FELIX</t>
  </si>
  <si>
    <t>FERNANDEZ FALCON CESAR GENARO</t>
  </si>
  <si>
    <t>AV. PROLONGACION PACHACUTEC MZA. B LOTE. 5 A.H. PUYUSCA , LIMA, LIMA, VILLA MARIA DEL TRIUNFO</t>
  </si>
  <si>
    <t>41705870</t>
  </si>
  <si>
    <t>FERNANDEZ HERRERA JULIO CESAR</t>
  </si>
  <si>
    <t>MZ. Y LOTE 3 AA.HH SAN PEDRO DE CHEPEN (ALTURA COMITE 3)</t>
  </si>
  <si>
    <t>41991724</t>
  </si>
  <si>
    <t>FERNANDEZ HILPANOCA TERESA MARIA</t>
  </si>
  <si>
    <t>AV. RENAN ELIAS OLIVERA N° 233, LIMA, LIMA, EL AGUSTINO</t>
  </si>
  <si>
    <t>40741256</t>
  </si>
  <si>
    <t>FERNANDEZ HILPANOCA, TERESA MARIA</t>
  </si>
  <si>
    <t>FERNANDEZ JARA CRISTOBAL EDWIN</t>
  </si>
  <si>
    <t>MZ A LOTE 2 AGRUPACION DE FAMILIAS MORUTA</t>
  </si>
  <si>
    <t>41920938</t>
  </si>
  <si>
    <t>FERNANDEZ LEON CESAR ALEX</t>
  </si>
  <si>
    <t>JR.EL HIERRO N°186-ZONA INDUSTRIAL, LIMA, LIMA, LOS OLIVOS</t>
  </si>
  <si>
    <t>15447809</t>
  </si>
  <si>
    <t>FERNANDEZ MORALES DIEGO ARMANDO</t>
  </si>
  <si>
    <t>AV.ARGENTINA GALERÍA MALVITEC ESTAND I14 LAS MALVINAS</t>
  </si>
  <si>
    <t>43390488</t>
  </si>
  <si>
    <t>FERNANDEZ NESTARES JULIO CESAR</t>
  </si>
  <si>
    <t>JR. LAS TUNA MZ. 12 LOTE 06 JICAMARCA ANEXO 8</t>
  </si>
  <si>
    <t>44279939</t>
  </si>
  <si>
    <t>FERNANDEZ NESTARES, JULIO CESAR</t>
  </si>
  <si>
    <t>FERNANDEZ PALACIOS NESTOR ALFONSO</t>
  </si>
  <si>
    <t>AV. LAS TORRES MZ H LOTE 3 - CERCA AL PALACIO DE LA JUVENTUD</t>
  </si>
  <si>
    <t>08081219</t>
  </si>
  <si>
    <t>FERNANDEZ SALAZAR NAHADIA JADELLI</t>
  </si>
  <si>
    <t>AV. UNIVERSITARIA 4853, LIMA, LIMA, LOS OLIVOS</t>
  </si>
  <si>
    <t>32987762</t>
  </si>
  <si>
    <t>FERNANDEZ TASAYCO MANUEL ANTONIO</t>
  </si>
  <si>
    <t>URB SINDICATO DE CHOFERES CALLE LAS MARGARITAS MZ B LT 31</t>
  </si>
  <si>
    <t>4630 - VENTA AL POR MAYOR DE ALIMENTOS, BEBIDAS Y TABACO.</t>
  </si>
  <si>
    <t>70253967</t>
  </si>
  <si>
    <t>FERNANDEZ VALDERRAMA JUAN JOSE</t>
  </si>
  <si>
    <t>MZ.N12B,LT1   ASOCIACION DE VIVIENDA CASA BLANCA</t>
  </si>
  <si>
    <t>77498744</t>
  </si>
  <si>
    <t>FERNANDEZ VALDERRAMA, JUAN JOSE</t>
  </si>
  <si>
    <t>FERNANDEZ VASQUEZ MARINA</t>
  </si>
  <si>
    <t>AV TRAPICHE MZ. G2 LOTE 15</t>
  </si>
  <si>
    <t>5630 - ACTIVIDADES DE SERVICIO DE BEBIDAS</t>
  </si>
  <si>
    <t>33679646</t>
  </si>
  <si>
    <t>FERREYRA SALVATIERRA PATRICIA LUZ</t>
  </si>
  <si>
    <t>JR. ANDAHUAYLAS NRO. 665 INT. 244 LIMA - LIMA - LIMA</t>
  </si>
  <si>
    <t>VENTA AL POR MENOR DE OTROS PRODUCTOS EN PUESTOS DE VENTA Y MERCADOS</t>
  </si>
  <si>
    <t>08113740</t>
  </si>
  <si>
    <t>FERREYRA SALVATIERRA, PATRICIA LUZ</t>
  </si>
  <si>
    <t>FIGUEROA BRANDAN LUIS HUMBERTO</t>
  </si>
  <si>
    <t>JR. PROGRESO 459</t>
  </si>
  <si>
    <t>08663854</t>
  </si>
  <si>
    <t>FIGUEROA BRANDAN, LUIS HUMBERTO</t>
  </si>
  <si>
    <t>FIGUEROA HUACANCA DAVID LEONARDO</t>
  </si>
  <si>
    <t>CALLE LLOQUE YUPANQUI N° 144 (FRENTE AL GRIFO HUARALINIO)</t>
  </si>
  <si>
    <t>46947798</t>
  </si>
  <si>
    <t>FIGUEROA INOCENTE MARIA ESTEFANY</t>
  </si>
  <si>
    <t>ASOC.   MERCADO  NUEVO AMANECER  N 1Y2</t>
  </si>
  <si>
    <t>75380212</t>
  </si>
  <si>
    <t>FIGUEROA NIETO PERCY ALEX</t>
  </si>
  <si>
    <t>JIRÓN CAMANÁ 1161 – PUESTO 2217 – CERCADO DE LIMA</t>
  </si>
  <si>
    <t>20728416</t>
  </si>
  <si>
    <t>FILIOS DEGOLLAR JORGE ADRIAN</t>
  </si>
  <si>
    <t>CALLE LAS DALIAS S/N URB. ANGENICA MORALES.</t>
  </si>
  <si>
    <t>16000756</t>
  </si>
  <si>
    <t>FLORECIN PASTRANA EDILBERTO</t>
  </si>
  <si>
    <t>AV. CHANCAY N° 135, LIMA, LIMA, HUARAL, HUARAL</t>
  </si>
  <si>
    <t>15997233</t>
  </si>
  <si>
    <t>FLORECIN PASTRANA, EDILBERTO</t>
  </si>
  <si>
    <t>FLORENTINI ATUNCAR JUAN MANUEL</t>
  </si>
  <si>
    <t>J.TMBES CUA 10 . IMPERIAL CAÑETE</t>
  </si>
  <si>
    <t>15357715</t>
  </si>
  <si>
    <t>FLORES ABAD SEGUNDINO</t>
  </si>
  <si>
    <t>AV DOMINICOS 1170, CALLAO, CALLAO, CALLAO</t>
  </si>
  <si>
    <t>42121218</t>
  </si>
  <si>
    <t>FLORES ABAD, SEGUNDINO</t>
  </si>
  <si>
    <t>FLORES AGUILAR PERCY HUALDO</t>
  </si>
  <si>
    <t>AV GUARDIA REPUBLICANA 555 EX CAPILLA A 2 CRAS DE LA PROLONGACION TACNA</t>
  </si>
  <si>
    <t>10763750</t>
  </si>
  <si>
    <t>FLORES ALARCON ROSA EVELYN</t>
  </si>
  <si>
    <t>AV MICAELA BASTIDAS/SECTOR 1/ MZ D/ LT31/ GRUPO 16 / PUESTO 48</t>
  </si>
  <si>
    <t>47560686</t>
  </si>
  <si>
    <t>FLORES AVALOS FRANCISCO</t>
  </si>
  <si>
    <t>JR. LA MERCED N° 375, LA LIBERTAD, TRUJILLO, LAREDO</t>
  </si>
  <si>
    <t>18170605</t>
  </si>
  <si>
    <t>FLORES AVALOS, FRANCISCO</t>
  </si>
  <si>
    <t>FLORES CAMASCA MAXIMO</t>
  </si>
  <si>
    <t>JR ICA N° 146, LIMA, LIMA, LIMA</t>
  </si>
  <si>
    <t>44139709</t>
  </si>
  <si>
    <t>FLORES CARRASCO JUWER HIPOLITO</t>
  </si>
  <si>
    <t>AV. TUPAC AMARU P.J. LA LIBERTAD 876 (2DO PISO ALT PARADERO CORREO)</t>
  </si>
  <si>
    <t>40509551</t>
  </si>
  <si>
    <t>FLORES CASIMIRO MARIO PABLO</t>
  </si>
  <si>
    <t>CALLE ANTARES 201</t>
  </si>
  <si>
    <t>42299060</t>
  </si>
  <si>
    <t>FLORES CASIMIRO, MARIO PABLO</t>
  </si>
  <si>
    <t>FLORES CASTILLO JULIO TIMOTEO</t>
  </si>
  <si>
    <t>JR. AMÉRICA 276 - TIENDA 16 GALERÍA SEÑOR DE MURUHUAY</t>
  </si>
  <si>
    <t>25757138</t>
  </si>
  <si>
    <t>FLORES CHUMPITAZ ROBERTO JESUS</t>
  </si>
  <si>
    <t>AV.URUGUAY 346 GALERIA COMPUMALL 209-SEGUNDO PISO</t>
  </si>
  <si>
    <t>9000 - ACTIVIDADES CREATIVAS, ARTÍSTICAS Y DE ENTRETENIMIENTO</t>
  </si>
  <si>
    <t>45409770</t>
  </si>
  <si>
    <t>FLORES CHUMPITAZ, ROBERTO JESUS</t>
  </si>
  <si>
    <t>FLORES CORDOVA ENDRIX MANUEL</t>
  </si>
  <si>
    <t>AV SAN MARTÍN N°136- SAN JUAN DE LURIGANCHO</t>
  </si>
  <si>
    <t>42585250</t>
  </si>
  <si>
    <t>FLORES CORDOVA, ENDRIX MANUEL</t>
  </si>
  <si>
    <t>FLORES FLORES LUIS ISMAEL</t>
  </si>
  <si>
    <t>AVEMANCIPACIÓN 67 PLAZA RAMÓN CASTILLO LIMA 15079</t>
  </si>
  <si>
    <t>45553443</t>
  </si>
  <si>
    <t>FLORES GALLARDO ROBERTO</t>
  </si>
  <si>
    <t>JR. ANTONIO BAZO 1200</t>
  </si>
  <si>
    <t>08335594</t>
  </si>
  <si>
    <t>FLORES GALLARDO, ROBERTO</t>
  </si>
  <si>
    <t>FLORES GARCES OSCAR ENRIQUE</t>
  </si>
  <si>
    <t>JR. JUPITER MZA. 5 LOTE. 52 URB. VILLA COLLIQUE</t>
  </si>
  <si>
    <t>09986215</t>
  </si>
  <si>
    <t>FLORES GAVIDIA HUMBERTO ANDRES</t>
  </si>
  <si>
    <t>AV. SALVADOR ALLENDE 1828</t>
  </si>
  <si>
    <t> MANTENIMIENTO Y REPARACIÓN DE VEHÍCULOS AUTOMOTORES</t>
  </si>
  <si>
    <t> 4421380</t>
  </si>
  <si>
    <t>FLORES GAVIDIA, HUMBERTO ANDRES</t>
  </si>
  <si>
    <t>FLORES GRADOS EDGAR</t>
  </si>
  <si>
    <t>CA. RAMIRO PRIALE N° 263 LOTIZACION SAN JUAN</t>
  </si>
  <si>
    <t>10119270</t>
  </si>
  <si>
    <t>FLORES GUTIERREZ ALICIA ROSALIA</t>
  </si>
  <si>
    <t>SECT.3 GRP.28 MZ.M LT.01</t>
  </si>
  <si>
    <t>72045728</t>
  </si>
  <si>
    <t>FLORES GUTIERREZ, ALICIA ROSALIA</t>
  </si>
  <si>
    <t>FLORES GUTIERREZ DANIEL</t>
  </si>
  <si>
    <t>AV PRÓCERES DE LA INDEPENDENCIA 2635, LIMA, LIMA, SAN JUAN DE LURIGANCHO</t>
  </si>
  <si>
    <t>10687451</t>
  </si>
  <si>
    <t>FLORES GUTIERREZ VICTOR EDUARDO</t>
  </si>
  <si>
    <t>MZ. K LT. 9 URB. SAN REMO 2</t>
  </si>
  <si>
    <t>06921139</t>
  </si>
  <si>
    <t>FLORES HUACHOVILCA ABRAHAM</t>
  </si>
  <si>
    <t>CAR.PANAMERICANA SUR KM. 19.5 FND. ZONA 1 FUNDO VILLA (POR EL OLIVAR Nº 1 SUB LOTE 3), LIMA, LIMA, VILLA EL SALVADOR</t>
  </si>
  <si>
    <t>75401029</t>
  </si>
  <si>
    <t>FLORES HUAMANI ALONSO OLIVER</t>
  </si>
  <si>
    <t>AV. CARAPONGO MZ. G LT. 2D URB. LOS TULIPANES (REF. ZOLOGICO DE HUACHIPA)</t>
  </si>
  <si>
    <t>10876286</t>
  </si>
  <si>
    <t>FLORES HUAMANI SILVANO</t>
  </si>
  <si>
    <t>MZ. A LT. 12 ASC. DE VIVIENDA LOS JAZMINES DE SANTA CLARA</t>
  </si>
  <si>
    <t>10250666</t>
  </si>
  <si>
    <t>FLORES HUAMANI, SILVANO</t>
  </si>
  <si>
    <t>FLORES INGA CARLOS FERNANDO</t>
  </si>
  <si>
    <t>AV RIVAGUERO NRO 220</t>
  </si>
  <si>
    <t>73752962</t>
  </si>
  <si>
    <t>FLORES JANCACHAGUA JUNIOR HERNAN</t>
  </si>
  <si>
    <t>ASOC. LAS AMERICAS MZ A LT 29</t>
  </si>
  <si>
    <t>46133026</t>
  </si>
  <si>
    <t>FLORES JIMENEZ GERALD VICENTE</t>
  </si>
  <si>
    <t>AV. CENTRAL 1269 - 2DO PISO</t>
  </si>
  <si>
    <t>41495788</t>
  </si>
  <si>
    <t>FLORES LAZO LUIS JHOVANY</t>
  </si>
  <si>
    <t>AV. LOS ALISOS N° 768 URB. CARLOS CUETO FERNANDINI, LIMA, LIMA, LOS OLIVOS</t>
  </si>
  <si>
    <t>46388861</t>
  </si>
  <si>
    <t>FLORES LAZO, LUIS JHOVANY</t>
  </si>
  <si>
    <t>FLORES MENDOZA ANANI ANGELICA</t>
  </si>
  <si>
    <t>CALLE REAL MZ. B LT. 02 ASOC. LOS SAUCES DEL NARANJAL</t>
  </si>
  <si>
    <t>08611360</t>
  </si>
  <si>
    <t>FLORES MENDOZA, ANANI ANGELICA</t>
  </si>
  <si>
    <t>FLORES MEZA JONEL</t>
  </si>
  <si>
    <t>JR AYACUCHO 394</t>
  </si>
  <si>
    <t>45824884</t>
  </si>
  <si>
    <t>FLORES ORTIZ JUAN LUIS</t>
  </si>
  <si>
    <t>AV. 28 DE JULIO NRO. 132 HOGAR POLICIAL 3RA ZONA</t>
  </si>
  <si>
    <t>80197603</t>
  </si>
  <si>
    <t>FLORES PACHECO ANGIE MILAGROS</t>
  </si>
  <si>
    <t>AV. GERARDO UNGER 7069</t>
  </si>
  <si>
    <t>78196353</t>
  </si>
  <si>
    <t>FLORES PACHECO, ANGIE MILAGROS</t>
  </si>
  <si>
    <t>FLORES PACHECO ESTEFANI ALMENDRA</t>
  </si>
  <si>
    <t>AV. GERARDO UNGER NRO 7069, TUPAC AMARU</t>
  </si>
  <si>
    <t>46896027</t>
  </si>
  <si>
    <t>FLORES PAUCAR ARNALDO</t>
  </si>
  <si>
    <t>ANT. PANAMERICANA SUR MZ 25 - LT 6</t>
  </si>
  <si>
    <t>10154272</t>
  </si>
  <si>
    <t>FLORES PISCONTE GUIDO EFRAIN</t>
  </si>
  <si>
    <t>ASOCACION MIRAFLORES CALLE LOS GERANIOSI</t>
  </si>
  <si>
    <t>15630694</t>
  </si>
  <si>
    <t>FLORES QUISPE SEBASTIAN ANIBAL</t>
  </si>
  <si>
    <t>AV TUPAC INCA YUPANQUI M P - L 10 ASOC.POBLADO DEL CERCADO ANEXO22 M- JICAMARCA - SAN JUAN DE LURIGANCHO</t>
  </si>
  <si>
    <t>42875083</t>
  </si>
  <si>
    <t>FLORES RAMIREZ JOSE MARIA</t>
  </si>
  <si>
    <t>AV OSCAR RAMOS MZ B LOTE 4 - URB.  VALLE HERMOSO SAN VICENTE - CAÑETE</t>
  </si>
  <si>
    <t>43228968</t>
  </si>
  <si>
    <t>FLORES SALDAÑA JAIR</t>
  </si>
  <si>
    <t>NRO. 2420 P.J. VILLA POETA JOSE GALVEZ B, LIMA-PACHACAMAC</t>
  </si>
  <si>
    <t>47972704</t>
  </si>
  <si>
    <t>FLORES SALDAÑA, JAIR</t>
  </si>
  <si>
    <t>FLORES SANTOS ROBERT</t>
  </si>
  <si>
    <t>AV UNIVERSITARIA NORTE 5332 URB SAN EULOGIO.</t>
  </si>
  <si>
    <t>40096499</t>
  </si>
  <si>
    <t>FLORES TATAJE DE BAUTISTA ALICIA EULOGIA</t>
  </si>
  <si>
    <t>AV. LIBERTAD N° 2358</t>
  </si>
  <si>
    <t>09692707</t>
  </si>
  <si>
    <t>FLORES VEGA MAURO FELIX</t>
  </si>
  <si>
    <t>CALLE NICOLAS DE PIEROLA N° 318 (FRENTE DEL MERCADO CENTENARIO)</t>
  </si>
  <si>
    <t>15734308</t>
  </si>
  <si>
    <t>FLORES VEGA NAYELY ROSA</t>
  </si>
  <si>
    <t>CALLE  URUGUAY 124 / CUADRA 6 DE LA AV. HUAYLAS</t>
  </si>
  <si>
    <t>75528099</t>
  </si>
  <si>
    <t>FLORIAN AYLLON WILDER VICENTE</t>
  </si>
  <si>
    <t>AV CIRCUNVALACION SUR GALERIA "SEÑOR DE MURUHUAY" STAND NUMERO 03 - HUARAL</t>
  </si>
  <si>
    <t>48410880</t>
  </si>
  <si>
    <t>FLORIAN AYLLON, WILDER VICENTE</t>
  </si>
  <si>
    <t>FRANCIA TORRES JUAN ARNOLD</t>
  </si>
  <si>
    <t>CALLE CORONEL CASTILLO MZ. 20 LOTE 33-B</t>
  </si>
  <si>
    <t>70268086</t>
  </si>
  <si>
    <t>FRANCIA VILLALOBOS HENRY VICTOR</t>
  </si>
  <si>
    <t>CALLE MARCOS FARFÁN 3310</t>
  </si>
  <si>
    <t>42428249</t>
  </si>
  <si>
    <t>FRANCISCO APONTE ROSLER EDGARDO</t>
  </si>
  <si>
    <t>CALLE RICARDO PALMA N° 130</t>
  </si>
  <si>
    <t>40807762</t>
  </si>
  <si>
    <t>FRANCO CASTILLO MARTIN EDUARDO</t>
  </si>
  <si>
    <t>JR. PARRA DEL RIEGO 1549 - URB LA FLORIDA- HUANCAYO</t>
  </si>
  <si>
    <t>45738779</t>
  </si>
  <si>
    <t>FUENTES HUERTA JORGE LUIS</t>
  </si>
  <si>
    <t>AV. JORGE CHAVEZ N° 444</t>
  </si>
  <si>
    <t>15970815</t>
  </si>
  <si>
    <t>JORGE LUIS FUENTES HUERTA</t>
  </si>
  <si>
    <t>FUENTES NACARINO ROSAS LOURDES</t>
  </si>
  <si>
    <t>JR. SANTA ANA  S/N</t>
  </si>
  <si>
    <t>07639521</t>
  </si>
  <si>
    <t>FUENTES TURRIATE ELVIS EDILBERTO</t>
  </si>
  <si>
    <t>AV. CAMINO REAL MZ. Q LT. 12 Y 13 PROG. VIV. SANTA ROSA, LIMA, LIMA, CARABAYLLO</t>
  </si>
  <si>
    <t>42202609</t>
  </si>
  <si>
    <t>FUERTES MARTINEZ ROBERTO JORGE</t>
  </si>
  <si>
    <t>SIMON BOLIVAR 120 - 190</t>
  </si>
  <si>
    <t>07496659</t>
  </si>
  <si>
    <t>FUERTES OPORTO MIGUEL ANGEL</t>
  </si>
  <si>
    <t>AV ALFONSO UGARTE N°252 LOCAL 1095 (GALERIA UNICENTRO)</t>
  </si>
  <si>
    <t>09614255</t>
  </si>
  <si>
    <t>FUERTES REYNAGA LUIS ANGEL</t>
  </si>
  <si>
    <t>CALLE 1 MZ A LT 32 PROLIMA, LIMA, LIMA, LOS OLIVOS</t>
  </si>
  <si>
    <t>74089275</t>
  </si>
  <si>
    <t>FUNG GOMERO DENNYS ALFREDO</t>
  </si>
  <si>
    <t>JR. CASTILLA 129 INT 4 5</t>
  </si>
  <si>
    <t>15857935</t>
  </si>
  <si>
    <t>FUTURE HUILLCA VILMA</t>
  </si>
  <si>
    <t>AV GRAU N°555 INT 10086</t>
  </si>
  <si>
    <t>52322 - VTA. MIN. PRODUCTOS TEXTILES, CALZADO</t>
  </si>
  <si>
    <t>29547657</t>
  </si>
  <si>
    <t>GABINO FALCON ESTEBAN ZENON</t>
  </si>
  <si>
    <t>CAL 20 DE AGOSTO MZ. I LT. 16 FORTALEZA, LIMA, ATE, ATE</t>
  </si>
  <si>
    <t>41970617</t>
  </si>
  <si>
    <t>GABRIEL FELIX EMILIANO</t>
  </si>
  <si>
    <t>AV. AVIACIÓN  574</t>
  </si>
  <si>
    <t>48459353</t>
  </si>
  <si>
    <t>GABRIEL OMAR PACHECO TITO</t>
  </si>
  <si>
    <t>AAHH EL PARAISO CALLE SAN LUCAS MZ Q LT 4</t>
  </si>
  <si>
    <t>75495516</t>
  </si>
  <si>
    <t>GABRIEL QUISPE MOISES</t>
  </si>
  <si>
    <t>MZ H LOTE 28 VILLAHERMOSA, LIMA, ATE - HUAYCAN</t>
  </si>
  <si>
    <t>10260273</t>
  </si>
  <si>
    <t>GABRIEL SOLER FRANCISCO LUCIO</t>
  </si>
  <si>
    <t>AV SANTA ROSA 676, LIMA, LIMA, ATE</t>
  </si>
  <si>
    <t>09681180</t>
  </si>
  <si>
    <t>GABRIEL SOLLIER FRANCISCO LUCIO</t>
  </si>
  <si>
    <t>GADEA FRANCO JAIR MANUEL</t>
  </si>
  <si>
    <t>JR. AREQUIPA N° 108 LIMA, BARRANCA, BARRANCA</t>
  </si>
  <si>
    <t>42005564</t>
  </si>
  <si>
    <t>GALAN BORIA MIRIAN JANETH</t>
  </si>
  <si>
    <t>AV. CANADA MZA. F1 LOTE. 15 URB, SA</t>
  </si>
  <si>
    <t>40330936</t>
  </si>
  <si>
    <t>GALAN BORIA, MIRIAN JANETH</t>
  </si>
  <si>
    <t>GALARZA GUTIERREZ EVER MANUEL</t>
  </si>
  <si>
    <t>CALLE LOS CRISTALES MZ E LOTE 16. ASOCIACION VIVIENDA ANCIETA</t>
  </si>
  <si>
    <t>44244679</t>
  </si>
  <si>
    <t>GALARZA HINOSTROZA MARTHA AURORA</t>
  </si>
  <si>
    <t>COOPERATIVA DE VIVIENDA EL OLIVAR MZ "B" LOTE "8" (REFERENCIA ANTUNEZ DE MAYOLO CRUCE CON AV. UNIVERSITARIA), LIMA, LIMA, SMP</t>
  </si>
  <si>
    <t>09635776</t>
  </si>
  <si>
    <t>GALARZA OSORIO CYNTHIA NATALIA</t>
  </si>
  <si>
    <t>MZ.D LT 17 LOTIZADORA ISMAEL COLAN</t>
  </si>
  <si>
    <t>41498602</t>
  </si>
  <si>
    <t>GALARZA OSORIO LUISIÑO</t>
  </si>
  <si>
    <t>CAL. SIN NOMBRE MZA. Q LOTE 08 URB.VALLE HERMOSO</t>
  </si>
  <si>
    <t>42697225</t>
  </si>
  <si>
    <t>GALDOS BALLESTEROS RONALD IVAN</t>
  </si>
  <si>
    <t>SECTOR 2 GRUPO 10 MZ.8 C.C. SESQUICENTENARIO TDA. 42 PORTON NRO. 6 REF. POR EL BCO CONTINENTAL</t>
  </si>
  <si>
    <t>44514222</t>
  </si>
  <si>
    <t>GALDOS BALLESTEROS, RONALD IVAN</t>
  </si>
  <si>
    <t>GALICIA VILLAR MARIA MARISA</t>
  </si>
  <si>
    <t>AV.SANTA CATALINA MZ.G LT.23 URB,SAN ROSA</t>
  </si>
  <si>
    <t>28599913</t>
  </si>
  <si>
    <t>GALINDO ESPINOZA ORFELINDA</t>
  </si>
  <si>
    <t>AV. MAR DORADO MZ J LT. 12</t>
  </si>
  <si>
    <t>15720808</t>
  </si>
  <si>
    <t>GALINDO MORALES ABEL ANGEL</t>
  </si>
  <si>
    <t>URBANIZACIÓN SAN JUAN 2 CALLE TUPAC AMARU MZ B LT 27 , HUARAL - LIMA</t>
  </si>
  <si>
    <t>75443395</t>
  </si>
  <si>
    <t>GALINDO MORALES, ABEL ANGEL</t>
  </si>
  <si>
    <t>GALLARDO COLMENAREZ JESUS MARIA</t>
  </si>
  <si>
    <t>VICTORIA BAJA, CALLE LAS MARGARITAS #209. HUARAL, HUARAL, HUARAL</t>
  </si>
  <si>
    <t>60569241</t>
  </si>
  <si>
    <t>GALLEGOS JURADO DELFINA</t>
  </si>
  <si>
    <t>MZ G LT 2 A.H. PROA CHALACA</t>
  </si>
  <si>
    <t>25711960</t>
  </si>
  <si>
    <t>GALVAN YEPEZ RAFAEL JASON</t>
  </si>
  <si>
    <t>AV SAN JUAN 1525 PUESTO 3 GALERIA SEÑOR DE LOS MILAGROS</t>
  </si>
  <si>
    <t>42078971</t>
  </si>
  <si>
    <t>GALVAN YEPEZ, RAFAEL JASON</t>
  </si>
  <si>
    <t>GALVEZ AUQUI TEOFILO</t>
  </si>
  <si>
    <t>JR. MARISCAL CACERES 528</t>
  </si>
  <si>
    <t>10405059</t>
  </si>
  <si>
    <t>GALVEZ AUQUI, TEOFILO</t>
  </si>
  <si>
    <t>GALVEZ CAMPOS NIGER YUAN</t>
  </si>
  <si>
    <t>AV.JOSE CARLOS MAREATEGUI MZ.26. LIMA, LIMA, ATE</t>
  </si>
  <si>
    <t>43477723</t>
  </si>
  <si>
    <t>GALVEZ LINARES JOSE ALFREDO</t>
  </si>
  <si>
    <t>MZ. LT. 6 URB. HUERTOS DE LURIN , LIMA, LIMA, LURIN</t>
  </si>
  <si>
    <t>47096395</t>
  </si>
  <si>
    <t>GALVEZ MEJIA ANA SHERY</t>
  </si>
  <si>
    <t>AV. PEDRO RUIZ GALLO 1917 - CARRETERA CENTRAL KM 9.5 - ATE VITARTE</t>
  </si>
  <si>
    <t>76938580</t>
  </si>
  <si>
    <t>GALVEZ VALDIVIEZO CARLOS ALFONSO</t>
  </si>
  <si>
    <t>AV. LAS PALMERAS 5301, LOS OLIVOS 15304</t>
  </si>
  <si>
    <t>10194269</t>
  </si>
  <si>
    <t>GALVEZ VASQUEZ PASTORA</t>
  </si>
  <si>
    <t>MZ D LT 11 EL ROSEDAL</t>
  </si>
  <si>
    <t>07883920</t>
  </si>
  <si>
    <t>GAMARRA ALBORNOZ ZORAIDA EDITH</t>
  </si>
  <si>
    <t>JR. EVARISTO SAN CRISTOBAL NRO. 1565 INT. 202 URB. EL PORVENIR</t>
  </si>
  <si>
    <t>45753197</t>
  </si>
  <si>
    <t>GAMARRA ARNAO ELMER AMADO</t>
  </si>
  <si>
    <t>SAN JUAN DE MIRAFLORES MZ B LT 18 SECTOR HIJOS DEL NUEVO HORIZONTE  PROYECTO INTEGRAL NUEVO MILENIO, PAMPLONA ALTA-LIMA</t>
  </si>
  <si>
    <t>40077663</t>
  </si>
  <si>
    <t>GAMARRA ARNAO JAIME BRAULIO</t>
  </si>
  <si>
    <t>PARADERO 14 POR LA A PANPLONA ALTA - SAN JUAN DE MIRAFLORES</t>
  </si>
  <si>
    <t>46230078</t>
  </si>
  <si>
    <t>GAMARRA CERNA SANTOS NICANOR</t>
  </si>
  <si>
    <t>KM 145 ANTIGUA PANAMERICANA SUR</t>
  </si>
  <si>
    <t>19198241</t>
  </si>
  <si>
    <t>GAMBOA DE LA CRUZ JORGE GERARDO</t>
  </si>
  <si>
    <t>AV. TUPAC AMARU, MI BANCO AGENCIA CARABAYLLO A 2 CUADRAS DIRECCIÓN A LA AV. UNIVERSITARIA.</t>
  </si>
  <si>
    <t>41061280</t>
  </si>
  <si>
    <t>GAMBOA ÑAUPAS AUDEMIO VICTOR</t>
  </si>
  <si>
    <t>CALLE MIGUEL GRAU LA QUILLA, MZ. A LOTE 20 URB. CALLAO</t>
  </si>
  <si>
    <t>07133361</t>
  </si>
  <si>
    <t>GAONA TAFUR WALTER ALFONSO</t>
  </si>
  <si>
    <t>ASOCIACIÓN SANTA MARIA MZ E LOTE 14 //ESTACIÓN DE BUSES LOS CHINOS 15841</t>
  </si>
  <si>
    <t>26685882</t>
  </si>
  <si>
    <t>GARAVITO HERRERA GUSTAVO ERICK</t>
  </si>
  <si>
    <t>CALLE PROGRESO LOTE 14 CERRO AZUL</t>
  </si>
  <si>
    <t>CERRO AZUL</t>
  </si>
  <si>
    <t>4100 -CONSTRUCCIÓN DE EDIFICIOS</t>
  </si>
  <si>
    <t>08200363</t>
  </si>
  <si>
    <t>GARAY FLORES YHAN PAUL</t>
  </si>
  <si>
    <t>R. MARINO NECOCHEA 621 URB. SANTA LUZMILA</t>
  </si>
  <si>
    <t>40756996</t>
  </si>
  <si>
    <t>GARAY FLORES, YHAN PAUL</t>
  </si>
  <si>
    <t>GARAY MUÑOZ ANGEL ADALBERTO</t>
  </si>
  <si>
    <t>AV. LA PLAYA PARCELA 1 LOTE 1 Y 2</t>
  </si>
  <si>
    <t>40461876</t>
  </si>
  <si>
    <t>GARAY SANCHEZ TEOFILO</t>
  </si>
  <si>
    <t>JR. JOSE OLAYA NRO. 118, LIMA, BARRANCA, BARRANCA</t>
  </si>
  <si>
    <t>15701174</t>
  </si>
  <si>
    <t>GARAYAR HUAYHUA HENRRY DIONICIO</t>
  </si>
  <si>
    <t>COOP. LAS VERTIENTES MZ L1 LT 2A-LIMA-LIMA-VILLA EL SALVADOR</t>
  </si>
  <si>
    <t>10707218</t>
  </si>
  <si>
    <t>GARAYAR HUAYHUA, HENRRY DIONICIO</t>
  </si>
  <si>
    <t>GARCES ARAGON EDUARDO FREDDY</t>
  </si>
  <si>
    <t>AV. LIBERTAD NRO. 1625 (PASANDO LA POLLERIA YANTA)</t>
  </si>
  <si>
    <t>41239540</t>
  </si>
  <si>
    <t>GARCIA ATOCHE SARA AYDE</t>
  </si>
  <si>
    <t>ASOC. SANTA ROSA DE LIMA MZ  B LT 10</t>
  </si>
  <si>
    <t>45035353</t>
  </si>
  <si>
    <t>GARCIA BELLO NICANOR DIOGENES</t>
  </si>
  <si>
    <t>AV. ANCASH CENTRO POBLADO VILLA DEL MAR HUAURA, LIMA, LIMA, OYON</t>
  </si>
  <si>
    <t>15745580</t>
  </si>
  <si>
    <t>GARCIA CABANILLAS FRANK JONATHAN</t>
  </si>
  <si>
    <t>AV. CARLOS CALDERON MZ L, VENTANILLA 07046</t>
  </si>
  <si>
    <t>46132979</t>
  </si>
  <si>
    <t>GARCIA CABANILLAS, FRANK JONATHAN</t>
  </si>
  <si>
    <t>GARCIA CALVO GUIDO</t>
  </si>
  <si>
    <t>"AV. LAS BRISAS DEL NARANJA II ETAPA MZ C , LOTE 19  CERRO CANDELA"</t>
  </si>
  <si>
    <t>8011726</t>
  </si>
  <si>
    <t>GARCIA CASTAÑEDA PATRICIA GLORIA</t>
  </si>
  <si>
    <t>AV GUILLERMO BILINGHURST 1089 OF 100 URB SAN JUAN DE MIRAFLORES ZONA D</t>
  </si>
  <si>
    <t>09708428</t>
  </si>
  <si>
    <t>GARCIA CASTILLO MARIA ISABEL</t>
  </si>
  <si>
    <t>MZ. C LT. 14 A.H MICAELA BASTIDAS- PUENTE PIEDRA  OVALO DE ZAPALLAL, LIMA, LIMA, PUENTE PIEDRA</t>
  </si>
  <si>
    <t>27049557</t>
  </si>
  <si>
    <t>GARCIA CASTRILLON KEIDY IRENE</t>
  </si>
  <si>
    <t>MZ B URB. VENECIA INT. LT 4 ALT. KM. 16.5 DE LA T. AMARU</t>
  </si>
  <si>
    <t>40890655</t>
  </si>
  <si>
    <t>GARCIA CHUMBE FORTUNATO</t>
  </si>
  <si>
    <t>JIRON PEDRO CHAMOCHUMBE 273, LIMA, LIMA, EL AGUSTINO</t>
  </si>
  <si>
    <t>5811 - EDICIÓN DE LIBROS</t>
  </si>
  <si>
    <t>09508415</t>
  </si>
  <si>
    <t>GARCIA CHUMBE, FORTUNATO</t>
  </si>
  <si>
    <t>GARCIA DAVID EDGAR ENRIQUE</t>
  </si>
  <si>
    <t>AV. TUPAC AMARU N° 4976 P.J AÑO NUEVO</t>
  </si>
  <si>
    <t>09343570</t>
  </si>
  <si>
    <t>GARCIA ESPINOZA MARY ISABEL</t>
  </si>
  <si>
    <t>CAL. ALFONSO GEIS SALVANO 121, LIMA, LIMA, CHORRILLOS</t>
  </si>
  <si>
    <t>09824699</t>
  </si>
  <si>
    <t>GARCIA ESPINOZA, MARY ISABEL</t>
  </si>
  <si>
    <t>GARCIA GRANADOS RICHARD ALAN</t>
  </si>
  <si>
    <t>AV. BOLIVIA N° 148- INT 2006</t>
  </si>
  <si>
    <t>43909171</t>
  </si>
  <si>
    <t>GARCIA GRANADOS, RICHARD ALAN</t>
  </si>
  <si>
    <t>GARCÍA GUERRERO JAVIER</t>
  </si>
  <si>
    <t>AV. SEPARADORA INDUSTRIAL MZA. N LOTE. 42 AGRUP. PACHACAMAC;  SECT (MEDIA CUADRA DE OVALO CHAMA), LIMA, LIMA, VILLA EL SALVADOR</t>
  </si>
  <si>
    <t>10447484</t>
  </si>
  <si>
    <t>GARCIA HINCHO JOSELITO JHONATAN</t>
  </si>
  <si>
    <t>AV. PERU NRO. 4529 A.H. - BOCANEGRA ZONA 4</t>
  </si>
  <si>
    <t>43723984</t>
  </si>
  <si>
    <t>GARCIA HUANCA PAOLA LORENA</t>
  </si>
  <si>
    <t>AV.TUNAS STREET SALAMANCA ATE</t>
  </si>
  <si>
    <t>41873573</t>
  </si>
  <si>
    <t>GARCIA ISUIZA MILKA</t>
  </si>
  <si>
    <t>CALLE S/N MZ P-1 LT 6 PJ VISTA A CHORRLL</t>
  </si>
  <si>
    <t>41003249</t>
  </si>
  <si>
    <t>GARCIA ISUIZA, MILKA</t>
  </si>
  <si>
    <t>GARCIA LEAÑO ROSA</t>
  </si>
  <si>
    <t>CALLE ALFONSO UGARTE NRO. 292, LIMA, HUAURA, HUACHO</t>
  </si>
  <si>
    <t>5610 - ACTIVIDADES DE RESTAURANTES Y DE SERVICIO MÓVIL DE COMIDASCA</t>
  </si>
  <si>
    <t>41666078</t>
  </si>
  <si>
    <t>GARCIA LINO CONSTANTINO DAMIAN</t>
  </si>
  <si>
    <t>JR. JAZPAMPA NRO 210 URB. TARAPACA</t>
  </si>
  <si>
    <t>4722 - VENTA AL POR MENOR DE BEBIDAS EN COMERCIOS ESPECIALIZADOS</t>
  </si>
  <si>
    <t>25402818</t>
  </si>
  <si>
    <t>GARCIA NEGRON MANUEL ANTONIO</t>
  </si>
  <si>
    <t>CENTRO POBLADO LOS PINOS IV ETAPA MZ C LOTE 13, 15137 (REF. PANADERIA JIMENEZ)</t>
  </si>
  <si>
    <t>47160061</t>
  </si>
  <si>
    <t>GARCIA OSORIO REMBERTO ANDRES</t>
  </si>
  <si>
    <t>CALLE PEDRO SAYAN NRO. 16 (REF. AL FRENTE DE LA CLINICA SOLARIDAD)</t>
  </si>
  <si>
    <t>15629127</t>
  </si>
  <si>
    <t>REMBERTO ANDRES GARCIA OSORIO</t>
  </si>
  <si>
    <t>GARCIA PEREZ HERNAN BERNARDO</t>
  </si>
  <si>
    <t>UCV 4 LOTE 27 ZONA A HUAYCAN</t>
  </si>
  <si>
    <t>43741452</t>
  </si>
  <si>
    <t>GARCIA PEREZ JAVIER</t>
  </si>
  <si>
    <t>MZ B LTE 06 SECTOR CERCADO ANEXO 22 (PARADERO PORTON DE JICAMARCA).</t>
  </si>
  <si>
    <t>10464492</t>
  </si>
  <si>
    <t>GARCIA QUILICHE MAXIMO ENRIQUE</t>
  </si>
  <si>
    <t>MZA. A LOTE. 7 - B ASOC. PROP. ALGARROBOS KM 32 700 PANAMERICANA NORTE PARADERO ARICA</t>
  </si>
  <si>
    <t>10778991</t>
  </si>
  <si>
    <t>GARCIA QUISPE NOLBERTA</t>
  </si>
  <si>
    <t>AV.NICOLAS AYLLON 3080 CENTRO COMERCIAL JESSIE STAND D1</t>
  </si>
  <si>
    <t>09410052</t>
  </si>
  <si>
    <t>GARCIA QUISPE, NOLBERTA</t>
  </si>
  <si>
    <t>GARCIA RAMIREZ RONAL NICKAMEN</t>
  </si>
  <si>
    <t>AV. SALOMON VILCHES MURGA - CUTERVO</t>
  </si>
  <si>
    <t>CUTERVO</t>
  </si>
  <si>
    <t>SOCOTA</t>
  </si>
  <si>
    <t>73214142</t>
  </si>
  <si>
    <t>GARCIA RAMOS WALTER</t>
  </si>
  <si>
    <t>MZ T LOTE 11 SECTOR LAS PALMERAS</t>
  </si>
  <si>
    <t>10095966</t>
  </si>
  <si>
    <t>GARCIA RIOS JACQUELINE</t>
  </si>
  <si>
    <t>AV. REVOLUCION S/N VILLA EL SALVADOR 15834, LIMA, LIMA, VILLA EL SALVADOR (FRENTE A LA MUNICIPALIDAD DE VILLA EL SALVADOR</t>
  </si>
  <si>
    <t>19322997</t>
  </si>
  <si>
    <t>GARCIA RIOS, JACQUELINE</t>
  </si>
  <si>
    <t>GARCIA ROQUE EDWIN MANUEL</t>
  </si>
  <si>
    <t>AV SAN MARTIN MZ B LT 24 LIMA, LIMA, CIENEGUILLA</t>
  </si>
  <si>
    <t>47950762</t>
  </si>
  <si>
    <t>GARCIA SALAZAR JOSE FIDEL</t>
  </si>
  <si>
    <t>CC.KM. 15.5 MZ. A LT. 27 PRADEROS</t>
  </si>
  <si>
    <t>3290 - OTRAS INDUTRIAS MANUFACTURERAS NCP</t>
  </si>
  <si>
    <t>43677835</t>
  </si>
  <si>
    <t>JOSE FIDEL GARCIA SALAZAR</t>
  </si>
  <si>
    <t>GARCIA SALINAS TEOFILO ENRIQUE</t>
  </si>
  <si>
    <t>MZ. 41 LT. 5 ARMANDO VILLANUEVA DEL CAMPO</t>
  </si>
  <si>
    <t>42229239</t>
  </si>
  <si>
    <t>GARCIA SALINAS, TEOFILO ENRIQUE</t>
  </si>
  <si>
    <t>GARCIA TORRES MARLENE</t>
  </si>
  <si>
    <t>AV. CARLOS IZAGUIRRE N° 216 INT.  1S1, LIMA, LIMA, INDEPENDENCIA</t>
  </si>
  <si>
    <t>09428122</t>
  </si>
  <si>
    <t>GARCIA TORRES, MARLENE</t>
  </si>
  <si>
    <t>GARCIA VALDERRAMA FERMIN RONALD</t>
  </si>
  <si>
    <t>JR ARGENTINA - CALLE CON PORTON OSCURO</t>
  </si>
  <si>
    <t>4123922</t>
  </si>
  <si>
    <t>GARCIA VENTURA FABIAN LEE</t>
  </si>
  <si>
    <t>PSAJE. YUNGAY NRO. 158 , 3ERA ETAPA DE COLLIQUE</t>
  </si>
  <si>
    <t>72733772</t>
  </si>
  <si>
    <t>GARCIA VIDALON PABLO CESAR</t>
  </si>
  <si>
    <t>AV.INCA GARCILAZO DE LA VEGA NRO.1282 INT.102, LIMA, LIMA, LIMA</t>
  </si>
  <si>
    <t>77540822</t>
  </si>
  <si>
    <t>GARFIAS HUARCAYA SANTOS</t>
  </si>
  <si>
    <t>CARRETERA CENTRAL KM 12 SAN JUAN DE PARIACHI MZ B LOTE 9</t>
  </si>
  <si>
    <t>80374640</t>
  </si>
  <si>
    <t>GARRETON CARDENAS JORGE LUIS</t>
  </si>
  <si>
    <t>ANCON OVALO CHACAS CASA HUERTAS MZ A LT 6</t>
  </si>
  <si>
    <t>25681726</t>
  </si>
  <si>
    <t>GARRO LAURENTE LUCIA EVA</t>
  </si>
  <si>
    <t>CHACRA RIOS MZ D LT 7</t>
  </si>
  <si>
    <t>15762577</t>
  </si>
  <si>
    <t>GASPAR HUERTA WALTER RIVELINO</t>
  </si>
  <si>
    <t>JR.RAMON CASTILLA 1077 ANTIGUO LIMONCILLO Nº1018</t>
  </si>
  <si>
    <t>44846828</t>
  </si>
  <si>
    <t>WALTER RIVELINO GASPAR HUERTA</t>
  </si>
  <si>
    <t>GASPAR VELASQUEZ LUIS ALBERTO</t>
  </si>
  <si>
    <t>AV. ISABEL LA CATOLICA 1663 Nº 109</t>
  </si>
  <si>
    <t>42988694</t>
  </si>
  <si>
    <t>GASPAR VELASQUEZ, LUIS ALBERTO</t>
  </si>
  <si>
    <t>GAVILAN LAULATE MEYSER MIGUEL</t>
  </si>
  <si>
    <t>ASC. MONTE AZUL MZ G, LOTE 2</t>
  </si>
  <si>
    <t>76396553</t>
  </si>
  <si>
    <t>GAVILAN LAULATE, MEYSER MIGUEL</t>
  </si>
  <si>
    <t>GAVILÁN VALLEJOS RENZO MARCIAL</t>
  </si>
  <si>
    <t>AV. LIMA NRO. 103</t>
  </si>
  <si>
    <t>46139966</t>
  </si>
  <si>
    <t>GERONIMO QUILLAY MATILDO EDDIE</t>
  </si>
  <si>
    <t>MZA. E LOTE 4 LOT. SANTA HILDA (MULTISERVICIOS FABRIGER)</t>
  </si>
  <si>
    <t>42323186</t>
  </si>
  <si>
    <t>GIL KODAKA DANIEL ORLANDO</t>
  </si>
  <si>
    <t>AV. FELIPE PARDO Y ALIAGA 640 - PISO 13 OFICINA 130</t>
  </si>
  <si>
    <t>08182418</t>
  </si>
  <si>
    <t>GIL KODAKA, DANIEL ORLANDO</t>
  </si>
  <si>
    <t>GIL LABORIANO JACQUELINE</t>
  </si>
  <si>
    <t>AV. PACAYAL MZ D LOTE 39 CARABAYLLO</t>
  </si>
  <si>
    <t>41554936</t>
  </si>
  <si>
    <t>GIRALDO SIFUENTES DANIEL AGUSTO</t>
  </si>
  <si>
    <t>AV. TARAPACÁ MZ. F LOTE 28</t>
  </si>
  <si>
    <t>41487474</t>
  </si>
  <si>
    <t>GIRALDO SIFUENTES, DANIEL AGUSTO</t>
  </si>
  <si>
    <t>GIRON GOMEZ DE CORONEL BERTHA LUZ</t>
  </si>
  <si>
    <t>MZ. P LOTE 10 ASOC. VIVI. LA FORTALEZA ATE</t>
  </si>
  <si>
    <t>21119051</t>
  </si>
  <si>
    <t>GODIÑO QUINTANA CLARA VANESSA</t>
  </si>
  <si>
    <t>CALLE BERMUDEZ NRO 425 TERCER PISO</t>
  </si>
  <si>
    <t>44298354</t>
  </si>
  <si>
    <t>GOICOCHEA CHUGNAS PEDRO LUIS</t>
  </si>
  <si>
    <t>MZ.A LT14-ASOC.VIV. BUENA VISTA 2DA ETAPA(CRUCE AV MARAÑON Y CANTA CALLAO)</t>
  </si>
  <si>
    <t>40247236</t>
  </si>
  <si>
    <t>GOICOCHEA TORRES WILLIAM SEGUNDO</t>
  </si>
  <si>
    <t>AV. JORGE BASADRE ESTE 658 . M LT. 3 URB. SAN CARLOS</t>
  </si>
  <si>
    <t>43726048</t>
  </si>
  <si>
    <t>GOMERO IBAÑEZ ENRIQUE MANUEL</t>
  </si>
  <si>
    <t>AV. LAS AMERICAS N°1336</t>
  </si>
  <si>
    <t>43433596</t>
  </si>
  <si>
    <t>GOMERO LOPEZ LILIBETH EMILY</t>
  </si>
  <si>
    <t>JR. LIMA 590</t>
  </si>
  <si>
    <t>41530756</t>
  </si>
  <si>
    <t>GOMEZ ALEGRIA SONIA</t>
  </si>
  <si>
    <t>JR. HUANCAYO N° 1260</t>
  </si>
  <si>
    <t>23018634</t>
  </si>
  <si>
    <t>GOMEZ ALEGRIA, SONIA</t>
  </si>
  <si>
    <t>GOMEZ ALIAGA VICTOR MANUEL</t>
  </si>
  <si>
    <t>CALLE ENRIQUE NERINI 988 -998 (A ESPALDAS DE LA COMISARIA)</t>
  </si>
  <si>
    <t>09626383</t>
  </si>
  <si>
    <t>GOMEZ AMPUSH LINA ROSELY</t>
  </si>
  <si>
    <t>AV. CONDORCANQUI MZ. R - LT. 33, DE LA URB. SANTO DOMINGO PRIMERA ETAPA</t>
  </si>
  <si>
    <t>60157382</t>
  </si>
  <si>
    <t>GOMEZ BENDEZU ANGIE ELENA</t>
  </si>
  <si>
    <t>CALLE CARRION Nº202</t>
  </si>
  <si>
    <t>48473885</t>
  </si>
  <si>
    <t>Angie Elena Gomez Bendezu.</t>
  </si>
  <si>
    <t>GOMEZ CALDERON RUDBY WILDER</t>
  </si>
  <si>
    <t>CAL. QUIQUIJANA NRO. 201 - U.POP.TAHUANTINSUYO</t>
  </si>
  <si>
    <t>09049905</t>
  </si>
  <si>
    <t>GOMEZ ESTACIO ORIOL</t>
  </si>
  <si>
    <t>CAL. LOS GERANIOS ZAPALLAL ALT - MZA. A4B LOTE. 06A CRUCE VENTANILLA CON PANAMERICANA NORTE</t>
  </si>
  <si>
    <t>41434754</t>
  </si>
  <si>
    <t>GOMEZ HUARCAYA MICHAEL KEVIN</t>
  </si>
  <si>
    <t>AA. HH. PARAISO DE CAJAMARQUILLA MZ. Z LT. 25 SANTA CRUZ</t>
  </si>
  <si>
    <t>48222437</t>
  </si>
  <si>
    <t>GOMEZ INGAROCA SALVADOR</t>
  </si>
  <si>
    <t>COOP. UMAMARCA CALLE LOS CEDROS MZ Y LOTE 3</t>
  </si>
  <si>
    <t>20738439</t>
  </si>
  <si>
    <t>GOMEZ LOPEZ EDMER</t>
  </si>
  <si>
    <t>MZ. C LT. 18 APV. CC. LA UNION ( CARRETERA A CIENEGUILLA)</t>
  </si>
  <si>
    <t>41704549</t>
  </si>
  <si>
    <t>GOMEZ LORENZO MARIA CLAUDIA PIERINA</t>
  </si>
  <si>
    <t>PROLOG. GAMARRA N° 654 PSO 9 TDA 947</t>
  </si>
  <si>
    <t>48505782</t>
  </si>
  <si>
    <t>GOMEZ LORENZO, MARIA CLAUDIA PIERINA</t>
  </si>
  <si>
    <t>GOMEZ MARQUEZ LUIS NARCISO</t>
  </si>
  <si>
    <t>AV. GARCILAZO DE LA VEGA N° 1358 PLAZA TEC STAND 210, LIMA, LIMA, LIMA</t>
  </si>
  <si>
    <t>75280385</t>
  </si>
  <si>
    <t>GOMEZ MARQUEZ, LUIS NARCISO</t>
  </si>
  <si>
    <t>GOMEZ PEÑA DOLLY YANINA</t>
  </si>
  <si>
    <t>JR GALVEZ NRO 136 INTERIOR 5</t>
  </si>
  <si>
    <t>15856558</t>
  </si>
  <si>
    <t>GOMEZ REYES PAOLA MARTINA</t>
  </si>
  <si>
    <t>CALLE: MARISCAL LUZURIAGA MZ:C LT:1</t>
  </si>
  <si>
    <t>76650426</t>
  </si>
  <si>
    <t>GOMEZ SALVADOR JACKELYN CAROLINA</t>
  </si>
  <si>
    <t>CALLE VENJAMÍN VIZQUERRA 338 - CHANCAY</t>
  </si>
  <si>
    <t>47064395</t>
  </si>
  <si>
    <t>GOMEZ SALVADOR, JACKELYN CAROLINA</t>
  </si>
  <si>
    <t>GOMEZ SIFUENTES LUIS FERNANDO</t>
  </si>
  <si>
    <t>AV. LURIGANCHO 800 CENTRO COMERCIAL MALVINAS</t>
  </si>
  <si>
    <t>74171266</t>
  </si>
  <si>
    <t>Luis Fernando Gomez Sifuentes</t>
  </si>
  <si>
    <t>GOMEZ TICLA TAMERLAN QUIFAUSTE</t>
  </si>
  <si>
    <t>AV. 26 DE NOVIEMBRE 1392 NUEVA ESPERANZA. VMT</t>
  </si>
  <si>
    <t>10141476</t>
  </si>
  <si>
    <t>GOMEZ TORRES HEITON JHOSEP</t>
  </si>
  <si>
    <t>JR VENUS MZ P1 LOTE 53 URB SAN CARLOS</t>
  </si>
  <si>
    <t>42401454</t>
  </si>
  <si>
    <t>GOMEZ VILLANUEVA JORGE LUIS</t>
  </si>
  <si>
    <t>AV. TUPAC AMARU N° 7681 AA.HH AÑO NUEVO</t>
  </si>
  <si>
    <t>80064807</t>
  </si>
  <si>
    <t>GOMEZ VILLANUEVA LILIANA JANETH</t>
  </si>
  <si>
    <t>AV. UNIVERSITARIA NORTE 6737 MZ. S-1 LT. 1 URB. SANTA LUZMILA, LIMA, LIMA, COMAS</t>
  </si>
  <si>
    <t>47174636</t>
  </si>
  <si>
    <t>GOMEZ VILLANUEVA, LILIANA JANETH</t>
  </si>
  <si>
    <t>GOMEZ YARLEQUE MERIYEN MILAGROS</t>
  </si>
  <si>
    <t>AV.SANTA ROSA 978</t>
  </si>
  <si>
    <t>46170174</t>
  </si>
  <si>
    <t>GONZALES ALVITES HIPOLITO</t>
  </si>
  <si>
    <t>CALLE CASTILLA-MZ 43-LT 01 LA VARIANTE VILLAS DE ANCÓN</t>
  </si>
  <si>
    <t>44567542</t>
  </si>
  <si>
    <t>GONZALES ALZAMORA ALDO SIHUAR MARTINOV</t>
  </si>
  <si>
    <t>CALLE LOS LAURELES MZ L LOTE 4 MALA</t>
  </si>
  <si>
    <t>4042468</t>
  </si>
  <si>
    <t>GONZALES AROSTEGUI BRENDA KATHERINE</t>
  </si>
  <si>
    <t>MZ. M LT. 19 URB. EL ALAMO</t>
  </si>
  <si>
    <t>74865900</t>
  </si>
  <si>
    <t>GONZALES BERMUDEZ MAGNOLIA</t>
  </si>
  <si>
    <t>JR. ICA NRO. 721 (CRUCE CON JIRON CAÑETE), LIMA, LIMA, LIMA</t>
  </si>
  <si>
    <t>06185696</t>
  </si>
  <si>
    <t>GONZALES BLAS LUIS ENRIQUE</t>
  </si>
  <si>
    <t>AV. BOLIVAR N° 980 CARRETERA CENTRAL KM 38.5</t>
  </si>
  <si>
    <t>40062671</t>
  </si>
  <si>
    <t>GONZALES CASTILLO CHRISTIAN GONZALO</t>
  </si>
  <si>
    <t>JR. PUNO NRO. 552 GALERIA PUNO SEMISOTANO 102, LIMA, LIMA, LIMA</t>
  </si>
  <si>
    <t>73254347</t>
  </si>
  <si>
    <t>GONZALES CASTILLO, CHRISTIAN GONZALO</t>
  </si>
  <si>
    <t>GONZALES CHUMBES CESAR ORLANDO</t>
  </si>
  <si>
    <t>CALLE BOLOGNESI 385 - VEGUETA</t>
  </si>
  <si>
    <t>15720600</t>
  </si>
  <si>
    <t>GONZALES CORNEJO ELIZABETH JANET</t>
  </si>
  <si>
    <t>AV. GERMAN AGUIRRE N° 1430 COOP. AMA KELLA 1</t>
  </si>
  <si>
    <t>09610659</t>
  </si>
  <si>
    <t>GONZALES DIAZ IVAN MARIO</t>
  </si>
  <si>
    <t>JR. MRCAL. JOSÉ LA MAR NRO. 466</t>
  </si>
  <si>
    <t>25569810</t>
  </si>
  <si>
    <t>GONZALES ESPEJO KELLY FLOR</t>
  </si>
  <si>
    <t>PASAJE NORUEGA (CALLE 16) MZ. P LT. 26 URB. SAN ELIAS</t>
  </si>
  <si>
    <t>43664835</t>
  </si>
  <si>
    <t>GONZALES GARRO VIANEV CLAVER</t>
  </si>
  <si>
    <t>LAS CASUARINAS 646 LOS FICUS  SANTA ANITA- LIMA-LIMA</t>
  </si>
  <si>
    <t>40951322</t>
  </si>
  <si>
    <t>GONZALES GARRO, VIANEV CLAVER</t>
  </si>
  <si>
    <t>GONZALES LEON JOSE GILBERTO</t>
  </si>
  <si>
    <t>AV. UNIVERSITARIA 6401 URB, SANTA LUZMILA</t>
  </si>
  <si>
    <t>15745409</t>
  </si>
  <si>
    <t>GONZALES MANUYAMA NORIBETH</t>
  </si>
  <si>
    <t>AV. GERARDO UNGER 261, LIMA, LIMA, SAN MARTIN DE PORRES</t>
  </si>
  <si>
    <t>46150627</t>
  </si>
  <si>
    <t>GONZALES MARIN JOYCE JADHIRA</t>
  </si>
  <si>
    <t>CALLE. CATALINO MIRANDA NR 288</t>
  </si>
  <si>
    <t>75016768</t>
  </si>
  <si>
    <t>GONZALES RODRIGUEZ ROSS EVERSON</t>
  </si>
  <si>
    <t>JR. LETICIA 947 CERCADO DE LIMA</t>
  </si>
  <si>
    <t>41869897</t>
  </si>
  <si>
    <t>GONZALES RUEDA LUZ KEOMARA</t>
  </si>
  <si>
    <t>AV. PRIMERO DE MAYO 1051</t>
  </si>
  <si>
    <t>07040195</t>
  </si>
  <si>
    <t>GONZALES SALAZAR FELIX</t>
  </si>
  <si>
    <t>AV CANTA CALLAO URB MI TERRUÑO MZ A LT 24</t>
  </si>
  <si>
    <t>25810335</t>
  </si>
  <si>
    <t>GONZALES SANCHEZ SILVIA MERCEDES</t>
  </si>
  <si>
    <t>AV. LOPEZ DE ZUÑIGA 575</t>
  </si>
  <si>
    <t>45658973</t>
  </si>
  <si>
    <t>GONZALES SANCHEZ, SILVIA MERCEDES</t>
  </si>
  <si>
    <t>GONZALES SERRANO EDUARDO FROILAN</t>
  </si>
  <si>
    <t>AV LA MARINA 884 PUEBLO LIBRE</t>
  </si>
  <si>
    <t>06793136</t>
  </si>
  <si>
    <t>GONZALES SERRANO, EDUARDO FROILAN</t>
  </si>
  <si>
    <t>GONZALES SOTIL PEDRO JUAN</t>
  </si>
  <si>
    <t>AV. ESTRELLA ANDINA MZ. C LOTE 7 OFICINA 300</t>
  </si>
  <si>
    <t>07624827</t>
  </si>
  <si>
    <t>GONZALEZ FARROMEQUE MARIO RAFAEL</t>
  </si>
  <si>
    <t>AV COLONIAL, JR. ZORRITOS 1547 FRENTE A TOTTUS</t>
  </si>
  <si>
    <t>09863232</t>
  </si>
  <si>
    <t>GONZALEZ JARA GIULIANA PATRICIA</t>
  </si>
  <si>
    <t>AV. BOLÍVAR 143 CC. LIMA STAND 3237-3236-3094</t>
  </si>
  <si>
    <t>41144485</t>
  </si>
  <si>
    <t>GONZALEZ ORDOÑEZ ALDAIR RAI</t>
  </si>
  <si>
    <t>JR. LIMA N° 533</t>
  </si>
  <si>
    <t>TARMA</t>
  </si>
  <si>
    <t>70227025</t>
  </si>
  <si>
    <t>GONZALEZ RAMOS DAYANA RUBY</t>
  </si>
  <si>
    <t>CALLE SAN MARTÍN N°418 - SUPE PUEBLO</t>
  </si>
  <si>
    <t>70402455</t>
  </si>
  <si>
    <t>GONZALEZ TOLEDO JOSE ALBERTO</t>
  </si>
  <si>
    <t>AV. LOS GALLINAZOS NRO. 952 COOP. AGRARIA GALLINAZO</t>
  </si>
  <si>
    <t>10066514</t>
  </si>
  <si>
    <t>JOSE ALBERTO GONZALEZ TOLEDO</t>
  </si>
  <si>
    <t>GRADOS DE LA CRUZ GIOVANNA VERONICA</t>
  </si>
  <si>
    <t>MZ C LT 24 ASOCIACION DE VIVIENDA LIMTAMBO</t>
  </si>
  <si>
    <t>40864665</t>
  </si>
  <si>
    <t>GRADOS DIAZ ALEX DANIEL</t>
  </si>
  <si>
    <t>CAR. ANTIGUA PANAMERICANA NORTE S/NRO, LIMA, HUAURA, SANTA MARIA</t>
  </si>
  <si>
    <t>15743811</t>
  </si>
  <si>
    <t>GRADOS MORENO SHEYLA VANESSA</t>
  </si>
  <si>
    <t>AV. SIMON BOLIVAR #321</t>
  </si>
  <si>
    <t>47565149</t>
  </si>
  <si>
    <t>GRADOS TOLEDO DAVID CONRADO</t>
  </si>
  <si>
    <t>AV. SALAVERRY NRO. 853, LIMA, HUAURA, HUACHO</t>
  </si>
  <si>
    <t>15584131</t>
  </si>
  <si>
    <t>GRANADOS ASCENCIO NELSON EDWARD</t>
  </si>
  <si>
    <t>JR. SAN JOSE NRO 616</t>
  </si>
  <si>
    <t>JAUJA</t>
  </si>
  <si>
    <t>20074605</t>
  </si>
  <si>
    <t>NELSON EDWARD GRANADOS ASCENCIO</t>
  </si>
  <si>
    <t>GRANADOS CLAROS ELICIA</t>
  </si>
  <si>
    <t>AV. NESTOR GAMBETA MZ A 1 LT 04 A.H.10</t>
  </si>
  <si>
    <t>07958568</t>
  </si>
  <si>
    <t>GRANADOS PALOMINO GERMAN ALESSANDRO</t>
  </si>
  <si>
    <t>AV. MERINO REYNA N° 601 PSJ. RAUL PORRAS BARNECHEA</t>
  </si>
  <si>
    <t>42194913</t>
  </si>
  <si>
    <t>GRANADOS REYES HERNANDO ROOSEVELT</t>
  </si>
  <si>
    <t>CAR. PANAMERICANA NORTE Nº 201, LIMA, BARRANCA, BARRANCA</t>
  </si>
  <si>
    <t>15635740</t>
  </si>
  <si>
    <t>GRANADOS REYES LEANDRO WILLIAN</t>
  </si>
  <si>
    <t>ANTIGUA PAN. NORTE KM. 180 CHAQUILA</t>
  </si>
  <si>
    <t>15635744</t>
  </si>
  <si>
    <t>LEANDRO WILLIAN GRANADOS REYES</t>
  </si>
  <si>
    <t>GRANDA ALZAMORA GUSTAVO ADOLFO ARCAD</t>
  </si>
  <si>
    <t>AV. REPÚBLICA DE PANAMÁ NRO 6901</t>
  </si>
  <si>
    <t>07823649</t>
  </si>
  <si>
    <t>GRANDA TATAJE JESSICA LORENA</t>
  </si>
  <si>
    <t>JR.PUNO 389/ A TRES CUADRAS DE ABANCAY</t>
  </si>
  <si>
    <t>21553089</t>
  </si>
  <si>
    <t>GRANDEZ CARO RENSON</t>
  </si>
  <si>
    <t>AV. MARIANO PASTOR SEVILLA MZ. M LT. 19 SEC. - 3 GRUPO 27A (OVALO MARIATEGUI), LIMA, LIMA, VILLA EL SALVADOR</t>
  </si>
  <si>
    <t>72024229</t>
  </si>
  <si>
    <t>GRAZA PALACIOS JACKSON FRANKEL</t>
  </si>
  <si>
    <t>AV SAN JUAN PARADERO 9</t>
  </si>
  <si>
    <t>43772213</t>
  </si>
  <si>
    <t>GREGORIO GREGORIO LUIGI RAMIRO</t>
  </si>
  <si>
    <t>AV. GARCILAZO DE LA VEGA NRO. 1251 CON JR. CAMANA NRO. 1152 . GALERIA COMPUPLAZA 1ER PISO STAND 164A</t>
  </si>
  <si>
    <t>44546799</t>
  </si>
  <si>
    <t>GUADALUPE LLACZA ENMA EVA</t>
  </si>
  <si>
    <t>PRO. CAJAMARCA URB. FUNDO ZAVALETA MZA. B LOTE. 3 PISO 1 LIMA LIMA ATE</t>
  </si>
  <si>
    <t>77662842</t>
  </si>
  <si>
    <t>GUANILO VARGAS CAROLINA ISABEL</t>
  </si>
  <si>
    <t>AV. EL OLIVAR 800 UBR. JORGE CHAVEZ MZ C LOTE 1 A</t>
  </si>
  <si>
    <t>16734258</t>
  </si>
  <si>
    <t>GUANILO VARGAS, CAROLINA ISABEL</t>
  </si>
  <si>
    <t>GUARDAMINO MOSQUERA PATRICIA</t>
  </si>
  <si>
    <t>AV. HUARAL MZ.K.LOTE.3.SAN JUAN I</t>
  </si>
  <si>
    <t>16023226</t>
  </si>
  <si>
    <t>GUERRA ALVARADO ALFONSO</t>
  </si>
  <si>
    <t>JR. CAHUIDE 237 - SANTA CLARA</t>
  </si>
  <si>
    <t>80326276</t>
  </si>
  <si>
    <t>GUERRA CARRION CESAR AUGUSTO</t>
  </si>
  <si>
    <t>A.V CIRCUVALACIÓN  (ESTACION SANTA ROSA LINEA 1 )</t>
  </si>
  <si>
    <t>10878093</t>
  </si>
  <si>
    <t>GUERRA CONTRERAS ERICK BRUNO</t>
  </si>
  <si>
    <t>AV. ALIAGA 650</t>
  </si>
  <si>
    <t>6622 - ACTIVIDADES DE AGENTES Y CORREDORES DE SEGUROS</t>
  </si>
  <si>
    <t>44335881</t>
  </si>
  <si>
    <t>ERICK BRUNO GUERRA CONTRERAS</t>
  </si>
  <si>
    <t>GUERRA CUEVA ADRIAN GERARDO</t>
  </si>
  <si>
    <t>CALLE 28 DE JULIO 362, BAJADA A LA PLAYA CHORRILLOS-CHANCAY</t>
  </si>
  <si>
    <t>74314894</t>
  </si>
  <si>
    <t>GUERRA CUEVA, ADRIAN GERARDO</t>
  </si>
  <si>
    <t>GUERRA OLIVOS JESUS ALBERTO</t>
  </si>
  <si>
    <t>AV UNIVERSITARIA 683 CON SAN GERMÁN URBANIZACION EL ROSARIO, LIMA, LIMA, SMP</t>
  </si>
  <si>
    <t>06199152</t>
  </si>
  <si>
    <t>GUERRA PAREDES LUIS FERNANDO</t>
  </si>
  <si>
    <t>CALLE PUMACAHUA 31, LIMA, HUARAL, HUARAL</t>
  </si>
  <si>
    <t>46479388</t>
  </si>
  <si>
    <t>GUERRA PEREZ CESAR ALBINO</t>
  </si>
  <si>
    <t>LEONCIO PRADO OESTE MZ. B LT. 14. LIMA, LIMA, PUENTE PIEDRA</t>
  </si>
  <si>
    <t>22282329</t>
  </si>
  <si>
    <t>GUERRA TORRES IVAN</t>
  </si>
  <si>
    <t>AV MICAELA BASTIDAS ENTRE ARRIBA PERU</t>
  </si>
  <si>
    <t>42158180</t>
  </si>
  <si>
    <t>GUERRERO MARTINEZ LUIS ENRIQUE</t>
  </si>
  <si>
    <t>CALLE JR. TOMA Y CALLA #301, LIMA , HUAURA, HUACHO</t>
  </si>
  <si>
    <t>45650490</t>
  </si>
  <si>
    <t>GUERRERO MENDIETA FAUSTO ALFREDO</t>
  </si>
  <si>
    <t>AV EL SOL 278 - URB SAN CARLOS  - REF. FRENTE A LA UTP</t>
  </si>
  <si>
    <t>10673942</t>
  </si>
  <si>
    <t>GUERRERO MORI NELLY DOMINGA</t>
  </si>
  <si>
    <t>URB. PRADERAS DEL SOL MZ C LOTE 7</t>
  </si>
  <si>
    <t>Principal - 5630 - ACTIVIDADES DE SERVICIO DE BEBIDAS</t>
  </si>
  <si>
    <t>20035753</t>
  </si>
  <si>
    <t>GUERRERO MORI, NELLY DOMINGA</t>
  </si>
  <si>
    <t>GUERRERO NEIRA TANIA EDITH</t>
  </si>
  <si>
    <t>AV. HUANDO SIN NÚMERO. CRUZ DE MAYO</t>
  </si>
  <si>
    <t xml:space="preserve"> 4751 - VENTA AL POR MENOR DE PRODUCTOS TEXTILES EN COMERCIOS ESPECIALIZADOS</t>
  </si>
  <si>
    <t xml:space="preserve"> 7577343</t>
  </si>
  <si>
    <t xml:space="preserve"> GUERRERO NEIRA TANIA EDITH</t>
  </si>
  <si>
    <t>GUERRERO RODRIGUEZ TEOFILO</t>
  </si>
  <si>
    <t>CALLE UCAYALI MZ A LT 10, LIMA, HUARAL, HUARAL</t>
  </si>
  <si>
    <t>15954707</t>
  </si>
  <si>
    <t>GUERRERO VEGA TEOFILO</t>
  </si>
  <si>
    <t>AH. 22 DE JULIO MZ. A LT 25</t>
  </si>
  <si>
    <t>08321336</t>
  </si>
  <si>
    <t>GUERREROS LEYVA JONATHAN HISAHU</t>
  </si>
  <si>
    <t>MZ. K LT. 23 2DA. ETAPA EL AGUSTINO - REF. PUENTE NUEVO</t>
  </si>
  <si>
    <t>40609270</t>
  </si>
  <si>
    <t>GUERREROS LEYVA, JONATHAN HISAHU</t>
  </si>
  <si>
    <t>GUERREROS NEGRON RENATO</t>
  </si>
  <si>
    <t>AV BOLIVIA 148 INT. 471</t>
  </si>
  <si>
    <t>10437014</t>
  </si>
  <si>
    <t>GUERREROS NEGRON, RENATO</t>
  </si>
  <si>
    <t>GUERREROS SALAS YON</t>
  </si>
  <si>
    <t>SECTOR PACAYAL LOTE 1 ASOC CAMP VALLE RIMAC</t>
  </si>
  <si>
    <t>10603069</t>
  </si>
  <si>
    <t>GUEVARA ALEGRIA EMERSON</t>
  </si>
  <si>
    <t>AV. LA COLECTORA MZA. A LOTE. 06 APV. SANTA ISABEL</t>
  </si>
  <si>
    <t>09625675</t>
  </si>
  <si>
    <t>GUEVARA BECERRA MILTON ELGAR</t>
  </si>
  <si>
    <t>CALLE LA FORTALEZA, MZ. A LOTE 10. URB. CARABAYLLO</t>
  </si>
  <si>
    <t>1410 - FABRICACIÓN DE PRENDAS DE VESTIR -  EXCEPTO PRENDAS DE PIEL</t>
  </si>
  <si>
    <t>44854090</t>
  </si>
  <si>
    <t>GUEVARA FRANCO ALEX FRANCISCO</t>
  </si>
  <si>
    <t>AV SANTA ROSA MZ. I LT. 3 LOS CHASQUIS 2DA ET. (PTE CAMOTE)</t>
  </si>
  <si>
    <t>41941095</t>
  </si>
  <si>
    <t>GUEVARA LOPEZ LICEIDI</t>
  </si>
  <si>
    <t>JR. LAS GALAXIAS 2784</t>
  </si>
  <si>
    <t>44105474</t>
  </si>
  <si>
    <t>GUEVARA RAMOS SIXTO FELIX</t>
  </si>
  <si>
    <t>CAL. SANTA ROSA NRO. 232 LAMBAYEQUE - CHICLAYO - REQUE</t>
  </si>
  <si>
    <t>75494582</t>
  </si>
  <si>
    <t>GUILLEN ALFARO ALMENDRA</t>
  </si>
  <si>
    <t>MZ H LT 01 PARCELA 2 PARQUE INDUSTRIAL</t>
  </si>
  <si>
    <t>74862094</t>
  </si>
  <si>
    <t>GUILLEN BARDALES ANTONIO ABRAHAM</t>
  </si>
  <si>
    <t>AV. VICTOR MALASQUEZ MZ. A LT.6</t>
  </si>
  <si>
    <t>0637890</t>
  </si>
  <si>
    <t>GUILLEN CASTILLO ROCIO</t>
  </si>
  <si>
    <t>CC. PLAZA VITARTE BLOCK 20-145</t>
  </si>
  <si>
    <t>48624357</t>
  </si>
  <si>
    <t>GUILLEN GARCIA RAUL ANGEL</t>
  </si>
  <si>
    <t>JR. ORDOÑEZ N°198</t>
  </si>
  <si>
    <t>09158186</t>
  </si>
  <si>
    <t>GUILLERMO CASIMIRO ELMER ALBINO</t>
  </si>
  <si>
    <t>AV. URUGUAY N° 408, LIMA, LIMA, LIMA</t>
  </si>
  <si>
    <t>20530314</t>
  </si>
  <si>
    <t>GUILLERMO CASIMIRO, ELMER ALBINO</t>
  </si>
  <si>
    <t>GUILLERMO RODRIGUEZ GILVER</t>
  </si>
  <si>
    <t>AV 11 DE ENERO MZ12 LT9 VILLAS DE ANCON, LIMA, LIMA, ANCON</t>
  </si>
  <si>
    <t>46332255</t>
  </si>
  <si>
    <t>GUILLERMO SOTO ROXANA JESSICA</t>
  </si>
  <si>
    <t>PEREZ ARCELA MARCOS GENARO MZ.A LOTE 15 HABIL.URB PARCELA B UU.CC 10435 E</t>
  </si>
  <si>
    <t>32136484</t>
  </si>
  <si>
    <t>GUIZADO SILVERA JERONIMO PEDRO</t>
  </si>
  <si>
    <t>CA. 9 DE JUNIO 100, PUENTE PIEDRA 15115</t>
  </si>
  <si>
    <t>07020617</t>
  </si>
  <si>
    <t>GUTARRA ARTICA GIULIANA CONSUELO</t>
  </si>
  <si>
    <t>CALLE CIRO ALEGRIA MZ.20LT10 CMTE 14 NICOLAS DE PIEROLA, LIMA, LIMA, LURIGANCHO</t>
  </si>
  <si>
    <t>40316949</t>
  </si>
  <si>
    <t>GUTIERREZ CHACON YENNI HILARIA</t>
  </si>
  <si>
    <t>JR. SEBASTIÁN BARRANCA Nº 1645 SEMISÓTANO 54-GALERIA LOS FABRICANTES</t>
  </si>
  <si>
    <t>48238342</t>
  </si>
  <si>
    <t>GUTIERREZ CHUMPITAZI TERESA LUCIA</t>
  </si>
  <si>
    <t>CALLE CECILIA DE RISCO 175</t>
  </si>
  <si>
    <t>06116703</t>
  </si>
  <si>
    <t>GUTIERREZ CHUMPITAZI, TERESA LUCIA</t>
  </si>
  <si>
    <t>GUTIERREZ CUEVA NANCY ERIKA</t>
  </si>
  <si>
    <t>AV. AMANCAES N° 377, LIMA, LIMA, INDEPENDENCIA</t>
  </si>
  <si>
    <t>40347799</t>
  </si>
  <si>
    <t>GUTIERREZ CUEVA, NANCY ERIKA</t>
  </si>
  <si>
    <t>GUTIERREZ GALINDO LUZ EMPERATRIZ</t>
  </si>
  <si>
    <t>AV. UNION MZ O LOTE 2 MUIGUEL GRAU</t>
  </si>
  <si>
    <t>43747748</t>
  </si>
  <si>
    <t>GUTIERREZ GARCIA OMAR EUSEBIO</t>
  </si>
  <si>
    <t>ASOCIACION CASA HUERTA MZ E LOTE 3 ANCON</t>
  </si>
  <si>
    <t>40544577</t>
  </si>
  <si>
    <t>GUTIERREZ HUERTAS JEAN CARLOS</t>
  </si>
  <si>
    <t>JR. LEON VELARDE  572</t>
  </si>
  <si>
    <t>70389273</t>
  </si>
  <si>
    <t>GUTIERREZ LEON MANUEL GUSTAVO</t>
  </si>
  <si>
    <t>AV. ARGENTINA 144</t>
  </si>
  <si>
    <t>45024642</t>
  </si>
  <si>
    <t>GUTIERREZ LEON, MANUEL GUSTAVO</t>
  </si>
  <si>
    <t>GUTIERREZ MACASANA MADELEY ARACELY SUSANA</t>
  </si>
  <si>
    <t>CARRETERA ANTIGUA PANAMERICANA SUR KM 36 MERCADO VIRGEN DE LAS MERCEDES</t>
  </si>
  <si>
    <t>74731904</t>
  </si>
  <si>
    <t>GUTIERREZ MANDUJANO ROSALIA BEATRIZ</t>
  </si>
  <si>
    <t>JIRÓN PARQUE EL PINO 168</t>
  </si>
  <si>
    <t>43649664</t>
  </si>
  <si>
    <t>GUTIERREZ MARCELO KARINA JUDITH</t>
  </si>
  <si>
    <t>JR. LA MERCED S/NRO, LIMA, HUAURA, HUACHO</t>
  </si>
  <si>
    <t>40481779</t>
  </si>
  <si>
    <t>GUTIERREZ MENDEZ JESSICA PAOLA</t>
  </si>
  <si>
    <t>C.C. PLAZA VITARTE BLOCK B - 2DO PISO - STAND 124</t>
  </si>
  <si>
    <t>40488621</t>
  </si>
  <si>
    <t>GUTIERREZ MENDEZ, JESSICA PAOLA</t>
  </si>
  <si>
    <t>GUTIERREZ NAVARRETE HENDEL DAVID</t>
  </si>
  <si>
    <t>GALERIA WILSON PLAZA TIENDA 117 S.S</t>
  </si>
  <si>
    <t>77091503</t>
  </si>
  <si>
    <t>GUTIERREZ NAVARRETE, HENDEL DAVID</t>
  </si>
  <si>
    <t>GUTIERREZ ORTIZ MAXIMO BECKER</t>
  </si>
  <si>
    <t>MZ. B LOTE 02 URB. EL PARAISO</t>
  </si>
  <si>
    <t>70758031</t>
  </si>
  <si>
    <t>GUTIERREZ ORTIZ PERCY</t>
  </si>
  <si>
    <t>AV. DEFENSORES DE LIMA NRO. 1022 URB. SAN JUANITO (ALTURA GRIFO PECSA)</t>
  </si>
  <si>
    <t>43871671</t>
  </si>
  <si>
    <t>GUTIERREZ PRIETO EDINSON ENRIQUE</t>
  </si>
  <si>
    <t>AV TUPAC AMARU 370 EL PROGRESO KM 21, LIMA, LIMA, CARABAYLLO</t>
  </si>
  <si>
    <t>05421630</t>
  </si>
  <si>
    <t>GUTIERREZ ROMANI MARLENI</t>
  </si>
  <si>
    <t>CALLE LAS ROSAS MZ E LT 11, URB SAGRADA FAMILIA CRUCE FAUCETT CON VENEZUELA, CALLAO, CALLAO, CALLAO</t>
  </si>
  <si>
    <t>43090461</t>
  </si>
  <si>
    <t>GUTIERREZ SOLANO JORGE LUIS</t>
  </si>
  <si>
    <t>AV. NICOLAS AYLLON MZ “A” LT 9, LIMA, LIMA, ATE</t>
  </si>
  <si>
    <t>42441980</t>
  </si>
  <si>
    <t>GUTIERREZ TAIPE SONNI JORGE</t>
  </si>
  <si>
    <t>AV. EL SOL MZ F1 LOTE 3 PARQUE INDUSTRIAL. CRUCE DEL TREN CON AV EL SOL</t>
  </si>
  <si>
    <t>28990 - FAB. OTROS PROD. DE METAL NCP</t>
  </si>
  <si>
    <t>08979082</t>
  </si>
  <si>
    <t>GUZMAN ARPISA JONATHAN JESUS</t>
  </si>
  <si>
    <t>COOP. MIGUEL GRAU MZ D LT 5  SANTA ANITA</t>
  </si>
  <si>
    <t>00081107</t>
  </si>
  <si>
    <t>GUZMAN FAUSTINO TIFFANY</t>
  </si>
  <si>
    <t>JR. CRISTÓBAL COLON 1230, PROG.VIV.EL AGUSTINO 3ETP (CDRA.12 AV.REVAGUERO )</t>
  </si>
  <si>
    <t>72173503</t>
  </si>
  <si>
    <t>GUZMAN GONZALES LUIS FERNANDO</t>
  </si>
  <si>
    <t>AV.REPUBLICA CANADA MZ.A LT.2, LIMA, LIMA, BARRANCA</t>
  </si>
  <si>
    <t>74285550</t>
  </si>
  <si>
    <t>GUZMAN GONZALES, LUIS FERNANDO</t>
  </si>
  <si>
    <t>GUZMAN LOPEZ LEITON CALIN</t>
  </si>
  <si>
    <t>AV MACHU PICCHU Nº 113, LIMA, LIMA, SAN JUAN DE LURIGANCHO</t>
  </si>
  <si>
    <t>45605922</t>
  </si>
  <si>
    <t>HALLASI YUCRA SILVERIO</t>
  </si>
  <si>
    <t>CALLE UNION MZ. L1 LOTE 31  PARQUE INDUSTRIAL</t>
  </si>
  <si>
    <t>02043104</t>
  </si>
  <si>
    <t>HANCCO POMA JUAN</t>
  </si>
  <si>
    <t>MZ L1 LTE 21 CRUCE SAN FRANCISCO DE CAYRAN, LIMA, LIMA, SAN MARTIN DE PORRES</t>
  </si>
  <si>
    <t>30422871</t>
  </si>
  <si>
    <t>HARO SIFUENTES FRANCISCO VICENTE</t>
  </si>
  <si>
    <t>CALLE ENRIQUE NERINI N 1064 - SAN LUIS ( ENTRE LA AV. SAN JUAN Y ROSA TORO )</t>
  </si>
  <si>
    <t>09286122</t>
  </si>
  <si>
    <t>HERAS CORRALES LUIS ANGEL</t>
  </si>
  <si>
    <t>KM 7 CARRETERA A QUERO - MOLINOS JAUJA</t>
  </si>
  <si>
    <t>MOLINOS</t>
  </si>
  <si>
    <t>10206765</t>
  </si>
  <si>
    <t>HERBOZO GALVEZ MANUEL AUGUSTO</t>
  </si>
  <si>
    <t>JR. PISCO 231</t>
  </si>
  <si>
    <t>80533007</t>
  </si>
  <si>
    <t>HERBOZO GALVEZ, MANUEL AUGUSTO</t>
  </si>
  <si>
    <t>HERBOZO MENDOZA CESAR AUGUSTO</t>
  </si>
  <si>
    <t>JR EL MANGANESO 366</t>
  </si>
  <si>
    <t>44752042</t>
  </si>
  <si>
    <t>HERBOZO MENDOZA, CESAR AUGUSTO</t>
  </si>
  <si>
    <t>HERBOZO MENDOZA STEFANY MARILU</t>
  </si>
  <si>
    <t>CALLE MANGANESO N° 366</t>
  </si>
  <si>
    <t>47978159</t>
  </si>
  <si>
    <t>HERBOZO VELASQUEZ CRISTOPHER JAVIER</t>
  </si>
  <si>
    <t>CALLE PEREZ DE CUELLAR 119 (REF. ENTRADA AL ASPERO A DOS CUADRAS)</t>
  </si>
  <si>
    <t>48266028</t>
  </si>
  <si>
    <t>HERNANDEZ CAMACHO JUAN CARLOS</t>
  </si>
  <si>
    <t>CALLE SUCRE NRO. 347 (REF. AL FRENTE DE LA COMISARIA DE SUPE)</t>
  </si>
  <si>
    <t>41696486</t>
  </si>
  <si>
    <t>HERNANDEZ CAMACHO JUAN JESUS</t>
  </si>
  <si>
    <t>CAR.ANTIGUA PANAMERICANA SUR KM.36.5 INT.62C.C / SAN VICENTE DE PAUL DPTO 62,66,67CC SAN VICENTE DE PAUL</t>
  </si>
  <si>
    <t>43992234</t>
  </si>
  <si>
    <t>HERNANDEZ CAMACHO, JUAN JESUS</t>
  </si>
  <si>
    <t>HERNANDEZ EGUSQUIZA ANA MERCEDES</t>
  </si>
  <si>
    <t>JR. CAJAMARCA 3683</t>
  </si>
  <si>
    <t>09903250</t>
  </si>
  <si>
    <t>HERNANDEZ EGUSQUIZA, ANA MERCEDES</t>
  </si>
  <si>
    <t>HERNANDEZ HERNANDEZ BERTILA</t>
  </si>
  <si>
    <t>CAL.LOS CEDROS MZA. E LOTE. 08 A.V. NUEVO HORIZONTE</t>
  </si>
  <si>
    <t>08628710</t>
  </si>
  <si>
    <t>HERNANDEZ VASQUEZ LUIS HERNAN</t>
  </si>
  <si>
    <t>JR. CORPAC # 161 SUBIDA DEL ESTADIO UCRUCIHA Y COSTADO DE LA FERRETERIA VAME</t>
  </si>
  <si>
    <t>72505 - MANTEN.Y REPAR.MAQUIN. DE OFICINA.</t>
  </si>
  <si>
    <t>05391567</t>
  </si>
  <si>
    <t>HERNANI SARMIENTO PEDRO PABLO</t>
  </si>
  <si>
    <t>SECTOR 2 GRUPO24 A MZ.MLT.17 (CERCA AL MERCADO DE MANZANA -MALA)</t>
  </si>
  <si>
    <t>10443485</t>
  </si>
  <si>
    <t>HERRERA AGUIRRE ROXANNA</t>
  </si>
  <si>
    <t>AV.CUIDAD DE LOS ANGELES MZ.B LT.2 , LIMA, CAÑETE, CHILCA</t>
  </si>
  <si>
    <t>44794156</t>
  </si>
  <si>
    <t>HERRERA CAMPOS GEIMER</t>
  </si>
  <si>
    <t>AV.MOLINA SEPARADORA INDUSTRIAL, LIMA, LIMA, LA MOLINA</t>
  </si>
  <si>
    <t>45456451</t>
  </si>
  <si>
    <t>HERRERA GUERRERO HUGO</t>
  </si>
  <si>
    <t>MZ F LT29 EL PRADO CARABAYLLO</t>
  </si>
  <si>
    <t>40317746</t>
  </si>
  <si>
    <t>HERRERA PEREZ JAIME MICHEL</t>
  </si>
  <si>
    <t>AV LOS DOMINICOS 1152 - SMP</t>
  </si>
  <si>
    <t>42056205</t>
  </si>
  <si>
    <t>HERRERA POMA CECILIA</t>
  </si>
  <si>
    <t>AV. JOSE CARLOS MARIATEGUI MZ O LOTE 01</t>
  </si>
  <si>
    <t xml:space="preserve"> Principal - 1410 - FABRICACIÓN DE PRENDAS DE VESTIR, EXCEPTO PRENDAS DE PIEL</t>
  </si>
  <si>
    <t>10463351</t>
  </si>
  <si>
    <t>HERRERA POMA, CECILIA</t>
  </si>
  <si>
    <t>HERRERA POMA JACK HARTWELL</t>
  </si>
  <si>
    <t>AV. HONORIO DELGADO NRO. 148 URB. INGENIERIA LIMA - LIMA - SAN MARTIN DE PORRES</t>
  </si>
  <si>
    <t>HERRERA SANCHEZ NANCY</t>
  </si>
  <si>
    <t>MZ. A LOTE. 20A FRANCISCO DE ZELA AH 28 DE JULIO QUINTA ZONA COLLIQUE COMAS</t>
  </si>
  <si>
    <t>42148430</t>
  </si>
  <si>
    <t>HERVIAS MEZA VICTOR RAUL</t>
  </si>
  <si>
    <t>AV. MORALES DUAREZ 1100 (CERCA A LA COMISARÍA DE CARMEN DE LA LEGUA)</t>
  </si>
  <si>
    <t>02564006</t>
  </si>
  <si>
    <t>HIDALGO CHAVEZ JUAN MANUEL</t>
  </si>
  <si>
    <t>AV. ALFREDO MENDIOLA N° 1400 - PLAZA NORTE</t>
  </si>
  <si>
    <t>40107584</t>
  </si>
  <si>
    <t>HIDALGO CHAVEZ, JUAN MANUEL</t>
  </si>
  <si>
    <t>HIDALGO RIVAS JESUS BRYAN</t>
  </si>
  <si>
    <t>URB.LOS PINOS MZ K LTE 27</t>
  </si>
  <si>
    <t>75962308</t>
  </si>
  <si>
    <t>HIDALGO VALLES FRANCISCO</t>
  </si>
  <si>
    <t>URB SANTA ANA MZ A2 LT 47 CALLE 13, LIMA, LIMA, LOS OLIVOS</t>
  </si>
  <si>
    <t>10532338</t>
  </si>
  <si>
    <t>HILARIO CCANTO EMILIO</t>
  </si>
  <si>
    <t>MZ A LT1 ASOC. MIGUEL GRAU</t>
  </si>
  <si>
    <t>41822987</t>
  </si>
  <si>
    <t>HILARIO ECHEVARRIA JOSSIMAR JESUS</t>
  </si>
  <si>
    <t>MZ. F LT. 11 URB. LOS HUERTOS DE NARANJAL (CANTA CALLAO CON AV. CENTRAL)</t>
  </si>
  <si>
    <t>47292963</t>
  </si>
  <si>
    <t>HILARIO SANCHEZ RODRIGO MICHAEL</t>
  </si>
  <si>
    <t>PROLONGACIÓN SANTA ROSA NRO. 607 (REF. CERCA A LA IGLESIA SAGRADA FAMILIA)</t>
  </si>
  <si>
    <t>76651381</t>
  </si>
  <si>
    <t>RODRIGO MICHAEL HILARIO SANCHEZ</t>
  </si>
  <si>
    <t>HINOJOSA VERA WILSER ALBERTO</t>
  </si>
  <si>
    <t>AV. LA ESPERANZA MZ C LT. 1C LAS LOMAS DE CARABAYLLO, LIMA, LIMA, CARABAYLLO</t>
  </si>
  <si>
    <t>46443065</t>
  </si>
  <si>
    <t>HINOSTROZA GALVEZ SEVERIANO</t>
  </si>
  <si>
    <t>AV. EL ZINC NRO 371</t>
  </si>
  <si>
    <t>06814621</t>
  </si>
  <si>
    <t>HINOSTROZA GALVEZ, SEVERIANO</t>
  </si>
  <si>
    <t>HINOSTROZA LIÑAN JANS ISAAC</t>
  </si>
  <si>
    <t>AV VICTOR MALASQUEZ MZ "R" LT "8" NUEVO PROGRESO(HUERTOS DE MANCHAY).</t>
  </si>
  <si>
    <t>46084091</t>
  </si>
  <si>
    <t>HINOSTROZA PRETELL PERCY JULIAN</t>
  </si>
  <si>
    <t>JIRON CUTERVO NRO 1731</t>
  </si>
  <si>
    <t>10602273</t>
  </si>
  <si>
    <t>HOLGUIN VALENCIA JOSE DANIEL</t>
  </si>
  <si>
    <t>AV.NICOLAS DE PIEROLA 701</t>
  </si>
  <si>
    <t>75336921</t>
  </si>
  <si>
    <t>HOYOS CRISANTE ADOLFO ANTHONY</t>
  </si>
  <si>
    <t>AV L LOTE 23 MZ D 1 URB, SANTO DOMINGO 5TA ETAPA LIMA, LIMA, CARABAYLLO</t>
  </si>
  <si>
    <t>45614649</t>
  </si>
  <si>
    <t>HUACACHI SALAS HECTOR</t>
  </si>
  <si>
    <t>JR CUTERVO 2013</t>
  </si>
  <si>
    <t>09923146</t>
  </si>
  <si>
    <t>HUACAUSE FLORES BRYAN SAMIR</t>
  </si>
  <si>
    <t>AV. UNIVERSITARIA CDRA 47, MERCADO MERPROLIMA TDA 94, LIMA, LIMA, LOS OLIVOS</t>
  </si>
  <si>
    <t>77688139</t>
  </si>
  <si>
    <t>HUACAUSE FLORES, BRYAN SAMIR</t>
  </si>
  <si>
    <t>HUACHO VEGA ERNESTO DANIEL</t>
  </si>
  <si>
    <t>AV. PROLONGACION SAN MARTIN LT 6, LIMA, HUAURA, HUAURA</t>
  </si>
  <si>
    <t>45062449</t>
  </si>
  <si>
    <t>HUACHORUNTO VENTURO DE CUYA JANETH PATRICIA</t>
  </si>
  <si>
    <t>MZ. O LT. 20 LOS NOGALES</t>
  </si>
  <si>
    <t>47359408</t>
  </si>
  <si>
    <t>HUACHORUNTO VENTURO DE CUYA, JANETH PATRICIA</t>
  </si>
  <si>
    <t>HUAHUACONDORI QUISPE JOEL JOSUE</t>
  </si>
  <si>
    <t>CALLE TEMPLO TARDIO 460 SEGUNDO PISO, LIMA, LIMA, SAN JUAN DE LURIGANCHO</t>
  </si>
  <si>
    <t>10111132</t>
  </si>
  <si>
    <t>HUAHUACONDORI QUISPE, JOEL JOSUE</t>
  </si>
  <si>
    <t>HUAHUALUQUE HUANCA LUIS FERNANDO</t>
  </si>
  <si>
    <t>AV. ALAMEDA MZ.H-4 LT. 01 ENTRE LAS AVS SANTA ROSA _TUPAC AMARU Y JR. LAS HONDAS</t>
  </si>
  <si>
    <t>72182671</t>
  </si>
  <si>
    <t>HUAJARDO SOTO DENNIS ABDEL</t>
  </si>
  <si>
    <t>AVENIDA ANCON A.H BELLA AURORA MZ G LT 20</t>
  </si>
  <si>
    <t>10779201</t>
  </si>
  <si>
    <t>HUALLPA ANTONIETE CARLOS ENRIQUE</t>
  </si>
  <si>
    <t>AV. JORGE BASADRE OESTE NRO 154</t>
  </si>
  <si>
    <t>40660321</t>
  </si>
  <si>
    <t>HUALLPA CCAHUAY DE HERNANDEZ UBALDINA</t>
  </si>
  <si>
    <t>AV. FELIPE MENDIZABAL 540  PRIMERA ETAPA TUHGASUCA</t>
  </si>
  <si>
    <t>06884411</t>
  </si>
  <si>
    <t>HUALLPA QUISPE HUMERES</t>
  </si>
  <si>
    <t>AV. EL SOL 898</t>
  </si>
  <si>
    <t>23962267</t>
  </si>
  <si>
    <t>HUAMAN ALVARADO JENNYFER PAOLA</t>
  </si>
  <si>
    <t>HORACIO ZEVALLOS GRUPO F MZ. K LT. 9, LIMA, LIMA, ATE</t>
  </si>
  <si>
    <t>43005938</t>
  </si>
  <si>
    <t>HUAMAN ALVARADO, JENNYFER PAOLA</t>
  </si>
  <si>
    <t>HUAMAN ANAYA JENNY</t>
  </si>
  <si>
    <t>JR ANGARAES N° 713</t>
  </si>
  <si>
    <t>10382782</t>
  </si>
  <si>
    <t>HUAMAN ANAYA ZONIA</t>
  </si>
  <si>
    <t>JESUS ALBERTO PAEZ MZ L LT1</t>
  </si>
  <si>
    <t>09567801</t>
  </si>
  <si>
    <t>HUAMAN CABANA ANGELA FATIMA</t>
  </si>
  <si>
    <t>MZ G1 LT 21 AAHH 10 DE OCTUBRE</t>
  </si>
  <si>
    <t>73196310</t>
  </si>
  <si>
    <t>HUAMAN CABELLO PIER ALEX</t>
  </si>
  <si>
    <t>MZ D1 LT. 8 AAHH BOCA NEGRA, LIMA, LIMA, CALLAO</t>
  </si>
  <si>
    <t>48720894</t>
  </si>
  <si>
    <t>HUAMAN CELESTINO GISSELLA MILAGROS</t>
  </si>
  <si>
    <t>CERCA DE LA RESIDENCIA CHOSICA, CHUCUITO 498</t>
  </si>
  <si>
    <t>41610128</t>
  </si>
  <si>
    <t>HUAMAN COMPAHUA JULIANA MAJUMI</t>
  </si>
  <si>
    <t>PAMPLONA ALTA MZ LL4 LOTE 3 SECTOR 12 DE NOVIEMBRE</t>
  </si>
  <si>
    <t>48578699</t>
  </si>
  <si>
    <t>HUAMAN CRUZ JUAN FISHER</t>
  </si>
  <si>
    <t>AV. GARCILASO DE LA VEGA 1358 - PLAZA TEC STAND 235</t>
  </si>
  <si>
    <t>21135854</t>
  </si>
  <si>
    <t>HUAMAN CURASCO FLAVIO</t>
  </si>
  <si>
    <t>A.PACHACUTEC 4533-CESAR VALLEJO-MZ. G LT. 05 AH. LAS VEGAS, VMT</t>
  </si>
  <si>
    <t>OTRAS ACTIVID.DE TIPO SERVICIO NCP</t>
  </si>
  <si>
    <t>41943752</t>
  </si>
  <si>
    <t>HUAMAN ESTRADA IVAN YOJAN</t>
  </si>
  <si>
    <t>AV. SAN FERNANDO REUSCHE MZ.R LT.9</t>
  </si>
  <si>
    <t>70388744</t>
  </si>
  <si>
    <t>HUAMAN GONZALES MAXIMO RAUL</t>
  </si>
  <si>
    <t>CALLE CIGUERAS MZ. B LT. 1 (CDRA.7 AV.PTE. PIEDRA)</t>
  </si>
  <si>
    <t>74996 - OTRAS ACTIVIDADES EMPRESARIALES NCP</t>
  </si>
  <si>
    <t>10066735</t>
  </si>
  <si>
    <t>HUAMAN HIHUALLANCA BACILIO</t>
  </si>
  <si>
    <t>AVENIDA CAJAMARQUILLA MZ F LT 9, LIMA, LIMA, LURIGANCHO - CHOSICA</t>
  </si>
  <si>
    <t>24384972</t>
  </si>
  <si>
    <t>HUAMAN HUAMANI VIRGILIO</t>
  </si>
  <si>
    <t>AV. SANTA ROSA 835 SAN JUAN DE LURIGANCHO</t>
  </si>
  <si>
    <t>4661 - VENTA AL POR MAYOR DE COMBUSTIBLES SÓLIDOS, LÍQUIDOS Y GASEOSOS Y PRODUCTOS CONEXOS</t>
  </si>
  <si>
    <t>40658738</t>
  </si>
  <si>
    <t>HUAMAN MATIAS ELIADES PIERRE</t>
  </si>
  <si>
    <t>JIRON CALLAO 7TA CUADRA</t>
  </si>
  <si>
    <t>70356829</t>
  </si>
  <si>
    <t>HUAMAN MAYHUA HUALBERTO</t>
  </si>
  <si>
    <t>MZ. C.LT22 JUAN PABLO LL</t>
  </si>
  <si>
    <t>41078513</t>
  </si>
  <si>
    <t>HUAMAN MORALES FORTUNATO</t>
  </si>
  <si>
    <t>AV. SAN LUIS 1032 URB. LAS MORAS</t>
  </si>
  <si>
    <t>06814293</t>
  </si>
  <si>
    <t>HUAMAN MOY CESAR ERNESTO</t>
  </si>
  <si>
    <t>CALLE FERROCARRIL S/NRO. LIMA, BARRANCA, BARRANCA</t>
  </si>
  <si>
    <t>9524 - REPARACIÓN DE MUEBLES Y ACCESORIOS DOMÉSTICOS</t>
  </si>
  <si>
    <t>15712378</t>
  </si>
  <si>
    <t>HUAMAN NAVEROS SANTOS SANTIAGO</t>
  </si>
  <si>
    <t>AV. SANTA ROSA NRO. 2216 URB. - LA HUAYRONA</t>
  </si>
  <si>
    <t>10365701</t>
  </si>
  <si>
    <t>HUAMAN PANDAL SEGUNDINA ROCIO</t>
  </si>
  <si>
    <t>AV. MIGUEL GRAU 127 AÑO NUEVO, COMAS- PARADERO VELASCO KM 13.5, LIMA, LIMA, COMAS</t>
  </si>
  <si>
    <t>09740002</t>
  </si>
  <si>
    <t>HUAMAN PAREDES JHONSON MIKE</t>
  </si>
  <si>
    <t>IV ETAPA BARRIO IV SECT II MZ. C1 LT.01</t>
  </si>
  <si>
    <t>47981057</t>
  </si>
  <si>
    <t>HUAMAN PARRA FRAM POOL</t>
  </si>
  <si>
    <t>JR. COLÓN 251 IMPERIAL CAÑETE</t>
  </si>
  <si>
    <t>40316861</t>
  </si>
  <si>
    <t>HUAMAN QUISPE EDISON</t>
  </si>
  <si>
    <t>AVENIDA JORGE BASADRE N. 600 URBANIZACIÓN LA HUAYRONA</t>
  </si>
  <si>
    <t>76623956</t>
  </si>
  <si>
    <t>HUAMAN REYNOSO MANUEL</t>
  </si>
  <si>
    <t>URB  LOS HUERTOS DE SAN LEONARDO MZ A LT 9</t>
  </si>
  <si>
    <t>10357822</t>
  </si>
  <si>
    <t>HUAMAN RODRIGUEZ DEICI MIREYRA MADAY</t>
  </si>
  <si>
    <t>JR. GAMARRA 901 GALERÍA YUYI 3ER PISO. OFICINA 3135 - 705.</t>
  </si>
  <si>
    <t>48309374</t>
  </si>
  <si>
    <t>HUAMAN SOLIER ANTONY RAFAEL</t>
  </si>
  <si>
    <t>AV. TUPAC AMARU 10811, MZ. P LT. 14 PROGRESO DE CARABAYLLO</t>
  </si>
  <si>
    <t>74966037</t>
  </si>
  <si>
    <t>HUAMAN SOLIER, ANTONY RAFAEL</t>
  </si>
  <si>
    <t>HUAMAN TICONA SAYDHT AURORA</t>
  </si>
  <si>
    <t>AV CANTA CALLAO MZA  LT1 ASOC BRISAS DE SANTA ROSA</t>
  </si>
  <si>
    <t>10179830</t>
  </si>
  <si>
    <t>HUAMAN VERA CARLOS ALBERTO</t>
  </si>
  <si>
    <t>AV,GUARDIA CIVIL#686.LA CAMPIÑA</t>
  </si>
  <si>
    <t>4132874</t>
  </si>
  <si>
    <t>HUAMAN VILCHEZ ROBERTO CARLOS</t>
  </si>
  <si>
    <t>AV. TUPAC AMARU NRO. 210 - RIMAC - PUERTA NRO. 3-UNI-CCIFIM</t>
  </si>
  <si>
    <t>41597864</t>
  </si>
  <si>
    <t>ROBERTO CARLOS HUAMAN VILCHEZ</t>
  </si>
  <si>
    <t>HUAMANI ALIAGA FREDERICH JOANEES ABRAHAM</t>
  </si>
  <si>
    <t>JR. TRUJILLO SUR 344</t>
  </si>
  <si>
    <t>48460356</t>
  </si>
  <si>
    <t>HUAMANI ASTORGA NOEMI MIRTHA</t>
  </si>
  <si>
    <t>AV. SEPARADORA INDUSTRIAL NRO. 951 A.H. SICUANI - ATE - LIMA</t>
  </si>
  <si>
    <t>10251271</t>
  </si>
  <si>
    <t>HUAMANI BAEZ JULIO CESAR</t>
  </si>
  <si>
    <t>JIRÓN LOS ZAFIROS 17-74,  SAN JUAN LURIGANCHO</t>
  </si>
  <si>
    <t>70815504</t>
  </si>
  <si>
    <t>HUAMANI BAEZ, JULIO CESAR</t>
  </si>
  <si>
    <t>HUAMANI CERON RONAL AUGUSTO</t>
  </si>
  <si>
    <t>SANTA ROSA INTERIOR 254</t>
  </si>
  <si>
    <t>48261189</t>
  </si>
  <si>
    <t>HUAMANI CISNEROS CLARY MIRIAN</t>
  </si>
  <si>
    <t>MZP, LOTE 5, SOL DE LAS VIÑAS DE SANTA CLARA</t>
  </si>
  <si>
    <t>40744936</t>
  </si>
  <si>
    <t>HUAMANI ORTEGA CRISTHIAM JUNIOR</t>
  </si>
  <si>
    <t>MZ B LT 5 VALLE PALMERAS (REF. 12AVA ETAPA DE SANTO DOMINGO)</t>
  </si>
  <si>
    <t>71404693</t>
  </si>
  <si>
    <t>HUAMANI PALOMINO MARIO</t>
  </si>
  <si>
    <t>AV. LA MOLINA 114A, ATE, VITARTE, LIMA</t>
  </si>
  <si>
    <t>10016469</t>
  </si>
  <si>
    <t>HUAMANI TANDAYPAN ANA MELBA</t>
  </si>
  <si>
    <t>AV. DE LOS HEROES NRO. 515 INT. 116 URB. CIUDAD DE DIOS ZN. K LIMA - LIMA - SAN JUAN DE MIRAFLORES</t>
  </si>
  <si>
    <t>ACTIVIDADES DE SERVICIOS RELACIONADAS CON LA IMPRESIÓN</t>
  </si>
  <si>
    <t>10016874</t>
  </si>
  <si>
    <t>HUAMANI TANDAYPAN, ANA MELBA</t>
  </si>
  <si>
    <t>HUAMANI TICSE CARLOS ALBERTO</t>
  </si>
  <si>
    <t>MZ D LT 01, SC 01 URB VILLA LOS REYES ,CALLAO</t>
  </si>
  <si>
    <t>40557935</t>
  </si>
  <si>
    <t>HUAMANI TORRES JUAN FLAVIO</t>
  </si>
  <si>
    <t>AV. CESAR VALLEJO Y CENTRAL NRO. SN MERCADO VILLA SUR FILA A LIMA - LIMA - VILLA EL SALVADOR</t>
  </si>
  <si>
    <t>08901819</t>
  </si>
  <si>
    <t>HUAMANI TORRES, JUAN FLAVIO</t>
  </si>
  <si>
    <t>HUANACUNI CANDIA RAUL</t>
  </si>
  <si>
    <t>CARR. CENTRAL 8570, CHACLACAYO 15472 REFERENCIA ALA ENTRADA DEL CEMENTERIO</t>
  </si>
  <si>
    <t>10150388</t>
  </si>
  <si>
    <t>HUANCA ALBINO EDDY KENY</t>
  </si>
  <si>
    <t>PROLONG.PARINACOCHAS NRO. 1756</t>
  </si>
  <si>
    <t>09037863</t>
  </si>
  <si>
    <t>HUANCA CONTRERAS JUAN CARLOS</t>
  </si>
  <si>
    <t>CALLE LOS GERANIOS 682 URB. SATELITE VENTANILLA EZ CALLE 24 MZ 74 LT 18</t>
  </si>
  <si>
    <t>42512676</t>
  </si>
  <si>
    <t>HUANCA MAMANI MIGUEL</t>
  </si>
  <si>
    <t>MZ. B LT.1 LOS PINOS, PUENTE PIEDRA</t>
  </si>
  <si>
    <t>10206810</t>
  </si>
  <si>
    <t>HUANCA ÑOPE VICTOR JUAN</t>
  </si>
  <si>
    <t>AVENIDA CANTA CALLAO MZ. F LOTE 36 (ASOCIACIÓN RESIDENCIAL LOS LIRIOS), LIMA, LIMA, SAN MARTIN DE PORRES</t>
  </si>
  <si>
    <t>47878765</t>
  </si>
  <si>
    <t>HUANCA ROJAS JORGE JAVIER</t>
  </si>
  <si>
    <t>URB.CHAVIN 3ERA ETAPA MZ D LT 31 S.M.P</t>
  </si>
  <si>
    <t>32917008</t>
  </si>
  <si>
    <t>HUANCA TAYPE JOSE DAVID</t>
  </si>
  <si>
    <t>AV.MARIANO PASTOR  SEVILLA  SECTOR  2 GRUPO 26-LIMA-LIMA-VILLA EL SALVADOR</t>
  </si>
  <si>
    <t>45256688</t>
  </si>
  <si>
    <t>HUANCA TAYPE, JOSE DAVID</t>
  </si>
  <si>
    <t>HUANCCO SAVEDRA PEDRO BELTRAN</t>
  </si>
  <si>
    <t>AV. INDUSTRIAL N° 3346</t>
  </si>
  <si>
    <t>07438189</t>
  </si>
  <si>
    <t>HUANCCO SAVEDRA, PEDRO BELTRAN</t>
  </si>
  <si>
    <t>HUANCOILLO GARCIA JHON ELVIS</t>
  </si>
  <si>
    <t>JR ZAFIROS 1840</t>
  </si>
  <si>
    <t>47310793</t>
  </si>
  <si>
    <t>HUANDO NOEL BENITA ESTHER</t>
  </si>
  <si>
    <t>AA.HH. JOSEFINA RAMOS FRENTE AL COLEGIO EL CARMEN</t>
  </si>
  <si>
    <t>46367264</t>
  </si>
  <si>
    <t>HUANSHA ÑOPE RAUL ALBERTO</t>
  </si>
  <si>
    <t>AV CENTENARIO MZ 9 LOTE 5 C.P. SANTA CRUZ (FRENTE A  BACKUS)</t>
  </si>
  <si>
    <t>47374317</t>
  </si>
  <si>
    <t>HUANUCO ARAUCO VICENTA</t>
  </si>
  <si>
    <t>AV. SINCHI ROCA MZ. G LT. 8 SUB. LT. D AMEXO 22 JICAMARCA, HUAROCHIRI</t>
  </si>
  <si>
    <t>09562524</t>
  </si>
  <si>
    <t>HUAPAYA CALDERON JORGE</t>
  </si>
  <si>
    <t>AV. NESTOR GAMBETA  MZ. A LOTE 40  COOPEMAR  - VENTANILLA   ALFRENTE DEL PARADERO 3RO DE LA NAVAL</t>
  </si>
  <si>
    <t>25852772</t>
  </si>
  <si>
    <t>HUAPAYA CAMARENA PEDRO MIGUEL</t>
  </si>
  <si>
    <t>JR. ANCASH . Nº 2158 A.H  ANZIETA ALTA  MZ.B LT.5 - EL AGUSTINO</t>
  </si>
  <si>
    <t>40454815</t>
  </si>
  <si>
    <t>HUAPAYA CONCHUMAYTA GUISSELA ANGELICA</t>
  </si>
  <si>
    <t>AV. GENERAL ALVAREZ DE ARENALES NRO. 794 URB. STA.BEATRIZ</t>
  </si>
  <si>
    <t>10253766</t>
  </si>
  <si>
    <t>GUISSELA HUAPAYA CONCHUMAYTA</t>
  </si>
  <si>
    <t>HUAPAYA VIZCARRA MARILENY</t>
  </si>
  <si>
    <t>JR. JIRÓN JOSÉ GÁLVEZ NRO. 1442</t>
  </si>
  <si>
    <t>25855489</t>
  </si>
  <si>
    <t>HUARACA CAPCHA JOSE MARTIN</t>
  </si>
  <si>
    <t>URB COOVITIOMAR MZ LOTE 23 (FRENTE A LA VIRGEN DE SANTA ROSA)</t>
  </si>
  <si>
    <t>70420328</t>
  </si>
  <si>
    <t>HUARACA CUYUBAMBA RICHARD SALVADOR</t>
  </si>
  <si>
    <t>MZ-Z1 LT-7 A.A.H.H. 10 DE FEBRERO BAYOVAR</t>
  </si>
  <si>
    <t>42415159</t>
  </si>
  <si>
    <t>HUARACA MANTARI NATALY SUSAN</t>
  </si>
  <si>
    <t>PROLONGACION CUZCO N°916</t>
  </si>
  <si>
    <t>42237307</t>
  </si>
  <si>
    <t>HUARACA OCHOA JOSE ARMANDO</t>
  </si>
  <si>
    <t>AV. SANTA ROSA URB. SAN JUAN DE SALINAS ETAPA LL  MZ. C LT. 27, A LA ALTURA DEL PARADERO CAMOTE, MINIMARKET MAXIMAX</t>
  </si>
  <si>
    <t>72402042</t>
  </si>
  <si>
    <t>HUARACA OCHOA, JOSE ARMANDO</t>
  </si>
  <si>
    <t>HUARACA ROSARIO ALEX MARCELINO</t>
  </si>
  <si>
    <t>BERENICE DAVILA 225, LIMA, BARRANCA, BARRANCA</t>
  </si>
  <si>
    <t>44504738</t>
  </si>
  <si>
    <t>HUARACHA CONDORI MARIO</t>
  </si>
  <si>
    <t>MANZANA D LOTE 22 ASOC SAN JUAN DE DIOS</t>
  </si>
  <si>
    <t>45034093</t>
  </si>
  <si>
    <t>HUARANGA HUAROTO LIZBETH EVELYN</t>
  </si>
  <si>
    <t>AV. HUANDOY  MZ. 39 LT.34 A.H. ARMANDO VILLANUEVA</t>
  </si>
  <si>
    <t>70431344</t>
  </si>
  <si>
    <t>HUARCA PECAN ALEXANDER ROQUE</t>
  </si>
  <si>
    <t>JR. JOSE OLAYA NRO. 51A P.J. VILLA POETA (ALT PARADERO 8 DE JOSE GALVEZ)</t>
  </si>
  <si>
    <t>42698375</t>
  </si>
  <si>
    <t>HUARCAYA ALDAMA JULIO CESAR</t>
  </si>
  <si>
    <t>AV. BOLIVIA N° 148. TIENDA 2309</t>
  </si>
  <si>
    <t>46230056</t>
  </si>
  <si>
    <t>HUARCAYA CAPAQUIRA RENE EDERSON</t>
  </si>
  <si>
    <t>CRUCE DE AV. REVOLUCIÓN CON AV. 3 DE OCTUBRE,</t>
  </si>
  <si>
    <t>70987419</t>
  </si>
  <si>
    <t>HUARCAYA HUAMANI BRAULIO GASPAR</t>
  </si>
  <si>
    <t>AV. PROCERES DE LA INDEPENDENCIA 2643</t>
  </si>
  <si>
    <t>09567007</t>
  </si>
  <si>
    <t>HUARCAYA SANDOVAL EDSON JAIR</t>
  </si>
  <si>
    <t>AV. LA PAZ NRO. 305 INT. 201 LIMA - LIMA - MIRAFLORES</t>
  </si>
  <si>
    <t>72190984</t>
  </si>
  <si>
    <t>HUARCAYA SANDOVAL, EDSON JAIR</t>
  </si>
  <si>
    <t>HUARI CHULLUNCUY GALLEJO REDUCINDO</t>
  </si>
  <si>
    <t>ASOC VIV AYACUCHO MZ M LOTE 45</t>
  </si>
  <si>
    <t>09652291</t>
  </si>
  <si>
    <t>HUARINGA NOLASCO JULIO ALBERDI</t>
  </si>
  <si>
    <t>AV. PACHACUTEC MZ E - LT 05 - A.H. NUEVO PROGRESO 2DA ET, LIMA, LIMA, VILLA MARIA DEL TRIUNFO</t>
  </si>
  <si>
    <t>20694436</t>
  </si>
  <si>
    <t>HUARINO RAMOS JUAN PERCY</t>
  </si>
  <si>
    <t>MZ. A5 LOTE 18 MI PERU(AV. TRUJILLO FTE. AL COLEGIO SAN JUAN)</t>
  </si>
  <si>
    <t>29602949</t>
  </si>
  <si>
    <t>HUATUCO QUISPE JENNY LIZBETH</t>
  </si>
  <si>
    <t>AV. SACO ROJAS LOTE 79 RES. CONDOMINIO ALAMEDA DE SAN JUAN, LIMA, LIMA, CARABAYLLO</t>
  </si>
  <si>
    <t>45589332</t>
  </si>
  <si>
    <t>HUAYA CONDE JACINTO</t>
  </si>
  <si>
    <t>ASOC. DE VIV. SAN FRANCISCO SAN JUAN DE ATE KM.13 CARRET. CENTRAL PARIACHI MZ. A LT. 9</t>
  </si>
  <si>
    <t>09485662</t>
  </si>
  <si>
    <t>HUAYAC HERRERA JOSE LEONARDO</t>
  </si>
  <si>
    <t>CALLE SAN JOSE N° 200</t>
  </si>
  <si>
    <t>72094310</t>
  </si>
  <si>
    <t>HUAYAC HERRERA, JOSE LEONARDO</t>
  </si>
  <si>
    <t>HUAYLINOS INGA ALBERTO ANTONIO</t>
  </si>
  <si>
    <t>JR 11 DE AGOSTO 570, A UNA CDRA DEL BANDO DE LA NACION</t>
  </si>
  <si>
    <t>19870342</t>
  </si>
  <si>
    <t>HUAYLLASCO JULIA</t>
  </si>
  <si>
    <t>AV. EL SOL 890, LIMA, LIMA, LIMA</t>
  </si>
  <si>
    <t>08303673</t>
  </si>
  <si>
    <t>HUAYLLASCO QUISPE MARIA ELENA</t>
  </si>
  <si>
    <t>JR. AUGUSTO B. LEGUI 285</t>
  </si>
  <si>
    <t>52335 - VTA. MIN. EQUIPO DE USO DOMESTICO</t>
  </si>
  <si>
    <t>09170373</t>
  </si>
  <si>
    <t>HUAYLLASCO QUISPE, MARIA ELENA</t>
  </si>
  <si>
    <t>HUAYNATES SANCHO MARITZA LUZ</t>
  </si>
  <si>
    <t>MZ A LT1 SECTOR 24 DE JUNIO ASOC DE VIVIENDA LA VILLA DE COLLANAC</t>
  </si>
  <si>
    <t>21123982</t>
  </si>
  <si>
    <t>HUAYTA APAZA FELIPE</t>
  </si>
  <si>
    <t>JR ITALIA 1588 INT 304</t>
  </si>
  <si>
    <t>02168011</t>
  </si>
  <si>
    <t>HUAYTA APAZA, FELIPE</t>
  </si>
  <si>
    <t>HUAYTARA HUAMAN JORGE</t>
  </si>
  <si>
    <t>SECTOR 9 GRUPO 3 MZ S LT 8</t>
  </si>
  <si>
    <t>10806048</t>
  </si>
  <si>
    <t>HUERTA ANTUNEZ DOMINGO ANGEL</t>
  </si>
  <si>
    <t>CALLE. ALIPIO PONCE 949 LIMA - LIMA - SAN MARTIN DE PORRES</t>
  </si>
  <si>
    <t>07621499</t>
  </si>
  <si>
    <t>DOMINGO ANGEL HUERTA ANTUNEZ</t>
  </si>
  <si>
    <t>HUERTA CABANA MARCIAL ANTONIO</t>
  </si>
  <si>
    <t>AV. ARQUITECTOS MZ. D LOTE 14 A.H HIROSHIMA</t>
  </si>
  <si>
    <t>41647277</t>
  </si>
  <si>
    <t>HUERTA CARRION YANET ADELAIDA</t>
  </si>
  <si>
    <t>AV. DOMINICOS 1120 CALLAO (REF. BOCANEGRA CON DOMINICOS)</t>
  </si>
  <si>
    <t>47762770</t>
  </si>
  <si>
    <t>HUERTA ORTIZ SALVADOR ANISETO</t>
  </si>
  <si>
    <t>AV. TALARA 235, LIMA, LIMA, JESÚS MARÍA</t>
  </si>
  <si>
    <t>15745057</t>
  </si>
  <si>
    <t>HUERTA RAMIREZ KATHERINE LUCIA</t>
  </si>
  <si>
    <t>AV. NICOLAS AYLLON 2480, LIMA, LIMA, ATE</t>
  </si>
  <si>
    <t>76133528</t>
  </si>
  <si>
    <t>HUERTA RAMIREZ, KATHERINE LUCIA</t>
  </si>
  <si>
    <t>HUERTA REYNA ALVARO FERNANDO</t>
  </si>
  <si>
    <t>QUEPEPAMPA MZ. A LT. 1</t>
  </si>
  <si>
    <t>0130 - PROPAGACIÓN DE PLANTAS</t>
  </si>
  <si>
    <t>46896947</t>
  </si>
  <si>
    <t>HUERTA VARGAS SABINO</t>
  </si>
  <si>
    <t>MZ. B, LT. 18 ASOCIACIÓN DE VIVIENDAS PREDIO SAN SEBASTIÁN SMP.  (REFERENCIA. - EN LA INTERSECCIÓN DE LA AVENIDA CANTA CALLAO CON LA AVENIDA NARANJAL)</t>
  </si>
  <si>
    <t>08544573</t>
  </si>
  <si>
    <t>HUERTAS CHIRRE JULIO CESAR</t>
  </si>
  <si>
    <t>AV. CENTENARIO S/N( PASANDO FUNDO 2000 A 20 METROS DE LA INTERSECCION LA CARRETERA CEMENTERIO)</t>
  </si>
  <si>
    <t>44235510</t>
  </si>
  <si>
    <t>HUERTAS MARCOS JOSE CARLOS</t>
  </si>
  <si>
    <t>LOS NARCISOS-A.H. VILLA MARIA MZA.B LOTE 10 COSTADO DEL COLEGIO SAN ANTONIO, LIMA, HUARAL, HUARAL</t>
  </si>
  <si>
    <t>47386953</t>
  </si>
  <si>
    <t>HUGO ALVAREZ WILLY</t>
  </si>
  <si>
    <t>AV.LIMA 3398</t>
  </si>
  <si>
    <t>46044701</t>
  </si>
  <si>
    <t>HUIMAN INGA EDUARDO PABLO</t>
  </si>
  <si>
    <t>AV. LA ESTACION 428, HUARAL 15202</t>
  </si>
  <si>
    <t>15750298</t>
  </si>
  <si>
    <t>HUIÑAC PAREDES JUAN DANIEL</t>
  </si>
  <si>
    <t>GALERIA "SANTA ROSA" 2 PISO-STAND E2(ESPALDA BCO. DE LA NACION)</t>
  </si>
  <si>
    <t>25824035</t>
  </si>
  <si>
    <t>HUISA PACHARI HENRRY</t>
  </si>
  <si>
    <t>AV. CORDILLERA NEGRA NRO. MZD4 INT. LT10 URB. - DELICIAS DE VILLA, LIMA, LIMA, CHORRILLOS</t>
  </si>
  <si>
    <t>10632845</t>
  </si>
  <si>
    <t>HUIZA LOPEZ ANIBAL</t>
  </si>
  <si>
    <t>MZ A LT 3-A ASOCIACION MICAELA BASTIDAS DE ZAPALLAL PUENTE PIEDRA</t>
  </si>
  <si>
    <t>10503075</t>
  </si>
  <si>
    <t>HUIZA MATAMOROS RODOLFO</t>
  </si>
  <si>
    <t>AV. PROCERES DE LA INDEPENDENCIA NRO. 3387 URB. - LOS PINOS</t>
  </si>
  <si>
    <t>46066850</t>
  </si>
  <si>
    <t>HUMAREDA QUISPE GIANCARLOS JUNIOR</t>
  </si>
  <si>
    <t>NUEVO AMANECER MZ F LT 1 CP SAN BENITO</t>
  </si>
  <si>
    <t>47621035</t>
  </si>
  <si>
    <t>HURTADO ACUÑA JUAN CARLOS</t>
  </si>
  <si>
    <t>JIRON GRAL VIDAL 630 LIMA 15083</t>
  </si>
  <si>
    <t>07414611</t>
  </si>
  <si>
    <t>HURTADO AVILA JULIA LEONOR</t>
  </si>
  <si>
    <t>AV . MARCONA 145 PISO 4 URB SAN IGNACIO DE MONTERRICO</t>
  </si>
  <si>
    <t>62795790</t>
  </si>
  <si>
    <t>HURTADO MENDOZA JHONNY</t>
  </si>
  <si>
    <t>CALLE 12 SAN GENARO (FRENTE AL MERCADO SAN JOSE)</t>
  </si>
  <si>
    <t>42950235</t>
  </si>
  <si>
    <t>HURTADO MENDOZA, JHONNY</t>
  </si>
  <si>
    <t>HURTADO QUIROZ JOSE MANUEL</t>
  </si>
  <si>
    <t>AV. TÚPAC AMARU 411, LIMA, HUAURA, HUACHO</t>
  </si>
  <si>
    <t>41054161</t>
  </si>
  <si>
    <t>HURTADO TOLENTINO HENRY FRANKLIN</t>
  </si>
  <si>
    <t>MZ 01 LOTE 16 ASOCIOACION SIBIL DE VIVIENDA PARIACHI 3RA ETAPA, LIMA, LIMA, ATE</t>
  </si>
  <si>
    <t>44801351</t>
  </si>
  <si>
    <t>IBAÑEZ ADRIANZEN NERCY OLIVIA</t>
  </si>
  <si>
    <t>JR. BOLOGNESI 170 MAGDALENA</t>
  </si>
  <si>
    <t>03244296</t>
  </si>
  <si>
    <t>IBAÑEZ CORALES SEGUNDO ALBERTO</t>
  </si>
  <si>
    <t>URB. LOS NARANJOS MZ.E3 LT.4 ESQ. CAJAY Y FLORES</t>
  </si>
  <si>
    <t>32984187</t>
  </si>
  <si>
    <t>IGARZA TUMBAY RAUL FERNANDO</t>
  </si>
  <si>
    <t>AV. 13 DE ENERO NRO 2358 URB. SAN CARLOS (REFERENCIA POR ESTACION LOS POSTES, CALLE TOTUS POR LA AV LIMA)</t>
  </si>
  <si>
    <t>22493943</t>
  </si>
  <si>
    <t>IGLESIAS SEGOVIA ERWIN JASON</t>
  </si>
  <si>
    <t>JR. INDEPENDENCIA 282</t>
  </si>
  <si>
    <t>06672848</t>
  </si>
  <si>
    <t>IGLESIAS SEGOVIA, ERWIN JASON</t>
  </si>
  <si>
    <t>ILLESCAS GARCIA CARLOS PIERO</t>
  </si>
  <si>
    <t>CALLE RAMÓN CASTILLA 679 URBANIZACIÓN SAN RAFAEL</t>
  </si>
  <si>
    <t>40474661</t>
  </si>
  <si>
    <t>INCA RAMIREZ JUVENAL</t>
  </si>
  <si>
    <t>AV. PACHACUTEC MZA. 12 LOTE. 9 PARQUE INDUSTRIAL CONO SUR PARCELA1</t>
  </si>
  <si>
    <t>42960259</t>
  </si>
  <si>
    <t>INCAHUANACO MAMANI DAVID</t>
  </si>
  <si>
    <t>MZ. K  LT. 34. LOS BOSQUES DE PACHACAMAC</t>
  </si>
  <si>
    <t>41286705</t>
  </si>
  <si>
    <t>INCIO VIERA CARLOS ALBERTO</t>
  </si>
  <si>
    <t>JIRON ACOPE N 315 PASAJE 2</t>
  </si>
  <si>
    <t>80264704</t>
  </si>
  <si>
    <t>INDIGOYEN AGUILAR ARNOLD CLAY</t>
  </si>
  <si>
    <t>AV. SAN MARTIN CDRA 6 LAS TORRES DE SANTA CLARA 2, LIMA, LIMA, ATE</t>
  </si>
  <si>
    <t>71481611</t>
  </si>
  <si>
    <t>INFANTE QUISPE ALFONSO RUGGERY</t>
  </si>
  <si>
    <t>URB. SAN AGUSTIN MZ T LOTE 9</t>
  </si>
  <si>
    <t>45646597</t>
  </si>
  <si>
    <t>INFANTES ASTOCHADO DE COTRINA JESSICA YOLANDA</t>
  </si>
  <si>
    <t>AV TUPAC AMARU 2605 KM 19</t>
  </si>
  <si>
    <t>46752145</t>
  </si>
  <si>
    <t>INGA LOPEZ JOEL</t>
  </si>
  <si>
    <t>AV. NARANJAL NRO 1359, LIMA, LIMA, LOS OLIVOS</t>
  </si>
  <si>
    <t>09697881</t>
  </si>
  <si>
    <t>INGA LOPEZ, JOEL</t>
  </si>
  <si>
    <t>INGA PONCE ALEJANDRO</t>
  </si>
  <si>
    <t>AV. CONDE DE LEMOS 195</t>
  </si>
  <si>
    <t>40109923</t>
  </si>
  <si>
    <t>INGA PONCE, ALEJANDRO</t>
  </si>
  <si>
    <t>INGA TORIBIO ROCIO HILDAURA</t>
  </si>
  <si>
    <t>JR. ENRIQUE LA ROSA NRO. 202</t>
  </si>
  <si>
    <t>09921107</t>
  </si>
  <si>
    <t>INGA VIZARRETA KREVER</t>
  </si>
  <si>
    <t>PROLONGACION ITALIA 1564</t>
  </si>
  <si>
    <t>10767356</t>
  </si>
  <si>
    <t>INGARUCA ARZAPALO ELIAS SAUL</t>
  </si>
  <si>
    <t>ASOC. MELCHORITA  MZ. A LOTE 20 SANTA CLARA, LIMA, LIMA, ATE</t>
  </si>
  <si>
    <t>41324885</t>
  </si>
  <si>
    <t>INGARUCA ARZAPALO MESIAS EFRAIN</t>
  </si>
  <si>
    <t>ASO.MELCHORITA MZ A LOTE 18 (REFERENCIA: FRENTE A REVISIONES TÉCNICAS LIDERCON ATE)</t>
  </si>
  <si>
    <t>10246951</t>
  </si>
  <si>
    <t>INOCENTE ALCANTARA LORENZA BENEDICTA</t>
  </si>
  <si>
    <t>AV. CRUZ BLANCA N°737 (FRENTE DE LA PLAZUELA DE CRUZ BLANCA)</t>
  </si>
  <si>
    <t>15656774</t>
  </si>
  <si>
    <t>INOCENTE PICON CRISTHIAN HAMILCAR</t>
  </si>
  <si>
    <t>JR LIMA F-01A ASOC DE POBL. MICAELA BASTIDAS. PUENTE PIEDRA</t>
  </si>
  <si>
    <t>71898664</t>
  </si>
  <si>
    <t>INOÑAN SANTAMARIA RICARDO</t>
  </si>
  <si>
    <t>PROGRAMA DE VIVIENDAS LAS LOMAS DE PUENTE PIEDRA MZ. "F" LT. "13"</t>
  </si>
  <si>
    <t>46285319</t>
  </si>
  <si>
    <t>INOÑAN VALDERA EDWIN ALEXANDER</t>
  </si>
  <si>
    <t>MZ. D LT. 1 COOPERATIVA SANTE FE</t>
  </si>
  <si>
    <t>47696109</t>
  </si>
  <si>
    <t>INOÑAN VALDERA, EDWIN ALEXANDER</t>
  </si>
  <si>
    <t>INOÑAN VALDERA SARA</t>
  </si>
  <si>
    <t>CALLE 3 325 URB. CARABAYLLO</t>
  </si>
  <si>
    <t>17638271</t>
  </si>
  <si>
    <t>INTUSCA GALVAN CANDY</t>
  </si>
  <si>
    <t>JR LUCANAS #920 INTERIOR 45 LIMA - LIMA - LA VICTORIA</t>
  </si>
  <si>
    <t>74204020</t>
  </si>
  <si>
    <t>CANDY INTUSCA GALVAN</t>
  </si>
  <si>
    <t>IPANAQUE FERNANDEZ ALICIA DEL SOCORRO</t>
  </si>
  <si>
    <t>AV TOMAS VALLE CON AV. TUPAC AMARU (PABELLON 2 BLOQUE J1 - PUESTO 5) MERCADO CENTRAL FEVACEL</t>
  </si>
  <si>
    <t>43423499</t>
  </si>
  <si>
    <t>IPANAQUE OTINIANO CARLOS ASENCION</t>
  </si>
  <si>
    <t>JIRON SAN PEDRO 116 VIRGEN DE LOURDES</t>
  </si>
  <si>
    <t>OTROS TIPOS DE VENTA POR MENOR.</t>
  </si>
  <si>
    <t>40803555</t>
  </si>
  <si>
    <t> IPANAQUE OTINIANO, CARLOS ASENCION</t>
  </si>
  <si>
    <t>IPINCE GOMEZ CELESTE NEREA</t>
  </si>
  <si>
    <t>JR AREQUIPA N° 136 GALERIA CAMPOS (FRENTE DE TOPI TOP)</t>
  </si>
  <si>
    <t>63020125</t>
  </si>
  <si>
    <t>IRIGOIN MEDINA MERVIN ASHLEY</t>
  </si>
  <si>
    <t>AV SEPARADORA INDUSTRIAL NRO 933 SICUANI</t>
  </si>
  <si>
    <t>80065728</t>
  </si>
  <si>
    <t>IRRAZABAL LAURA SIMON ENRIQUE</t>
  </si>
  <si>
    <t>AV. 22 DE JULIO MZ LT23 URB. ALAMEDA DE ATE 2DA ETAPA</t>
  </si>
  <si>
    <t>10262439</t>
  </si>
  <si>
    <t>ISIDRO BARZOLA JANE</t>
  </si>
  <si>
    <t>MZ. A LT. 36 JR. LUIS DEXTRE ECAHIZ-URB. LOS VIDEÑOS DE SURCO</t>
  </si>
  <si>
    <t>41382947</t>
  </si>
  <si>
    <t>ISLA VALVERDE MIGUEL ANGEL</t>
  </si>
  <si>
    <t>25798039</t>
  </si>
  <si>
    <t>ITA MIRANDA OMAR JESUS</t>
  </si>
  <si>
    <t>AV. UNIVERSITARIA NRO. 5673 URB. SANTA ISOLINA</t>
  </si>
  <si>
    <t>41365125</t>
  </si>
  <si>
    <t>IZQUIERDO AGUERO RUBEN GALVAN</t>
  </si>
  <si>
    <t>AV. PUENTE PIEDRA N° 380, LIMA, LIMA, PUENTE PIEDRA</t>
  </si>
  <si>
    <t>4663 - VENTA AL POR MAYOR DE MATERIALES DE CONSTRUCCIÓN, ARTÍCULOS DE FERRETERÍA Y EQUIPO Y MATERIALES DE FONTANERÍA Y CALEFACCIÓN.</t>
  </si>
  <si>
    <t>70298139</t>
  </si>
  <si>
    <t>IZQUIERDO BARRENECHEA DE MATOS RUTH MARLENE</t>
  </si>
  <si>
    <t>CALLE BERENICE DAVILA A-4 (REF. CASA DE DOS PISOS COLOR CELESTE)</t>
  </si>
  <si>
    <t>40431364</t>
  </si>
  <si>
    <t>RUTH MARLENE IZQUIERDO BARRENECHEA</t>
  </si>
  <si>
    <t>JACHILLA OSORIO TONY EFRAIN</t>
  </si>
  <si>
    <t>CA 53 192-20 - A.H SAN MARTIN, LIMA, LIMA, LOS OLIVOS</t>
  </si>
  <si>
    <t>42069876</t>
  </si>
  <si>
    <t>JACINTO LEIVA MACKINDER</t>
  </si>
  <si>
    <t>JR. SAN JOSE N° 497 SAN CARLOS</t>
  </si>
  <si>
    <t>04102967</t>
  </si>
  <si>
    <t>JAIME RAMIREZ PERSI CHERMAN</t>
  </si>
  <si>
    <t>IRRIGACION SANTA ROSA.  A.H. 9 DE OCTUBRE</t>
  </si>
  <si>
    <t>15619097</t>
  </si>
  <si>
    <t>JAIMES LOAYZA LELI ANTONELA</t>
  </si>
  <si>
    <t>ASOCIACION CORONEL PEDRO PORTILLO SILVA MZ H LT 11, LIMA, HUAURA, HUAURA</t>
  </si>
  <si>
    <t>76132942</t>
  </si>
  <si>
    <t>JAIMES LUNA FELIX JULINHO</t>
  </si>
  <si>
    <t>AV ADAN ACEVEDO S/N CENTRO COMERCIAL ACOMESUR STAD C-2</t>
  </si>
  <si>
    <t>76225877</t>
  </si>
  <si>
    <t>JAIMES VALERA EDUARDO</t>
  </si>
  <si>
    <t>AV. ANTUNEZ DE MAYOLO NRO 1446</t>
  </si>
  <si>
    <t>Principal - 64207 - TELECOMUNICACIONES</t>
  </si>
  <si>
    <t>10623610</t>
  </si>
  <si>
    <t>JANAMPA ANGULO KEVIN NEIL</t>
  </si>
  <si>
    <t>PJE. LOS ANGELES NRO. 637</t>
  </si>
  <si>
    <t>44786216</t>
  </si>
  <si>
    <t>JANAMPA ANGULO, KEVIN NEIL</t>
  </si>
  <si>
    <t>JANAMPA CCOLLANA EDISON</t>
  </si>
  <si>
    <t>AV. NICOLAS AYLLON N° 586- ATE</t>
  </si>
  <si>
    <t>46865063</t>
  </si>
  <si>
    <t>JAQUE LORENZO FRANCISCO</t>
  </si>
  <si>
    <t>MZ A LT 02 URB SANTA MARIA DE CARABAYLLO  (AV. SANTO DOMINGO)</t>
  </si>
  <si>
    <t>06831961</t>
  </si>
  <si>
    <t>JARA FLORES LIN MOISES</t>
  </si>
  <si>
    <t>AV. BUENOS AIRES MZ L LTE 22 (PARADERO TRES REGIONES, REPUESTOS LISSET - REP PALACIO).</t>
  </si>
  <si>
    <t>47744074</t>
  </si>
  <si>
    <t>JARA HUAMANÑAHUI ANAIS TRIXSY</t>
  </si>
  <si>
    <t>AV CAMINOS DEL INCA 2442</t>
  </si>
  <si>
    <t>73590696</t>
  </si>
  <si>
    <t>JARA MORENO CHARLE ARSENIO</t>
  </si>
  <si>
    <t>AV. HUANDOY MZ. 179 LT. 21 A.H. - SAN MARTIN DE PORRES - 39, LIMA, LIMA, LOS OLIVOS</t>
  </si>
  <si>
    <t>42454077</t>
  </si>
  <si>
    <t>JARA SUAREZ JUNIORS LEONARDO</t>
  </si>
  <si>
    <t>AV. VICTOR RAUL HALLA DE LA TORRE 465</t>
  </si>
  <si>
    <t>41793829</t>
  </si>
  <si>
    <t>JARA SUAREZ KELVIN RIGOBERTO</t>
  </si>
  <si>
    <t>AV. PEDRO SAYAN N° 465</t>
  </si>
  <si>
    <t>15299871</t>
  </si>
  <si>
    <t>JARA TRINIDAD HECTOR MANUEL</t>
  </si>
  <si>
    <t>AV.CANTA CALLAO MZA A LT. 10 ASC. LOS JARDINES DE NARANJAL</t>
  </si>
  <si>
    <t>46604838</t>
  </si>
  <si>
    <t>JAVIER VILLALOBOS DIANA ESTRELLA</t>
  </si>
  <si>
    <t>AV. MEXICO 107 2DO PISO STAND 3</t>
  </si>
  <si>
    <t>42978057</t>
  </si>
  <si>
    <t>JERI MURRIETA ANGEL ALEXANDER</t>
  </si>
  <si>
    <t>GRUPO 25-A MZA. L LOTE. 17 SECTOR 2 (ALT AV CESAR VALLEJO)  - LIMA - LIMA - VILLA EL SALVADOR</t>
  </si>
  <si>
    <t>41145730</t>
  </si>
  <si>
    <t>JESUS INGA SAMUEL FORTUNATO</t>
  </si>
  <si>
    <t>AV. CIRCUNVALACION 1255 URB. SAN PABLO</t>
  </si>
  <si>
    <t>09307644</t>
  </si>
  <si>
    <t>JESUS VELASQUEZ HUGO HUMBERTO</t>
  </si>
  <si>
    <t>AV. TUPAC AMARU 3772A (KM 21), LIMA , LIMA, CARABAYLLO</t>
  </si>
  <si>
    <t>40124052</t>
  </si>
  <si>
    <t>JIMENEZ FIGUEROA JAVIER</t>
  </si>
  <si>
    <t>DIRECCIÓN SECTOR 1 GRUPO 3 MANZANA P LOTE 17</t>
  </si>
  <si>
    <t>09694457</t>
  </si>
  <si>
    <t>JIMENEZ GARCIA RONIVEL</t>
  </si>
  <si>
    <t>MZA. A LOTE. 01 C.P. LAS CASUARINAS (ALTURA PARADERO LADRILLERA)</t>
  </si>
  <si>
    <t>42088132</t>
  </si>
  <si>
    <t>JIMENEZ MORENO GLADYS INDIRA</t>
  </si>
  <si>
    <t>AV. SAN JUAN 730</t>
  </si>
  <si>
    <t>4273806</t>
  </si>
  <si>
    <t>JIMENEZ VELASQUEZ LUIS ENRIQUE</t>
  </si>
  <si>
    <t>09786064</t>
  </si>
  <si>
    <t>JORGE GONZALES DE ALONZO VICTORIA</t>
  </si>
  <si>
    <t>JR. NICOLÁS DE PIEROLA S/N SAN MARCOS, ANCASH, HUARI, SAN MARCOS</t>
  </si>
  <si>
    <t>22896079</t>
  </si>
  <si>
    <t>JORGE MILLAN ALICIA ROSA</t>
  </si>
  <si>
    <t>UBR. SANTA ROSA DE HUALCARA, MZ R. LOTE 23</t>
  </si>
  <si>
    <t>34303 - FAB. PARTES, PIEZAS Y ACCESORIOS.</t>
  </si>
  <si>
    <t>42610659</t>
  </si>
  <si>
    <t>JORGES MENDOZA JHONSON RICARDO</t>
  </si>
  <si>
    <t>URB. AUXILIOS MUTUOS S/N (AV.JULIO C. TELLO )</t>
  </si>
  <si>
    <t>47264613</t>
  </si>
  <si>
    <t>JUAN DE DIOS FERNANDEZ NOELIA</t>
  </si>
  <si>
    <t>NOCHETO MZ.Z LOTE 1 (REF. COLEGIO LOS ARBOLES123)</t>
  </si>
  <si>
    <t>44633173</t>
  </si>
  <si>
    <t>JUAN DE DIOS QUICHCA CHRISTIAN FRANCISCO</t>
  </si>
  <si>
    <t>CARRETERA CENTRAL KM 13.5 ASOCIACION DE VIVIENDA LAS TERRAZAS DE ATE MZ A LOTE 2</t>
  </si>
  <si>
    <t>48099234</t>
  </si>
  <si>
    <t>JUAN RICARDO GUTIERREZ PURE</t>
  </si>
  <si>
    <t>AV. MARCOS FARFAN NRO. 3302 URB. - HABIL INDUSTR-PANAM NORTE</t>
  </si>
  <si>
    <t>10764730</t>
  </si>
  <si>
    <t>JUAREZ AYVAR LISBETH</t>
  </si>
  <si>
    <t>VILLA EL SALVADOR SECTOR 6 GRUPO 1 MZ. P LT.10, LIMA, LIMA, VILLA EL SALVADOR</t>
  </si>
  <si>
    <t>47379225</t>
  </si>
  <si>
    <t>JUAREZ OCHOA JORGE EDWARD</t>
  </si>
  <si>
    <t>MZ. G1 LOTE 4, LOS ROSALES, LIMA, LIMA, ANCON</t>
  </si>
  <si>
    <t>40263601</t>
  </si>
  <si>
    <t>JUAREZ OCHOA, JORGE EDWARD</t>
  </si>
  <si>
    <t>JUIPA CARRILLO YOLANDA</t>
  </si>
  <si>
    <t>AV. RIVA AGÜERO NRO. 365</t>
  </si>
  <si>
    <t>48768987</t>
  </si>
  <si>
    <t>JULCA BRONCANO WILDER FLORENTINO</t>
  </si>
  <si>
    <t>CALLE LUIS ALBERTO DE LAS CASAS N°333-2°PISO - CHANCAY</t>
  </si>
  <si>
    <t>41069755</t>
  </si>
  <si>
    <t>JULCA MELCHOR OSCAR</t>
  </si>
  <si>
    <t>AV.SEPARADORA INDUSTRIAL AGRUPACIÓN PACHACAMAC MZ B11- LOTE 28 -VES (REFERENCIA GRIFO CHEPEN)</t>
  </si>
  <si>
    <t>43415667</t>
  </si>
  <si>
    <t>JULCA MORENO EMILIANO JULIO</t>
  </si>
  <si>
    <t>MZ C LT 11 C  CASA BLANCA (TERCER PISO) ( REF LA HUACA (CASA BLANCA) )</t>
  </si>
  <si>
    <t>42964795</t>
  </si>
  <si>
    <t>JULCAPARI CUBA ALEX ANTONIO</t>
  </si>
  <si>
    <t>MZ W, LT 29, SAN JUAN DE LURIGANCHO - LIMA</t>
  </si>
  <si>
    <t>40898133</t>
  </si>
  <si>
    <t>JULCAPARI CUBA, ALEX ANTONIO</t>
  </si>
  <si>
    <t>JULCARIMA VILLA ANTONY JEFFREY</t>
  </si>
  <si>
    <t>CALLE CHAVIN 490, SANTA ANITA</t>
  </si>
  <si>
    <t>77017279</t>
  </si>
  <si>
    <t>JULCARIMA VILLA, ANTONY JEFFREY</t>
  </si>
  <si>
    <t>JULIAN ROQUE ALBERTO MARTIN</t>
  </si>
  <si>
    <t>AV. METROPOLITANA CDRA. 281</t>
  </si>
  <si>
    <t>10395554</t>
  </si>
  <si>
    <t>JULIAN TEJADA CARLOS JAVIER</t>
  </si>
  <si>
    <t>ANEXO TRANQUERA DE FIERRO CERRO AZUL CAÑETE</t>
  </si>
  <si>
    <t>73832182</t>
  </si>
  <si>
    <t>JULIAN VICENTE LUIS ANTONIO</t>
  </si>
  <si>
    <t>JR TUMBES CUADRA 8, LIMA, CAÑETE, QUILMANA</t>
  </si>
  <si>
    <t>70356938</t>
  </si>
  <si>
    <t>JURADO ORE ALFREDO PEDRO</t>
  </si>
  <si>
    <t>URB. SANTA MARINA NORTE BLOQUE X DPTO 302, CALLAO, CALLAO, CALLAO</t>
  </si>
  <si>
    <t>25752737</t>
  </si>
  <si>
    <t>JURADO ORE, ALFREDO PEDRO</t>
  </si>
  <si>
    <t>JUSTINIANO CHAVEZ OLIMPIO</t>
  </si>
  <si>
    <t>PROLONGACION MOORE #620 - HUACHO, LIMA, HUAURA, AMAY</t>
  </si>
  <si>
    <t>15581057</t>
  </si>
  <si>
    <t>JUSTINO GÜERE KEIVY DAVIR</t>
  </si>
  <si>
    <t>KM 168 DE LA PANAMERICANA NORTE REF. LA FLORESTA, LIMA, HUAURA, VEGUETA</t>
  </si>
  <si>
    <t>70901223</t>
  </si>
  <si>
    <t>JUSTO RODRIGUEZ EVELYN MARGOT</t>
  </si>
  <si>
    <t>AV CENTRAL 1700</t>
  </si>
  <si>
    <t>48609704</t>
  </si>
  <si>
    <t>KOBASHIGAWA MATAYOSHI CHRISTIAN</t>
  </si>
  <si>
    <t>AV CALCA N°267</t>
  </si>
  <si>
    <t>10259753</t>
  </si>
  <si>
    <t>KUOMAN ALTAMIRANO JOHNY EDGAR</t>
  </si>
  <si>
    <t>JIRON SANTA CRUZ DE TENERIFE 208</t>
  </si>
  <si>
    <t>41491686</t>
  </si>
  <si>
    <t>LA ROSA CUSIRRAMOS RICHARD ANDERSON</t>
  </si>
  <si>
    <t>JR. PACASMAYO 4019 S.M.P</t>
  </si>
  <si>
    <t>10623129</t>
  </si>
  <si>
    <t>LA ROSA MOLINA JUAN CARLOS</t>
  </si>
  <si>
    <t>15581083</t>
  </si>
  <si>
    <t>LA TORRE CANCINO PERCY GERMAN</t>
  </si>
  <si>
    <t>AAA.HH ASUNCIÓN 8 MZ U LOTE 12 IMPERIAL</t>
  </si>
  <si>
    <t>15357902</t>
  </si>
  <si>
    <t>LA TORRE JARA DE ORTIZ GIOVANA JESUS</t>
  </si>
  <si>
    <t>JR. MORONA N° 326, LIMA, LIMA, BREÑA</t>
  </si>
  <si>
    <t>08113708</t>
  </si>
  <si>
    <t>LA TORRE JARA DE ORTIZ, GIOVANA JESUS</t>
  </si>
  <si>
    <t>LA TORRE TORRES ERIKS CHRISTOPHER</t>
  </si>
  <si>
    <t>CALLE VALDIVIA 138 (REF. FRENTE COCHERA DMALU)</t>
  </si>
  <si>
    <t>42819536</t>
  </si>
  <si>
    <t>LADERA GOMEZ JAYDEN ELADIO</t>
  </si>
  <si>
    <t>MZ A LT 11 DEL SUB LOTE 4</t>
  </si>
  <si>
    <t>LADERA GOMEZ, JAYDEN ELADIO</t>
  </si>
  <si>
    <t>LADERA VELIZ LUIS ALBERTO</t>
  </si>
  <si>
    <t>AV. GARCILAZO DE LA VEGA 1282 OF. 114</t>
  </si>
  <si>
    <t>10690995</t>
  </si>
  <si>
    <t>LAGOS PALOMINO LISTHITT MARISOL</t>
  </si>
  <si>
    <t>A.H. LICENCIADOS DE VENTANILLA MZ. T5 LT. 21, CALLAO, CALLAO, VENTANILLA</t>
  </si>
  <si>
    <t>45738371</t>
  </si>
  <si>
    <t>LAGOS PALOMINO, LISTHITT MARISOL</t>
  </si>
  <si>
    <t>LAGOS VILCATOMA RICARDA</t>
  </si>
  <si>
    <t>AV. NESTOR GAMBETTA MZ A LT 27 COOP.COPEMAR</t>
  </si>
  <si>
    <t>28716265</t>
  </si>
  <si>
    <t>LAMA PINARES GUILLERMO</t>
  </si>
  <si>
    <t>JIRÓN LIBERTAD 354, RIMAC 15093</t>
  </si>
  <si>
    <t>10760458</t>
  </si>
  <si>
    <t>LAMBRUSCHINI TARAZONA ROBERTH JHON</t>
  </si>
  <si>
    <t>AV. UNIVERSITARIA NORTE 9964 ASOC. ALBORADA FRENTE AL GRIFO PRIMAX, LIMA, LIMA, COMAS</t>
  </si>
  <si>
    <t>10281622</t>
  </si>
  <si>
    <t>LAMILLA LOAYZA JHONATAN MAURICIO</t>
  </si>
  <si>
    <t>AV.ROSA DE AMÉRICA 342</t>
  </si>
  <si>
    <t xml:space="preserve"> 4759 - VENTA AL POR MENOR DE APARATOS ELÉCTRICOS DE USO DOMÉSTICO, MUEBLES, EQU. DE ILUMINACIÓN Y OTROS ENSERES EN COM. ESPECIALIZADOS</t>
  </si>
  <si>
    <t>74720251</t>
  </si>
  <si>
    <t>LANDA GOMERO ADOLFO GUSTAVO</t>
  </si>
  <si>
    <t>AV. ANTONIO RAYMONDI NRO. 326</t>
  </si>
  <si>
    <t>41607366</t>
  </si>
  <si>
    <t>LANDA GOYA ELVER DEIVIS</t>
  </si>
  <si>
    <t>CAL. MAYTA CAPAC MZ 12W - LT 07A - P.J. TABLADA DE LURIN, LIMA, LIMA, VILLA MARIA DEL TRIUNFO</t>
  </si>
  <si>
    <t>42635841</t>
  </si>
  <si>
    <t>LANDEO DE LA BREÑA SONIA</t>
  </si>
  <si>
    <t>JR. EL CARMEN 273 IMPERIAL</t>
  </si>
  <si>
    <t>80006290</t>
  </si>
  <si>
    <t>LANDEO PONCE ALBERTO ANTONIO</t>
  </si>
  <si>
    <t>CALLE 25 NRO. 167 CORPAC</t>
  </si>
  <si>
    <t>10543826</t>
  </si>
  <si>
    <t>LAOS BECAJ SIMON IVAN</t>
  </si>
  <si>
    <t>AV JOSE AUSEJO SALAS N° 193 (EN LA ''FUNERARIA EL ANGEL'')</t>
  </si>
  <si>
    <t>15725846</t>
  </si>
  <si>
    <t>LARA NOLASCO JACK PAUL</t>
  </si>
  <si>
    <t>AV. AURELIANO DE SOUZA 246</t>
  </si>
  <si>
    <t>MANTENIMIENTO Y REPARAC. VEHICULOS.</t>
  </si>
  <si>
    <t>42013642</t>
  </si>
  <si>
    <t>LASTRA PIZARRO AYRTON</t>
  </si>
  <si>
    <t>AV. ALFREDO MENDIOLA NRO 3540, LIMA, LIMA, INDEPENDENCIA</t>
  </si>
  <si>
    <t>48796300</t>
  </si>
  <si>
    <t>LASTRA PIZARRO, AYRTON</t>
  </si>
  <si>
    <t>LASTRA SANTILLAN JOSE MANUEL</t>
  </si>
  <si>
    <t>MZ J LT GM.CRUZ DE MOTUPE</t>
  </si>
  <si>
    <t>25835752</t>
  </si>
  <si>
    <t>LAURA LUYO LUIS ENRIQUE</t>
  </si>
  <si>
    <t>LA GRAMA MZ N LT 1 (FRENTE AL PARADERO LAS VIÑAS)</t>
  </si>
  <si>
    <t>09754681</t>
  </si>
  <si>
    <t>LAURA VELOZ NICK ZAM</t>
  </si>
  <si>
    <t>JR. ORBEGOZO 263-INTERIOR 246-A 2DO PISO CENTRO COMERCIAL GUIZADO, LIMA, LIMA, BREÑA</t>
  </si>
  <si>
    <t>46323976</t>
  </si>
  <si>
    <t>LAUREANO HERRERA CARLOS JONNIOR</t>
  </si>
  <si>
    <t>AV.LAS TORRES HUACHIPA REF. PALMERAS, LIMA, LIMA, HUACHIPA</t>
  </si>
  <si>
    <t>46936715</t>
  </si>
  <si>
    <t>LAVADO MANDUJANO EVELYN INDIRA</t>
  </si>
  <si>
    <t>PROGRAMA DE VIVIENDA LAS GARDENIAS MZ A LT 19 - CARABAYLLO (REFERENCIA OVALO PUENTE PIEDRA X EL MERCADO HUAMANTANGA) AV SAN JUAN PARADERO ARAS</t>
  </si>
  <si>
    <t>70866270</t>
  </si>
  <si>
    <t>LAVALLE SALAZAR LUIS ALBERTO</t>
  </si>
  <si>
    <t>AV. NESTOR GAMBETA KM.17.25</t>
  </si>
  <si>
    <t>08214470</t>
  </si>
  <si>
    <t>LAYMITO ALIAGA GLORIA ALCIRA</t>
  </si>
  <si>
    <t>MZ.N2 LT.12 SECTOR NORTE JICAMARCA - ANEXO 8 - DISTRITO SAN ANTONIO - PRIVINCIA HUAROCHIRI</t>
  </si>
  <si>
    <t>43420721</t>
  </si>
  <si>
    <t>LAZARO CORMAN EVELING DOMERICA</t>
  </si>
  <si>
    <t>JR. PARURO 1132 INT. 115 - CERCADO DE LIMA</t>
  </si>
  <si>
    <t>70764695</t>
  </si>
  <si>
    <t>LAZARO GOMEZ ANGGY KAREN</t>
  </si>
  <si>
    <t>MZ K4 LT 10 - URB.EL PINAR</t>
  </si>
  <si>
    <t>46560776</t>
  </si>
  <si>
    <t>LAZARO HERBOZO OSCAR MANUEL</t>
  </si>
  <si>
    <t>AV TUPAC AMARU NRO 152, LIMA, HUAURA, HUALMAY</t>
  </si>
  <si>
    <t>15614843</t>
  </si>
  <si>
    <t>OSCAR MANUEL LAZARO HERBOZO</t>
  </si>
  <si>
    <t>LAZARO MALQUI JHONNY JEFFERSON</t>
  </si>
  <si>
    <t>AAHH. SANTA ROSA DE PACHACUTEC MZ D LT 8</t>
  </si>
  <si>
    <t>78376717</t>
  </si>
  <si>
    <t>LAZARO ZEGARRA GERSON YEFRED</t>
  </si>
  <si>
    <t>AURELIANO CASTILLO REYES MZ B LT 8</t>
  </si>
  <si>
    <t>74566692</t>
  </si>
  <si>
    <t>LAZO AQUINO LUZ MERI</t>
  </si>
  <si>
    <t>AV. ALFREDO MENDIOLA 7955, LIMA, LIMA, LOS OLIVOS</t>
  </si>
  <si>
    <t>46435347</t>
  </si>
  <si>
    <t>LEANDRO BASURTO LEOPOLDO DANTE</t>
  </si>
  <si>
    <t>MADRE DE DIOS HERMOSO ANTIGUA PANAMERICANA MANZANA A LOTE 11</t>
  </si>
  <si>
    <t>47226887</t>
  </si>
  <si>
    <t>LEANDRO GARCIA JUAN PABLO</t>
  </si>
  <si>
    <t>CALLE BUFFEOS MZ Q LT 1 , URB-JAHUAY - LURIN</t>
  </si>
  <si>
    <t>44311126</t>
  </si>
  <si>
    <t>LEANDRO GARCIA, JUAN PABLO</t>
  </si>
  <si>
    <t>LEANDRO JERI NORMA NOEMI</t>
  </si>
  <si>
    <t>KM.41 LOTE. 12 A.H. JOSE OLAYA PLAYA LOS PULPOS ANTIGUA, LIMA, LIMA, LURIN</t>
  </si>
  <si>
    <t>47472659</t>
  </si>
  <si>
    <t>LEANDRO MARTINEZ JYEFFERSON DIXON</t>
  </si>
  <si>
    <t>AV ALFREDO MENDIOLA PAN NORTE KM 22.5 2DA ENTRADA PRO 08090</t>
  </si>
  <si>
    <t>47146401</t>
  </si>
  <si>
    <t>LEANDRO MARTINEZ, JYEFFERSON DIXON</t>
  </si>
  <si>
    <t>LEAÑO CHAVARRIA NEVEL ALVARO</t>
  </si>
  <si>
    <t>MARIA PARADO DE BELLIDO SUB LOTE 1 ZONAL 14 EX FUNDO CHACRA CERRO LIMA, LIMA, COMAS</t>
  </si>
  <si>
    <t>47368744</t>
  </si>
  <si>
    <t>LEAÑO CHAVARRIA ROBER NICOLD</t>
  </si>
  <si>
    <t>CALLE 28 DE JULIO S/N ALTURA DEL CERRO VISPAN</t>
  </si>
  <si>
    <t>43877995</t>
  </si>
  <si>
    <t>LECCA FLORIANO ROSA GRISSEL</t>
  </si>
  <si>
    <t>ANTIGUA PANAMERICANA SUR KM 39 MANZANA 2 LOTE 2, LIMA, LIMA, LURIN</t>
  </si>
  <si>
    <t>07696563</t>
  </si>
  <si>
    <t>LEIVA ALE LUIS MARTIN</t>
  </si>
  <si>
    <t>MANZANA N LOTE 1 VILLA MANGOMARCA</t>
  </si>
  <si>
    <t>80904 - EDUCACION DE ADULTOS Y OTROS</t>
  </si>
  <si>
    <t>09240431</t>
  </si>
  <si>
    <t>LEIVA PALOMINO WALTER EVERT</t>
  </si>
  <si>
    <t>AV. JOSÉ CARLOS MARIÁTEGUI MZ. N LT. 29</t>
  </si>
  <si>
    <t>4751 - VENTA AL POR MENOR DE PRODUCTOS TEXTILES EN COMERCIOS</t>
  </si>
  <si>
    <t>42845174</t>
  </si>
  <si>
    <t>LEON AGUILAR EVER HELI</t>
  </si>
  <si>
    <t>AAHH LAMPA DE ORO, PUENTE PIEDRA 07076</t>
  </si>
  <si>
    <t>46908877</t>
  </si>
  <si>
    <t>LEON CALAGUA EDGAR GUSTAVO</t>
  </si>
  <si>
    <t>AV. LA MAR NRO. 295 LIMA, CAÑETE, IMPERIAL</t>
  </si>
  <si>
    <t>06212736</t>
  </si>
  <si>
    <t>LEON CALEROS GRIMALDO</t>
  </si>
  <si>
    <t>AV. REVOLUCION 2929 5TA ZONA DE COLLIQUE</t>
  </si>
  <si>
    <t>06878881</t>
  </si>
  <si>
    <t>LEON CANO RICARDO</t>
  </si>
  <si>
    <t>KM22 PANTANOS DE VILLA</t>
  </si>
  <si>
    <t>40995429</t>
  </si>
  <si>
    <t>LEON CCONISLLA LOURDES</t>
  </si>
  <si>
    <t>JR. HIPOLITO UNANUE N°1568 - TDA.312 -"GALERIA LEO" - 3ER PISO, LIMA, LIMA, LA VICTORIA</t>
  </si>
  <si>
    <t>47776337</t>
  </si>
  <si>
    <t>LEON CCONISLLA, LOURDES</t>
  </si>
  <si>
    <t>LEON CRISPIN EVER EFRAIN</t>
  </si>
  <si>
    <t>AV. JOSE DE SAN MARTIN MZ. C LT. 5</t>
  </si>
  <si>
    <t>08883393</t>
  </si>
  <si>
    <t>LEON CRISPIN, EVER EFRAIN</t>
  </si>
  <si>
    <t>LEON DIOSES OSCAR</t>
  </si>
  <si>
    <t>549 AV LOS HEROES GALERIA SAN LORENZO</t>
  </si>
  <si>
    <t>47510642</t>
  </si>
  <si>
    <t>LEON DIOSES PAULA KARINA</t>
  </si>
  <si>
    <t>AV LOS HEROES NRO 553 SAN JUAN DE MIRAFLORES</t>
  </si>
  <si>
    <t>77470877</t>
  </si>
  <si>
    <t>LEON ESTUPIÑAN SEIDY LADY</t>
  </si>
  <si>
    <t>AV PERU N°1460 (FRENTE A LOS CONDOMINIOS LAS LOMAS - 2 PORTONES VERDES)</t>
  </si>
  <si>
    <t>43409899</t>
  </si>
  <si>
    <t>LEON GABRIEL MARCO ANTONIO</t>
  </si>
  <si>
    <t>URBANIZACION LA PORTADA MANZANA A LT 2 IMERIAL CAÑETE (TALLER PERCY)</t>
  </si>
  <si>
    <t>15379170</t>
  </si>
  <si>
    <t>LEON GUERRERO WILDER ULISES</t>
  </si>
  <si>
    <t>AV. SAN FELIPE 707</t>
  </si>
  <si>
    <t>LEON GUERRERO, WILDER ULISES</t>
  </si>
  <si>
    <t>LEON GUERREROS FORTUNATA NELLY</t>
  </si>
  <si>
    <t>MANUEL CLAVERO 2284 LIMA</t>
  </si>
  <si>
    <t>08550717</t>
  </si>
  <si>
    <t>LEON MARCELO LIZBETH GLORIA</t>
  </si>
  <si>
    <t>AV. ALFONSO UGARTE NRO 208 CC UNICENTRO STAND 1099</t>
  </si>
  <si>
    <t>46615634</t>
  </si>
  <si>
    <t>LEON MARCELO, LIZBETH GLORIA</t>
  </si>
  <si>
    <t>LEON MORENO ALEXANDER CHUCK</t>
  </si>
  <si>
    <t>PSJE. BENEDICTO NRO. 200</t>
  </si>
  <si>
    <t>70618335</t>
  </si>
  <si>
    <t>LEON OSORIO GROVERT PEDRO</t>
  </si>
  <si>
    <t>AV. GARCILAZO DEL VEGA 1348 (CYBERPLAZA) 3 PISO LADO A 106</t>
  </si>
  <si>
    <t>72202 - CONSULTORES PROG. Y SUMIN. INFORMATIC.</t>
  </si>
  <si>
    <t>31682670</t>
  </si>
  <si>
    <t>LEON OSORIO, GROVERT PEDRO</t>
  </si>
  <si>
    <t>LEON QUISPE ALEJANDRO ENRIQUE</t>
  </si>
  <si>
    <t>CALLE OLLANTAY 266, COOP. ANFAHUAYLAS, DISTRITO DE SANTA ANITA</t>
  </si>
  <si>
    <t>09808281</t>
  </si>
  <si>
    <t>LEON RECHARTE DAVID SIXTO</t>
  </si>
  <si>
    <t>LA ENSENADA CALLE LOS OLIVOS MZ I LOTE 16</t>
  </si>
  <si>
    <t>09862019</t>
  </si>
  <si>
    <t>LEON ROMERO JERSON</t>
  </si>
  <si>
    <t>CALLE LAS PALMERAS MZ.R LT.13 SANTA GENOVEVA KM.40 ANT. PANAMERICANA SUR, LIMA, LIMA, LURIN</t>
  </si>
  <si>
    <t>00107082</t>
  </si>
  <si>
    <t>LEON SALDARRIAGA RODRIGO FABRIZIO</t>
  </si>
  <si>
    <t>AV. LA PAZ NRO 915</t>
  </si>
  <si>
    <t>72145658</t>
  </si>
  <si>
    <t>LEON SAYAS JHONY EDWIN</t>
  </si>
  <si>
    <t>MZ G LOTE 2 URB. SAN CARLOS - PRÓCERES, LIMA, LIMA, SAN JUAN DE LURIGANCHO</t>
  </si>
  <si>
    <t>40825031</t>
  </si>
  <si>
    <t>LEON SAYAS JUAN</t>
  </si>
  <si>
    <t>JR LOS GAMINIDES 311-21 FRENTE AL PARQUE</t>
  </si>
  <si>
    <t>40260651</t>
  </si>
  <si>
    <t>LEON VERA CARLOS ALBERTO</t>
  </si>
  <si>
    <t>AV. IRENE SALVADOR N° 140</t>
  </si>
  <si>
    <t>15694240</t>
  </si>
  <si>
    <t>CARLOS ALBERTO LEON VERA</t>
  </si>
  <si>
    <t>LEONARDO HUARANGA HUGO LUIS</t>
  </si>
  <si>
    <t>AV. ARGENTINA N° 144 CC. UNICENTRO INT. 1430</t>
  </si>
  <si>
    <t>46827914</t>
  </si>
  <si>
    <t>LEONARDO HUARANGA, HUGO LUIS</t>
  </si>
  <si>
    <t>LEONARDO SILVA MILTON ENRRIQUE</t>
  </si>
  <si>
    <t>AV. VICTOR MALASQUEZ MZ. A3 LT. 10 SECTOR LOS EUCALIPTOS, MANCHAY - PACHACAMAC</t>
  </si>
  <si>
    <t>70094208</t>
  </si>
  <si>
    <t>LESCANO MORENO PAOLA JAZMIN</t>
  </si>
  <si>
    <t>SECTOR 7 MZA. A LOTE. 13 GRU. 3</t>
  </si>
  <si>
    <t>46295775</t>
  </si>
  <si>
    <t>LEVANO BENITES CARLOS ELIAS</t>
  </si>
  <si>
    <t>CENTRO COMERCIAL GARCILASO DE LA VEGA, AV. GARCILASO DE LA VEGA 1261 , TIENDA 149</t>
  </si>
  <si>
    <t>09955646</t>
  </si>
  <si>
    <t>LEVANO CANTORAL GONZALO LUIS</t>
  </si>
  <si>
    <t>AV. ARAVICUS MITIMAES 179 1RA. ZONA DE TAHUANTINSUYO</t>
  </si>
  <si>
    <t>3821 - TRATAMIENTO Y ELIMINACIÓN DE DESECHOS NO PELIGROSOS</t>
  </si>
  <si>
    <t>07165156</t>
  </si>
  <si>
    <t>LEVANO CANTORAL, GONZALO LUIS</t>
  </si>
  <si>
    <t>LEVANO PORTAL JONATHAN ADOLFO</t>
  </si>
  <si>
    <t>AV. UNIVERSITARIA 6227, LIMA, LIMA, LOS OLIVOS</t>
  </si>
  <si>
    <t>41545574</t>
  </si>
  <si>
    <t>LEYVA AGUILAR JAVIER ALEJANDRO</t>
  </si>
  <si>
    <t>A.V EL TRIUNFO 299     V.M.T</t>
  </si>
  <si>
    <t>10077623</t>
  </si>
  <si>
    <t>LEZAMA QUINTO EVERARDO</t>
  </si>
  <si>
    <t>MZ B LOTE 14 ASOCIACIÓN DE VIVIENDA "EL TRIGAL" II ETAPA</t>
  </si>
  <si>
    <t>41548281</t>
  </si>
  <si>
    <t>LIMA SUCLUPE WALTER ALBERTO</t>
  </si>
  <si>
    <t>PANAMERICANA NORTE N° 1109</t>
  </si>
  <si>
    <t>15742526</t>
  </si>
  <si>
    <t>LIMACHI CAÑAZACA GLADYS</t>
  </si>
  <si>
    <t>MZ O1 LT 6 PARCEL 2 PRQIND CONO SUR</t>
  </si>
  <si>
    <t>FAB. DE MUEBLES.</t>
  </si>
  <si>
    <t>43117936</t>
  </si>
  <si>
    <t>LIMACHI CAÑAZACA, GLADYS</t>
  </si>
  <si>
    <t>LIMACHI QUISOCALA ISIDRO</t>
  </si>
  <si>
    <t>AV URUBAMBA MZB LT 19 SANTA ANITA BAJA</t>
  </si>
  <si>
    <t>01819014</t>
  </si>
  <si>
    <t>LIMAS TAMAYO RONEL NILO</t>
  </si>
  <si>
    <t>MZ B LT. 01 A ASOCIACIÓN DE VIVIENDA JARDINES DE PUENTE PIEDRA</t>
  </si>
  <si>
    <t>70250568</t>
  </si>
  <si>
    <t>LIMAYMANTA CARHUALLANQUI EVELIN</t>
  </si>
  <si>
    <t>AV. ALFREDO MENDIOLA NRO 150, LIMA, LIMA, SAN MARTIN DE PORRES</t>
  </si>
  <si>
    <t>45804142</t>
  </si>
  <si>
    <t>LIMAYMANTA CARHUALLANQUI, EVELIN</t>
  </si>
  <si>
    <t>LIN DAN</t>
  </si>
  <si>
    <t>AV. LOS INCAS 873 URB. EL PINAR</t>
  </si>
  <si>
    <t>01558721</t>
  </si>
  <si>
    <t>LINARES CCANTO MARITZA</t>
  </si>
  <si>
    <t>AV. NARANJAL MZ A LT 11 EL MIRADOR DE NARANJAL, LIMA, LIMA, SMP</t>
  </si>
  <si>
    <t>44433460</t>
  </si>
  <si>
    <t>LINARES GOMEZ SARAI</t>
  </si>
  <si>
    <t>CALLE  IQUITOS 1203</t>
  </si>
  <si>
    <t>JAEN</t>
  </si>
  <si>
    <t>43266259</t>
  </si>
  <si>
    <t>LINARES NEYRA MARTIN ALBERTO</t>
  </si>
  <si>
    <t>JR. ENRIQUE LEÓN GARCÍA 271 OFIC 201</t>
  </si>
  <si>
    <t>06767104</t>
  </si>
  <si>
    <t>LINARES NEYRA, MARTIN ALBERTO</t>
  </si>
  <si>
    <t>LINARES VASQUEZ BRAYHAN ENRIQUE</t>
  </si>
  <si>
    <t>MZ. Y LT. 1 PRIMER SECTOR AAHH SARITA COLONIA</t>
  </si>
  <si>
    <t>73898962</t>
  </si>
  <si>
    <t>LINDO REYES VIGIBERTO MAXIMO</t>
  </si>
  <si>
    <t>AV.FRANCISCO BOLOGNESI N°100 CDRA. 48 AV.TUPAC AMARU-FRENTE AL GRIFO AÑO NUEVO, LIMA, LIMA, COMAS</t>
  </si>
  <si>
    <t>06890550</t>
  </si>
  <si>
    <t>LINO ARIAS JUAN JERRY</t>
  </si>
  <si>
    <t>AV. HEROES DEL CENEPA EX URB. TUNGASUCA 3ERA ETAPA MZ. "B" LOTE 4</t>
  </si>
  <si>
    <t>70165215</t>
  </si>
  <si>
    <t>LINO ARIAS, JUAN JERRY</t>
  </si>
  <si>
    <t>LINO LUCAS JUAN EDGARD</t>
  </si>
  <si>
    <t>CALLE ENRIQUE PALACIOS Nº 469, LIMA, BARRANCA, BARRANCA</t>
  </si>
  <si>
    <t>07870669</t>
  </si>
  <si>
    <t>LIZANA LUQUE SATURNINO FACTOR</t>
  </si>
  <si>
    <t>COOP. SANTA AURELIA MZ C3 LT 9 Y 10, LIMA, LIMA, SANTA ANITA</t>
  </si>
  <si>
    <t>07432816</t>
  </si>
  <si>
    <t>LIZANA RUIZ WILMER SANTIAGO</t>
  </si>
  <si>
    <t>AV. 1RO DE MAYO 559, LIMA 15022, LIMA, LIMA, EL AGUSTINO</t>
  </si>
  <si>
    <t>44720313</t>
  </si>
  <si>
    <t>LIZANA SEGAMA ANGELICA MARIA</t>
  </si>
  <si>
    <t>AV. CANTA CALLAO 647, MZ. BB5 LT. 9 QUINTA ETAPA (POR EL VIVERO MUNICIPAL)</t>
  </si>
  <si>
    <t>42534816</t>
  </si>
  <si>
    <t>LIZARRAGA ESTRELLA MICHAEL SMITH</t>
  </si>
  <si>
    <t>JR. NECOCHES Y JORGE CHAVEZ - PILCOMAYO</t>
  </si>
  <si>
    <t>72155424</t>
  </si>
  <si>
    <t>LIZARRAGA ESTRELLA, MICHAEL SMITH</t>
  </si>
  <si>
    <t>LIZARRAGA GIRON ALEXIS LEONEL</t>
  </si>
  <si>
    <t>AV. UNIVERSITARIA 1992 (RESTAURANTE DOÑA SAZON)</t>
  </si>
  <si>
    <t>40903607</t>
  </si>
  <si>
    <t>LIZARRAGA HUAMAN YENI LUZ</t>
  </si>
  <si>
    <t>IRRIG. SANTA ROSA MZ C LT15 LA MERCED</t>
  </si>
  <si>
    <t>2821 - FABRICACIÓN DE MAQUINARIA AGROPECUARIA Y FORESTAL</t>
  </si>
  <si>
    <t>46936892</t>
  </si>
  <si>
    <t>LIZARRAGA SARAVIA JHONATAN JOEL</t>
  </si>
  <si>
    <t>MARISCAL CASTILLA MZ-C LT 11-B ALTO LARAN, CHINCHA, ICA</t>
  </si>
  <si>
    <t>ALTO LARAN</t>
  </si>
  <si>
    <t>72722244</t>
  </si>
  <si>
    <t>LLACSA AIQUIPA LUZ DORIS</t>
  </si>
  <si>
    <t>JR. MIGUEL GRAU NRO 152, CALLAO, CALLAO, CARMEN DE LA LEGUA REYNOSO,</t>
  </si>
  <si>
    <t>25700103</t>
  </si>
  <si>
    <t>LLACSA AIQUIPA, LUZ DORIS</t>
  </si>
  <si>
    <t>LLACSAHUACHE YOVERA LUCERITO KAREN</t>
  </si>
  <si>
    <t>LM-119 935, LIMA 15594 REF. CURVA DE MANCHAY</t>
  </si>
  <si>
    <t>PUBLICIDAD</t>
  </si>
  <si>
    <t>48355959</t>
  </si>
  <si>
    <t> LLACSAHUACHE YOVERA, LUCERITO KAREN</t>
  </si>
  <si>
    <t>LLAJA HURTADO KELI MARILU</t>
  </si>
  <si>
    <t>MZ. G INT. 28 LOTE 0 A.H. INCA WASI</t>
  </si>
  <si>
    <t>46313040</t>
  </si>
  <si>
    <t>LLAJA HURTADO, KELI MARILU</t>
  </si>
  <si>
    <t>LLAMO FLORES MARISOL</t>
  </si>
  <si>
    <t>NUEVO AMANECER MZ.C LT.1 A.H.P.I , LIMA, LIMA, SJL</t>
  </si>
  <si>
    <t>45037713</t>
  </si>
  <si>
    <t>LLAMOCCA HUAMANI RICARDO POCHO</t>
  </si>
  <si>
    <t>AV. NARANJAL MZ A LT 1 URB. ALEJANDRIA, LIMA, LIMA, S.M.P</t>
  </si>
  <si>
    <t>10166713</t>
  </si>
  <si>
    <t>LLAMOZA MEJIA LUSCAR MARNON</t>
  </si>
  <si>
    <t>AV. ARGENTINA N° 344 STAD B50 CC, POLVOS AZULES, LIMA, LIMA, LIMA</t>
  </si>
  <si>
    <t>43259659</t>
  </si>
  <si>
    <t>LLAMOZA MEJIA, LUSCAR MARNON</t>
  </si>
  <si>
    <t>LLANCO JUSTANO EDGAR DIONICIO</t>
  </si>
  <si>
    <t>AV. WIEESE NRO 4058</t>
  </si>
  <si>
    <t>28921 - OBRAS DE INGENIERIA MECANICA.</t>
  </si>
  <si>
    <t>20992575</t>
  </si>
  <si>
    <t>LLANCO LANDEO KERSY GABRIEL</t>
  </si>
  <si>
    <t>MZ C LT 3C TIENDA 2 PARCEL 4 VILLA CHILLÓN-RIMAC, LIMA, LIMA, LURIGANCHO</t>
  </si>
  <si>
    <t>76344894</t>
  </si>
  <si>
    <t>LLANCUL SILVA GRECIA JACKELINE</t>
  </si>
  <si>
    <t>MUSA - LA MOLINA 5TA ETAPA MZ G1 LT8, LIMA, LIMA, LA MOLINA</t>
  </si>
  <si>
    <t>48864847</t>
  </si>
  <si>
    <t>LLANOS CALDERON JOSSIP JOSE</t>
  </si>
  <si>
    <t>CAR. CENTRAL KM.16.150 1ERA ET MZ.C LT.2 PRADERA PARIACHI, LIMA, LIMA, ATE</t>
  </si>
  <si>
    <t>42786619</t>
  </si>
  <si>
    <t>LLANOS CURLETTI CARLOS ARTURO</t>
  </si>
  <si>
    <t>HACIENDA JESUS DEL VALLE, LIMA, HUARAL, HUARAL</t>
  </si>
  <si>
    <t>21100728</t>
  </si>
  <si>
    <t>LLANOS HUAMAN ERIKA LUZ</t>
  </si>
  <si>
    <t>MZ.C-6 LT13 CALLE 31 ASOC. VIV. SANTA ANITA</t>
  </si>
  <si>
    <t>45867113</t>
  </si>
  <si>
    <t>LLANOS LUYO DEYSI LIDIA</t>
  </si>
  <si>
    <t>JR. EL CARMEN N202 - INTERIOR 4</t>
  </si>
  <si>
    <t>42133072</t>
  </si>
  <si>
    <t>LLATAS TAPIA CESAR RUBEN</t>
  </si>
  <si>
    <t>CA. 3 DE OCTUBRE NRO. 381</t>
  </si>
  <si>
    <t>LLATAS TAPIA, CESAR RUBEN</t>
  </si>
  <si>
    <t>LLERENA OSORIO TOMAS ALBERTO</t>
  </si>
  <si>
    <t>AV.PERU 2465</t>
  </si>
  <si>
    <t>08581277</t>
  </si>
  <si>
    <t>LLICO ZELADA JULIO CESAR</t>
  </si>
  <si>
    <t>PASAJE HUAMANTANGA MZ 64 LOTE 28 SANTA ROSA</t>
  </si>
  <si>
    <t>10072774</t>
  </si>
  <si>
    <t>LLICO ZELADA, JULIO CESAR</t>
  </si>
  <si>
    <t>LLIUYA MEZA CARLOS LEONCIO</t>
  </si>
  <si>
    <t>MZ A LOTE 52 ASOSIACION DE VIVIENDA EL ROSAL DE SANTA ANITA LIMA , LIMA , ATE</t>
  </si>
  <si>
    <t>45599260</t>
  </si>
  <si>
    <t>LLIUYA VARILLAS HECTOR JOEL</t>
  </si>
  <si>
    <t>AV. ANTONIO RAYMUNDI NRO. 357 INT. 105</t>
  </si>
  <si>
    <t>70263583</t>
  </si>
  <si>
    <t>LLOCCLLA CALDERON ENNEO ERICK</t>
  </si>
  <si>
    <t>AV. EL OLIVAR 3896 COVISEM</t>
  </si>
  <si>
    <t>07520579</t>
  </si>
  <si>
    <t>LLOCCLLA CALDERON, ENNEO ERICK</t>
  </si>
  <si>
    <t>LLOCLLA CUNACHI MARITZA ADRIANA</t>
  </si>
  <si>
    <t>BRUNO TERREROS 498 URB. CAMPOY</t>
  </si>
  <si>
    <t>43587556</t>
  </si>
  <si>
    <t>LLUEN GAMARRA JOSE SANTOS</t>
  </si>
  <si>
    <t>AV. LAS AMERICAS NRO 1041 LIMA - LIMA - LA VICTORIA</t>
  </si>
  <si>
    <t>16738964</t>
  </si>
  <si>
    <t>LLUEN GAMARRA, JOSE SANTOS</t>
  </si>
  <si>
    <t>LLUQUE FERNANDEZ FELICITA</t>
  </si>
  <si>
    <t>AV. 28 DE JULIO FRTE AL BCO. CAJA TRUJILLO (COSTADO KIOSKO)</t>
  </si>
  <si>
    <t>15608936</t>
  </si>
  <si>
    <t>FELICITA LLUQUE FERNANDEZ</t>
  </si>
  <si>
    <t>LOA CANA GONZALO WILBER</t>
  </si>
  <si>
    <t>JR. ALBERTO ABERD 624</t>
  </si>
  <si>
    <t>25639594</t>
  </si>
  <si>
    <t>LOA CANA, GONZALO WILBER</t>
  </si>
  <si>
    <t>LOAIZA QUISPE DAVILA</t>
  </si>
  <si>
    <t>AV. MIGUEL IGLESIAS NRO. R INT. 6 URB. LADERA DE VILLA</t>
  </si>
  <si>
    <t>08845854</t>
  </si>
  <si>
    <t>LOARTE QUEZADA ROMEL</t>
  </si>
  <si>
    <t>MZ LOTE 7 APV PREDIO 170 PUENTE PIEDRA</t>
  </si>
  <si>
    <t>44535441</t>
  </si>
  <si>
    <t>LOAYZA CONTRERAS ABRAHAM</t>
  </si>
  <si>
    <t>MZ. B LOTE 5 ASOCIACION LOS ARTESANOS "LA ENCANTADA" LOMAS DE CARABAYLLO</t>
  </si>
  <si>
    <t>40687761</t>
  </si>
  <si>
    <t>LOAYZA CUELLAR JOSELITO CIPRIANO</t>
  </si>
  <si>
    <t>PASAJE LAS MARGARITAS - LA VICTORIA 15019</t>
  </si>
  <si>
    <t>16137679</t>
  </si>
  <si>
    <t>LOAYZA GRANADOS WILMER ANGEL</t>
  </si>
  <si>
    <t>MZ. G LT. 5 COOP. DE VIVIENDA LAS LOMAS DE PALAO - GRIFO REPSOL</t>
  </si>
  <si>
    <t>41981940</t>
  </si>
  <si>
    <t>LOAYZA LEVANO CRISTHOFER ALEXANDER</t>
  </si>
  <si>
    <t>MZ N LT10 BELLA AURORA (REFERENCIA PARADERO FUNDICION)</t>
  </si>
  <si>
    <t>46608431</t>
  </si>
  <si>
    <t>LOAYZA MELGAREJO IVAN</t>
  </si>
  <si>
    <t>MZ. A LT 30 SAN BENITO DE PALERMO</t>
  </si>
  <si>
    <t>75897012</t>
  </si>
  <si>
    <t>LOAYZA MELGAREJO, IVAN</t>
  </si>
  <si>
    <t>LOAYZA PALOMINO WALDIMAR</t>
  </si>
  <si>
    <t>CAR PUQUIO NAZCA NRO 235 C.C</t>
  </si>
  <si>
    <t>31178611</t>
  </si>
  <si>
    <t>LOBO CUBAS IRMA NAHIROBI</t>
  </si>
  <si>
    <t>JR. ITALIA 1640</t>
  </si>
  <si>
    <t>42558624</t>
  </si>
  <si>
    <t>LOPEZ CABANA RICHARD ANDRES</t>
  </si>
  <si>
    <t>CALLE PAMPA DE LARA 773</t>
  </si>
  <si>
    <t>15633612</t>
  </si>
  <si>
    <t>LOPEZ CABEZAS MANUEL CONSTANTE</t>
  </si>
  <si>
    <t>CAL. ENRIQUE OLIVEROS 907 1ERA. ETAPA URB. JAVIER PRADO</t>
  </si>
  <si>
    <t>04827914</t>
  </si>
  <si>
    <t>LOPEZ CHUQUIRUNA RONY WILLIAM</t>
  </si>
  <si>
    <t>CARRETERA VENTANILLA Q14A URVANISACION PEDRO CUEVA</t>
  </si>
  <si>
    <t>42538534</t>
  </si>
  <si>
    <t>LOPEZ COCHACHIN MICHAEL DEMETRIO</t>
  </si>
  <si>
    <t>AH NUEVO LURIN MZ SA LT 9 - ANTIGUA PANAMERICANA SUR KM 38.2, LIMA, LIMA, LURIN</t>
  </si>
  <si>
    <t>45862488</t>
  </si>
  <si>
    <t>LOPEZ FELIPE OVIER REYMUNDO</t>
  </si>
  <si>
    <t>SAN GREGORIO ASOC. VIRGEN DE LA ASUNCION MZ E LT. 11 A, LIMA, ATE</t>
  </si>
  <si>
    <t>41769673</t>
  </si>
  <si>
    <t>LOPEZ GALLAC CELSO</t>
  </si>
  <si>
    <t>PJS. SEÑOR DE LOS MILAGROS N/S MZ.O LT 11 PISO 2 ASOC. VALLE NUEVO - CARABAYLLO</t>
  </si>
  <si>
    <t>74640985</t>
  </si>
  <si>
    <t>LOPEZ LOPEZ JULIO VALERIO</t>
  </si>
  <si>
    <t>ASC. DE RESID DE VIV LAS VIÑAS DEL NORTE</t>
  </si>
  <si>
    <t>41825985</t>
  </si>
  <si>
    <t>LOPEZ LOPEZ LUIS MIGUEL</t>
  </si>
  <si>
    <t>AV. CARLOS MARIATEGUI MZA. D LOTE. 27 A.H. ESTERAS II</t>
  </si>
  <si>
    <t>46076477</t>
  </si>
  <si>
    <t>LOPEZ MATIAS JERRY</t>
  </si>
  <si>
    <t>MANZANA  17-LT 26   BAYOVAR</t>
  </si>
  <si>
    <t>42193129</t>
  </si>
  <si>
    <t>LOPEZ MAURICIO JAIME PERCY</t>
  </si>
  <si>
    <t>AV INCA GARCILASO DE LA VEGA 1132 TIENDA 109 A1</t>
  </si>
  <si>
    <t>42062098</t>
  </si>
  <si>
    <t>LOPEZ MELENDRES VICTOR ARMANDO</t>
  </si>
  <si>
    <t>SEÑOR DE LA SOLEDAD MZ. A LT. 1 (PARADERO ROSA LUZ), PUENTE PIEDRA</t>
  </si>
  <si>
    <t>08571914</t>
  </si>
  <si>
    <t>LOPEZ MELENDRES, VICTOR ARMANDO</t>
  </si>
  <si>
    <t>LOPEZ MENDOZA ALEJANDRO EDWIN</t>
  </si>
  <si>
    <t>AV. MARISCAL CACERES  MZ A LT. 21  REF PARADERO FUNDICION-ZAPALLAL</t>
  </si>
  <si>
    <t>70403738</t>
  </si>
  <si>
    <t>LOPEZ OCAMPO ZOILA</t>
  </si>
  <si>
    <t>AV. SANTA ELVIRA NRO. 6119, LIMA, LIMA, LOS OLIVOS</t>
  </si>
  <si>
    <t>76750579</t>
  </si>
  <si>
    <t>LOPEZ OCAMPO, ZOILA</t>
  </si>
  <si>
    <t>LOPEZ PALACIOS EVELYN MILAGROS</t>
  </si>
  <si>
    <t>AV.CAMINO REAL CRUCE CON AV SANTO DOMINGO. OVALO SALAMANCA</t>
  </si>
  <si>
    <t>46434944</t>
  </si>
  <si>
    <t>LOPEZ RODRIGUEZ HECTOR LEONEL</t>
  </si>
  <si>
    <t>AV. FELIX B. CARDENAS S/N (REF. COSTADO DEL CAMPO DEPORTIVO)</t>
  </si>
  <si>
    <t>15761296</t>
  </si>
  <si>
    <t>LOPEZ RODRIGUEZ ZAIDA DEBBIE</t>
  </si>
  <si>
    <t>JR. FRANCISCO DE ZELA 955</t>
  </si>
  <si>
    <t>08125083</t>
  </si>
  <si>
    <t>LOPEZ ROJAS BERRY JHON GORDY</t>
  </si>
  <si>
    <t>MZ R1 LT 2 COOP DE VIVIENDA PRIMAVERA, LIMA, LIMA, COMAS</t>
  </si>
  <si>
    <t>40741338</t>
  </si>
  <si>
    <t>LOPEZ TERRONES TERESA</t>
  </si>
  <si>
    <t>MZ. G LOTE 20 LOS ESPINOS</t>
  </si>
  <si>
    <t>44298045</t>
  </si>
  <si>
    <t>LOPEZ TORRES NOEMI</t>
  </si>
  <si>
    <t>MZ.V LT.6 AV.SINCHI ROCA - JICAMARCA</t>
  </si>
  <si>
    <t>47992201</t>
  </si>
  <si>
    <t>LOPEZ TORRES WILIAN RAUL</t>
  </si>
  <si>
    <t>AV. TUPAC AMARU MZ. C LT. 14 KM 18.5</t>
  </si>
  <si>
    <t>42945105</t>
  </si>
  <si>
    <t>LOPEZ TRELLES JAIME ENRIQUE</t>
  </si>
  <si>
    <t>CALLE URANO MZ. N LT. 10 URB. SAN ROQUE</t>
  </si>
  <si>
    <t>06761416</t>
  </si>
  <si>
    <t>LOPEZ TRELLES, JAIME ENRIQUE</t>
  </si>
  <si>
    <t>LOPEZ VILLA ALEÑO</t>
  </si>
  <si>
    <t>LOS TALLADORES 295 ( AL COSTADO DE LA CANCHA DEPORTIVA ROTARY CLUB MIRAFLORES)</t>
  </si>
  <si>
    <t>43818272</t>
  </si>
  <si>
    <t>LOPEZ VILLALVA MAXIMO GUILLERMO</t>
  </si>
  <si>
    <t>AV.REVOLUCION.MZ.M;LOTE 31</t>
  </si>
  <si>
    <t>04327963</t>
  </si>
  <si>
    <t>LORA WONG RAFAEL</t>
  </si>
  <si>
    <t>AV LAS LOMAS 441 ZARATE - SAN JUAN DE LURIGANCHO</t>
  </si>
  <si>
    <t>09556105</t>
  </si>
  <si>
    <t>LORENZO MELGAREJO OSCAR</t>
  </si>
  <si>
    <t>AV EL SOL MZ R1 LT 42 URB. SAN CARLOS ( AL FRENTE DE ADUNI)</t>
  </si>
  <si>
    <t>23009782</t>
  </si>
  <si>
    <t>LOVATON GARCIA JOSUE DAVID</t>
  </si>
  <si>
    <t>AV JORGE BASADRE MZ D LOTE 29 (ALT. PARADERO 20 DE PROCERES , AV. SANTA ROSA CON JORGE BASADRE)</t>
  </si>
  <si>
    <t>42033575</t>
  </si>
  <si>
    <t>LOVERA SOTO JAIR JUNIOR</t>
  </si>
  <si>
    <t>AV. CHACRA CERRO MZ. K LOTE 16</t>
  </si>
  <si>
    <t>70572660</t>
  </si>
  <si>
    <t>LOYA LEON FERNANDO</t>
  </si>
  <si>
    <t>MZ. I - 2 - LT. 19 MARIATEGUI CON NUEVO AREOPUERTO</t>
  </si>
  <si>
    <t>25848829</t>
  </si>
  <si>
    <t>LOYA VEGA REGULO PASTOR</t>
  </si>
  <si>
    <t>AV. CANTO GRANDE MZ 0 LT31, LIMA, LIMA, SAN JUAN DE LURIGANCHO</t>
  </si>
  <si>
    <t>10369165</t>
  </si>
  <si>
    <t>LOYOLA DIAZ JOSE LUIS</t>
  </si>
  <si>
    <t>AV. 13 DE ENERO 1328 PROGRAMA LA BASILIA ( AL COSTADO DE LA CEVICHERÍA PUERTO AZUL)</t>
  </si>
  <si>
    <t>43790873</t>
  </si>
  <si>
    <t>LOZANO MEDINA CECILIA</t>
  </si>
  <si>
    <t>JR CARABAYA 319 STAND 109 MEZANINE</t>
  </si>
  <si>
    <t>70051125</t>
  </si>
  <si>
    <t>LOZANO RODAS HERNAN</t>
  </si>
  <si>
    <t>ASOCIACIÓN SANTA MARÍA MANZANA D LOTE 3</t>
  </si>
  <si>
    <t>70460044</t>
  </si>
  <si>
    <t>LOZANO SALCEDO JOHN EDGAR</t>
  </si>
  <si>
    <t>AV. UNIVERSITARIA 672, URB. LUCYANA, CARABAYLLO</t>
  </si>
  <si>
    <t>40051504</t>
  </si>
  <si>
    <t>LUCAS VIDAL NAYELI NICOL</t>
  </si>
  <si>
    <t>PANAMERICANA NORTE KM- 92 CHANCAYLLO</t>
  </si>
  <si>
    <t>75148337</t>
  </si>
  <si>
    <t>LUCERO PALOMINO ISRAEL</t>
  </si>
  <si>
    <t>MZ O6 LT2 MCAL CAC. 5 DE NOV.HOSP NIÑO</t>
  </si>
  <si>
    <t>10643710</t>
  </si>
  <si>
    <t>LUCERO ROSALES ESTEFANES ANTONIO</t>
  </si>
  <si>
    <t>JR.CAJAMARCA N° 232 (AL COSTADO DEL HOTEL CUSCO)</t>
  </si>
  <si>
    <t>46910766</t>
  </si>
  <si>
    <t>ESTEFANES ANTONIO LUCERO ROSALES</t>
  </si>
  <si>
    <t>LUCIANO AVENDAÑO VICENTE GENARO</t>
  </si>
  <si>
    <t>JR. NECTANDROS 1753 URB. LAS FLORES PARADERO 15</t>
  </si>
  <si>
    <t>43749191</t>
  </si>
  <si>
    <t>LUDEÑA CEBRIAN ELSA JUSTINA</t>
  </si>
  <si>
    <t>AV. EDUARDO DE HABICH NRO. 409-A</t>
  </si>
  <si>
    <t>4753 - VENTA AL POR MENOR DE TAPICES, ALFOMBRAS Y CUBRIMIENTOS PARA PAREDES Y PISOS EN COMERCIOS ESPECIALIZADOS</t>
  </si>
  <si>
    <t>10454339</t>
  </si>
  <si>
    <t>LUDEÑA CHUQUITAIPE EMMA FLORA</t>
  </si>
  <si>
    <t>JOSE CARLOS MARIATEGUI MZ. R11 LT. 2</t>
  </si>
  <si>
    <t>08601482</t>
  </si>
  <si>
    <t>LUDEÑA CHUQUITAIPE, EMMA FLORA</t>
  </si>
  <si>
    <t>LUGO ROJAS NOEMÍ</t>
  </si>
  <si>
    <t>SAN JUAN DE DIOS MZ M LT 15</t>
  </si>
  <si>
    <t>77341126</t>
  </si>
  <si>
    <t>LUIS TELLEZ CARLOS ENRIQUE</t>
  </si>
  <si>
    <t>AV FRAY BARTOLOME DE LAS CASAS 224 (POR EL BRITANICO DE TOMAS VALLE)</t>
  </si>
  <si>
    <t>46477246</t>
  </si>
  <si>
    <t>LUJAN PALOMINO MARY LUZ</t>
  </si>
  <si>
    <t>AV.MATERIALES 2145</t>
  </si>
  <si>
    <t>70083396</t>
  </si>
  <si>
    <t>LUJAN PALOMINO, MARY LUZ</t>
  </si>
  <si>
    <t>LUJAN PAZ LISBETH</t>
  </si>
  <si>
    <t>JR. FRANCISCO BOLOGNESI 310, LIMA, LIMA, PUENTE PIEDRA</t>
  </si>
  <si>
    <t>42223724</t>
  </si>
  <si>
    <t>LUJAN VALERO JAIRO RENZO</t>
  </si>
  <si>
    <t>AV. NICOLAS AYLLON N° 146 GALERIA NUEVO MILENIO</t>
  </si>
  <si>
    <t>80655132</t>
  </si>
  <si>
    <t>LUJAN VALERO, JAIRO RENZO</t>
  </si>
  <si>
    <t>LUMBRE NECIOSUP BREAYAN SAUL</t>
  </si>
  <si>
    <t>AV. LORENZO ENCALADA 384</t>
  </si>
  <si>
    <t>74802816</t>
  </si>
  <si>
    <t>LUNA ASTUHUAMAN ZOILA ROSA</t>
  </si>
  <si>
    <t>AV. WILSON 1282 GALERÍA WILSON INT. 98 (CERCADO DE LIMA)</t>
  </si>
  <si>
    <t>20654547</t>
  </si>
  <si>
    <t>LUNA RODRIGUEZ LOURDES DEL CARMEN</t>
  </si>
  <si>
    <t>CONDOMINIO SOL DE COLLIQUE BLOCK F URB. RETABLO</t>
  </si>
  <si>
    <t>10435956</t>
  </si>
  <si>
    <t>LUQUE ZAMBRANO EDY KAROL</t>
  </si>
  <si>
    <t>AV.UNIVERSITARIA CUADRA 59, LIMA, LIMA, LOS OLIVOS</t>
  </si>
  <si>
    <t>47325137</t>
  </si>
  <si>
    <t>LUQUE ZAMBRANO, EDY KAROL</t>
  </si>
  <si>
    <t>LUSIANO TINEO ALEJANDRA CLAUDIA</t>
  </si>
  <si>
    <t>AV TOMAS VALLE CON AV. TUPAC AMARU (PABELLON 4 BLOQUE I - PUESTO 3) MERCADO CENTRAL FEVACEL</t>
  </si>
  <si>
    <t>09482522</t>
  </si>
  <si>
    <t>LUTGARDO CHANGANAQUI ZENOBIO IVAN</t>
  </si>
  <si>
    <t>CIUDAD SATELITE ASOC. PAMPA DE HORNILLOS LOTE 17 -B MZ.A LOTE 19, LIMA, HUAURA, HUACHO</t>
  </si>
  <si>
    <t>40730787</t>
  </si>
  <si>
    <t>LUYO DE LA CRUZ HANS CHRISTOPHER</t>
  </si>
  <si>
    <t>PRIMER SECTOR GRUPO 7 MZ. H LT. 11</t>
  </si>
  <si>
    <t>72190879</t>
  </si>
  <si>
    <t>LUYO DIESTRA MELISSA YADIRA</t>
  </si>
  <si>
    <t>JR PUNO 552 INTERIOR 131 SEMI SOTANO</t>
  </si>
  <si>
    <t>76179601</t>
  </si>
  <si>
    <t>LUYO DIESTRA, MELISSA YADIRA</t>
  </si>
  <si>
    <t>LUYO GONZALES LUIS ERNESTO</t>
  </si>
  <si>
    <t>AV. PANAMERICANA SUR 1106 Y 1108 SECTOR 4 MZ.30</t>
  </si>
  <si>
    <t>15355134</t>
  </si>
  <si>
    <t>MACHA PIÑAS MAGALY ISABEL</t>
  </si>
  <si>
    <t>MZA. M LOTE. 3 URB. PARCELACIÓN SEMIRÚSTICA R LIMA - LIMA - PUENTE PIEDRA</t>
  </si>
  <si>
    <t>21289185</t>
  </si>
  <si>
    <t>MACHACA PAUCA JACQUELINE CRISTINA</t>
  </si>
  <si>
    <t>CALLE ZEPITA 651</t>
  </si>
  <si>
    <t>MOQUEGUA</t>
  </si>
  <si>
    <t>ILO</t>
  </si>
  <si>
    <t>10046505</t>
  </si>
  <si>
    <t>MACHACA QUINTANA ALEJANDRO FELIX</t>
  </si>
  <si>
    <t>AV AREQUIPA MZ C8 RAMON CASTILLA</t>
  </si>
  <si>
    <t>92209 - ACTIVIDADES DE AGENCIAS DE NOTICIAS</t>
  </si>
  <si>
    <t>25545028</t>
  </si>
  <si>
    <t>MACHACUAY ROMAN RODOLFO</t>
  </si>
  <si>
    <t>ALAMEDA BAJA PARCELA 12 SAN VICENTE DE CAÑETE</t>
  </si>
  <si>
    <t>10362043</t>
  </si>
  <si>
    <t>MACHCO MOTTA FABIAN EBARISTO</t>
  </si>
  <si>
    <t>MZ L LT 10 AA.HH NUEVA GENERACION (KM37)</t>
  </si>
  <si>
    <t>09634471</t>
  </si>
  <si>
    <t>MACHICADO ARIAS FIORELLA ALEXANDRA</t>
  </si>
  <si>
    <t>AV. EJERCITO N° 1607</t>
  </si>
  <si>
    <t>70261359</t>
  </si>
  <si>
    <t>MACHUCA ARRIETA ELMER HUGO</t>
  </si>
  <si>
    <t>AV. CARLOS IZAGUIRRE NRO. 1975</t>
  </si>
  <si>
    <t>09367368</t>
  </si>
  <si>
    <t>MACO SANCHEZ DAVIES ERICKSON</t>
  </si>
  <si>
    <t>JR. ATAHUALPA N° 345 INTERIOR 14, CALLAO, CALLAO, CALLAO</t>
  </si>
  <si>
    <t>43269223</t>
  </si>
  <si>
    <t>MACO SANCHEZ, DAVIES ERICKSON</t>
  </si>
  <si>
    <t>MADRID AMAYA WILMER JUNIOR</t>
  </si>
  <si>
    <t>AV. RETABLO NRO. 301</t>
  </si>
  <si>
    <t>46474491</t>
  </si>
  <si>
    <t>MAITA ROSALES ROBERT</t>
  </si>
  <si>
    <t>AV. MARÍA REICHE MZ. C, LOTE 15, AL FRENTE DE REPUESTOS FLORES UBICADO EN AV. SEPARADORA INDUSTRIAL, VILLA EL SALVADOR 15816</t>
  </si>
  <si>
    <t>43212674</t>
  </si>
  <si>
    <t>MAKINO MIURA MIGUEL</t>
  </si>
  <si>
    <t>CUADRA 4 DE LA AV. AYACUCHO</t>
  </si>
  <si>
    <t>09879913</t>
  </si>
  <si>
    <t>MALAGA MAMANI HILDER MARCOS</t>
  </si>
  <si>
    <t>JR.LOS INGENIEROS MZ. J LT.28, COOPERATIVA HUANCARAY</t>
  </si>
  <si>
    <t>40183284</t>
  </si>
  <si>
    <t>MALASQUEZ VILLALOBOS EDU KROL</t>
  </si>
  <si>
    <t>AV. RICARDO PALMA MZ. A LT. 16 LA CAPILLA, LIMA, ASIA, CAÑETE</t>
  </si>
  <si>
    <t>41067002</t>
  </si>
  <si>
    <t>MALCA QUISPE ABAD</t>
  </si>
  <si>
    <t>JIRON DE LA UNION 853 LIMA 15001. GALERIA BOSA 2 PISO 209</t>
  </si>
  <si>
    <t>07058964</t>
  </si>
  <si>
    <t>MALCA QUISPE, ABAD</t>
  </si>
  <si>
    <t>MALLMA SALAZAR GLADYS FELICIA</t>
  </si>
  <si>
    <t>AV. LOS PORTALES MZ. 82 LT. 1 ASOCIACION VIV. JARDINES DE CHILLÓN</t>
  </si>
  <si>
    <t>8550 - ACTIVIDADES DE APOYO A LA ENSEÑANZA</t>
  </si>
  <si>
    <t>09730925</t>
  </si>
  <si>
    <t>MALLMA SALAZAR, GLADYS FELICIA</t>
  </si>
  <si>
    <t>MALLQUI GARCIA MARIBEL</t>
  </si>
  <si>
    <t>ASOC. HIJOS DE HUARAZ MZ. B LT. 12</t>
  </si>
  <si>
    <t>25758077</t>
  </si>
  <si>
    <t>MALLQUI GUZMAN MATEO</t>
  </si>
  <si>
    <t>AV. REVOLUCIÓN MZA. B LOTE. 04 URB. PACHACAMAC IV ETAPA ST2 B2</t>
  </si>
  <si>
    <t>10227752</t>
  </si>
  <si>
    <t>MALPARTIDA CONDOR RONALD CRISTOFER</t>
  </si>
  <si>
    <t>JIRON HIPOLITO UNANUE 1846</t>
  </si>
  <si>
    <t>48205670</t>
  </si>
  <si>
    <t>MALPARTIDA FERRUA RONALD JAEN</t>
  </si>
  <si>
    <t>CC. COMPUPLAZA-ATE AV. CENTRAL 704 C.CENTRAL KM 6.44 - STAND 11 - ALT. PARAD. INCA KOLA - VITARTE</t>
  </si>
  <si>
    <t>Principal - 52593 - OTROS TIPOS DE VENTA POR MENOR.</t>
  </si>
  <si>
    <t>40933696</t>
  </si>
  <si>
    <t>Malpartida Ferrua Ronald Jaen</t>
  </si>
  <si>
    <t>MALPARTIDA MOSQUERA YONEL ANTONIO</t>
  </si>
  <si>
    <t>AV ARGENTINA N° 144 CC UNICENTRO SATND 2106 - 2° PISO</t>
  </si>
  <si>
    <t>41364622</t>
  </si>
  <si>
    <t>MALPARTIDA ORTEGA RUFINO</t>
  </si>
  <si>
    <t>AV. MAQUINARIAS 555</t>
  </si>
  <si>
    <t>25583961</t>
  </si>
  <si>
    <t>MALPARTIDA ORTEGA, RUFINO</t>
  </si>
  <si>
    <t>MALVACEDA CUEVA CRISTIAN ALBERTO</t>
  </si>
  <si>
    <t>JR. BERENICE DÁVILA N° 225, LIMA, BARRANCA, BARRANCA</t>
  </si>
  <si>
    <t>40832722</t>
  </si>
  <si>
    <t>MALVAS IZQUIERDO JEDION HUGO</t>
  </si>
  <si>
    <t>MZ G LT 18 AV. CHILLON PRIMER ETAPA LIMA, LIMA, PUENTE PIEDRA</t>
  </si>
  <si>
    <t>42175392</t>
  </si>
  <si>
    <t>MAMANCHURA FLORES FELIX</t>
  </si>
  <si>
    <t>ESTEBAN SALMON 408</t>
  </si>
  <si>
    <t>01299687</t>
  </si>
  <si>
    <t>MAMANCHURA FLORES, FELIX</t>
  </si>
  <si>
    <t>MAMANI AVILES JAVIER ENRIQUE</t>
  </si>
  <si>
    <t>JR. MOYOBAMBA 547 URBANIZACION LA POLVORA LA VICTORIA</t>
  </si>
  <si>
    <t>41674339</t>
  </si>
  <si>
    <t>MAMANI CUTIPA EFRAIN CALIXTO</t>
  </si>
  <si>
    <t>AV. REFORMA MZ. B11 LOTE 12 SECTOR LEONCIO PRADO PAMPLONA ALTA</t>
  </si>
  <si>
    <t>40004230</t>
  </si>
  <si>
    <t>MAMANI FLORES NORMA YENNY</t>
  </si>
  <si>
    <t>AV GARCILAZO DE LA VEGA 1282 TDA 113</t>
  </si>
  <si>
    <t>40180844</t>
  </si>
  <si>
    <t>MAMANI GUZMAN MARIBEL TERESA YOLANDA</t>
  </si>
  <si>
    <t>AA.HH LAS LOMAS DE MAMACONA MZ. F LT. 10</t>
  </si>
  <si>
    <t>73950133</t>
  </si>
  <si>
    <t>MAMANI MAMANI REGINA</t>
  </si>
  <si>
    <t>SECTOR 8 MZ U2 LT 20- A AS. COM. JICAMARCA BAJA, LIMA, LIMA, LURIGANCHO</t>
  </si>
  <si>
    <t>10607640</t>
  </si>
  <si>
    <t>MAMANI MAMANI, REGINA</t>
  </si>
  <si>
    <t>MAMANI MOYA PEDRO LUIS</t>
  </si>
  <si>
    <t>MZ. F LT. 16 LAS PONCIANAS 2</t>
  </si>
  <si>
    <t>46012077</t>
  </si>
  <si>
    <t>MAMANI PEREZ HANS WILFREDO</t>
  </si>
  <si>
    <t>JIRÓN GENERAL VELARDE 863 - 6TO PISO</t>
  </si>
  <si>
    <t>71582696</t>
  </si>
  <si>
    <t>MAMANI PHOCCO FLOR DAISY</t>
  </si>
  <si>
    <t>AVENIDA UNIVERSITARIA 9341</t>
  </si>
  <si>
    <t>70157459</t>
  </si>
  <si>
    <t>MAMANI PHOCCO, FLOR DAISY</t>
  </si>
  <si>
    <t>MAMANI SUCASAIRE MARY MARIBEL</t>
  </si>
  <si>
    <t>MZ. I LOTE 8 ASOC. MONTECARLO, LIMA, LIMA, SAN MARTIN DE PORRES</t>
  </si>
  <si>
    <t>70231713</t>
  </si>
  <si>
    <t>MAMANI SUCASAIRE, MARY MARIBEL</t>
  </si>
  <si>
    <t>MAMANI VARGAS MIGUEL</t>
  </si>
  <si>
    <t>AV. JORGE CHÁVEZ CMTE 8, MZ H, LT 4.</t>
  </si>
  <si>
    <t>41512170</t>
  </si>
  <si>
    <t>MAMANI VARGAS, MIGUEL</t>
  </si>
  <si>
    <t>MAMANI VASQUEZ MARILUZ</t>
  </si>
  <si>
    <t>MZ F 1 LT 26 PUEBLO JOVEN SAN HILARION LIMA LIMA SAN JUAN DE LURIGANCHO</t>
  </si>
  <si>
    <t>09657060</t>
  </si>
  <si>
    <t>MARILUZ MAMANI VASQUEZ</t>
  </si>
  <si>
    <t>MANAYAY ALCALDE WILSON HELENIO</t>
  </si>
  <si>
    <t>ASOCIACION DE VIVIENDA VILLA SANTA ROSA H-1 REFERENCIA COSTADO CONSULTORIO DELMAT, LIMA, BARRANCA, BARRANCA</t>
  </si>
  <si>
    <t>8720 - ACTIVIDADES DE ATENCIÓN EN INSTITUCIONES PARA PERSONAS CON RETRASO MENTAL, ENFERMOS MENTALES Y TOXICÓMANOS</t>
  </si>
  <si>
    <t>41393157</t>
  </si>
  <si>
    <t>MANAYAY GUILLERMO MARITZA</t>
  </si>
  <si>
    <t>ALTURA DE BATA/F9   ( 4WPF+HXC PUENTE PIEDRA)</t>
  </si>
  <si>
    <t>25719776</t>
  </si>
  <si>
    <t>MANCHEGO NUÑEZ MIGUEL EDILBERTO</t>
  </si>
  <si>
    <t>CALLE PRIMAVERA NRO 404</t>
  </si>
  <si>
    <t>15632364</t>
  </si>
  <si>
    <t>MANCILLA EYZAGUIRRE VALERIANA</t>
  </si>
  <si>
    <t>MZ. F LT. 1 ASENT. H. SAN FRANCISCO DE ÑAÑA</t>
  </si>
  <si>
    <t>01123 - CULTIVO DE HORTALIZAS Y LEGUMBRES.</t>
  </si>
  <si>
    <t>06972374</t>
  </si>
  <si>
    <t>MANCO CHUMPITAZ JUAN RAMON</t>
  </si>
  <si>
    <t>JR. LA BARRANCA NRO. S/N (A UNA CDRA. DEL MERCADO), LIMA, CAÑETE, MALA</t>
  </si>
  <si>
    <t>41000529</t>
  </si>
  <si>
    <t>MANCO CORTEZ MIRTHA MARITZA</t>
  </si>
  <si>
    <t>MZ LT 12 RAMÓN CASTILLA - LOS SUSPIROS CAPILLA DE ASIA</t>
  </si>
  <si>
    <t>44058383</t>
  </si>
  <si>
    <t>MANCO VALCARCEL PIERO MANUEL</t>
  </si>
  <si>
    <t>CP. SAN NICOLAS COMITE 09 MZ B LT 10</t>
  </si>
  <si>
    <t>47750403</t>
  </si>
  <si>
    <t>MANRIQUE BARRANTES MANUEL ANTONIO</t>
  </si>
  <si>
    <t>CALLE LIMA SUR # 230</t>
  </si>
  <si>
    <t>29221 - FAB. DE MAQUINAS HERRAMIENTA</t>
  </si>
  <si>
    <t>15860195</t>
  </si>
  <si>
    <t>MANRIQUE GARAY CARMEN DELIA</t>
  </si>
  <si>
    <t>JR.LETICIA 939 INT 09</t>
  </si>
  <si>
    <t>10765646</t>
  </si>
  <si>
    <t>MANRIQUE GARAY, CARMEN DELIA</t>
  </si>
  <si>
    <t>MANRIQUE ROMERO ISMAEL LLUBLINDER</t>
  </si>
  <si>
    <t>AV. CHAQUILA N° 398</t>
  </si>
  <si>
    <t>15855673</t>
  </si>
  <si>
    <t>MANTARI GARCIA HAYDEE LUISA</t>
  </si>
  <si>
    <t>SAN JOSE 3RA ETAPA CALLE UNIÓN MZ D LOTE 14</t>
  </si>
  <si>
    <t xml:space="preserve"> 4711 - VENTA AL POR MENOR EN COMERCIOS NO ESPECIALIZADOS CON PREDOMINIO DE LA VENTA DE ALIMENTOS, BEBIDAS O TABACO</t>
  </si>
  <si>
    <t>21558033</t>
  </si>
  <si>
    <t xml:space="preserve"> MANTARI GARCIA HAYDEE LUISA</t>
  </si>
  <si>
    <t>MANTILLA HOFFMANN ANDRES ALBERTO</t>
  </si>
  <si>
    <t>JR. MANUEL CISNEROS 1194</t>
  </si>
  <si>
    <t>40565400</t>
  </si>
  <si>
    <t>ANDRES ALBERTO MANTILLA HOFFMANN</t>
  </si>
  <si>
    <t>MANTILLA MENDOZA FLOR MARIA</t>
  </si>
  <si>
    <t>JR. HUMOLT N° 1647 – 1ER. PISO INT. C-02/ C-03 LA CASITA DEL DEPORTE</t>
  </si>
  <si>
    <t>71987346</t>
  </si>
  <si>
    <t>MANTILLA MENDOZA OLGA</t>
  </si>
  <si>
    <t>JR. LAS MAGNOLIAS MZ. O LT. 09 LUIS FELIPE DE LAS CASAS</t>
  </si>
  <si>
    <t>09994095</t>
  </si>
  <si>
    <t>MANTILLA MENDOZA, OLGA</t>
  </si>
  <si>
    <t>MAQUERA RODRIGUEZ JANETH ANDREA</t>
  </si>
  <si>
    <t>R CAMANA 1161 INT 478 D GALERIA CENTRO DE LIMA</t>
  </si>
  <si>
    <t>44125540</t>
  </si>
  <si>
    <t>MAQUIN VALLADARES KELL HELMUT</t>
  </si>
  <si>
    <t>JR. GAMARRA NRO. 901 GALERIA YUYI, LIMA, LIMA, LA VICTORIA</t>
  </si>
  <si>
    <t>41781871</t>
  </si>
  <si>
    <t>MARCAÑAUPA MARTINEZ FELIX</t>
  </si>
  <si>
    <t>AV. UNIVERSITARIA, JIRON BUSANO CUADRA 6 SANTA LUSMILA 1 ETAPA ,COMAS</t>
  </si>
  <si>
    <t>09989845</t>
  </si>
  <si>
    <t>MARCELO CHAVEZ MARLENE</t>
  </si>
  <si>
    <t>JR. PUNO 428 (PARALELA ENTRE AZANGARO Y ABANCAY)</t>
  </si>
  <si>
    <t>08146124</t>
  </si>
  <si>
    <t>MARCELO JAUREGUI OSCAR WILSON</t>
  </si>
  <si>
    <t>MZ A3 LOTE 17 LOS PORTALES DE SANTA ANITA</t>
  </si>
  <si>
    <t>40426636</t>
  </si>
  <si>
    <t>MARCHAN HIDALGO JOSE FERNANDO</t>
  </si>
  <si>
    <t>AV. LIMA 1344 BARRANCA</t>
  </si>
  <si>
    <t>15856043</t>
  </si>
  <si>
    <t>MARCHENA DELZO WILLIAM FRANK</t>
  </si>
  <si>
    <t>AV. CNEL. MARCO PUENTE LLANOS 215 MZ C LOTE 2</t>
  </si>
  <si>
    <t>10541972</t>
  </si>
  <si>
    <t>MARCHENA RUIZ EDISON</t>
  </si>
  <si>
    <t>CALLE 144 MZ. LL-4 LT. 12 URB. SANTA LUZMILA</t>
  </si>
  <si>
    <t>43766970</t>
  </si>
  <si>
    <t>MARCHENA RUIZ, EDISON</t>
  </si>
  <si>
    <t>MARCOS ALBORNOZ YIMMY FERNANDO</t>
  </si>
  <si>
    <t>CALLE HIPOLITO OYOLA 155</t>
  </si>
  <si>
    <t>41188655</t>
  </si>
  <si>
    <t>MARCOS ARIAS JUAN MANUEL MARTIN GABINO EU</t>
  </si>
  <si>
    <t>CALLE 3  139 URB SAN EULOGIO, LIMA, LIMA, COMAS</t>
  </si>
  <si>
    <t>15393509</t>
  </si>
  <si>
    <t>MARCOS FERRER FRANK MULLER</t>
  </si>
  <si>
    <t>AV. BRASIL 2959</t>
  </si>
  <si>
    <t>45181562</t>
  </si>
  <si>
    <t>MARCOS HERBOZO ROLANDO</t>
  </si>
  <si>
    <t>AV. CINCUENTENARIO S/N (CRUCE AV. CINCUENTENARIO CON AV. JORGE CHAVEZ)</t>
  </si>
  <si>
    <t>15646437</t>
  </si>
  <si>
    <t>MARCOS JULCA RENSO RUDY</t>
  </si>
  <si>
    <t>CALLE LAS FLORES 176 (POR LA COCHERA DE LA PARADA)</t>
  </si>
  <si>
    <t>41778458</t>
  </si>
  <si>
    <t>MARIA LILIANA CASTAÑEDA PEDROZA</t>
  </si>
  <si>
    <t>SAN BORJA GOZZOLI SUR 325</t>
  </si>
  <si>
    <t>10004509</t>
  </si>
  <si>
    <t>MARIN AGUIRRE CESAR ATILANO</t>
  </si>
  <si>
    <t>AA.HH. SEÑOR DE LOS MILAGROS MZ. A LT. 1, LIMA, LIMA, ANCON</t>
  </si>
  <si>
    <t>80366606</t>
  </si>
  <si>
    <t>MARIN AGUIRRE, CESAR ATILANO</t>
  </si>
  <si>
    <t>MARIN JORDAN MILAGROS CAROLINA</t>
  </si>
  <si>
    <t>JR CUSCO 744 - GALERIA MINA DE ORO 2</t>
  </si>
  <si>
    <t>75599038</t>
  </si>
  <si>
    <t>MARIN PAJUELO ROCIO MELINA</t>
  </si>
  <si>
    <t>GALERIA GUIZADO HNOS TIENDA 401</t>
  </si>
  <si>
    <t>42633254</t>
  </si>
  <si>
    <t>MARIN VEGA VLADIMIR GUSTAVO</t>
  </si>
  <si>
    <t>AV. SANTA ROSA S/N</t>
  </si>
  <si>
    <t>72191370</t>
  </si>
  <si>
    <t>MARIN VEGA, VLADIMIR GUSTAVO</t>
  </si>
  <si>
    <t>MARINA DE SOUZA ROMULO</t>
  </si>
  <si>
    <t>JR. LAS ORQUIDEAS  285 URB. PROLOG. SAN IGNACION</t>
  </si>
  <si>
    <t>40035862</t>
  </si>
  <si>
    <t>MARIÑAS ROJAS DE FERNANDEZ NANCY ISABEL</t>
  </si>
  <si>
    <t>JR. ALICIA ALARCÓN 480 – S.M.P</t>
  </si>
  <si>
    <t>08534666</t>
  </si>
  <si>
    <t>MARQUEZ HUAMAN FREDY FERNANDO</t>
  </si>
  <si>
    <t>AV. TÚPAC AMARU N°890-892, CARABAYLLO 15321</t>
  </si>
  <si>
    <t>44312289</t>
  </si>
  <si>
    <t>MARREROS BADA LUZ AURORA</t>
  </si>
  <si>
    <t>PRO. HUANUCO 2010 INT 207, GALERIA ASIA 2DO PISO</t>
  </si>
  <si>
    <t>40163910</t>
  </si>
  <si>
    <t>MARTEL ACHIC OTTO EDINO</t>
  </si>
  <si>
    <t>APV. SANTA BEATRIZ DEL VALLE MZ C LT 10</t>
  </si>
  <si>
    <t>Principal - 1410 - FABRICACIÓN DE PRENDAS DE VESTIR, EXCEPTO PRENDAS DE PIEL</t>
  </si>
  <si>
    <t>10627049</t>
  </si>
  <si>
    <t>MARTICORENA MELENDEZ ALEN</t>
  </si>
  <si>
    <t>JR. NAPO 650</t>
  </si>
  <si>
    <t>43723682</t>
  </si>
  <si>
    <t>MARTINEZ CHACON DE ZAVALETA OLGA MARIBEL</t>
  </si>
  <si>
    <t>AA.HH INCAHUASI MZ F LT 4</t>
  </si>
  <si>
    <t>09826079</t>
  </si>
  <si>
    <t>MARTINEZ CHACON DE ZAVALETA, OLGA MARIBEL</t>
  </si>
  <si>
    <t>MARTINEZ ESPINOZA GABRIELA YOSELIN</t>
  </si>
  <si>
    <t>AV. JAVIER PRADO ESTE 4200(JOCKEY PLAZA)</t>
  </si>
  <si>
    <t>Principal - 4100 - CONSTRUCCIÓN DE EDIFICIOS</t>
  </si>
  <si>
    <t>47960995</t>
  </si>
  <si>
    <t>GABRIELA YOSELIN MARTINEZ ESPINOZA</t>
  </si>
  <si>
    <t>MARTINEZ GAMBOA CARLOS ALBERTO</t>
  </si>
  <si>
    <t>AV. ARGENTINA 2245</t>
  </si>
  <si>
    <t>08381519</t>
  </si>
  <si>
    <t>MARTINEZ GUTIERREZ HENRY ELIAS</t>
  </si>
  <si>
    <t>AV. MIGUEL IGLESIAS MA L3, AL FRENTE DE LA CACETA DE SERENAZGO,</t>
  </si>
  <si>
    <t>10650194</t>
  </si>
  <si>
    <t>MARTINEZ LEANDRO ROBERTO CARLOS</t>
  </si>
  <si>
    <t>AV. LOS INCAS S/N</t>
  </si>
  <si>
    <t>41487707</t>
  </si>
  <si>
    <t>MARTINEZ OLARTE PILAR</t>
  </si>
  <si>
    <t>MZA. H LT. 5 VILLA LOS ANGELES</t>
  </si>
  <si>
    <t>09254283</t>
  </si>
  <si>
    <t>MARTINEZ OLARTE, PILAR</t>
  </si>
  <si>
    <t>MARTINEZ RIOS AURELIO GILBERTO</t>
  </si>
  <si>
    <t>MZ C LOTE 20 LAS ORQUIDEAS/ FRENTE AL COLEGIO VICTOR MORON MUÑOZ</t>
  </si>
  <si>
    <t>08181944</t>
  </si>
  <si>
    <t>MARTINEZ RIOS, AURELIO GILBERTO</t>
  </si>
  <si>
    <t>MARTINEZ RIVERA JHONATAN</t>
  </si>
  <si>
    <t>MZ. M1 LT10 A.P.B LOS LIBERTADORES</t>
  </si>
  <si>
    <t>61592701</t>
  </si>
  <si>
    <t>MARTINEZ VASQUEZ SEBASTIAN SERGIO JOSE</t>
  </si>
  <si>
    <t>CALLE MARIA EGUZQUISA DE GALVEZ 130</t>
  </si>
  <si>
    <t>72369847</t>
  </si>
  <si>
    <t>MARTINEZ VILLON SOFIA</t>
  </si>
  <si>
    <t>AV. TOMAS VALLE 3003 URB. EL CONDOR</t>
  </si>
  <si>
    <t>42798193</t>
  </si>
  <si>
    <t>MARZANO HIDALGO ERICK ALEXANDER</t>
  </si>
  <si>
    <t>PROLONGACION ALFONSO UGARTE 447</t>
  </si>
  <si>
    <t>15851863</t>
  </si>
  <si>
    <t>MARZANO RODRIGUEZ MARISOL JANELA</t>
  </si>
  <si>
    <t>CALLE BELISARIO CARRILLO 190 - LA VICTORIA</t>
  </si>
  <si>
    <t>7863342</t>
  </si>
  <si>
    <t>MARZANO VEGA PABLO DE LA CRUZ</t>
  </si>
  <si>
    <t>AV. IQUITOS 169, LA VICTORIA 15018 - FRENTA AL PODER JUDICIAL</t>
  </si>
  <si>
    <t>40465129</t>
  </si>
  <si>
    <t>MAS SARA PEDRO RAFAEL</t>
  </si>
  <si>
    <t>CALLE SAN PEDRO N° 1038 (REF. CRUZE DE AV. ANGAMOS Y AV. PANAMA)</t>
  </si>
  <si>
    <t>41250206</t>
  </si>
  <si>
    <t>MASGO GRIJALVA AMADOR JACINTO</t>
  </si>
  <si>
    <t>MZA. D LOTE. 26 ASOC. SAN AMADEO CARABAYLLO</t>
  </si>
  <si>
    <t>06934696</t>
  </si>
  <si>
    <t>MASGO GRIJALVA, AMADOR JACINTO</t>
  </si>
  <si>
    <t>MASIAS OBLEA LUIS MARTIN</t>
  </si>
  <si>
    <t>CALLE TITICACA 331 CHUCUITO, CALLAO, CALLAO</t>
  </si>
  <si>
    <t>40084878</t>
  </si>
  <si>
    <t>MATA HUAMAN BORIS HUGO</t>
  </si>
  <si>
    <t>MZ. J LT. 7 LAS BRISAS I ETAPA</t>
  </si>
  <si>
    <t>41462184</t>
  </si>
  <si>
    <t>MATAMOROS LAURENTE JUAN MANUEL</t>
  </si>
  <si>
    <t>JR EL CARMEN GALERIA HONORINA HUAPAYA STAND 5 Y 21</t>
  </si>
  <si>
    <t>41565276</t>
  </si>
  <si>
    <t>MATEO CRUZ HEMBERT FARES</t>
  </si>
  <si>
    <t>JIRÓN ICA 487 UBR UNIÓN</t>
  </si>
  <si>
    <t>20069670</t>
  </si>
  <si>
    <t>MATEO GASPAR SOLIO ROLANDO</t>
  </si>
  <si>
    <t>AV. LAS TORRES DE HUACHIPA MZA. A LOTE. 10 B CHOSICA LIMA LIMA LURIGANCHO</t>
  </si>
  <si>
    <t>46625485</t>
  </si>
  <si>
    <t>MATEO ROSALES VICTOR ELMER</t>
  </si>
  <si>
    <t>AV. NRO 649 FELIX B. CÁRDENAS</t>
  </si>
  <si>
    <t>45660130</t>
  </si>
  <si>
    <t>MATIAS LOARTE MARCO ANTONIO</t>
  </si>
  <si>
    <t>JR. CIENEGUILLA 215, CESAR VALLEJO VILLA MARIA DEL TRIUNFO</t>
  </si>
  <si>
    <t>MANTENIMIENTO Y REPARAC. VEHICULOS</t>
  </si>
  <si>
    <t>10078845</t>
  </si>
  <si>
    <t>MATICORENA ASTORAYME MIGUEL ANGEL</t>
  </si>
  <si>
    <t>AV. LOS HEROES 635 ZONA A</t>
  </si>
  <si>
    <t>44664893</t>
  </si>
  <si>
    <t>MATOS AGUILAR SEGUNDINA</t>
  </si>
  <si>
    <t>PUCUSANA 15866. AA.HH KEIKO SOFIA, A ESPALDA DEL COLEGIO MANUEL CALVO  Y PEREZ</t>
  </si>
  <si>
    <t>04046567</t>
  </si>
  <si>
    <t>MATOS ATUNCAR ABEL RENATO</t>
  </si>
  <si>
    <t>INTERIOR N° 2133 GALERIA UNICENTRO, LIMA, LIMA, LIMA</t>
  </si>
  <si>
    <t>76802227</t>
  </si>
  <si>
    <t>MATOS ATUNCAR, ABEL RENATO</t>
  </si>
  <si>
    <t>MATOS LIVIA GINO ALEJANDRO</t>
  </si>
  <si>
    <t>CALLE MANUEL ODRIA N° 190</t>
  </si>
  <si>
    <t>41858219</t>
  </si>
  <si>
    <t>MATOS SERNA ANGELICA</t>
  </si>
  <si>
    <t>MZA. D LOTE. 3 - 4 ASC. INDEPROPYME ANCÓN LIMA - LIMA (KM. 44.5 PAN NORTE)</t>
  </si>
  <si>
    <t>09797849</t>
  </si>
  <si>
    <t>MATOS SERNA, ANGELICA</t>
  </si>
  <si>
    <t>MATOS VALVERDE CESAR ROBERTH</t>
  </si>
  <si>
    <t>CALLE LIMA N° 836</t>
  </si>
  <si>
    <t>15727541</t>
  </si>
  <si>
    <t>MATTA MALCA JUAN MARCOS</t>
  </si>
  <si>
    <t>ASC.LOS NISPEROS MZA. K LOTE 12, LIMA, LIMA, SAN MARTIN DE PORRES</t>
  </si>
  <si>
    <t>41035467</t>
  </si>
  <si>
    <t>MATTA MALCA, JUAN MARCOS</t>
  </si>
  <si>
    <t>MATTA MARTEL NEIL EDWIN</t>
  </si>
  <si>
    <t>RAMIRO VELITA MZ B LT 29 REF LADRILLERIA VELITA</t>
  </si>
  <si>
    <t>44036465</t>
  </si>
  <si>
    <t>MATTA RIOS JHELLSIN SAUL</t>
  </si>
  <si>
    <t>S/N CENTRO  POBLADO CHIUCHIN - AL FRENTE DE LA PLAZA  DE ARMAS, LIMA, HUAURA, SANTA LEONOR</t>
  </si>
  <si>
    <t>73432007</t>
  </si>
  <si>
    <t>MATURRANO CHAMPA PATRICIA LEONOR</t>
  </si>
  <si>
    <t>JR. DOMINGO COLOMA NRO. 238, LIMA, HUAURA, HUACHO</t>
  </si>
  <si>
    <t>41310047</t>
  </si>
  <si>
    <t>MATURRANO ESPINOZA FREDY RICHARD</t>
  </si>
  <si>
    <t>AV. FRANCISCO ROSAS NRO. 352 (REF. PANADERIA LA ESPIGA)</t>
  </si>
  <si>
    <t>73114146</t>
  </si>
  <si>
    <t>FREDY RICHARD MATURRANO ESPINOZA</t>
  </si>
  <si>
    <t>MAUTINO GOMEZ MARCO ANTONIO</t>
  </si>
  <si>
    <t>CALLE 34 NRO 139 URB TUPAC AMARU PAYET ( COMISARIA PAYET)</t>
  </si>
  <si>
    <t>31655593</t>
  </si>
  <si>
    <t>MAYANGA BARTRA LUIS ENRIQUE</t>
  </si>
  <si>
    <t>AV GERARDO UNGER 3481</t>
  </si>
  <si>
    <t xml:space="preserve"> 4520 - MANTENIMIENTO Y REPARACIÓN DE VEHÍCULOS AUTOMOTORES</t>
  </si>
  <si>
    <t>74068080</t>
  </si>
  <si>
    <t>MAYANGA PISCOYA JOSE LUIS</t>
  </si>
  <si>
    <t>AV. GERARDO UNGER 3481</t>
  </si>
  <si>
    <t>08463692</t>
  </si>
  <si>
    <t>MAYHUA SANCHEZ ROCIO ROSA</t>
  </si>
  <si>
    <t>AV. NICOLAS AYLLON N° 2025, LIMA, LIMA, SANTA ANITA</t>
  </si>
  <si>
    <t>42144704</t>
  </si>
  <si>
    <t>MAYHUA SANCHEZ, ROCIO ROSA</t>
  </si>
  <si>
    <t>MAYO ROMAN FRANK ENRIQUE</t>
  </si>
  <si>
    <t>DOMINGO TORERO 145 - HAUCHO</t>
  </si>
  <si>
    <t>15761699</t>
  </si>
  <si>
    <t>MAYO TRUJILLO ARELIS</t>
  </si>
  <si>
    <t>AV. LAS DELICIAS 280</t>
  </si>
  <si>
    <t>44504964</t>
  </si>
  <si>
    <t>MAYTA BARZOLA CRISTIAN WILLIAMS</t>
  </si>
  <si>
    <t>CALLE MANUEL BENGOLEA #331</t>
  </si>
  <si>
    <t>44162482</t>
  </si>
  <si>
    <t>MAYTA CASALLO JOSE MIGUEL</t>
  </si>
  <si>
    <t>AV. UNIVERSIDAD NRO. SN  (DENTRO DE LA UNIVERSIDAD AGRARIA LA MOLINA),  LIMA, LIMA LA MOLINA</t>
  </si>
  <si>
    <t>41268704</t>
  </si>
  <si>
    <t>MAYTA GUTIERREZ CARMEN MARINA</t>
  </si>
  <si>
    <t>AV. CANTA CALLAO MZ. F LT. 1 MONTE DE LOS OLIVOS ETAPA 1</t>
  </si>
  <si>
    <t>42392016</t>
  </si>
  <si>
    <t>MAYTA GUTIERREZ, CARMEN MARINA</t>
  </si>
  <si>
    <t>MAYTA HUASHUA MARCIAL LUIS</t>
  </si>
  <si>
    <t>MZ B LT 01 AAHH 9 DE OCTUBRE</t>
  </si>
  <si>
    <t>45226523</t>
  </si>
  <si>
    <t>MAYTA MARAVI YESSICA GRISELDA</t>
  </si>
  <si>
    <t>AV. BOLIVIA 148 INT. 2279 CENTRO COMERCIAL</t>
  </si>
  <si>
    <t>43886008</t>
  </si>
  <si>
    <t>MAYTA MARAVI, YESSICA GRISELDA</t>
  </si>
  <si>
    <t>MAYTA REGALADO YOBER</t>
  </si>
  <si>
    <t>ASOCIACIÓN VALLE HERMOSO MZ L LOTE 1 ZAPALLAL OROPESA</t>
  </si>
  <si>
    <t>62198624</t>
  </si>
  <si>
    <t>MAYTA RIVERA CESAR FIDEL</t>
  </si>
  <si>
    <t>URBANIZACIÓN LAS PRADERAS 2DA ETAPA MZ. W LOTE: 20, AGUSTINO</t>
  </si>
  <si>
    <t>06576892</t>
  </si>
  <si>
    <t>MAYURI ALVARADO HELBER LUIS</t>
  </si>
  <si>
    <t>AV. URUBAMBA 337 COOP. 27 DE ABRIL</t>
  </si>
  <si>
    <t>44841311</t>
  </si>
  <si>
    <t>MAZA ARELLANO JHORDY RAMON</t>
  </si>
  <si>
    <t>SAN VALENTIN 2DA ETAPA MZ A LT 34</t>
  </si>
  <si>
    <t>72387312</t>
  </si>
  <si>
    <t>MAZUELOS RIVAS ZOILA REINA DORALIZA</t>
  </si>
  <si>
    <t>AV. ELMER FAUCETT 2089, PROV. CONST. CALLAO, RPOV. COSNT. CALLAO, VILLAVISTA</t>
  </si>
  <si>
    <t>46806632</t>
  </si>
  <si>
    <t>MEDIANERO DIAZ CARLOS ENRIQUE</t>
  </si>
  <si>
    <t>AV. PROLONGACIÓN IQUITOS 1738</t>
  </si>
  <si>
    <t>40352278</t>
  </si>
  <si>
    <t>MEDICO SALCEDO FELIPE ABEL</t>
  </si>
  <si>
    <t>MZTA C LOTE 5 SANTA ISOLINA, LIMA, LIMA, COMAS</t>
  </si>
  <si>
    <t>09740347</t>
  </si>
  <si>
    <t>MEDINA ABANTO JULIO CESAR</t>
  </si>
  <si>
    <t>PASAJE CHANGANAQUI N°10</t>
  </si>
  <si>
    <t>15766245</t>
  </si>
  <si>
    <t>MEDINA ALCANTARA JHON ANDERSON</t>
  </si>
  <si>
    <t>AV. CANTA CALLAO MZ B LTE 12 (BRISAS DE SANTA ROSA)</t>
  </si>
  <si>
    <t>47332999</t>
  </si>
  <si>
    <t>MEDINA ALCANTARA RONALD KARLZ</t>
  </si>
  <si>
    <t>AV. CANTA CALLAO MZB L12 BRISAS DE SANTA ROSA , S.M.P</t>
  </si>
  <si>
    <t>45129338</t>
  </si>
  <si>
    <t>MEDINA ALCANTARA, RONALD KARLZ</t>
  </si>
  <si>
    <t>MEDINA BALDEON JOHNNY PERCY</t>
  </si>
  <si>
    <t>AV. ALAMEDA LOS HEROES N° 586, LIMA, LIMA, HUARAL</t>
  </si>
  <si>
    <t>15751402</t>
  </si>
  <si>
    <t>MEDINA CUBA NELSON PAUL</t>
  </si>
  <si>
    <t>AV.ARGENTINA 144-PUESTO 2237</t>
  </si>
  <si>
    <t>76514143</t>
  </si>
  <si>
    <t>MEDINA CUBA, NELSON PAUL</t>
  </si>
  <si>
    <t>MEDINA GUEVARA CLEIDER ANTONIO</t>
  </si>
  <si>
    <t>MZ M1 LT 39 LOS ÁLAMOS AV. CANTO GRANDE, LIMA, LIMA, SAN JUAN DE LURIGANCHO</t>
  </si>
  <si>
    <t>10117506</t>
  </si>
  <si>
    <t>MEDINA GUZMAN CARLOS</t>
  </si>
  <si>
    <t>JR SANTA ROSA 801</t>
  </si>
  <si>
    <t>10161610</t>
  </si>
  <si>
    <t>MEDINA HERNANDEZ JAVIER</t>
  </si>
  <si>
    <t>MZ B LOTE 1 RESIDENCIAL NUEVA VIDA</t>
  </si>
  <si>
    <t>48305595</t>
  </si>
  <si>
    <t>MEDINA HERNANDEZ, JAVIER</t>
  </si>
  <si>
    <t>MEDINA LICETA PEDRO RICARDO</t>
  </si>
  <si>
    <t>CALLE GERMANIA 105 URB TARAPACA CALLAO</t>
  </si>
  <si>
    <t>46777361</t>
  </si>
  <si>
    <t>MEDINA LLANQUE CARLOS MARTIN</t>
  </si>
  <si>
    <t>CALLE SAN MARTIN MZ. K . LOTE 3 . HUAURA (FRENTE A LA CALLE IQUITOS)</t>
  </si>
  <si>
    <t>44879835</t>
  </si>
  <si>
    <t>MEDINA MUÑOZ MARIA ELENA</t>
  </si>
  <si>
    <t>AV.SUAREZ 136, CHORRILLOS</t>
  </si>
  <si>
    <t>10643404</t>
  </si>
  <si>
    <t>MEDINA MUÑOZ, MARIA ELENA</t>
  </si>
  <si>
    <t>MEDINA PALMA CIRO ADONAY</t>
  </si>
  <si>
    <t>AV BOLOGNESI NRO 249</t>
  </si>
  <si>
    <t>74241816</t>
  </si>
  <si>
    <t>MEDINA PINTO RENE</t>
  </si>
  <si>
    <t>AV CONSTELACION 2748</t>
  </si>
  <si>
    <t>48740560</t>
  </si>
  <si>
    <t>MEDINA QUISPE JEREMIAS</t>
  </si>
  <si>
    <t>GALERIA CENTRO DE LIMA PUESTO 3298</t>
  </si>
  <si>
    <t>47377860</t>
  </si>
  <si>
    <t>MEDINA SAAVEDRA CRISTIAN WILLY</t>
  </si>
  <si>
    <t>BIOHUERTO TORREBLANCA ALTA MZ. A LT. 6 MULTIESTRUCTURAS KM 23.5 ALTURA DE PUMAS CLUB</t>
  </si>
  <si>
    <t>42645244</t>
  </si>
  <si>
    <t>MEDINA TRINIDAD JUAN CARLOS</t>
  </si>
  <si>
    <t>MZR LOT 1 A.H JOSE MARIA ARGUEDAS PACHACUTEC-VENTANILLA</t>
  </si>
  <si>
    <t>09529916</t>
  </si>
  <si>
    <t>MEDRANO PORTUGUEZ WALTER JOHNNY</t>
  </si>
  <si>
    <t>AV LIMA 130, QUILMANA</t>
  </si>
  <si>
    <t>08215225</t>
  </si>
  <si>
    <t>MEGO LLATAS YUMELY</t>
  </si>
  <si>
    <t>AV.HUANCARAY MZ.A4 LOTE 2 ASOC.LOS PORTALES SANTA ANITA</t>
  </si>
  <si>
    <t>71529111</t>
  </si>
  <si>
    <t>MEJIA BRAVO KIMBERLY NICOLL</t>
  </si>
  <si>
    <t>CALLE UNIÓN MZ J1 LOTE 17A REF: FRENTE A TIENDA IR  PARQUE INDUSTRIAL</t>
  </si>
  <si>
    <t>73013507</t>
  </si>
  <si>
    <t>MEJIA CARRILLO ASTRID CAROLINA</t>
  </si>
  <si>
    <t>AV. JOSE CARLOS MARIATEGUI URB. LUCYANA</t>
  </si>
  <si>
    <t>46580781</t>
  </si>
  <si>
    <t>MEJIA CASTILLO CARMEN SOLEDAD</t>
  </si>
  <si>
    <t>CALLE FERROCARRIL NRO. 578</t>
  </si>
  <si>
    <t>15632861</t>
  </si>
  <si>
    <t>CARMEN SOLEDAD MEJIA CASTILLO</t>
  </si>
  <si>
    <t>MEJIA CASTILLO HAYDE MARICELA</t>
  </si>
  <si>
    <t>CALLE ESPINAR 232 REF. BANCO DE LA NACION DESPUES DOS CUADRAS</t>
  </si>
  <si>
    <t>73501650</t>
  </si>
  <si>
    <t>MEJIA CASTILLO MARCO OSTERLING</t>
  </si>
  <si>
    <t>AV. PARAMONGA LOS ROSALES, SAN MARTIN DE PORRES</t>
  </si>
  <si>
    <t>10433612</t>
  </si>
  <si>
    <t>MEJIA CERRON WILDER</t>
  </si>
  <si>
    <t>AV ANDRES AVELINO CACERES MZ 6B LT 6A A.H. HEROES DE SJM, LIMA, LIMA, SAN JUAN DE MIRAFLORES</t>
  </si>
  <si>
    <t>42352600</t>
  </si>
  <si>
    <t>MEJIA DAVILA ROSSIE MOIRA</t>
  </si>
  <si>
    <t>COOP. MANUEL CORREA MZ. A LT. 11 - FRENTE AL ESTADIO MUNICIPAL 623</t>
  </si>
  <si>
    <t>10052141</t>
  </si>
  <si>
    <t>MEJIA DAVILA, ROSSIE MOIRA</t>
  </si>
  <si>
    <t>MEJIA GAMARRA TEODORO</t>
  </si>
  <si>
    <t>MZ. P LOTE 6 GRUPO 17 SECTOR 1</t>
  </si>
  <si>
    <t>09805217</t>
  </si>
  <si>
    <t>MEJIA MEJIA FRANK HEIVER</t>
  </si>
  <si>
    <t>SAN LORENZO 380 SURQUILLO</t>
  </si>
  <si>
    <t>4231971</t>
  </si>
  <si>
    <t>MEJIA MEZA DE BARRANTES CARLA OFELIA</t>
  </si>
  <si>
    <t>CALLE TARATA S/N (COSTADO DEL COLEGIO 20525)</t>
  </si>
  <si>
    <t>41154081</t>
  </si>
  <si>
    <t>MEJIA MONZON MARIA ISABEL DEL PILAR</t>
  </si>
  <si>
    <t>AV. INCA GARCILAZO DE LA VEGA N° 1348 INT. 1056</t>
  </si>
  <si>
    <t>41203284</t>
  </si>
  <si>
    <t>MEJIA RAFAEL WILLIAM</t>
  </si>
  <si>
    <t>SC MIGUEL GRAU MZ Z3 LT 4 PANPAMPLONA ALTA, SJM</t>
  </si>
  <si>
    <t>09135538</t>
  </si>
  <si>
    <t>MEJIA RODRIGO HEBERT FRANCISCO</t>
  </si>
  <si>
    <t>AV BOLIVAR 1281, LIMA, LIMA, PUEBLO LIBRE</t>
  </si>
  <si>
    <t>07803295</t>
  </si>
  <si>
    <t>MEJIA TURPO GUZMAN DOMINGO</t>
  </si>
  <si>
    <t>AV.NICOLAS AYLLON N°C.F."NUEVO MILENIO", LIMA, LIMA, LA VICTORIA</t>
  </si>
  <si>
    <t>09943309</t>
  </si>
  <si>
    <t>MEJICO CARLOS GLADYS</t>
  </si>
  <si>
    <t>CALLE RICARDO PALMA N° 119 TIENDA 477</t>
  </si>
  <si>
    <t>80502506</t>
  </si>
  <si>
    <t>MELCHOR MARZANO JHOSEFIM DANIELA</t>
  </si>
  <si>
    <t>JOSEFINA RAMOS MZ Z LOTE 16 IMPERIAL CAÑETE</t>
  </si>
  <si>
    <t>75092613</t>
  </si>
  <si>
    <t>MELENDEZ AYALA EULALIA</t>
  </si>
  <si>
    <t>MZ. U-1 LT. 07 MARIATEGUI, LIMA, LIMA, SAN JUAN DE LURIGANCHO</t>
  </si>
  <si>
    <t>09685701</t>
  </si>
  <si>
    <t>MELENDEZ AYALA, EULALIA</t>
  </si>
  <si>
    <t>MELENDEZ CANTORAL LUIS ALBERTO</t>
  </si>
  <si>
    <t>JR. MANCO CAPAC 570 IMPERIAL CAÑETE</t>
  </si>
  <si>
    <t>46050209</t>
  </si>
  <si>
    <t>MELGAR CANO MISOLINO</t>
  </si>
  <si>
    <t>MZ. J LOTE 25 A.H. 1 DE NOVIEMBRE- CARABAYLLO</t>
  </si>
  <si>
    <t>FABRICACIÓN DE OTROS PRODUCTOS TEXTILES N.C.P.</t>
  </si>
  <si>
    <t>44177115</t>
  </si>
  <si>
    <t>MELGAR CANO, MISOLINO</t>
  </si>
  <si>
    <t>MELGAR EGOAVIL DENNIS MARTIN</t>
  </si>
  <si>
    <t>AV. COLECTORA INDUSTRIAL N° 461, LIMA, LIMA, SANTA ANITA</t>
  </si>
  <si>
    <t>41671303</t>
  </si>
  <si>
    <t>MELGAR EGOAVIL, DENNIS MARTIN</t>
  </si>
  <si>
    <t>MELGAR MEDRANO JULIO JONNY</t>
  </si>
  <si>
    <t>JR. SAN MARTIN S/N MZ A LT 19 URB. LOS PINOS (ESPADA ESTADIO DE HUAURA)</t>
  </si>
  <si>
    <t>15731727</t>
  </si>
  <si>
    <t>MELGAR MEDRANO, JULIO JONNY</t>
  </si>
  <si>
    <t>MELGAREJO ABARCA SONIA VIOLETA</t>
  </si>
  <si>
    <t>AV. PROCERES DE LA INDEPENDENCIA MZ 6 LT. 40</t>
  </si>
  <si>
    <t>41721899</t>
  </si>
  <si>
    <t>MELGAREJO BLAS ROMULO JORGE</t>
  </si>
  <si>
    <t>AV 3 DE OCTUBRE REF.FRENTE A LA IGLECIA CRISTIANA MMM</t>
  </si>
  <si>
    <t>32728925</t>
  </si>
  <si>
    <t>MELGAREJO CERDAN CARLOS HUMBERTO</t>
  </si>
  <si>
    <t>CALLE INCA ROCA MZ.45 LTE.10</t>
  </si>
  <si>
    <t>92495 - OTRAS ACTIVIDADES DE ESPARCIMIENTO</t>
  </si>
  <si>
    <t>10098406</t>
  </si>
  <si>
    <t>MELGAREJO CULLANCO JOAN CARLOS</t>
  </si>
  <si>
    <t>MZ 3-T LT 4B URB SEMI RUSTICA EL SOL DE LA MOLINA</t>
  </si>
  <si>
    <t>48275664</t>
  </si>
  <si>
    <t>MELGAREJO GOMERO WILMER YONNATAN</t>
  </si>
  <si>
    <t>JR. ALFONSO UGARTE 15169 REF. COSTADO HOTEL LAS VEGAS</t>
  </si>
  <si>
    <t>45505088</t>
  </si>
  <si>
    <t>MELGAREJO JARA MAGNA ROMULA</t>
  </si>
  <si>
    <t>CALLE LEONCIO PRADO Nº 131</t>
  </si>
  <si>
    <t>15713865</t>
  </si>
  <si>
    <t>MELGAREJO MENDOZA EDUARDO</t>
  </si>
  <si>
    <t>MZ. C LT. 20-21, CALLAO, CALLAO, MI PERU</t>
  </si>
  <si>
    <t>43786274</t>
  </si>
  <si>
    <t>MELGAREJO MENDOZA, EDUARDO</t>
  </si>
  <si>
    <t>MELGAREJO SANCHEZ HUGO MOISES</t>
  </si>
  <si>
    <t>AV 13 ENERO 2036,  MZ N LOTE 1 ASOCIACION INCA MANCO CAPAC</t>
  </si>
  <si>
    <t>80290530</t>
  </si>
  <si>
    <t>MENDEZ MIÑANO MARITESSY</t>
  </si>
  <si>
    <t>CALLE SANTA ROSA 130 INFANTAS</t>
  </si>
  <si>
    <t>74406136</t>
  </si>
  <si>
    <t>MENDEZ MIÑANO, MARITESSY</t>
  </si>
  <si>
    <t>MENDEZ OCHOA ESTHER LUCIA</t>
  </si>
  <si>
    <t>MZ A8 LT 9 HUERTOS DE MANCHAY - PACHACAMAC</t>
  </si>
  <si>
    <t>46796230</t>
  </si>
  <si>
    <t>MENDEZ RUIZ JESUS ALBERTO</t>
  </si>
  <si>
    <t>JR. LA VERACIDAD URB. PRO 5TO SECTOR I ETAPA MZA. W4 LOTE. 14</t>
  </si>
  <si>
    <t>00365484</t>
  </si>
  <si>
    <t>MENDIETA AGUERO WILBER ISMAEL</t>
  </si>
  <si>
    <t>AV. UNIVERSITARIA 9856 - COMAS</t>
  </si>
  <si>
    <t>10408999</t>
  </si>
  <si>
    <t>MENDIETA MARTINEZ KEVIN ALBERTO</t>
  </si>
  <si>
    <t>MZ. I LT. 07 GR.A-1 SEC A PPN PACHACUTEC</t>
  </si>
  <si>
    <t>72544112</t>
  </si>
  <si>
    <t>MENDO JIMENEZ CELSO ABINADI</t>
  </si>
  <si>
    <t>AV. FERROCARRIL A3 02 URB PRADERA DE SANTA ANITA, LA SANTA ANITA LOTES 2 Y 3, LIMA, LIMA, SANTA ANITA</t>
  </si>
  <si>
    <t>07644104</t>
  </si>
  <si>
    <t>MENDOZA ALBINO LORENZO NILO</t>
  </si>
  <si>
    <t>CP HERBAY ALTO S/N</t>
  </si>
  <si>
    <t>15429990</t>
  </si>
  <si>
    <t>MENDOZA ALVARADO SERGIO ALEJANDRO</t>
  </si>
  <si>
    <t>CANGALLO NRO 660  JR. LETICIA 1000  STAND 129, LIMA, LIMA, LIMA</t>
  </si>
  <si>
    <t>78010728</t>
  </si>
  <si>
    <t>MENDOZA AMANCAY EDGAR</t>
  </si>
  <si>
    <t>AV. HUANCARAY M.  A-3   LT. 09   ASOC. LOS PORTALES DE SANTA ANITA</t>
  </si>
  <si>
    <t>44432838</t>
  </si>
  <si>
    <t>MENDOZA AMARINGO DIANA FLOR DE MARIA</t>
  </si>
  <si>
    <t>CALLE LAS VEGAS NRO 144, LIMA, LIMA, COMAS</t>
  </si>
  <si>
    <t>41439236</t>
  </si>
  <si>
    <t>MENDOZA AMARINGO, DIANA FLOR DE MARIA</t>
  </si>
  <si>
    <t>MENDOZA BARBARAN MARITZA</t>
  </si>
  <si>
    <t>AV. PETIT THOUARS N° 3998</t>
  </si>
  <si>
    <t>40041345</t>
  </si>
  <si>
    <t>MENDOZA BETETA ROBERT DAVINCE</t>
  </si>
  <si>
    <t>JIRON VIZCARDO Y GUZMAN 283, LA VICTORIA 15034</t>
  </si>
  <si>
    <t>41398353</t>
  </si>
  <si>
    <t>MENDOZA CARHUATANTA BERBELINA</t>
  </si>
  <si>
    <t>AV. FRANCISCO BOLOGNESI Nº 104</t>
  </si>
  <si>
    <t>42616978</t>
  </si>
  <si>
    <t>MENDOZA CARHUATANTA, BERBELINA</t>
  </si>
  <si>
    <t>MENDOZA CARRION IVAN ROBINZON</t>
  </si>
  <si>
    <t>MZ A LT B CENTRO POBLADO EL DECIERTO DISTRITO DE NUEVO IMPERIAL</t>
  </si>
  <si>
    <t>42959669</t>
  </si>
  <si>
    <t>MENDOZA CASAVERDE VLADIMIR</t>
  </si>
  <si>
    <t>AV. LA ESTRELLA N° 286</t>
  </si>
  <si>
    <t>43885865</t>
  </si>
  <si>
    <t>MENDOZA CASAVERDE, VLADIMIR</t>
  </si>
  <si>
    <t>MENDOZA CONDORENA DIANA LUPE</t>
  </si>
  <si>
    <t>AV. SANTA CATALINA 509 URB. CERCADO</t>
  </si>
  <si>
    <t>45589719</t>
  </si>
  <si>
    <t>MENDOZA CONDORENA, DIANA LUPE</t>
  </si>
  <si>
    <t>MENDOZA CUTAMANCA ISAAC ECLETICO</t>
  </si>
  <si>
    <t>CALLE SANCHEZ CARRION NRO. 349, LIMA, HUAURA, HUALMAY</t>
  </si>
  <si>
    <t>42977239</t>
  </si>
  <si>
    <t>MENDOZA HUAMAN WILDER RONAL</t>
  </si>
  <si>
    <t>AV.PERU S/N - HUARAL - LIMA (ESQUINA PARQUE LIBERTAD)</t>
  </si>
  <si>
    <t>47082097</t>
  </si>
  <si>
    <t>MENDOZA LLALLE LELI SOLEDAD</t>
  </si>
  <si>
    <t>CALLE SANTO SOLANO 302</t>
  </si>
  <si>
    <t>15436009</t>
  </si>
  <si>
    <t>MENDOZA MARQUINA JORGE LUIS</t>
  </si>
  <si>
    <t>AV. SAN JUAN 525 LA GRAMA</t>
  </si>
  <si>
    <t>41379055</t>
  </si>
  <si>
    <t>MENDOZA MENDIETA JESUS JOSE</t>
  </si>
  <si>
    <t>AV. PRIMAVERA S/N MZ. B LT. 12 ASOC. LOS FRUTALES</t>
  </si>
  <si>
    <t>47039943</t>
  </si>
  <si>
    <t>MENDOZA MENDOZA JOSE VELASQUEZ</t>
  </si>
  <si>
    <t>AV. PERU NRO 4969</t>
  </si>
  <si>
    <t>41785535</t>
  </si>
  <si>
    <t>MENDOZA MUÑOZ ANGELICA MARIA</t>
  </si>
  <si>
    <t>MZ. Y LT. 14 SECTOR 1 VILLA LOS REYES</t>
  </si>
  <si>
    <t>25724045</t>
  </si>
  <si>
    <t>MENDOZA MUÑOZ, ANGELICA MARIA</t>
  </si>
  <si>
    <t>MENDOZA QUICHE JAVIER HUMBERTO</t>
  </si>
  <si>
    <t>AV. TUPAC AMARU N° 350</t>
  </si>
  <si>
    <t>15726028</t>
  </si>
  <si>
    <t>MENDOZA ROZAS LEONARDO</t>
  </si>
  <si>
    <t>CAL.LENGUA ROMERO MZA. J-1 LOTE. 1 SEPTIMA ETAPA PARCELA S</t>
  </si>
  <si>
    <t>08941224</t>
  </si>
  <si>
    <t>MENDOZA TELLO FELICITAS NOEMI</t>
  </si>
  <si>
    <t>JIRÓN CENTENARIO N° 444, LIMA, LIMA, BREÑA</t>
  </si>
  <si>
    <t>06764957</t>
  </si>
  <si>
    <t>MENDOZA TELLO, FELICITAS NOEMI</t>
  </si>
  <si>
    <t>MENESES INCA FERNANDO ELIO</t>
  </si>
  <si>
    <t>MZ A LT 20  MERCADO VIRGEN DEL CARMEN CHINCHA</t>
  </si>
  <si>
    <t>44645403</t>
  </si>
  <si>
    <t>MENESES LLONA DOMINGO</t>
  </si>
  <si>
    <t>CALLE F MZ. Q2 LOTE 02 URB. PUERTA DE PRO ALTURA GRIFO ORO OVALO INFANTAS</t>
  </si>
  <si>
    <t>08629917</t>
  </si>
  <si>
    <t>MERCADO GARCIA JONATHAN MOISES</t>
  </si>
  <si>
    <t>AV. SIMON BOLIVAR MZ J-LT7, LIMA, HUAROCHIRI, SANTA EULALIA</t>
  </si>
  <si>
    <t>43609980</t>
  </si>
  <si>
    <t>MERCEDES SANTOS CERVANTES GAUDENCIO</t>
  </si>
  <si>
    <t>JR. LIMA S/N BARRANCA</t>
  </si>
  <si>
    <t>15621089</t>
  </si>
  <si>
    <t>MERCEDES SANTOS NILO DOMINGO</t>
  </si>
  <si>
    <t>PRO LIMA SUR N° 199</t>
  </si>
  <si>
    <t>15621088</t>
  </si>
  <si>
    <t>MERE RAMIREZ LUIS FELIPE</t>
  </si>
  <si>
    <t>CALLE SAN PATRICIO 228 VILLA MARIA, LIMA, LIMA, CHORRILLOS</t>
  </si>
  <si>
    <t>40426718</t>
  </si>
  <si>
    <t>MERINO MILLONES BRAYER EDWIN</t>
  </si>
  <si>
    <t>HIJOS DE NUEVO HORIZONTE MZ B LT 10</t>
  </si>
  <si>
    <t>42289515</t>
  </si>
  <si>
    <t>MERINO MILLONES, BRAYER EDWIN</t>
  </si>
  <si>
    <t>MERINO QUISPE CESAR</t>
  </si>
  <si>
    <t>AV. SESQUICENTENARIO 710 ANDAHUAYLAS</t>
  </si>
  <si>
    <t>APURIMAC</t>
  </si>
  <si>
    <t>ANDAHUAYLAS</t>
  </si>
  <si>
    <t>31180575</t>
  </si>
  <si>
    <t>MESAJIL BARRIOS MIGUEL ANGEL</t>
  </si>
  <si>
    <t>AV. URUGUAY 417, LIMA 15001</t>
  </si>
  <si>
    <t>42754184</t>
  </si>
  <si>
    <t>MESIAS ORMEÑO JOHANA ARACELI</t>
  </si>
  <si>
    <t>AV. LOS PROCERES K DPTO 403</t>
  </si>
  <si>
    <t>10302593</t>
  </si>
  <si>
    <t>JOHANA ARACELI MESIAS ORMEÑO</t>
  </si>
  <si>
    <t>MESTANZA GARCIA MICKY FELIPE</t>
  </si>
  <si>
    <t>JR. ANDAHUAYLAS 665 INT. 450</t>
  </si>
  <si>
    <t>70795845</t>
  </si>
  <si>
    <t>MESTANZA GARCIA, MICKY FELIPE</t>
  </si>
  <si>
    <t>MESTANZA MONTERO EDITH JOANY</t>
  </si>
  <si>
    <t>MZ J LT 28 URB. COPEMAR VENTANILLA</t>
  </si>
  <si>
    <t>40935346</t>
  </si>
  <si>
    <t>MESTANZA RAMIREZ WILMER MANUEL</t>
  </si>
  <si>
    <t>AV. ALFONSO UGARTE 1240</t>
  </si>
  <si>
    <t>42594477</t>
  </si>
  <si>
    <t>MESTANZA TRUJILLO RICHARD HERIBERTO</t>
  </si>
  <si>
    <t>AA.HH. VIRGEN DE LAS MERCEDES MZ D LT 4 (FRENTE A GRIFO PECSA X OVALO CHACRA Y MAR)</t>
  </si>
  <si>
    <t>40133920</t>
  </si>
  <si>
    <t>MESTANZA VASQUEZ DIANA CAROLINA</t>
  </si>
  <si>
    <t>PROLONGACION GRAU NRO. 161</t>
  </si>
  <si>
    <t>72222889</t>
  </si>
  <si>
    <t>MEZA ADRIANO WILMER</t>
  </si>
  <si>
    <t>1RO DE MAYO 783</t>
  </si>
  <si>
    <t>43864197</t>
  </si>
  <si>
    <t>MEZA PAEZ FLORENCIO</t>
  </si>
  <si>
    <t>AV NICOLAS DE PIEROLA 1761 (AV SALVADOR ALLENDE - ZONA II MZA. E'2 LOTE. 14 P.J. PRIMER HOGAR POLICIAL ESPALDA TERMINAL PESQUERO)</t>
  </si>
  <si>
    <t>20436105</t>
  </si>
  <si>
    <t>MEZA PENADILLO HUGO</t>
  </si>
  <si>
    <t>AV. PLAYA HERMOSA MZ. L LOTE 107 (PARADERO CRUCE DE VENTANILLA)</t>
  </si>
  <si>
    <t>47144510</t>
  </si>
  <si>
    <t>MICULISICH VELASQUEZ CRISTHIAN</t>
  </si>
  <si>
    <t>AV. LOS ALAMOS MZ.M LT.16, LIMA, LIMA, SAN JUAN DE LURIGANCHO</t>
  </si>
  <si>
    <t>48670030</t>
  </si>
  <si>
    <t>MICULISICH VELASQUEZ, CRISTHIAN</t>
  </si>
  <si>
    <t>MILIAN FALCON JOSE JAVIER</t>
  </si>
  <si>
    <t>AGRUPACION LAS PALMAS DE MALLORCA</t>
  </si>
  <si>
    <t>74528687</t>
  </si>
  <si>
    <t>MILLA MAGUIÑA JOSE ANTONIO</t>
  </si>
  <si>
    <t>AV. URUBAMBA S/N, FND QUIROZ SUB PARCELA</t>
  </si>
  <si>
    <t>09594990</t>
  </si>
  <si>
    <t>MILLA MEJIA KARINA CLARITA</t>
  </si>
  <si>
    <t>AV. CINCUENTENARIO LOTE 04 S/N (REF. CINCO ESQUINA - TALLER CHINGOLO)</t>
  </si>
  <si>
    <t>40714053</t>
  </si>
  <si>
    <t>KARINA CLARITA MILLA MEJIA</t>
  </si>
  <si>
    <t>MILLARES BRILLONES JUAN CARLOS</t>
  </si>
  <si>
    <t>JIRON GONZALES PRADA 923. REF A 2 CUADRAS DE AV PANAMA</t>
  </si>
  <si>
    <t>42329437</t>
  </si>
  <si>
    <t>MINAYA CASTILLEJO ANGEL WILFREDO</t>
  </si>
  <si>
    <t>AV. DOS DE MAYO MZ. 5 LT. 7 - MEDIO MUNDO</t>
  </si>
  <si>
    <t>42687087</t>
  </si>
  <si>
    <t>MINAYA ESPENDULA LUIS ARTURO</t>
  </si>
  <si>
    <t>JR. LIBERTAD NRO. 182 - CALLAO, CALLAO, CALLAO</t>
  </si>
  <si>
    <t>06197055</t>
  </si>
  <si>
    <t>MINAYA SOBERANIS CARLOS KASZELY</t>
  </si>
  <si>
    <t>LOTIZACION LAS VEGAS S/N (A ESPALDAS DEL COLEGIO FE Y ALEGRIA)</t>
  </si>
  <si>
    <t>15741310</t>
  </si>
  <si>
    <t>MIO GAMBOA PATRICK JOEL</t>
  </si>
  <si>
    <t>MZ. U PRIMA LOTE 23 SECTOR 1 BARRIO 1 4TA ETAPA URB. PACHACAMAC</t>
  </si>
  <si>
    <t>73267060</t>
  </si>
  <si>
    <t>MIRANDA ALVAREZ OMAR FRANCISCO</t>
  </si>
  <si>
    <t>JR. BOLOGNESI Nº226 HUACHO</t>
  </si>
  <si>
    <t>47196258</t>
  </si>
  <si>
    <t>MIRANDA CUEVA OSCAR</t>
  </si>
  <si>
    <t>AV 28 DE JULIO 109</t>
  </si>
  <si>
    <t>41030933</t>
  </si>
  <si>
    <t>MIRANDA GAMARRA LUIS ALBERTO</t>
  </si>
  <si>
    <t>PLATAFORMA 2 SEGUNDO PISO STAND 225</t>
  </si>
  <si>
    <t>10647410</t>
  </si>
  <si>
    <t>MIRANDA IDROGO DANIEL</t>
  </si>
  <si>
    <t>MZ. F LT. 22 LOS ANGELES DE OQUENDO</t>
  </si>
  <si>
    <t>47778495</t>
  </si>
  <si>
    <t>MIRANDA MAMANI JULIO YSAAC</t>
  </si>
  <si>
    <t>JR. MADRE SELVA N°361 - URB. SANTA ISABEL</t>
  </si>
  <si>
    <t>72265977</t>
  </si>
  <si>
    <t>MIRANDA PAUCAR GABRIEL ANDRES</t>
  </si>
  <si>
    <t>MZ.U   LT.1   CTE SIMON BOLIVAR 2 SECTOR . COSTADO DE REVISIONES TECNICAS</t>
  </si>
  <si>
    <t>10526558</t>
  </si>
  <si>
    <t>MIRANDA QUIROZ LUIS ALBERTO</t>
  </si>
  <si>
    <t>JUAN DEL MAR Y BERNEDO 1261 URB CHACRA RIOS (RESTAURANTE GIOVI)</t>
  </si>
  <si>
    <t>10285483</t>
  </si>
  <si>
    <t>MIRANDA RUIZ MAXIMO</t>
  </si>
  <si>
    <t>CALLE FRANCIA MZ. 25 LOTE 276 LIMA - CAÑETE - MALA</t>
  </si>
  <si>
    <t>10154354</t>
  </si>
  <si>
    <t>MIRANO ESCALANTE ROMI YDELI</t>
  </si>
  <si>
    <t>MZ. B LT. 10 OASIS DE VILLA GRUPO 2</t>
  </si>
  <si>
    <t>42861992</t>
  </si>
  <si>
    <t>MITMA BAEZ PABLO CESAR</t>
  </si>
  <si>
    <t>JIRON AYACUCHO MANZANA B  LOTE 2A PARCELA 2 PARQUE INDUSTRIAL - VILLA EL SALVADOR</t>
  </si>
  <si>
    <t>10086412</t>
  </si>
  <si>
    <t>MOCARRO GARCIA ROBERTO CARLOS</t>
  </si>
  <si>
    <t>AV. GUILLERMO DANSEY 444 INT. BN5 PASAJE 1 C.C NICOLINI</t>
  </si>
  <si>
    <t>42660061</t>
  </si>
  <si>
    <t>MOGOLLON ALVA JEAN PAUL ANDRE</t>
  </si>
  <si>
    <t>"AV. REVOLUCIÓN 1590 3ERA ZONA DE COLLIQUE "</t>
  </si>
  <si>
    <t>10704150</t>
  </si>
  <si>
    <t>MOGOLLON FOX MILAGRITOS DEL ROSARIO</t>
  </si>
  <si>
    <t>AV. UNIVERSITARIO 638, URB. EL ROSARIO - SAN MARTIN DE PORRES</t>
  </si>
  <si>
    <t>40703022</t>
  </si>
  <si>
    <t>MOGOLLON RUJEL DEYVIS JEFFERSON</t>
  </si>
  <si>
    <t>MZ. A LT. 16 AH LOS NARANJOS PACHACUTEC</t>
  </si>
  <si>
    <t>71461786</t>
  </si>
  <si>
    <t>MOGOLLON RUJEL, DEYVIS JEFFERSON</t>
  </si>
  <si>
    <t>MOLINA DE LA CRUZ JHON FRANCIS</t>
  </si>
  <si>
    <t>HUAYCÁN ZONA "B" UCV27 LOTE 8</t>
  </si>
  <si>
    <t>48456896</t>
  </si>
  <si>
    <t>MOLINA RIVADENEYRA CHRISTIAN JOEL</t>
  </si>
  <si>
    <t>AV HUAROCHIRI MZ Y LOTE  26 MAYORAZGO ATE LIMA PERU</t>
  </si>
  <si>
    <t>09839388</t>
  </si>
  <si>
    <t>MOLINA SAMARITANO EDWIN NOEL</t>
  </si>
  <si>
    <t>MZ 62 LOTE 23 - PISO 2</t>
  </si>
  <si>
    <t>43663269</t>
  </si>
  <si>
    <t>MOLINA SERRANO DE HUANCACHOQUE INOCENCIA</t>
  </si>
  <si>
    <t>BOCANEGRA CALLAO MZ D36 LT 4</t>
  </si>
  <si>
    <t>25808605</t>
  </si>
  <si>
    <t>MOLINA ZAMUDIO OSCAR RAUL</t>
  </si>
  <si>
    <t>ASOC. POPULAR LAS LOMAS DE ANCON MZ. 31 LT. 21</t>
  </si>
  <si>
    <t>10196629</t>
  </si>
  <si>
    <t>MOLINA ZAMUDIO, OSCAR RAUL</t>
  </si>
  <si>
    <t>MONAGO CASTILLO KELLY</t>
  </si>
  <si>
    <t>SAN JUAN DE PARIACHI SECTOR PACAYAL MZ A LT 01 SANTA CLARA</t>
  </si>
  <si>
    <t>75026978</t>
  </si>
  <si>
    <t>MONDRAGON SANCHEZ MARIA ISABEL</t>
  </si>
  <si>
    <t>JR. PEDRO V. ARTEAGA MZ. K LT. 37 A.H. RAMOS LARREA</t>
  </si>
  <si>
    <t>47061145</t>
  </si>
  <si>
    <t>MONRROY GUTIERREZ EFRAIN</t>
  </si>
  <si>
    <t>URB. CARLOS MUÑEZ DEL ARCO MZ. B LTE. 30</t>
  </si>
  <si>
    <t>09240063</t>
  </si>
  <si>
    <t>MONTALBAN YPANAQUE JONEL</t>
  </si>
  <si>
    <t>AV.FEDERICOVILLAREAL MZ G LT 24-25</t>
  </si>
  <si>
    <t>40535452</t>
  </si>
  <si>
    <t>MONTALBAN YPANAQUE, JONEL</t>
  </si>
  <si>
    <t>MONTALVO CHACON JUAN LUIS</t>
  </si>
  <si>
    <t>JR RIO AMAZONAS 183, LIMA, LIMA, SAN LUIS</t>
  </si>
  <si>
    <t>10310613</t>
  </si>
  <si>
    <t>MONTALVO DURAND EDWIN JAVIER</t>
  </si>
  <si>
    <t>AV. LEONCIO PRADO 384 OTR. ZAPALLAL COSTADO DEL GRIFO SAG</t>
  </si>
  <si>
    <t>06799651</t>
  </si>
  <si>
    <t>MONTALVO MALPARTIDA KATIA NASHELIN</t>
  </si>
  <si>
    <t>JR. LAS RETAMAS 468</t>
  </si>
  <si>
    <t>48585766</t>
  </si>
  <si>
    <t>MONTALVO MALPARTIDA, KATIA NASHELIN</t>
  </si>
  <si>
    <t>MONTALVO PACCO DAVID</t>
  </si>
  <si>
    <t>KM12.5 CARRETERA CENTRAL - SAN JUAN DE PARIACHI, LIMA, LIMA, ATE</t>
  </si>
  <si>
    <t>41002975</t>
  </si>
  <si>
    <t>MONTALVO PACHECO ALEX RENSO</t>
  </si>
  <si>
    <t>AV. PUENTE PIEDRA 794 LT.4, LIMA, LIMA , PUENTE PIEDRA</t>
  </si>
  <si>
    <t>01529784</t>
  </si>
  <si>
    <t>MONTALVO PALACIOS JOVER MANUEL</t>
  </si>
  <si>
    <t>A.H LAS  LOMAS DE TORRE BLANCA ALTA MZ F LT3, LIMA, LIMA, CARABAYLLO</t>
  </si>
  <si>
    <t>2750 - FABRICACIÓN DE APARATOS DE USO DOMÉSTICO</t>
  </si>
  <si>
    <t>42460096</t>
  </si>
  <si>
    <t>MONTALVO PALACIOS, JOVER MANUEL</t>
  </si>
  <si>
    <t>MONTALVO VALENCIA JOSE MARTIN</t>
  </si>
  <si>
    <t>MZ G LT 8 SAGRADO MADERO LAS FLORES PARADERO 15, LIMA, LIMA, SAN JUAN DE LURIGANCHO</t>
  </si>
  <si>
    <t>43598796</t>
  </si>
  <si>
    <t>MONTAÑEZ LAYNES DANUTSKA SCARLETT</t>
  </si>
  <si>
    <t>AV. GARCILAZO DE LA VEGA 282</t>
  </si>
  <si>
    <t>74096620</t>
  </si>
  <si>
    <t>MONTAÑEZ LAYNES, DANUTSKA SCARLETT</t>
  </si>
  <si>
    <t>MONTENEGRO AVI VICTOR MANUEL</t>
  </si>
  <si>
    <t>JIRON TUTICAN GRANDE S/N</t>
  </si>
  <si>
    <t>41975271</t>
  </si>
  <si>
    <t>MONTENEGRO VASQUEZ GYNA</t>
  </si>
  <si>
    <t>ASOC. SAN BERNARDO MZ A LOTE 1 (AL COSTADO DEL CAMPO DEP.EL TIO NOLA  FUNDO SAN BERNARDO), LIMA, LIMA, CARABAYLLO</t>
  </si>
  <si>
    <t>40691259</t>
  </si>
  <si>
    <t>MONTERO JIMENEZ JULIO ERASMO</t>
  </si>
  <si>
    <t>AV LOS ALISOS 1413, SMP</t>
  </si>
  <si>
    <t>Principal - 4530 - VENTA DE PARTES, PIEZAS Y ACCESORIOS PARA VEHÍCULOS AUTOMOTORES</t>
  </si>
  <si>
    <t>08092480</t>
  </si>
  <si>
    <t>MONTERO MALLMA HEYDY MICHELLY</t>
  </si>
  <si>
    <t>AV. BRUNO TERREROS NRO. 678</t>
  </si>
  <si>
    <t>45882417</t>
  </si>
  <si>
    <t>MONTERO MANRIQUE ELIZABETH YENY</t>
  </si>
  <si>
    <t>AV. TUPAC AMARU 4195</t>
  </si>
  <si>
    <t>10392937</t>
  </si>
  <si>
    <t>MONTERO MANRIQUE, ELIZABETH YENY</t>
  </si>
  <si>
    <t>MONTERO MANRIQUE OSWALDO JOAO</t>
  </si>
  <si>
    <t>CALLE FRANCISCO MORENO MZ. A5, LIMA, LIMA, COMAS</t>
  </si>
  <si>
    <t>43869629</t>
  </si>
  <si>
    <t>MONTERO MANRIQUE, OSWALDO JOAO</t>
  </si>
  <si>
    <t>MONTERO VALLADOLID AYDEE</t>
  </si>
  <si>
    <t>GERARDO UNGE 4513(CENTRO COMERCIAL RODEO )</t>
  </si>
  <si>
    <t>09979302</t>
  </si>
  <si>
    <t>MONTES ROJAS ELIAS GRICELDO</t>
  </si>
  <si>
    <t>MZ C LT 24 ASOCIACION PROPIETARIOS LOS CLAVELES</t>
  </si>
  <si>
    <t>2818 - FABRICACIÓN DE HERRAMIENTAS DE MANO MOTORIZADAS</t>
  </si>
  <si>
    <t>07128245</t>
  </si>
  <si>
    <t>MONTES VENANCIO MARIA FLOR</t>
  </si>
  <si>
    <t>MZ F LOTE 13 VIRGEN DEL ROSARIO 3 ETAPA</t>
  </si>
  <si>
    <t>25862726</t>
  </si>
  <si>
    <t>MONTESINOS HERRERA PERCY</t>
  </si>
  <si>
    <t>AV. BLAS DE LA CARRERA  S/N</t>
  </si>
  <si>
    <t>15743723</t>
  </si>
  <si>
    <t>MONTOYA ALVAREZ YOANA LUCIA</t>
  </si>
  <si>
    <t>JR. LOS TACONES NRO. 105 URB. VILLA JARDIN 2DA ZONA  (ALT COLEGIO TUPAC AMARU AV.PACHACUTEC) MZ D LOTE 11</t>
  </si>
  <si>
    <t>46492126</t>
  </si>
  <si>
    <t>MONTOYA CARRILLO ENRIQUE FEDERICO</t>
  </si>
  <si>
    <t>CALLE CORA 290 BARRAMCO LIMA (MERCADO MIGUEL SURCO)</t>
  </si>
  <si>
    <t>10340254</t>
  </si>
  <si>
    <t>MONTOYA HUAMANI KEYZY CRISTINA</t>
  </si>
  <si>
    <t>JR.OHIGGINS N° 347 SAN VICENTE</t>
  </si>
  <si>
    <t>77426215</t>
  </si>
  <si>
    <t>MONTOYA LEON CIPRIANO</t>
  </si>
  <si>
    <t>JR. PISAGUA 841 INT D PISO 2</t>
  </si>
  <si>
    <t>07522646</t>
  </si>
  <si>
    <t>CIPRIANO MONTOYA LEON</t>
  </si>
  <si>
    <t>MONTOYA PRADA EDWIN ALBERTO</t>
  </si>
  <si>
    <t>AV. SOLAR 118 PISO 2</t>
  </si>
  <si>
    <t>41402594</t>
  </si>
  <si>
    <t>MONZON CALLA JULIO CESAR</t>
  </si>
  <si>
    <t>AV. DEFENSORES DE LIMA 429</t>
  </si>
  <si>
    <t>07624989</t>
  </si>
  <si>
    <t>MORA CUETO ABSALON</t>
  </si>
  <si>
    <t>DIRECCION AV. CARLOS HIRAOKA SIN NUMERO</t>
  </si>
  <si>
    <t>HUANTA</t>
  </si>
  <si>
    <t>44384124</t>
  </si>
  <si>
    <t>MORA LANGA YARCO IVAN</t>
  </si>
  <si>
    <t>REPUBLICA DE PANAMA 5371, BARRIO MEDICO,LIMA, LIMA, SURQUILLO</t>
  </si>
  <si>
    <t>43392122</t>
  </si>
  <si>
    <t>MORALES BAYONA AURORA</t>
  </si>
  <si>
    <t>MZ C LT 10 MONTE DE LOS OLIVOS III ETAPA CANTA CALLAO - SMP</t>
  </si>
  <si>
    <t>10618251</t>
  </si>
  <si>
    <t>MORALES BRICENO SUSANA MELISSA</t>
  </si>
  <si>
    <t>AV. BOLIVIA NRO. 148 INT. 2305 (CENTRO COMERCIAL CENTRO LIMA) LIMA - LIMA - LIMA</t>
  </si>
  <si>
    <t>18900953</t>
  </si>
  <si>
    <t>MORALES DIAZ CARMEN YUVIT</t>
  </si>
  <si>
    <t>AV. LOS DOMINICOS MZ D LT 7 - ASOC. VIV. BRISAS DE SANTA ROSA</t>
  </si>
  <si>
    <t>47157774</t>
  </si>
  <si>
    <t>MORALES DURAND JORGE LUIS</t>
  </si>
  <si>
    <t>JR. AGUSTÍN GAMARRA 1160-GALERIA SAN PEDRO PISO 9- 908</t>
  </si>
  <si>
    <t>1392 - FABRICACIÓN DE ARTÍCULOS CONFECCIONADOS DE MATERIALES TEXTILES - EXCEPTO PRENDAS DE VESTIR</t>
  </si>
  <si>
    <t>10342290</t>
  </si>
  <si>
    <t>MORALES FLORES VICTOR MANUEL</t>
  </si>
  <si>
    <t>JIRON CESAR VALLEJO - VILLA MARIA DEL TRIUNFO 10131</t>
  </si>
  <si>
    <t>03862526</t>
  </si>
  <si>
    <t>MORALES GIRON JULIA</t>
  </si>
  <si>
    <t>MZ. O LT. 27 ASOC. DE VIVIENDA VILLA RICA</t>
  </si>
  <si>
    <t>19434224</t>
  </si>
  <si>
    <t>MORALES GONZALES DANIELA</t>
  </si>
  <si>
    <t>MZ 59 LT 20 ASOC POPULAR LAS LOMAS DE ANCÓN</t>
  </si>
  <si>
    <t>76557445</t>
  </si>
  <si>
    <t>MORALES GONZALES, DANIELA</t>
  </si>
  <si>
    <t>MORALES HUAYCANI MARCO ANTONIO</t>
  </si>
  <si>
    <t>URB. SANTO TOMÁS MZ A6, LT 3B</t>
  </si>
  <si>
    <t>44407819</t>
  </si>
  <si>
    <t>MORALES HUERTAS JAVIER</t>
  </si>
  <si>
    <t>CALLE SAN MARTIN N°304 LIMA, BARRANCA, PATIVILCA</t>
  </si>
  <si>
    <t>15847536</t>
  </si>
  <si>
    <t>MORALES LARRAÑAGA CARLOS ALBERTO</t>
  </si>
  <si>
    <t>JR PUNO 545</t>
  </si>
  <si>
    <t>Principal - 6202 - CONSULTORÍA DE INFORMÁTICA Y GESTIÓN DE INSTALACIONES INFORMÁTICAS</t>
  </si>
  <si>
    <t>47019236</t>
  </si>
  <si>
    <t>MORALES LARRAÑAGA, CARLOS ALBERTO</t>
  </si>
  <si>
    <t>MORALES LOPEZ MAGDALENA GRACIELA</t>
  </si>
  <si>
    <t>AV. JOSE CARLOS MARIATEGUI NRO. 142, LIMA, HUAURA, HUAURA</t>
  </si>
  <si>
    <t>76003382</t>
  </si>
  <si>
    <t>MORALES MARIN RICARDO ADOLFO</t>
  </si>
  <si>
    <t>AV. FELIPE PINGLO ALVA N° 841</t>
  </si>
  <si>
    <t>09978578</t>
  </si>
  <si>
    <t>MORALES MARIN, RICARDO ADOLFO</t>
  </si>
  <si>
    <t>MORALES SANTOS RICHARD AUGUSTO</t>
  </si>
  <si>
    <t>CALLE MICAELA BASTIDAS NRO 170</t>
  </si>
  <si>
    <t>42626618</t>
  </si>
  <si>
    <t>MORALES TACO CARMEN ROSA</t>
  </si>
  <si>
    <t>C.CENTRAK KM. 75 C. COMERCIAL PLAZA VITARTE BLOCK 2A PST. 107</t>
  </si>
  <si>
    <t>41661134</t>
  </si>
  <si>
    <t>MORALES TRISTAN MILCIADES</t>
  </si>
  <si>
    <t>CALLE SAN AURELIO MZ K 1 INT. 11-B URB.VILLA MARINA</t>
  </si>
  <si>
    <t>40863084</t>
  </si>
  <si>
    <t>MORALES TRISTAN, MILCIADES</t>
  </si>
  <si>
    <t>MORALES TRUJILLO LUIS</t>
  </si>
  <si>
    <t>AV. LAS DELICIAS N° 372</t>
  </si>
  <si>
    <t>32300060</t>
  </si>
  <si>
    <t>LUIS MORALES TRUJILLO</t>
  </si>
  <si>
    <t>MORALES VILCHEZ CARLOS ALBERTO</t>
  </si>
  <si>
    <t>JR. CARLOS PEDEMONTE 162 SAN LUIS</t>
  </si>
  <si>
    <t>10179751</t>
  </si>
  <si>
    <t>MORAN AGUILAR DE OLORTEGUI YOCABEL MARICELLA</t>
  </si>
  <si>
    <t>ASOC. VIV. LOS JAZMINES MZ. A LT. 15 DPTO. 2 / ASC. SAN PEDRO  MZ B  LOTE 03</t>
  </si>
  <si>
    <t>43899623</t>
  </si>
  <si>
    <t>MORAN LUJAN DE PAREDES EULALIA</t>
  </si>
  <si>
    <t>JR SAN JUAN BAUTISTA 193 URB LUCYANA (PARQUE SANTA ROSA)</t>
  </si>
  <si>
    <t>VTA. MIN. ALIMENTOS, BEBIDAS, TABACO.</t>
  </si>
  <si>
    <t>10404444</t>
  </si>
  <si>
    <t>MORAN NOREÑA ANA CECILIA</t>
  </si>
  <si>
    <t>CALLE RUFINO AZPIAZU 112 HUAURA (URB SOCORRO)</t>
  </si>
  <si>
    <t>8890 - OTRAS ACTIVIDADES DE ASISTENCIA SOCIAL SIN ALOJAMIENTO</t>
  </si>
  <si>
    <t>75147059</t>
  </si>
  <si>
    <t>MORAN SEDANO RUBEN DARIO</t>
  </si>
  <si>
    <t>AV. GUILLERMO DANSEY 828 CALLE 14 E223</t>
  </si>
  <si>
    <t>20026856</t>
  </si>
  <si>
    <t>MORAN TORRES CARLOS ALBERTO</t>
  </si>
  <si>
    <t>JIRON SOLDADO CAVADA N° 115</t>
  </si>
  <si>
    <t>42198156</t>
  </si>
  <si>
    <t>MORANTE PURIZACA INGRID NOEMI</t>
  </si>
  <si>
    <t>JR. PUNO 552 GALERIA PUNO STAND 134</t>
  </si>
  <si>
    <t>76403081</t>
  </si>
  <si>
    <t>MORANTE PURIZACA, INGRID NOEMI</t>
  </si>
  <si>
    <t>MORE GUTIERREZ ALEXANDER</t>
  </si>
  <si>
    <t>AV GARCILAZO DE LA VEGA 1261#3 PISO 362</t>
  </si>
  <si>
    <t>76562469</t>
  </si>
  <si>
    <t>MORE SANCHEZ JOSE EDILBERTO</t>
  </si>
  <si>
    <t>URB. LEVER PACOCHA II MZ L LTE 8, LIMA, HUAURA, HUACHO</t>
  </si>
  <si>
    <t>15727952</t>
  </si>
  <si>
    <t>MOREANO MONTALVAN RENZO PAOLO</t>
  </si>
  <si>
    <t>JR. CAMANA 1163 TIENDA 2234 C.C CENTRO DE LIMA</t>
  </si>
  <si>
    <t>41947471</t>
  </si>
  <si>
    <t>MOREANO MONTALVAN, RENZO PAOLO</t>
  </si>
  <si>
    <t>MORENO COLMENAREZ LENNY KARINA</t>
  </si>
  <si>
    <t>AV. 2 DE MAYO.</t>
  </si>
  <si>
    <t>05464650</t>
  </si>
  <si>
    <t>MORENO SOTOMAYOR JUAN ARMANDO</t>
  </si>
  <si>
    <t>AV VICTOR RAUL HAYA DE LA TORRE MZ I LOTE 7-8</t>
  </si>
  <si>
    <t>08807264</t>
  </si>
  <si>
    <t>MORENO VARGAS DEYVIS ELOY</t>
  </si>
  <si>
    <t>AV. EL MURO 5 DE WIESSE</t>
  </si>
  <si>
    <t>40268476</t>
  </si>
  <si>
    <t>MORENO VILELA BETTY DEL ROSARIO</t>
  </si>
  <si>
    <t>MZA F LT 12 SAN MARTIN DE PORRES</t>
  </si>
  <si>
    <t>41514964</t>
  </si>
  <si>
    <t>MORENO VILELA, BETTY DEL ROSARIO</t>
  </si>
  <si>
    <t>MORIANO LAZARO JUAN CARLOS</t>
  </si>
  <si>
    <t>ASOCIACIÓN VIRGEN DEL CARMEN MZ "A" LOTE "30" IMPERIAL-CAÑETE-LIMA</t>
  </si>
  <si>
    <t>45978159</t>
  </si>
  <si>
    <t>MORILLO TELLO EDUARDO</t>
  </si>
  <si>
    <t>AV. NESTOR GAMBETA MZ E LT 20</t>
  </si>
  <si>
    <t>70247467</t>
  </si>
  <si>
    <t>MORILLO VALDIVIA RICHARD ADRIAN</t>
  </si>
  <si>
    <t>AV. UNIVERSITARIA 5760</t>
  </si>
  <si>
    <t>08828345</t>
  </si>
  <si>
    <t>MORON MORENO CARLOS ALBERTO</t>
  </si>
  <si>
    <t>AV. UNIVERSATIA NRO 9885 COMAS</t>
  </si>
  <si>
    <t>33247655</t>
  </si>
  <si>
    <t>MOSQUERA GONZALES WILDER SANTIAGO</t>
  </si>
  <si>
    <t>ASOCIACIÓN 28 DE JULIO MZ:B,LT: 10 PUENTE PIEDRA</t>
  </si>
  <si>
    <t>09882245</t>
  </si>
  <si>
    <t>MOSTACERO JIMENEZ JOSE LUIS JUNIOR</t>
  </si>
  <si>
    <t>JR.HUASCAR N° 582</t>
  </si>
  <si>
    <t>44511492</t>
  </si>
  <si>
    <t>MOTA RIVERA JHON EDER</t>
  </si>
  <si>
    <t>AV PROCERES DE HUANDOY MZ A LOTE 27  PRO</t>
  </si>
  <si>
    <t>45387232</t>
  </si>
  <si>
    <t>MOYA CAYO GLORIA</t>
  </si>
  <si>
    <t>AV. TARAPACA MZ. B LOTE 8</t>
  </si>
  <si>
    <t>Principal - 4772 - VENTA AL POR MENOR DE PRODUCTOS FARMACÉUTICOS Y MÉDICOS, COSMÉTICOS Y ARTÍCULOS DE TOCADOR EN COMERCIOS ESPECIALIZADOS</t>
  </si>
  <si>
    <t>46075801</t>
  </si>
  <si>
    <t>MOYA CUBILLAS ANGEL ALFONSO</t>
  </si>
  <si>
    <t>JR. SUCRE NRO. 580, LIMA, LIMA, SAN MIGUEL</t>
  </si>
  <si>
    <t>09930334</t>
  </si>
  <si>
    <t>MOYA VEGA ORLANDO NESTOR</t>
  </si>
  <si>
    <t>AV. INCA TUPAC YUPANQUI MZ: P LT: 15F JICAMARCA ANEXO 22  HUAROCHIRI</t>
  </si>
  <si>
    <t>41171150</t>
  </si>
  <si>
    <t>MUNARES CUSI HAYDEE</t>
  </si>
  <si>
    <t>COOPERATIVA ANDAHUYLAS 134 CALLE SOL DE ORO</t>
  </si>
  <si>
    <t>41517603</t>
  </si>
  <si>
    <t>MUNARES CUSI, HAYDEE</t>
  </si>
  <si>
    <t>MUNAYCO VILLANUEVA LUIS ALBERTO</t>
  </si>
  <si>
    <t>P. SAN MARTIN MZ. B LT. 22 (PLAZA DE ARMAS DE CENTINELLA A LA MANO IZQUIERDA)</t>
  </si>
  <si>
    <t>15732873</t>
  </si>
  <si>
    <t xml:space="preserve">LUIS ALBERTO MUNAYCO VILLANUEVA </t>
  </si>
  <si>
    <t>MUÑA BEJAR GREGORIA LISBEHT</t>
  </si>
  <si>
    <t>JIRON LUCANAS MZ. 161B LOTE 14 VMT</t>
  </si>
  <si>
    <t>75888865</t>
  </si>
  <si>
    <t>MUÑOZ ALVARADO SELENNY MILAGROS</t>
  </si>
  <si>
    <t>AV. INDUSTRIAL N° 8120, LIMA, LIMA, INDEPENDENCIA</t>
  </si>
  <si>
    <t>48398383</t>
  </si>
  <si>
    <t>MUÑOZ ALVARADO, SELENNY MILAGROS</t>
  </si>
  <si>
    <t>MUÑOZ ATAUJE VERENIS YESENIA</t>
  </si>
  <si>
    <t>AV PACAYAL MZ D LT 39  DISTRITO DE CARABAYLLO REFERENCIA AV TUPAC AMARU PARADERO DÍAS EL HONDO</t>
  </si>
  <si>
    <t>42302206</t>
  </si>
  <si>
    <t>MUÑOZ CHAVEZ JUAN MANUEL</t>
  </si>
  <si>
    <t>MZ.A LT. 7  URB VILLA POLVORIN</t>
  </si>
  <si>
    <t>43538535</t>
  </si>
  <si>
    <t>MUÑOZ ECHEVARRIA MARIA ISABEL</t>
  </si>
  <si>
    <t>AV. DEL AIRE 663 URB. TÚPAC AMARU</t>
  </si>
  <si>
    <t>18100 - FAB. DE PRENDAS DE VESTIR.</t>
  </si>
  <si>
    <t>47625704</t>
  </si>
  <si>
    <t>MUÑOZ FERNANDEZ LUIS MIGUEL</t>
  </si>
  <si>
    <t>MZ.G LOTE 2A.A.H.H. PAUL POBLET (CARRETERA CIENEGUILLA)</t>
  </si>
  <si>
    <t>42774502</t>
  </si>
  <si>
    <t>MUÑOZ GONZALES MARCO ANTONIO</t>
  </si>
  <si>
    <t>PARQUE INDUSTRIAL DEL CONO SUR  MZ 3LOTE 02. A UNA CUADRA DE LA SEDE DE SENATI VILLA EL SAVADOR</t>
  </si>
  <si>
    <t>09409442</t>
  </si>
  <si>
    <t>MUÑOZ LEVANO VICTOR JESUS</t>
  </si>
  <si>
    <t>1ERA PARCELA MZA. 3 LOTE. 2 PARQUE INDUSTRIAL (A MEDIA CUADRA DE SENATI)</t>
  </si>
  <si>
    <t>09261350</t>
  </si>
  <si>
    <t>MUÑOZ MARTINEZ ALEX TITO</t>
  </si>
  <si>
    <t>LOS LAURELES CON ANT PAN SUR ALT KM 33, LURIN. ENTRADA PACHACAMAC BANCO BCP</t>
  </si>
  <si>
    <t>46523072</t>
  </si>
  <si>
    <t>MUÑOZ RAMIREZ ELIZABETH ROSARIO</t>
  </si>
  <si>
    <t>AV EL SAUCE SEÑOR DE LOS MILAGROS MZ A LOTE 15 CHUQUITANTA, SAN MARTÍN DE PORRES</t>
  </si>
  <si>
    <t>46601795</t>
  </si>
  <si>
    <t>MUÑOZ SANCHEZ EDER YUDERCINIO</t>
  </si>
  <si>
    <t>PROYECTO PILOTO NUEVO PACK MZ A L2 LT 12 GRUPO RESIDENCIAL B-4 CALLAO, CALLAO, VENTANILLA</t>
  </si>
  <si>
    <t>44092824</t>
  </si>
  <si>
    <t>MUREANO MIRANDA JUAN JOSE</t>
  </si>
  <si>
    <t>CALLE CIPRESES S/N (REFERENCIA MEDIA CDRA IGLESIA MORMONES) MALA</t>
  </si>
  <si>
    <t>70097660</t>
  </si>
  <si>
    <t>NACCHA VELEZ WILLIAN ALEXANDER</t>
  </si>
  <si>
    <t>AV GRAN CHIMU 217 SANTA ANITA</t>
  </si>
  <si>
    <t>75075456</t>
  </si>
  <si>
    <t>NACION GOMEZ CARLOS ALBERTO</t>
  </si>
  <si>
    <t>JIRON LUCANAS NRO. 253 BARRIOS ALTOS</t>
  </si>
  <si>
    <t>80134617</t>
  </si>
  <si>
    <t>NAKADA ROBLES HIDEKO LUCIA</t>
  </si>
  <si>
    <t>AV. CENTRAL NRO. 338 SANTA CLARA</t>
  </si>
  <si>
    <t>40458618</t>
  </si>
  <si>
    <t>NAMANI AGUIRRE ROCIO DEL PILAR</t>
  </si>
  <si>
    <t>JR. PUNO 409, TIENDA 134, LIMA, LIMA, LIMA</t>
  </si>
  <si>
    <t>09974226</t>
  </si>
  <si>
    <t>NAMANI AGUIRRE, ROCIO DEL PILAR</t>
  </si>
  <si>
    <t>NAPA LUYO NOELIA DEL PILAR</t>
  </si>
  <si>
    <t>URB SINDICATO DE CHOFERES MZ Q LT 18</t>
  </si>
  <si>
    <t>10612571</t>
  </si>
  <si>
    <t>NAPAN CUZCANO ALDO EMIDIO</t>
  </si>
  <si>
    <t>CALLE LOS PALTOS MZ E LT 4 S/N ARTADI CASTILLO DETRÁS DEL MERCADO, LIMA, CAÑETE, MALA</t>
  </si>
  <si>
    <t>15434019</t>
  </si>
  <si>
    <t>NAPURI TAKAHASHI MARILIN EHSTEFANI</t>
  </si>
  <si>
    <t>JR. ENRIQUE PALACIOS 164,</t>
  </si>
  <si>
    <t>46302023</t>
  </si>
  <si>
    <t>NAQUICHE SIFUENTES JUAN PABLO</t>
  </si>
  <si>
    <t>CALLE MARISCAL CASTILLA A 1/2 CUADRA DE LA CIRCUNVALACIÓN NORTE, LIMA, HUARAL, HUARAL</t>
  </si>
  <si>
    <t>48769914</t>
  </si>
  <si>
    <t>NARCISO CAJAHUARINGA HANS JEFERSÓN</t>
  </si>
  <si>
    <t>JR MARTICARIAS NRO 729 LAS FLORES PRIMAVERA</t>
  </si>
  <si>
    <t>48552182</t>
  </si>
  <si>
    <t>NARCISO CAJAHUARINGA, HANS JEFERSÓN</t>
  </si>
  <si>
    <t>NARRO VERA MARITA GLORIA</t>
  </si>
  <si>
    <t>JR. NICOLAS DE PIEROLA 777</t>
  </si>
  <si>
    <t>18121730</t>
  </si>
  <si>
    <t>NAVARRETE MONTEBLANCO MARINA MARIELA</t>
  </si>
  <si>
    <t>AV. GERARDO UNGER N° 157</t>
  </si>
  <si>
    <t>22214 - ACTIVIDADES DE IMPRESIÓN</t>
  </si>
  <si>
    <t>30365844</t>
  </si>
  <si>
    <t>NAVARRO AMEZQUITA JOSE ANTONIO</t>
  </si>
  <si>
    <t>AV. FERROCARRIL NRO. 1078 P.J. POETA JOSE GALVEZ (ALTURA DE PARADERO 6 DE AV LIMA)</t>
  </si>
  <si>
    <t>09722787</t>
  </si>
  <si>
    <t>NAVARRO CASTRO NANCI LIDUVINA</t>
  </si>
  <si>
    <t>JR LOS EUCALIPTOS URB. LAS FRESAS</t>
  </si>
  <si>
    <t>25545306</t>
  </si>
  <si>
    <t>NAVARRO DELGADILLO LUIS MELVIN</t>
  </si>
  <si>
    <t>JR. JUNIN NRO. 1675</t>
  </si>
  <si>
    <t>SICAYA</t>
  </si>
  <si>
    <t>4321 - INSTALACIONES ELECTRICAS</t>
  </si>
  <si>
    <t>75858581</t>
  </si>
  <si>
    <t>NAVARRO GUEVARA AUSBERTO</t>
  </si>
  <si>
    <t>JR INKA YUPANQUI 312, PRIMERA SONA DE TAHUANTINSUYO</t>
  </si>
  <si>
    <t>45610490</t>
  </si>
  <si>
    <t>NAVARRO PULACHE JESUS ANDRE</t>
  </si>
  <si>
    <t>CALLE CALLAO S/N URBANIZACIÓN SAN MARTIN</t>
  </si>
  <si>
    <t>74995450</t>
  </si>
  <si>
    <t>NAVARRO RODRIGUEZ ANDREA ESTEFANIA</t>
  </si>
  <si>
    <t>GARCÍA GARCÍA 941 ALTURA 4 DE CATALINA MIRANDA</t>
  </si>
  <si>
    <t>45602932</t>
  </si>
  <si>
    <t>NAVARRO SUAREZ JOSE MANUEL</t>
  </si>
  <si>
    <t>AV GARCILAZO DE LA VEGA N° 1261 SOTANO DE LA GALERIA GARCILAZO DE LA VEGA S-138</t>
  </si>
  <si>
    <t>4741 - VENTA AL POR MENOR DE ORDENADORES, EQUIPO PERIFÉRICO - PROGRAMA DE INFORM. Y EQU. DE TELEC. EN COMERCIOS ESPECIALIZADOS</t>
  </si>
  <si>
    <t>00460202</t>
  </si>
  <si>
    <t>NAVARRO VALIENTE ERICK DANIEL</t>
  </si>
  <si>
    <t>MZ B LT 6 URB NACIONES UNIDAS, VILLA EL SALVADOR(AV REVOLUCION CON AV LAS LOMAS)</t>
  </si>
  <si>
    <t>70987798</t>
  </si>
  <si>
    <t>NAVARRO VALIENTE, ERICK DANIEL</t>
  </si>
  <si>
    <t>NAVARRO VILCHEZ NORMA BEATRIZ</t>
  </si>
  <si>
    <t>MZ 26 LT 22 CALLE 9 URB. SATELITE</t>
  </si>
  <si>
    <t>25693767</t>
  </si>
  <si>
    <t>NAVARRO VILLANUEVA DORIS PAMELA</t>
  </si>
  <si>
    <t>AV. ALFREDO MENDIOLA N° 3833</t>
  </si>
  <si>
    <t>41753790</t>
  </si>
  <si>
    <t>NECOCHEA BACA ARTURO</t>
  </si>
  <si>
    <t>AVENIDA PROLONGACIÓN MARISCAL NIETO 202 URB. LOS SAUCES</t>
  </si>
  <si>
    <t>43195818</t>
  </si>
  <si>
    <t>NEGRON NAVARRO MARIA SOLEDAD</t>
  </si>
  <si>
    <t>AV. PACHACUTEC MZA. A, LOTE. 1 Z.I., PARQUE INDUSTRIAL</t>
  </si>
  <si>
    <t>07011412</t>
  </si>
  <si>
    <t>NEGRON NAVARRO, MARIA SOLEDAD</t>
  </si>
  <si>
    <t>NEIRA ALBERCA PEDRO CLAYER</t>
  </si>
  <si>
    <t>RODOLFO BELTRAN NRO 1160</t>
  </si>
  <si>
    <t>27847475</t>
  </si>
  <si>
    <t>NEIRA PALOMINO LUIS ENRIQUE</t>
  </si>
  <si>
    <t>AV. REVOLUCIÓN NRO S/N SEC. 2 GRUPO 10 TDA. 12 MERCADO SESQUICENTENARIO FTE. MUNICIPALIDAD</t>
  </si>
  <si>
    <t>74647779</t>
  </si>
  <si>
    <t>NEIRA PALOMINO, LUIS ENRIQUE</t>
  </si>
  <si>
    <t>NEIRA TAPIA SUSAN YOANNA</t>
  </si>
  <si>
    <t>URB. DON JOSE DE SAN MARTIN - CALLE LOS ALAMOS NRO. 124, LIMA, HUAURA, HUAURA</t>
  </si>
  <si>
    <t>41019043</t>
  </si>
  <si>
    <t>NEYRA HUAMAN DE COLONIA RUT ANTONIETA</t>
  </si>
  <si>
    <t>CAMPOY MZ:N   LT :4  A.H 28 DE JULIO</t>
  </si>
  <si>
    <t>41623921</t>
  </si>
  <si>
    <t>NEYRA LUNA GIANELLA</t>
  </si>
  <si>
    <t>AV LAS GAVIOTAS MZ B2 LOTE 8 ASOC EL ROSAL</t>
  </si>
  <si>
    <t>76299255</t>
  </si>
  <si>
    <t xml:space="preserve">GIANELLA NEYRA LUNA </t>
  </si>
  <si>
    <t>NEYRA MALPARTIDA EDDY ALEXANDER</t>
  </si>
  <si>
    <t>AV. REVOLUCION N° 632 1RA ZONA COLLIQUE</t>
  </si>
  <si>
    <t>70688520</t>
  </si>
  <si>
    <t>NEYRA MALPARTIDA, EDDY ALEXANDER</t>
  </si>
  <si>
    <t>NIBIN CONTRERAS GINO PAOLO</t>
  </si>
  <si>
    <t>MZ 71 LOTE 1 URBANIZACIÒN TORRE BLANCA 1RA ETAPA,CARABAYLLO</t>
  </si>
  <si>
    <t>41396060</t>
  </si>
  <si>
    <t>NIBIN CONTRERAS, GINO PAOLO</t>
  </si>
  <si>
    <t>NICHO ALZAMORA JESUS</t>
  </si>
  <si>
    <t>CAR. PANAMERICANA NORTE KM 1080 (REF. FRENTE TALLER PALMA)</t>
  </si>
  <si>
    <t>15727404</t>
  </si>
  <si>
    <t>NICHO PICHILING ALEX FRANCISCO</t>
  </si>
  <si>
    <t>URB EL OLIVAR MZ C LOTE 5 REF. HOSTAL EL AEROPUERTO</t>
  </si>
  <si>
    <t>15760135</t>
  </si>
  <si>
    <t>NIETO OLORTEGUI MOISES JOHN</t>
  </si>
  <si>
    <t>AV. ALEJANDRO BERTELLO NRO. . INT. 23 URB EL ALAMO, CALLAO, CALLAO, CALLAO</t>
  </si>
  <si>
    <t>40442427</t>
  </si>
  <si>
    <t>NIETO PAUCA CESAR AUGUSTO</t>
  </si>
  <si>
    <t>SECTOR 1-GRUPO 22A-MZ.P LT.4A (ENTRE AV 1RO DE MAYO Y AV PASTOR SEVILLA), LIMA, LIMA, VILLA EL SALVADOR</t>
  </si>
  <si>
    <t>09832858</t>
  </si>
  <si>
    <t>NIETO VALDEZ CRISTINA</t>
  </si>
  <si>
    <t>AV INTIHUATNA 460 101</t>
  </si>
  <si>
    <t>40678064</t>
  </si>
  <si>
    <t>NIEVES MEDINA EDINSON ROGGER</t>
  </si>
  <si>
    <t>AV. FELIX B. CARDENAS NRO. 678</t>
  </si>
  <si>
    <t>40541455</t>
  </si>
  <si>
    <t>EDINSON ROGGER NIEVES MEDINA</t>
  </si>
  <si>
    <t>NINAHUAMAN AYALA RICARDO DANIEL</t>
  </si>
  <si>
    <t>JR SEBASTIAN BARRANCA 1441 INT. 701</t>
  </si>
  <si>
    <t>43005904</t>
  </si>
  <si>
    <t>NINANYA BASURTO JUAN ENRIQUE</t>
  </si>
  <si>
    <t>AV. NARANJAL N° 1283</t>
  </si>
  <si>
    <t>41321694</t>
  </si>
  <si>
    <t>NINANYA BASURTO, JUAN ENRIQUE</t>
  </si>
  <si>
    <t>NINAQUISPE FLORES AGUSTIN ARISTEDES</t>
  </si>
  <si>
    <t>JR PROLONGACION LETICIA N° 1043</t>
  </si>
  <si>
    <t>08605632</t>
  </si>
  <si>
    <t>NINAQUISPE ORUNA JAVIER JESUS</t>
  </si>
  <si>
    <t>CALLE LAS CIRUELAS N° 107 URB LA ALBORADA</t>
  </si>
  <si>
    <t>42664581</t>
  </si>
  <si>
    <t>NOBLEGA PALACIOS PORFIRIO</t>
  </si>
  <si>
    <t>AV. EL SOL 898, LIMA, LIMA, BARRANCO</t>
  </si>
  <si>
    <t>08896240</t>
  </si>
  <si>
    <t>NOBLEGA PALACIOS, PORFIRIO</t>
  </si>
  <si>
    <t>NOLASCO ZAPATA MADELEY DALIA</t>
  </si>
  <si>
    <t>LA PROLONGACION CHIMBOTE Nº 2460, EL COLEGIO MARIA PARADO DE BELLIDO A 4 CUADRAS</t>
  </si>
  <si>
    <t>44949664</t>
  </si>
  <si>
    <t>NOLASCO ZAPATA, MADELEY DALIA</t>
  </si>
  <si>
    <t>NOLAZCO CANDELA JULIO CESAR</t>
  </si>
  <si>
    <t>URB VIRGEN DE LA CANDELARIA MZ A LT B</t>
  </si>
  <si>
    <t>43264709</t>
  </si>
  <si>
    <t>NORABUENA AZAÑA EDWARD VALERY</t>
  </si>
  <si>
    <t>MZ. C LOTE 13 URB. EL OLIVAR - PARAMONGA</t>
  </si>
  <si>
    <t>41374689</t>
  </si>
  <si>
    <t>NORABUENA CERVANTES HECTOR</t>
  </si>
  <si>
    <t>C. CORDOVA 425 (IE FRANCISCO VIDAL LAOS )</t>
  </si>
  <si>
    <t>15730805</t>
  </si>
  <si>
    <t>NORIEGA VARGAS MARIA DEL CARMEN</t>
  </si>
  <si>
    <t>GENERAL VIDAL 610 - BREÑA</t>
  </si>
  <si>
    <t>07641471</t>
  </si>
  <si>
    <t>NOVOA FIGUEROA ERLAND ULDERICO</t>
  </si>
  <si>
    <t>MZA. J LOTE. 31 URB. AGRUPAMIENTO PACHACAMAC LIMA - LIMA - VILLA EL SALVADOR</t>
  </si>
  <si>
    <t>10087663</t>
  </si>
  <si>
    <t>NOVOA FIGUEROA, ERLAND ULDERICO</t>
  </si>
  <si>
    <t>NUÑEZ ALBERCA MARIA YSABEL</t>
  </si>
  <si>
    <t>JR LOS HERRERILLOS MZ N LT 10</t>
  </si>
  <si>
    <t>47204039</t>
  </si>
  <si>
    <t>NUÑEZ BAZALAR LUCERO MEYLIN</t>
  </si>
  <si>
    <t>CALLE ENRIQUE CASTILLO 252 URB LAS VEGAS, COMAS</t>
  </si>
  <si>
    <t>Principal - 4773 - VENTA AL POR MENOR DE OTROS PRODUCTOS NUEVOS EN COMERCIOS ESPECIALIZADO</t>
  </si>
  <si>
    <t>76094648</t>
  </si>
  <si>
    <t>NUÑEZ CABANILLAS EFER GOMER</t>
  </si>
  <si>
    <t>AV. DOS DE OCTUBRE MZ N LTE 16 - A.H LOS ROSALES</t>
  </si>
  <si>
    <t>46155964</t>
  </si>
  <si>
    <t>NUÑEZ CERNA ROBERTO MARTIN</t>
  </si>
  <si>
    <t>AV. EL MILAGRO 1CDRA S/N SANTA MARIA</t>
  </si>
  <si>
    <t>15741224</t>
  </si>
  <si>
    <t>NUÑEZ CHAVEZ ORLANDO JESUS</t>
  </si>
  <si>
    <t>AV.ARGENTINA 2502</t>
  </si>
  <si>
    <t> 7110 - ACTIVIDADES DE ARQUITECTURA E INGENIERÍA Y ACTIVIDADES CONEXAS DE CONSULTORÍA TÉCNICA</t>
  </si>
  <si>
    <t>08267931</t>
  </si>
  <si>
    <t>NUÑEZ CHAVEZ, ORLANDO JESUS</t>
  </si>
  <si>
    <t>NUÑEZ CHOQUE EUFEMIA MAGDALENA</t>
  </si>
  <si>
    <t>JR.NEVADO HUASCARAN 377-APV SANTA ELIZABETH</t>
  </si>
  <si>
    <t>10541256</t>
  </si>
  <si>
    <t>NUÑEZ CONTRERAS TEDDY JORDAN</t>
  </si>
  <si>
    <t>CALLE JULIO C TELLO 108</t>
  </si>
  <si>
    <t>71064507</t>
  </si>
  <si>
    <t>NUÑEZ HUARANGA ROGER REYDO</t>
  </si>
  <si>
    <t>JR. HUASCARAN N° 401, LIMA, LIMA, LA VICTORIA</t>
  </si>
  <si>
    <t>40882306</t>
  </si>
  <si>
    <t>NUÑEZ HUARANGA, ROGER REYDO</t>
  </si>
  <si>
    <t>NUÑEZ PEREZ JOSE</t>
  </si>
  <si>
    <t>AV. EL MILAGRO S/N - ANTES DE LLEGAR A FELIX B. CARDENAS</t>
  </si>
  <si>
    <t>15647184</t>
  </si>
  <si>
    <t>ÑACAYAURI RUIZ EFDAIAS</t>
  </si>
  <si>
    <t>AV. SEPARADORA INDUSTRIAL CON MARIA REICHE A. H. VILLA LA PAZ MZ B LT 12 . ALT DE GRIFO CHEPEN</t>
  </si>
  <si>
    <t>46114694</t>
  </si>
  <si>
    <t>ÑACCHA YACONZA ROSA</t>
  </si>
  <si>
    <t>GRUPO G MZ B LT 6 A1</t>
  </si>
  <si>
    <t>42392438</t>
  </si>
  <si>
    <t>ÑAÑEZ VILLANUEVA ANGEL MOISES</t>
  </si>
  <si>
    <t>AV JAMAICA NRO 203</t>
  </si>
  <si>
    <t>73058410</t>
  </si>
  <si>
    <t>ÑAUPARI ALVARADO GRIMALDO</t>
  </si>
  <si>
    <t>JR LOS OPALOS 2520 URB. JORGE BASADRE SAN JUAN DE LURIGANCHO (PROCERES DE LA INDEPENDENCIA, POR LA DISCOTEKA BOOM)</t>
  </si>
  <si>
    <t>10360020</t>
  </si>
  <si>
    <t>ÑAUPAS MITAC ARTURO ISAIAS</t>
  </si>
  <si>
    <t>URB. PROGRESIVA CHAVIN DE HUANTAR AV. SANTO DOMINGO S/N</t>
  </si>
  <si>
    <t>42755320</t>
  </si>
  <si>
    <t>ÑAUPAS MITAC, ARTURO ISAIAS</t>
  </si>
  <si>
    <t>ÑOPO ONAIRAM VALERIA ANDREA</t>
  </si>
  <si>
    <t>JR REAL 520 2DO PISO VILMART</t>
  </si>
  <si>
    <t>72412810</t>
  </si>
  <si>
    <t>OBESO CORNELIO CARLOS ENRIQUE</t>
  </si>
  <si>
    <t>AV. UNION JICAMARCA MZ. P1 LT. 11C</t>
  </si>
  <si>
    <t>43301801</t>
  </si>
  <si>
    <t>OBESO CORNELIO, CARLOS ENRIQUE</t>
  </si>
  <si>
    <t>OBESO ORDOÑEZ CARLOS LUIS</t>
  </si>
  <si>
    <t>JR CHIMUCAPAC N° 202 CRUCE CON PROLONGACION ESPINAR, LIMA, BARRANCA, SUPE</t>
  </si>
  <si>
    <t>40189008</t>
  </si>
  <si>
    <t>OBREGON BRONCANO MARIA DEL PILAR</t>
  </si>
  <si>
    <t>AV SAN LORENZO 645 DEP 203 LOS CEDROS DE VILLA CHORRILLOS</t>
  </si>
  <si>
    <t>08121141</t>
  </si>
  <si>
    <t>OBREGON CARHUAYANO JUAN FELIPE</t>
  </si>
  <si>
    <t>CAL. CIRCUNVALACION NORTE S/N P.J. NUEVA ESPÉRANZA, LIMA, HUARAL, HUARAL</t>
  </si>
  <si>
    <t>15956030</t>
  </si>
  <si>
    <t>OBREGON CARHUAYANO, JUAN FELIPE</t>
  </si>
  <si>
    <t>OBREGON JANAMPA JESUS</t>
  </si>
  <si>
    <t>AV. SAN MARTIN NRO. 401 MZ G2-LOTE 14 A SEC COMITÉ 03 (CUADRA 3 PERALVILLO POR LA POSTA MEDICA)</t>
  </si>
  <si>
    <t>71831388</t>
  </si>
  <si>
    <t>OBREGON OBREGON PEDRO BERNARDINO</t>
  </si>
  <si>
    <t>AV. ADAN ACEVEDO S/NRO, LIMA, HUAURA, HUACHO</t>
  </si>
  <si>
    <t>9319 - OTRAS ACTIVIDADES DEPORTIVAS</t>
  </si>
  <si>
    <t>15580090</t>
  </si>
  <si>
    <t>OBREGON VENTURA ANTONY YKOISHY</t>
  </si>
  <si>
    <t>SECTOR 3 GRUPO 28 MANZANA H LOTE 7</t>
  </si>
  <si>
    <t>72372876</t>
  </si>
  <si>
    <t>OCAMPO HERRERA SEGUNDO OCTAVIO</t>
  </si>
  <si>
    <t>JR COLON N° 245 CALLAO</t>
  </si>
  <si>
    <t>25433419</t>
  </si>
  <si>
    <t>OCAMPO PEREZ ROBERTO CARLOS</t>
  </si>
  <si>
    <t>CALLE LOS CLAVELES MZ J LOTE 9 A. H CASA HUERTA</t>
  </si>
  <si>
    <t>41319651</t>
  </si>
  <si>
    <t>OCAÑA DIAZ JAZMIN DENISSE</t>
  </si>
  <si>
    <t>AV. TORIBIO ACOSTA NRO. 413 - 2 CDRAS DEL HOTEL VILLAKITSIA, LIMA, HUAURA, SANTA MARIA</t>
  </si>
  <si>
    <t>74640443</t>
  </si>
  <si>
    <t>OCAÑA PABLO ELMER</t>
  </si>
  <si>
    <t>CENTRO COMERCIAL BCA,BLOCK 13,STAND 14 Y 15 (REF. POR LA CALLE AREQUIPA)</t>
  </si>
  <si>
    <t>46840606</t>
  </si>
  <si>
    <t>OCAS GONZALES MAURICIO</t>
  </si>
  <si>
    <t>AV. SAN JUAN MZ A LT. 7 PANPA LIBRE</t>
  </si>
  <si>
    <t>41355347</t>
  </si>
  <si>
    <t>OCHANTE ANCHAYHUA DAVID</t>
  </si>
  <si>
    <t>ASOC. AGROPECUARIA HARAS EL HUAYCO HUACHIPA CHOSICA MZ.D LT.1</t>
  </si>
  <si>
    <t>40759451</t>
  </si>
  <si>
    <t>OCHANTE ANCHAYHUA, DAVID</t>
  </si>
  <si>
    <t>OCHANTE JAUREGUI ALBERTO</t>
  </si>
  <si>
    <t>JUAN PABLO II MZ S LT 12</t>
  </si>
  <si>
    <t>25432643</t>
  </si>
  <si>
    <t>OCHOA GARCIA JUSTO PIO</t>
  </si>
  <si>
    <t>LA HUERTA QUILMANA, MZ P1, LT 1, SECTOR 3</t>
  </si>
  <si>
    <t>15395821</t>
  </si>
  <si>
    <t>OCHOA ROBLES ANGELA MELISSA</t>
  </si>
  <si>
    <t>JR HUMBOLD NRO 1399</t>
  </si>
  <si>
    <t>45071556</t>
  </si>
  <si>
    <t>OCHOA TELLO ROSARIO</t>
  </si>
  <si>
    <t>MZ. HV LOTE 1 URB. LOS LIBERTADORES (PANADERIA Y BODEGA ROOSETT)</t>
  </si>
  <si>
    <t>07984042</t>
  </si>
  <si>
    <t>OJEDA HUAMAN DEYVI ROBINSON</t>
  </si>
  <si>
    <t>AV.LOS ALAMOS MZ. E LOTE 2.APV. MAGISTERIAL CANTO GRANDE</t>
  </si>
  <si>
    <t>41345774</t>
  </si>
  <si>
    <t>OLANO PALOMINO CHARITO SILVIA</t>
  </si>
  <si>
    <t>JR. AZANGARO N° 630 INT. 201</t>
  </si>
  <si>
    <t>20080093</t>
  </si>
  <si>
    <t>OLANO PALOMINO, CHARITO SILVIA</t>
  </si>
  <si>
    <t>OLANO RAMOS LUIS ANTONIO</t>
  </si>
  <si>
    <t>CALLE SAN AURELIO 257 URB. SANTA LUISA (FRENTE UTP LIMA NORTE), LIMA, LIMA, LOS OLIVOS</t>
  </si>
  <si>
    <t>45168575</t>
  </si>
  <si>
    <t>OLARTE VEGA NICKOLE STHEFANY</t>
  </si>
  <si>
    <t>AV BOLIVIA N° 180 INT 202 2DO PISO</t>
  </si>
  <si>
    <t>76609231</t>
  </si>
  <si>
    <t>OLAYA ROJAS ALEJANDRA IVONNE</t>
  </si>
  <si>
    <t>AV TOMAS VALLE  CUADRA 1120 CRUCE CON SAN GERMAN</t>
  </si>
  <si>
    <t>77038048</t>
  </si>
  <si>
    <t>OLAYA SUAREZ JOSE WALTER</t>
  </si>
  <si>
    <t>AV. BOLIVIA N° 148 GALERIA CENTRO CIVICO 3ER PISO</t>
  </si>
  <si>
    <t>40113992</t>
  </si>
  <si>
    <t>OLAYA VIVAS GEANCARLO</t>
  </si>
  <si>
    <t>AV.UNIVERSITARIA 2651 SAN MARTÍN DE PORRES</t>
  </si>
  <si>
    <t>47659277</t>
  </si>
  <si>
    <t>OLIVA VIVANCO OSCAR DAVID</t>
  </si>
  <si>
    <t>CALLE SAN MARTIN N° 356, LIMA, HUAURA, HUAURA</t>
  </si>
  <si>
    <t>73118114</t>
  </si>
  <si>
    <t>OLIVARES CALIXTRO OSCAR JHON</t>
  </si>
  <si>
    <t>CARRETERA CENTRAL KM 14.5 ESPALDA GRIFO GLORIA</t>
  </si>
  <si>
    <t>41893964</t>
  </si>
  <si>
    <t>OLIVARES JARA BETZABETH NELLY</t>
  </si>
  <si>
    <t>URB KAMA I MZ F LOTE 7 ( ENTRE CALLE LAS ORQUIDEAS Y JR LOS LAURELES)</t>
  </si>
  <si>
    <t>72446575</t>
  </si>
  <si>
    <t>OLIVERA VENTOCILLA ALEXANDER DANTE</t>
  </si>
  <si>
    <t>AV. CIRCUNVALACIÓN SUR MZ. A LT. 6-1 A.H. MANZANARES II ETAPA, LIMA, HUAURA, HUACHO</t>
  </si>
  <si>
    <t>40425031</t>
  </si>
  <si>
    <t>OLIVERO ROJAS DE KANASHIRO ROSA ELVIRA</t>
  </si>
  <si>
    <t>AV. CIRCUNVALACION NORTE MZA. C LOTE. 03 NRO.333</t>
  </si>
  <si>
    <t>15963996</t>
  </si>
  <si>
    <t>OLIVO SIMON EMILIANO JASINTO</t>
  </si>
  <si>
    <t>CALLE WIÑAY MZ. Z1 L.T 08 ASOSACION STA ROSA</t>
  </si>
  <si>
    <t>45989429</t>
  </si>
  <si>
    <t>OLIVO SIMON, EMILIANO JASINTO</t>
  </si>
  <si>
    <t>OLORTEGUI AQUINO OSCAR OSWALDO</t>
  </si>
  <si>
    <t>CERRO LA TRINIDAD MZ.A LT.3</t>
  </si>
  <si>
    <t>16020732</t>
  </si>
  <si>
    <t>OLORTEGUI AQUINO, OSCAR OSWALDO</t>
  </si>
  <si>
    <t>OLORTEGUI CLAROS ROBINSON</t>
  </si>
  <si>
    <t>CALLE 35 MZ. 7A LT. 8 LAURA CALLER ZONA 5</t>
  </si>
  <si>
    <t>45832788</t>
  </si>
  <si>
    <t>OLORTEGUI CLAROS, ROBINSON</t>
  </si>
  <si>
    <t>OLORTEGUI GRANDEZ ANDERSON</t>
  </si>
  <si>
    <t>GIRON UNION MANZANA E LOTE1 TABALADA DE LURIN</t>
  </si>
  <si>
    <t>42438556</t>
  </si>
  <si>
    <t>ONDRE OREJON SOSIMO</t>
  </si>
  <si>
    <t>AV BOLIVIA MZ U LOTE 2 OSE OLAYA BALANDRA</t>
  </si>
  <si>
    <t>40916606</t>
  </si>
  <si>
    <t>ONOFRE NOVOA ANTONIA DIANA</t>
  </si>
  <si>
    <t>JR. BUIN 4895 URB. PARQUE NARANJAL 2DA ETAPA</t>
  </si>
  <si>
    <t>43132717</t>
  </si>
  <si>
    <t>ONOFRE NOVOA, ANTONIA DIANA</t>
  </si>
  <si>
    <t>ORBEGOSO POMIANO ABRAHAM</t>
  </si>
  <si>
    <t>JR. SAN CRISTOBAL 1565 GALERÍA EL VIRREY TDA. 802 - B1</t>
  </si>
  <si>
    <t>25580536</t>
  </si>
  <si>
    <t xml:space="preserve"> ORBEGOSO POMIANO ABRAHAM</t>
  </si>
  <si>
    <t>ORDOÑEZ MELENDEZ JORGE HERNAN</t>
  </si>
  <si>
    <t>MZ.O-6 LT.37 C.D MARISCAL CÁCERES</t>
  </si>
  <si>
    <t>44569205</t>
  </si>
  <si>
    <t>ORDOÑEZ TUMIALAN CHRISTIAN HEBER</t>
  </si>
  <si>
    <t>AV. CHANCAS DE ANDAHUAYLAS NO. 660, LIMA, LIMA, SANTA ANITA</t>
  </si>
  <si>
    <t>20691566</t>
  </si>
  <si>
    <t>ORDOÑEZ TUMIALAN, CHRISTIAN HEBER</t>
  </si>
  <si>
    <t>ORE CHUICA JUAN JESUS</t>
  </si>
  <si>
    <t>AV. UNIVERSITARIA 5665 URB. SANTA ISOLINA MZ G LOTE 5 - COMAS</t>
  </si>
  <si>
    <t>42516993</t>
  </si>
  <si>
    <t>ORE PAYANO LUIS ALBERTO</t>
  </si>
  <si>
    <t>AV. CHANCAS NRO 598</t>
  </si>
  <si>
    <t>43252118</t>
  </si>
  <si>
    <t>ORE ROJAS ERICK ANTHONY</t>
  </si>
  <si>
    <t>C.C APROMEC PLAZA VITARTE PTO. 1</t>
  </si>
  <si>
    <t>77147972</t>
  </si>
  <si>
    <t>ORE ROJAS, ERICK ANTHONY</t>
  </si>
  <si>
    <t>ORE SACCATOMA ABDIAS</t>
  </si>
  <si>
    <t>VARELA 1743, LIMA, LIMA, BREÑA</t>
  </si>
  <si>
    <t>22273221</t>
  </si>
  <si>
    <t>ORELLANA BEJARANO PIEDAD</t>
  </si>
  <si>
    <t>AV.BOLIVIA 148 -3ER NIVEL C.C. CENTRO DE LIMA STAND 3160</t>
  </si>
  <si>
    <t>19906843</t>
  </si>
  <si>
    <t>ORELLANA BEJARANO, PIEDAD</t>
  </si>
  <si>
    <t>ORELLANA POCMUCHA RONNY RENZO</t>
  </si>
  <si>
    <t>JR. RODRIGUEZ DE MENDOZA MZ A LOTE 09</t>
  </si>
  <si>
    <t>40291176</t>
  </si>
  <si>
    <t>ORELLANO RAMOS LUIS ENRIQUE</t>
  </si>
  <si>
    <t>AV COPACABANA MZ A LT 4</t>
  </si>
  <si>
    <t>46780623</t>
  </si>
  <si>
    <t>ORENCIO SANCHEZ JUAN CARLOS</t>
  </si>
  <si>
    <t>PUEBLO JOVEN - AV. 03 DE OCTUBRE S/N , LIMA, HUARAL, HUARAL</t>
  </si>
  <si>
    <t>15749505</t>
  </si>
  <si>
    <t>ORIA CASTILLO LUZ MARIA</t>
  </si>
  <si>
    <t>ASOC LAS AMERICAS MZ T LOTE 2, ATE</t>
  </si>
  <si>
    <t>09360937</t>
  </si>
  <si>
    <t>ORIHUELA LEANDRO YESENIA VANESSA</t>
  </si>
  <si>
    <t>AV. LIMA S/NRO. (REF. COSTADO COLEGIO CESAR VALLEJO)</t>
  </si>
  <si>
    <t>46665272</t>
  </si>
  <si>
    <t>YESENIA VANESSA ORIHUELA LEANDRO</t>
  </si>
  <si>
    <t>ORMEÑO NAVARRO JOSE MANUEL</t>
  </si>
  <si>
    <t>MZ B1 LT 06 CERRO LOCO</t>
  </si>
  <si>
    <t>15427426</t>
  </si>
  <si>
    <t>OROPEZA PABLO EFRAIN</t>
  </si>
  <si>
    <t>AV. MIRAFLORES 481</t>
  </si>
  <si>
    <t>09744434</t>
  </si>
  <si>
    <t>OROS CAHUANA NOE ALFREDO</t>
  </si>
  <si>
    <t>AV. AV URUBAMBA NRO. 349 COO. 27 DE ABRIL (EL MERCADO 27 DE ABRIL)</t>
  </si>
  <si>
    <t>40456310</t>
  </si>
  <si>
    <t>OROSCO MARTINEZ PROSPERO QORI</t>
  </si>
  <si>
    <t>AV TAHUANTINSUYO W3  06 AAHH GRUPO RESIDENCIAL E6 PACHACUTEC ( 1 CUADRA DE PRECIO UNO PACHACUTEC), CALLAO, CALLAO, VENTANILLA</t>
  </si>
  <si>
    <t>44381201</t>
  </si>
  <si>
    <t>OROZCO TERREZ JHONNY HALBERT</t>
  </si>
  <si>
    <t>URBANIZACIÓN REAL DE SANTA CLARA MZ D LOTE 16 ATE</t>
  </si>
  <si>
    <t>41710449</t>
  </si>
  <si>
    <t>ORREAGA PERALTA JOSE DAVID</t>
  </si>
  <si>
    <t>JIRON FRANCISCO RIVAS 1222</t>
  </si>
  <si>
    <t>06786408</t>
  </si>
  <si>
    <t>ORTEGA CASTELLANO KELIN JOSE</t>
  </si>
  <si>
    <t>AV UNIVERSITARIA MZ. 56 LT. 10 (FTE. AL HOTEL VERONA, VILLA SOL)</t>
  </si>
  <si>
    <t>60877118</t>
  </si>
  <si>
    <t>ORTEGA LOPEZ HENRY CIRO</t>
  </si>
  <si>
    <t>ASENT.H. SANTA ROSA DE COLLIQUE MZ A LT. 17</t>
  </si>
  <si>
    <t>Principal - 4752 - VENTA AL POR MENOR DE ARTÍCULOS DE FERRETERÍA, PINTURAS Y PRODUCTOS DE VIDRIO EN COMERCIOS ESPECIALIZADOS</t>
  </si>
  <si>
    <t>20726076</t>
  </si>
  <si>
    <t>ORTEGA OCHOA JORGE LUIS</t>
  </si>
  <si>
    <t>4TA ETAPA SECTOR 1 MZ B LT. 2 OFICINA 9</t>
  </si>
  <si>
    <t>43397261</t>
  </si>
  <si>
    <t>ORTEGA PINO KEIMERYS ANDREÍNA</t>
  </si>
  <si>
    <t>JR. CELESTINO AVILA GODOY 803</t>
  </si>
  <si>
    <t>48946756</t>
  </si>
  <si>
    <t>ORTEGA REYES CLADIVEL KELITA</t>
  </si>
  <si>
    <t>AV. MARÍA PARADO DE BELLIDO 450, DE LA ESTACIÓN PACIFICO AL FRENTE</t>
  </si>
  <si>
    <t>43878977</t>
  </si>
  <si>
    <t>ORTEGA REYES, CLADIVEL KELITA</t>
  </si>
  <si>
    <t>ORTIZ AGUILAR ERMITAÑO</t>
  </si>
  <si>
    <t>AV. LOS SAUCES MZ B LT 7</t>
  </si>
  <si>
    <t>41467581</t>
  </si>
  <si>
    <t>ERMITAÑO ORTIZ AGUILAR</t>
  </si>
  <si>
    <t>ORTIZ ALCANTARA ABRIL JANIS</t>
  </si>
  <si>
    <t>JR.ANDAHUAYLAS NR. 666 INT 206-207 URB BARRIOS ALTOS</t>
  </si>
  <si>
    <t>75966702</t>
  </si>
  <si>
    <t>ORTIZ CASTRO HERNAN DARIO</t>
  </si>
  <si>
    <t>AV. GARCILAZO DE LA VEGA N° 1260 2DO PISO INTERIOR 03</t>
  </si>
  <si>
    <t>42967612</t>
  </si>
  <si>
    <t>ORTIZ CHAUPIS NORKA ELIZA</t>
  </si>
  <si>
    <t>AV. RETABLO 259</t>
  </si>
  <si>
    <t>63254185</t>
  </si>
  <si>
    <t>ORTIZ FERNANDEZ LUIS</t>
  </si>
  <si>
    <t>CALLE LAS ANTARAS MZ K LOTE 1A URB. SAN JUAN BAUTISTA CHORRILLOS</t>
  </si>
  <si>
    <t>42641646</t>
  </si>
  <si>
    <t>ORTIZ MEGO WILLIAM</t>
  </si>
  <si>
    <t>CAL. 17 ASC. HUANCAYO MZA. R LOTE 3F, PISO 1, SJL- LIMA</t>
  </si>
  <si>
    <t>16790886</t>
  </si>
  <si>
    <t>ORTIZ REATEGUI ROCIO DEL PILAR</t>
  </si>
  <si>
    <t>JG CONDORCANQUI 790 TUPAC AMARU</t>
  </si>
  <si>
    <t>42531480</t>
  </si>
  <si>
    <t>ORTIZ RUIZ YLLIAN ADOLFO</t>
  </si>
  <si>
    <t>MZA. A LOTE 28 AV. METROPOLITANA ATE LIMA</t>
  </si>
  <si>
    <t>80593195</t>
  </si>
  <si>
    <t>ORTIZ RURUSH HERACLIDES PABLO</t>
  </si>
  <si>
    <t>AV. ZARUMILLA, CERCADO DE LIMA15822/ A UNA CUADRA DE LA IGLESIA LA ROCA, FRENTE A LA PISCINA SANTA ISABEL</t>
  </si>
  <si>
    <t>41439417</t>
  </si>
  <si>
    <t>ORTIZ SORIANO PEDRO LUIS</t>
  </si>
  <si>
    <t>AV. BENAVIDES 605</t>
  </si>
  <si>
    <t>15450044</t>
  </si>
  <si>
    <t>ORURO PUMA JELMUT ANWAR</t>
  </si>
  <si>
    <t>JR FRANCISCO BOLOGNESI 401, LIMA, LIMA, INDEPENDENCIA</t>
  </si>
  <si>
    <t>40713525</t>
  </si>
  <si>
    <t>OSCANOA PONCE PAUL FRITZ</t>
  </si>
  <si>
    <t>AV. SEPARADORA INDUSTRIAL 2892 URB. MAYORAZGO 3RA ETAPA ATE VITARTE</t>
  </si>
  <si>
    <t>42203946</t>
  </si>
  <si>
    <t>OSCCO SEGURA WILMER CLAUDIO</t>
  </si>
  <si>
    <t>AV. NICOLAS AYLLON N° 5445 COMPUELECTRONIC 2DO PISO PUESTO A4</t>
  </si>
  <si>
    <t>42963069</t>
  </si>
  <si>
    <t>OSCCO SEGURA, WILMER CLAUDIO</t>
  </si>
  <si>
    <t>OSORIO BLAS ADOLFO EDWIN</t>
  </si>
  <si>
    <t>AV. UNIVERSITARIA N° 6907</t>
  </si>
  <si>
    <t>09749976</t>
  </si>
  <si>
    <t>OSORIO BLAS, ADOLFO EDWIN</t>
  </si>
  <si>
    <t>OSORIO CAISEDO ELSA</t>
  </si>
  <si>
    <t>AV. UNIVERSITARIA 9093 COMAS</t>
  </si>
  <si>
    <t>06924369</t>
  </si>
  <si>
    <t>OSORIO FIGUEROA OMAR ANGELO</t>
  </si>
  <si>
    <t>AV. PUENTE PIEDRA 235 SEGUNDO PISO</t>
  </si>
  <si>
    <t>76193496</t>
  </si>
  <si>
    <t>OSORIO FIGUEROA, OMAR ANGELO</t>
  </si>
  <si>
    <t>OSORIO GARCIA ADRIAN LEHY</t>
  </si>
  <si>
    <t>AV. FRANCISCO VIDAL NRO. 730 (REF. FRENTE A ESSALUD PUERTA DOS)</t>
  </si>
  <si>
    <t>72410018</t>
  </si>
  <si>
    <t>OSORIO LOYOLA MARY VILA</t>
  </si>
  <si>
    <t>A.H 19 DE JULIO MZ Q LT 4 JOSE GALVEZ</t>
  </si>
  <si>
    <t>44457260</t>
  </si>
  <si>
    <t>OSORIO POLO ELMER WILFREDO</t>
  </si>
  <si>
    <t>CALLE JESUS MORALES PROYECTI IE ANDRES AVELINO CACERES</t>
  </si>
  <si>
    <t>40976593</t>
  </si>
  <si>
    <t>OSORIO POLO, ELMER WILFREDO</t>
  </si>
  <si>
    <t>OSORIO TORPOCO JORGE GUSTAVO</t>
  </si>
  <si>
    <t>MZ. R1 LT. 24 CALLE. 29 COOP.PRIMAVERA</t>
  </si>
  <si>
    <t>09952103</t>
  </si>
  <si>
    <t>OSORIO TORPOCO, JORGE GUSTAVO</t>
  </si>
  <si>
    <t>OSTOLAZA MONDRAGON AURA VIOLETA</t>
  </si>
  <si>
    <t>C.P TIROLER (IE ALCIBIADES FERNANDEZ GUERRERO-TIROLER), LIMA. HUAURA, VEGUETA</t>
  </si>
  <si>
    <t>0129 - CULTIVO DE OTRAS PLANTAS PERENNES</t>
  </si>
  <si>
    <t>32865650</t>
  </si>
  <si>
    <t>OSTOS NUÑEZ JOAQUIN</t>
  </si>
  <si>
    <t>CALLE MARIA MAGDALENA S/N</t>
  </si>
  <si>
    <t>15708201</t>
  </si>
  <si>
    <t xml:space="preserve">JOAQUIN OSTOS NUÑEZ </t>
  </si>
  <si>
    <t>OSUNA JORGE LUIS</t>
  </si>
  <si>
    <t>URB.LOS CLAVELES MZ C LOTE 30</t>
  </si>
  <si>
    <t>02576813</t>
  </si>
  <si>
    <t>OTAYZA AGURTO MARCELO ALFREDO</t>
  </si>
  <si>
    <t>MZA. I LOTE. 25 CANTO SOL</t>
  </si>
  <si>
    <t>10129115</t>
  </si>
  <si>
    <t>OTAYZA AGURTO, MARCELO ALFREDO</t>
  </si>
  <si>
    <t>OTINIANO VALDERRAMA MANUEL MARCIAL</t>
  </si>
  <si>
    <t>JIRON HELIO 5790, LOS OLIVOS 15311, LIMA, LIMA, LOS OLIVOS</t>
  </si>
  <si>
    <t>10154426</t>
  </si>
  <si>
    <t>OVILLO VALVERDE JOSE LUIS</t>
  </si>
  <si>
    <t>URB PREVI MZ. 60 LT. 07</t>
  </si>
  <si>
    <t>25785891</t>
  </si>
  <si>
    <t>OYARSE VIGO JUAN ELIAS</t>
  </si>
  <si>
    <t>AV. WIESSE MZ. H4 LOTE 25 B URB. PROGRAMA CIUDAD MARISCAL CACERES, LIMA, LIMA, SJL</t>
  </si>
  <si>
    <t>10673667</t>
  </si>
  <si>
    <t>OYMAS MAYHUA ESTHER ROCIO</t>
  </si>
  <si>
    <t>JR. JOSE GALVEZ 595</t>
  </si>
  <si>
    <t>Principal - 4719 - OTRAS ACTIVIDADES DE VENTA AL POR MENOR EN COMERCIOS NO ESPECIALIZADOS</t>
  </si>
  <si>
    <t>07764534</t>
  </si>
  <si>
    <t>OYMAS MAYHUA, ESTHER ROCIO</t>
  </si>
  <si>
    <t>OYOLA CHINGA ZAYDA NAYDU</t>
  </si>
  <si>
    <t>JR ATAHUALPA N°310, LIMA, HUAURA, HUACHO</t>
  </si>
  <si>
    <t>40430431</t>
  </si>
  <si>
    <t>PABLO HUACAUSI ALBERTO EFRAIN</t>
  </si>
  <si>
    <t>LOS ROSALES DE PRO MZ D LT 17 (ALTURA OVALO INFANTAS PANAMERICANA NORTE), LIMA, LIMA, LOS OLIVOS</t>
  </si>
  <si>
    <t>10207118</t>
  </si>
  <si>
    <t>PABLO LLANOS GILBERT EUSEBIO</t>
  </si>
  <si>
    <t>JIRON ATAHUALPA 399 (TESORO DE ATAHUALPA)</t>
  </si>
  <si>
    <t>15744006</t>
  </si>
  <si>
    <t>PABLO TRUJILLO WICMER</t>
  </si>
  <si>
    <t>AV. FELIX B. CARDENAS N° 649, LIMA, HUAURA, SANTA MARIA</t>
  </si>
  <si>
    <t>46318247</t>
  </si>
  <si>
    <t>PACAYA AYAMBO ABEL ARMANDO</t>
  </si>
  <si>
    <t>CALLE BOLOGNESI N° 266</t>
  </si>
  <si>
    <t>48449274</t>
  </si>
  <si>
    <t>PACAYA AYAMBO, ABEL ARMANDO</t>
  </si>
  <si>
    <t>PACHAS CAYCHO VICTOR MANUEL</t>
  </si>
  <si>
    <t>LA LIBERTAD 843</t>
  </si>
  <si>
    <t>10334043</t>
  </si>
  <si>
    <t>PACHAS GARAY ALEXIS JOEL</t>
  </si>
  <si>
    <t>A.A H.H 6 DE MARZO MZI 6 LT 1 AÑO NUEVO COMAS</t>
  </si>
  <si>
    <t>410 - FABRICACIÓN DE PRENDAS DE VESTIR, EXCEPTO PRENDAS DE PIEL</t>
  </si>
  <si>
    <t>72465217</t>
  </si>
  <si>
    <t>PACHAS GARCIA KAREN VANNESA</t>
  </si>
  <si>
    <t>MZ. A2 LT.34 URB. SANTA ANA</t>
  </si>
  <si>
    <t>76970287</t>
  </si>
  <si>
    <t>PACHAS QUENHUA EDWIN FREDY</t>
  </si>
  <si>
    <t>JR. CAUDIVILLA HUACOY N° 182A URB. SANTO DOMINGO CARABAYLLO</t>
  </si>
  <si>
    <t>45065144</t>
  </si>
  <si>
    <t>PACHECO ALEGRE JESUS</t>
  </si>
  <si>
    <t>CALLE VIRGEN DEL ROSARIO MZ B LT 18 ASOCIACIÓN CASUARINAS DEL NARANJAL</t>
  </si>
  <si>
    <t>41123822</t>
  </si>
  <si>
    <t>PACHECO AUCCALLA DE CRUZ MARILINA</t>
  </si>
  <si>
    <t>URB. CAROLINA II MZ. M1 LOTE 8</t>
  </si>
  <si>
    <t>09900304</t>
  </si>
  <si>
    <t>PACHECO AUCCALLA DE CRUZ, MARILINA</t>
  </si>
  <si>
    <t>PACHECO HUANAY JAK ABEL</t>
  </si>
  <si>
    <t>AV UNIVERSITARIA MZ B LOTE 31</t>
  </si>
  <si>
    <t>47091040</t>
  </si>
  <si>
    <t>PACHECO LIMAYLLA TIODORA</t>
  </si>
  <si>
    <t>AV.TOMAS VALLE CDR.4 LOS PORTALES DE FIORI MZ "H" LT.1</t>
  </si>
  <si>
    <t>06993385</t>
  </si>
  <si>
    <t>PACHECO LIMAYLLA, TIODORA</t>
  </si>
  <si>
    <t>PACHECO ORTEGA JHONNY JUAN</t>
  </si>
  <si>
    <t>RESIDENCIAL PARIACHI 1RA ETAPA MZ A LOTE 47 ATE VITARTE</t>
  </si>
  <si>
    <t>40873348</t>
  </si>
  <si>
    <t>PACHECO VELASQUEZ DE ATENCIO SINFOROSA</t>
  </si>
  <si>
    <t>JR AMÉRICA N°204. INT.E.</t>
  </si>
  <si>
    <t>04023765</t>
  </si>
  <si>
    <t>PACHIÑO QUISPE MARGARITA</t>
  </si>
  <si>
    <t>URB. ALAMEDA DE CHOSICA MZ C LOTE 5 TERCER PISO</t>
  </si>
  <si>
    <t>02437182</t>
  </si>
  <si>
    <t>PADILLA DEXTRE MARIA EDUARDA</t>
  </si>
  <si>
    <t>CALLE ANGEL J-01 ASOCIACIÓN JOSÉ ABELARDO QUIÑONES (AV. CHINCHAYSUYO 2 CUADRAS ANTES DE LLEGAR A LA AV. TUPAC AMARU)</t>
  </si>
  <si>
    <t>32040787</t>
  </si>
  <si>
    <t>PADILLA HERNANDEZ TULIO PIERO</t>
  </si>
  <si>
    <t>AV. METROPOLITANA N° 747, LIMA, LIMA, COMAS</t>
  </si>
  <si>
    <t>75851864</t>
  </si>
  <si>
    <t>PADILLA HERNÁNDEZ, TULIO PIERO</t>
  </si>
  <si>
    <t>PADILLA JARA BRENS OMAR</t>
  </si>
  <si>
    <t>CAR. PANAMERICANA NORTE KM 160 - FRENTE A POLLERIA PRIMAVERA, LIMA, HUAURA, VEGUETA</t>
  </si>
  <si>
    <t>74528485</t>
  </si>
  <si>
    <t>PADILLA ROJAS PAMELA</t>
  </si>
  <si>
    <t>JIRÓN HIPÓLITO UNANUE 1558 CON ANTONIO BAZO 709 INTERIOR PISO 7 TDA 722,723,724</t>
  </si>
  <si>
    <t>45569725</t>
  </si>
  <si>
    <t>PADILLA SALOME EDGAR ANGEL</t>
  </si>
  <si>
    <t>AV. CENTENARIO NRO. 3470</t>
  </si>
  <si>
    <t>15756150</t>
  </si>
  <si>
    <t>EDGAR ANGEL PADILLA SALOME</t>
  </si>
  <si>
    <t>PAGUADA SUCNO ERNESTINA</t>
  </si>
  <si>
    <t>AV. PROLONGACION PACHACUTEC MZA. Ñ LOTE. 8-C COLONIZADORES TAB. LURIN (ENTRE AVS. V.ALVARADO Y EL SOL)  - LIMA - LIMA - VILLA MARIA DEL TRIUNFO</t>
  </si>
  <si>
    <t>40933542</t>
  </si>
  <si>
    <t>PAGUADA SUCNO, ERNESTINA</t>
  </si>
  <si>
    <t>PAICO GOMEZ JONATAN BENJAMIN JEREHAM</t>
  </si>
  <si>
    <t>AV LINO VALVERDE MZ H LOTE 4 EL CATALINO</t>
  </si>
  <si>
    <t>48138452</t>
  </si>
  <si>
    <t>PAISIG REATEGUI LADISLAO LINCOOL</t>
  </si>
  <si>
    <t>URB LOS CISNES C-13 (PARALELA A LA OFICINA SERNAMP)</t>
  </si>
  <si>
    <t>45916539</t>
  </si>
  <si>
    <t>PAITAN DAVILA JOSE ANTONIO</t>
  </si>
  <si>
    <t>MZ. B LOTE 14 ASOC. MILAGROSA CRUZ DE MOTUPE</t>
  </si>
  <si>
    <t>09967653</t>
  </si>
  <si>
    <t>PAITAN DAVILA, JOSE ANTONIO</t>
  </si>
  <si>
    <t>PAJUELO CACERES WALTER CHAYTO</t>
  </si>
  <si>
    <t>ASOC. PROGRESO DE COPACABANA MZ A LT28</t>
  </si>
  <si>
    <t>73886438</t>
  </si>
  <si>
    <t>PAJUELO GARCIA ALAN ENRIQUE</t>
  </si>
  <si>
    <t>AV. RAMON CASTILLA S/NRO. URB. TRES PUENTES</t>
  </si>
  <si>
    <t>44098645</t>
  </si>
  <si>
    <t>PAJUELO ROJAS HEBERT YENNER</t>
  </si>
  <si>
    <t>SAN MARCOS S/NRO. (MULTISERVICIOS CASHA - REF. FRENTE A GRIFO)</t>
  </si>
  <si>
    <t>41167264</t>
  </si>
  <si>
    <t>PALACIOS CALERO LUIS PEPE</t>
  </si>
  <si>
    <t>MZ. A LOTE. 02 ASOC.DE VIV. AV SAN JUAN DE VILCA</t>
  </si>
  <si>
    <t>10776574</t>
  </si>
  <si>
    <t>PALACIOS CALIXTRO RICARDO PALERMO</t>
  </si>
  <si>
    <t>MZ. 1C LT. 6 P.J SAN JUAN DE AMANCAES</t>
  </si>
  <si>
    <t>08012292</t>
  </si>
  <si>
    <t xml:space="preserve"> PALACIOS CALIXTRO RICARDO PALERMO</t>
  </si>
  <si>
    <t>PALACIOS CHONCEN FANNY MARLENY</t>
  </si>
  <si>
    <t>MZA. "A" 38 LOTE 25 ASENTAMIENTO BOCANEGRA, CALLAO, CALLAO, CALLAO</t>
  </si>
  <si>
    <t>10451673</t>
  </si>
  <si>
    <t>PALACIOS DELGADILLO EDIBERTO ERALDO</t>
  </si>
  <si>
    <t>JR. BOLOGNESI 205</t>
  </si>
  <si>
    <t>44028509</t>
  </si>
  <si>
    <t>PALACIOS GULARTE NICHOL KATERIN</t>
  </si>
  <si>
    <t>JR LADISLAO ESPINAR N° 393</t>
  </si>
  <si>
    <t>8211 - ACTIVIDADES COMBINADAS DE SERVICIOS ADMINISTRATIVOS DE OFICINA</t>
  </si>
  <si>
    <t>75139293</t>
  </si>
  <si>
    <t>PALACIOS GUTIERREZ GRISEL CAROLA</t>
  </si>
  <si>
    <t>CALLE LUIS COLAN 144</t>
  </si>
  <si>
    <t>45785019</t>
  </si>
  <si>
    <t>PALACIOS GUTIERREZ LORENA CORAL</t>
  </si>
  <si>
    <t>AV. CAHUAS 366</t>
  </si>
  <si>
    <t>43017757</t>
  </si>
  <si>
    <t>PALACIOS HINOSTROZA ROXANA ELIZABETH</t>
  </si>
  <si>
    <t>CALLE CESAREO CHACALTANA 151</t>
  </si>
  <si>
    <t>40083970</t>
  </si>
  <si>
    <t>PALACIOS JACHILLA PATRICK DAVID</t>
  </si>
  <si>
    <t>AV. ANDRES YARES MZ L. 1 LT. 1 CP MEDIO MUNDO, LIMA, HUAURA, VEGUETA</t>
  </si>
  <si>
    <t>48111489</t>
  </si>
  <si>
    <t>PALACIOS JIMENEZ ALBERTO SALVADOR</t>
  </si>
  <si>
    <t>CALLE J.C. MARIÁTEGUI 240 - ANCÓN</t>
  </si>
  <si>
    <t>48130312</t>
  </si>
  <si>
    <t>PALACIOS LLOCLLA ELIAS ANTONIO</t>
  </si>
  <si>
    <t>CALLE SAN DIEGO N° 157</t>
  </si>
  <si>
    <t>08872951</t>
  </si>
  <si>
    <t>PALACIOS LLOCLLA, ELIAS ANTONIO</t>
  </si>
  <si>
    <t>PALACIOS MELGAREJO LENIN RAUL</t>
  </si>
  <si>
    <t>AV. PANAMERICANA ANTIGUA 1540</t>
  </si>
  <si>
    <t>44477189</t>
  </si>
  <si>
    <t>PALACIOS ROJAS MILTON ALBINO</t>
  </si>
  <si>
    <t>AV. DEL PACIFICO 135 CONDOMINIO PARQUES DE LA HUACA TORRE 2 DPTO 701</t>
  </si>
  <si>
    <t>25861047</t>
  </si>
  <si>
    <t>PALACIOS ROJAS, MILTON ALBINO</t>
  </si>
  <si>
    <t>PALACIOS TORRES ZEZE CARLOS</t>
  </si>
  <si>
    <t>JR. TOMAS CATARI Y ANTONIO CABO CDA 5 COLEGIO QUIÑONES, LIMA, LIMA, INDEPENDENCIA</t>
  </si>
  <si>
    <t>41843026</t>
  </si>
  <si>
    <t>PALACIOS TORRES, ZEZE CARLOS</t>
  </si>
  <si>
    <t>PALACIOS VARGAS JOEL ANTONIO</t>
  </si>
  <si>
    <t>MZ B LOTE3 ASOC. MICRO EMPRESARIOS AMANTES DE LA PAZ</t>
  </si>
  <si>
    <t>41419225</t>
  </si>
  <si>
    <t>PALACIOS VELASQUEZ JHON STALEN</t>
  </si>
  <si>
    <t>JR. FRANCISCO BOLOGNESI 192 P. JOVEN SANTA ROSA - LIMA - LIMA - COMAS</t>
  </si>
  <si>
    <t>46106744</t>
  </si>
  <si>
    <t>JHON STALEN PALACIOS VELASQUEZ</t>
  </si>
  <si>
    <t>PALGA LUJAN LUZ MILAGROS</t>
  </si>
  <si>
    <t>AV. BOLIVIA 148 CENTRO COMERCIAL CENTRO INT.3103 FRENTE AL CENTRO CIVICO DE LIM</t>
  </si>
  <si>
    <t>09762262</t>
  </si>
  <si>
    <t>PALGA LUJAN, LUZ MILAGROS</t>
  </si>
  <si>
    <t>PALMA DE LOS SANTOS GUILLERMO ALBERTO</t>
  </si>
  <si>
    <t>AV. LIBERTADORES DEL DISTRITO S/N</t>
  </si>
  <si>
    <t>45449455</t>
  </si>
  <si>
    <t>PALOMARES DULANTO PATRICIA EDITH</t>
  </si>
  <si>
    <t>CALLE MARISCAL CACERES 285 LIMA, HUARAL, CHANCAY</t>
  </si>
  <si>
    <t>16009184</t>
  </si>
  <si>
    <t>PALOMARES FRANCISCO JORDY HERNAN</t>
  </si>
  <si>
    <t>AV. TUPAC AMARU 4194 PASCANA, LIMA, LIMA, COMAS</t>
  </si>
  <si>
    <t>74563234</t>
  </si>
  <si>
    <t>PALOMINO ALVARADO JOSE ALFREDO</t>
  </si>
  <si>
    <t>JR. ABRAM VALDELOMAR 408</t>
  </si>
  <si>
    <t>09027124</t>
  </si>
  <si>
    <t>PALOMINO ALVARADO, JOSE ALFREDO</t>
  </si>
  <si>
    <t>PALOMINO CAVERO WILMINGTON RUSSEL</t>
  </si>
  <si>
    <t>ASOC. DE PROP. LA SOLEDAD MZ C LOTE 2A, LIMA, LIMA, PUENTE PIEDRA</t>
  </si>
  <si>
    <t>10615448</t>
  </si>
  <si>
    <t>PALOMINO FUENTES ALFREDO ANDRES</t>
  </si>
  <si>
    <t>JR. ARABISCO N°29, MZ C, URBANIZACION LOS JARDINES</t>
  </si>
  <si>
    <t>10563816</t>
  </si>
  <si>
    <t>PALOMINO GARCIA OSCAR ANTONIO</t>
  </si>
  <si>
    <t>HOSPITAL REGIONAL DE CAÑETE WHQC+38F SAN LUIS DE CAÑETE</t>
  </si>
  <si>
    <t>45923462</t>
  </si>
  <si>
    <t>PALOMINO HUACHUHUILLCA AYDE ZOLEDAD</t>
  </si>
  <si>
    <t>AV. MIGUEL GRAU - URB SANTA CLARA MZA. F LOTE 61 ÚLTIMO PARADERO COVIDA</t>
  </si>
  <si>
    <t>44058272</t>
  </si>
  <si>
    <t>PALOMINO HUAMAN JOCELYN ELICE</t>
  </si>
  <si>
    <t>MERCADO SAN ROQUE-MARISCAL CÁCERES/SAN JUAN DE LURIGANCHO_ ALTURA DEL PARADERO 5 MARISCAL</t>
  </si>
  <si>
    <t>47040492</t>
  </si>
  <si>
    <t>PALOMINO HUILLCA DE CHAVEZ CLAUDIA</t>
  </si>
  <si>
    <t>PASAJE LAS ARCAS MZ. "D" LOTE 02 AMPLIACIÓN LAS CASUARINAS SAN GABRIEL ALTO.</t>
  </si>
  <si>
    <t>08982184</t>
  </si>
  <si>
    <t>PALOMINO MARTELL DE FERNANDEZ NOEMI EMPERATRIZ</t>
  </si>
  <si>
    <t>CALLE SAENZ PEÑA 143</t>
  </si>
  <si>
    <t>15634272</t>
  </si>
  <si>
    <t>PALOMINO MOLINA JOSE</t>
  </si>
  <si>
    <t>SEDE PRINCIPAL	JR. YEN ESCOBEDO NRO. 125 URB. LA VIÑA (PRIMER PISO/ALT.DE LA VIDENA)</t>
  </si>
  <si>
    <t>06266963</t>
  </si>
  <si>
    <t>PALOMINO ÑAHUERO AYDEE</t>
  </si>
  <si>
    <t>AV. ESPERANZA LAS AMERICAS MZ. R LT. 15 ATE</t>
  </si>
  <si>
    <t>43316749</t>
  </si>
  <si>
    <t>PALOMINO PARIONA RICHARD RONALD</t>
  </si>
  <si>
    <t>MZA. E LOTE. 7 OTR. ASOC. DE VIVIENDA RESIDENCIAL TUPAC AMARU DE CURASCO - RINCONADA DE OQUENDO</t>
  </si>
  <si>
    <t>48017231</t>
  </si>
  <si>
    <t>PALOMINO PERCCA DAVID ELISEO</t>
  </si>
  <si>
    <t>AV. SAN LUCAS NICOLLINI SAN MARTIN DE PORRES</t>
  </si>
  <si>
    <t>43577793</t>
  </si>
  <si>
    <t>PALOMINO PERCCA, DAVID ELISEO</t>
  </si>
  <si>
    <t>PALOMINO PERCCA GUILLERMO</t>
  </si>
  <si>
    <t>PSJ. CESAR VALLEJO MZ. F LT. 5</t>
  </si>
  <si>
    <t>45127506</t>
  </si>
  <si>
    <t>PALOMINO PERCCA, GUILLERMO</t>
  </si>
  <si>
    <t>PALOMINO RAMOS RUTH DORIS</t>
  </si>
  <si>
    <t>PANAMERICANA SUR KM 123.5 AL COSTADO DE MINIMARKET KIMBA CONDOMINIO PLAYA LAS PALMERAS</t>
  </si>
  <si>
    <t>43836108</t>
  </si>
  <si>
    <t>PALOMINO SANCHEZ YOLANDA YULI</t>
  </si>
  <si>
    <t>ANTIGUA PAN SUR KM 19.5 VES (CONTRATA TRABAJANDO EN RMV)</t>
  </si>
  <si>
    <t>70193486</t>
  </si>
  <si>
    <t>PALOMINO TASAYCO DIANA CAROLINA</t>
  </si>
  <si>
    <t>AV JOSE OLAYA 420 CHINCHA ALTA</t>
  </si>
  <si>
    <t>43706116</t>
  </si>
  <si>
    <t>PALOMINO VEGA CARLOS ENZO</t>
  </si>
  <si>
    <t>AV. LOS HEROES 319 A, FRENTE AL CINE STAR, POR PASAJE CARAVELI Y POZO. SJM</t>
  </si>
  <si>
    <t>47931291</t>
  </si>
  <si>
    <t>PALOMINO VELARDE WILFREDO</t>
  </si>
  <si>
    <t>AGRUPACION FAMILIAR LOS JARDINES AV. INDEPENDENCIA N° 241, LIMA, LIMA, EL AGUSTINO</t>
  </si>
  <si>
    <t>45525491</t>
  </si>
  <si>
    <t>PALOMO RODRIGUEZ SERGIO SAMUEL</t>
  </si>
  <si>
    <t>CALLE LAS ACACIAS (REF. COSTADO DEL COLEGIO FE Y ALEGRIA)</t>
  </si>
  <si>
    <t>15712076</t>
  </si>
  <si>
    <t>PANDURO ARMAS CLENER</t>
  </si>
  <si>
    <t>C.P. LA VILLA S/NRO</t>
  </si>
  <si>
    <t>44371987</t>
  </si>
  <si>
    <t>PANIURA JIMENEZ MELANIO DAVID</t>
  </si>
  <si>
    <t>AV. PANAMERICANA S/N COTARUSI PISTA PRINCIPAL</t>
  </si>
  <si>
    <t>ABANCAY</t>
  </si>
  <si>
    <t>44415693</t>
  </si>
  <si>
    <t>PANTI AITE LARRY</t>
  </si>
  <si>
    <t>AV. 13 DE ENERO CDRA 19</t>
  </si>
  <si>
    <t>47070486</t>
  </si>
  <si>
    <t>PAPA ALVARADO MILVIA VERONICA</t>
  </si>
  <si>
    <t>AV. OSCAR BENAVIDES 15081</t>
  </si>
  <si>
    <t>41046550</t>
  </si>
  <si>
    <t>PAQUIYAURI MUÑOZ REBECA</t>
  </si>
  <si>
    <t>JR ECONOMISTAS MR F2 LT 12 TIENDA 19 FRENTE A LA MUNICIPALIDAD DE VES</t>
  </si>
  <si>
    <t>42805416</t>
  </si>
  <si>
    <t>PAREDES ARANA ROMY RUTH</t>
  </si>
  <si>
    <t>AV.FRANCISCO PIZARRO Nº406</t>
  </si>
  <si>
    <t>40847879</t>
  </si>
  <si>
    <t>PAREDES AVALOS MIJAEL NOIL</t>
  </si>
  <si>
    <t>HIGOS NRO. 118, LIMA, LIMA, EL AGUSTINO</t>
  </si>
  <si>
    <t>44141393</t>
  </si>
  <si>
    <t>PAREDES BARAHONA SIMON</t>
  </si>
  <si>
    <t>JR. AYACUCHO S/N IMPERIAL - CAÑETE - LIMA</t>
  </si>
  <si>
    <t>06161211</t>
  </si>
  <si>
    <t>PAREDES CASAICO SANTIAGO</t>
  </si>
  <si>
    <t>AV. CALCA 107- COOP. 27 DE ABRIL, LIMA, LIMA, ATE</t>
  </si>
  <si>
    <t>21066410</t>
  </si>
  <si>
    <t>PAREDES DIAZ ANTUANETH ALEXANDRA</t>
  </si>
  <si>
    <t>JR. SAN MARTIN N° 306, REF. POR AV. REVOLUCION PDRO. SAN MARTIN, LIMA, LIMA, COMAS</t>
  </si>
  <si>
    <t>76453358</t>
  </si>
  <si>
    <t>PAREDES DIAZ, ANTUANETH ALEXANDRA</t>
  </si>
  <si>
    <t>PAREDES ESCOBAR PERLA EUNISE</t>
  </si>
  <si>
    <t>A.H. MARÍA JESÚS ESPINOZA MZ V LT 7</t>
  </si>
  <si>
    <t>70474141</t>
  </si>
  <si>
    <t>PAREDES ESCOBAR, PERLA EUNISE</t>
  </si>
  <si>
    <t>PAREDES FLORES ELFER ALEX</t>
  </si>
  <si>
    <t>MEDIO MUNDO MZA. 31 LOTE. 14 EXP. URB. SANTA CRUZ</t>
  </si>
  <si>
    <t>41488837</t>
  </si>
  <si>
    <t>PAREDES HIDALGO FERNANDO</t>
  </si>
  <si>
    <t>JR PARIACOTO 746 (CRUCE CON AV AGUARICO CERCA AL OVALO)</t>
  </si>
  <si>
    <t>06776299</t>
  </si>
  <si>
    <t>PAREDES LOPEZ AMADA NELLY</t>
  </si>
  <si>
    <t>MZ J LOTE 6 URBANIZACION BRISAS DE SANTA ROSA</t>
  </si>
  <si>
    <t>3230 - FABRICACIÓN DE ARTÍCULOS DE DEPORTE</t>
  </si>
  <si>
    <t>06796731</t>
  </si>
  <si>
    <t>PAREDES RAFAILE VICTOR</t>
  </si>
  <si>
    <t>CAJAMARQUILLA 1325. UN. ZÁRATE, LIMA, LIMA, SAN JUAN DEL LURIGANCHO</t>
  </si>
  <si>
    <t>32526571</t>
  </si>
  <si>
    <t>PAREDES RODRIGUEZ DEMETRIO EULOGIO</t>
  </si>
  <si>
    <t>MZ D36 LOTE 21 BOCA NEGRA</t>
  </si>
  <si>
    <t>09610736</t>
  </si>
  <si>
    <t>PAREDES SALAS JOHANNES JHONNY</t>
  </si>
  <si>
    <t>AV CONTISUYO N°354 TAHUANTINSUYO</t>
  </si>
  <si>
    <t>70381514</t>
  </si>
  <si>
    <t>PAREDES SOLORZANO CORINA MILAGROS</t>
  </si>
  <si>
    <t>JR. BUENAVENTURA AGUIRRE 110 BARRANCO</t>
  </si>
  <si>
    <t>Principal - 52206 - VTA. MIN. ALIMENTOS, BEBIDAS, TABACO.</t>
  </si>
  <si>
    <t>19970443</t>
  </si>
  <si>
    <t>PAREDES TORRES JUBER</t>
  </si>
  <si>
    <t>AV. ANGELICA GAMARRA Nº 1450</t>
  </si>
  <si>
    <t>08443167</t>
  </si>
  <si>
    <t>PAREJA SACCACO ALFONSO</t>
  </si>
  <si>
    <t>CASTILLA 323, LIMA, LIMA, LURIN</t>
  </si>
  <si>
    <t>43902141</t>
  </si>
  <si>
    <t>PARI GUTIERREZ MARIVEL</t>
  </si>
  <si>
    <t>MZ. B LT. 14 ASOC. DE VIV. LIMATAMBO</t>
  </si>
  <si>
    <t>44426747</t>
  </si>
  <si>
    <t>PARI PUMA JERALS ARNOLDO</t>
  </si>
  <si>
    <t>AV PROCERES DE LA INDEPENDENCIA N° 2257</t>
  </si>
  <si>
    <t>47723363</t>
  </si>
  <si>
    <t>PARI VARGAS CECILIA CARMEN</t>
  </si>
  <si>
    <t>CALLE LAS CAMELIAS MZ A1 LT 8 ASOC. LOS PINOS</t>
  </si>
  <si>
    <t>77149477</t>
  </si>
  <si>
    <t>PARIAMACHI BEJARANO VICTOR RAUL</t>
  </si>
  <si>
    <t>MZ. L LT. 2 ASOC. LA VILLA HUAURA</t>
  </si>
  <si>
    <t>15656830</t>
  </si>
  <si>
    <t>PARIATON PAZ ELIAS</t>
  </si>
  <si>
    <t>AV GARCILAZO DE LA VEGA 1358 INT 141</t>
  </si>
  <si>
    <t>47992552</t>
  </si>
  <si>
    <t>PARIONA GAMARRA LEONEL FRANK</t>
  </si>
  <si>
    <t>PARCELA MEDIA S/N FUNDO HUACHIPA (AV. LAS TORRES PARADERO CABALLERIZO)</t>
  </si>
  <si>
    <t>44389480</t>
  </si>
  <si>
    <t>PARIONA GAMARRA, LEONEL FRANK</t>
  </si>
  <si>
    <t>PARIONA LLIUYA SOLIDAD</t>
  </si>
  <si>
    <t>PROL. HUAMANGA 364, LIMA, LIMA, LA VICTORIA</t>
  </si>
  <si>
    <t>40684803</t>
  </si>
  <si>
    <t>PARIONA RAMIREZ TIMOTEO</t>
  </si>
  <si>
    <t>JR SOLEDAD 330, LIMA, LIMA, LINCE</t>
  </si>
  <si>
    <t>08268153</t>
  </si>
  <si>
    <t>PASACHE VIERA JULIO CESAR</t>
  </si>
  <si>
    <t>MZ A LT24 KEIKO SOFIA 1 ETAPA</t>
  </si>
  <si>
    <t xml:space="preserve"> Principal - 2511 - FABRICACION DE PRODUCTOS METALICOS PARA USO ESTRUCTURAL</t>
  </si>
  <si>
    <t>07454212</t>
  </si>
  <si>
    <t>PASACHE VIERA, JULIO CESAR</t>
  </si>
  <si>
    <t>PASCUAL CUEVA LISSET ROCSANA</t>
  </si>
  <si>
    <t>MCDO. HATUN KOURI PTO. C-6 Y C-7, LUBRICANTE PACHACUTEC, CALLAO, CALLAO, VENTANILLA</t>
  </si>
  <si>
    <t>44553772</t>
  </si>
  <si>
    <t>PASCUAL CUEVA, LISSET ROCSANA</t>
  </si>
  <si>
    <t>PASCUAL TORIBIO ANA YRMA</t>
  </si>
  <si>
    <t>AV. MEXICO 107 ,CC FERRETEROS TDA 202 -208 URB. HUAQUILLAY  ( CRUCE AV. MEXICO CON AV. TUPAC AMARU)</t>
  </si>
  <si>
    <t>10472455</t>
  </si>
  <si>
    <t>PASION CORNELIO ENRIQUE CONSTANTINO</t>
  </si>
  <si>
    <t>CALLE LAS BRISAS S/N</t>
  </si>
  <si>
    <t>41121237</t>
  </si>
  <si>
    <t>PASION ESPEJO MILLER</t>
  </si>
  <si>
    <t>AV. TUPAC AMARU NRO 106</t>
  </si>
  <si>
    <t>15736167</t>
  </si>
  <si>
    <t>PASTOR TARAZONA JUAN ISAAC</t>
  </si>
  <si>
    <t>JR. JOSE OLAYA 305, LIMA, BARRANCA, BARRANCA</t>
  </si>
  <si>
    <t>15856765</t>
  </si>
  <si>
    <t>PASTRANA RUGEL NEIL</t>
  </si>
  <si>
    <t>AV TUPAC AMARU K6.5  MZ A LT 8 INDEPENDENCIA</t>
  </si>
  <si>
    <t>47913150</t>
  </si>
  <si>
    <t>PAUCAR CALDERON FRAUKKE ZUZITA</t>
  </si>
  <si>
    <t>AV. ZARUMILLA N° 568</t>
  </si>
  <si>
    <t>48731816</t>
  </si>
  <si>
    <t>PAUCAR ESQUIVEL RICHARD</t>
  </si>
  <si>
    <t>JIRÓN SÁENZ PEÑA 1477 LA VICTORIA</t>
  </si>
  <si>
    <t>44459970</t>
  </si>
  <si>
    <t>PAUCAR MORAN EDELVINO</t>
  </si>
  <si>
    <t>AV. MALECON S/N</t>
  </si>
  <si>
    <t>48364030</t>
  </si>
  <si>
    <t>PAUCAR RAMOS ALEX MARCOS</t>
  </si>
  <si>
    <t>CARRETERA CENTRAL KM 14 LT.6 GLORIA BAJA</t>
  </si>
  <si>
    <t>42773241</t>
  </si>
  <si>
    <t>PAUCAR YALLE BARTOLOME JORGE</t>
  </si>
  <si>
    <t>AV. LA MAR NRO. 101, LIMA, CAÑETE, IMPERIAL</t>
  </si>
  <si>
    <t>15379732</t>
  </si>
  <si>
    <t>PAUCARCAJA GONZALES JULIO CESAR</t>
  </si>
  <si>
    <t>MZ.T1 LOTE 9 URB. EL ALAMO VIPOL</t>
  </si>
  <si>
    <t>42347501</t>
  </si>
  <si>
    <t>PAUCARCAJA GONZALES, JULIO CESAR</t>
  </si>
  <si>
    <t>PAULO GUEVARA ADOLFO SAMUEL</t>
  </si>
  <si>
    <t>AV. LOS INCAS 123 KM. 14.5 COMAS (CRUCE LOS INKAS Y TUPAC AMARU)</t>
  </si>
  <si>
    <t>10742296</t>
  </si>
  <si>
    <t>PAURO CHARCA EDGAR IVAN</t>
  </si>
  <si>
    <t>AV. TOMÁS VALLE 1614</t>
  </si>
  <si>
    <t>42833224</t>
  </si>
  <si>
    <t>PAZ ALCANTARA ROBERTO CARLOS</t>
  </si>
  <si>
    <t>CALLE MORELLI N° 164 LA RAMBLA</t>
  </si>
  <si>
    <t>44340576</t>
  </si>
  <si>
    <t>PAZ BAYONA FELIX JORVY</t>
  </si>
  <si>
    <t>CAL.FRANCISCO BOLOGNESI NRO 130</t>
  </si>
  <si>
    <t>15620155</t>
  </si>
  <si>
    <t>PAZ DAVILA NILS EDINSON</t>
  </si>
  <si>
    <t>C.P ATARRAYA SAN PEDRO S/NRO.</t>
  </si>
  <si>
    <t>47272773</t>
  </si>
  <si>
    <t>PAZ RAMIREZ YURI DANIEL</t>
  </si>
  <si>
    <t>ESQUINA DE CAMINO HERRADURA HIERBABUENA S/N OBRAJILLO-CANTA- LIMA PERU</t>
  </si>
  <si>
    <t>09385115</t>
  </si>
  <si>
    <t>PAZO NAQUICHE MILTON EDUARDO</t>
  </si>
  <si>
    <t>MZ. G LT.15 SIMON BOLIVAR</t>
  </si>
  <si>
    <t>45256510</t>
  </si>
  <si>
    <t>PAZOS TELLO ROBERTO ELIAS</t>
  </si>
  <si>
    <t>AV. OSCAR R. BENAVIDES 3937, CALLAO, CALLAO, CALLAO</t>
  </si>
  <si>
    <t>9311 - GESTIÓN DE INSTALACIONES DEPORTIVAS</t>
  </si>
  <si>
    <t>40736202</t>
  </si>
  <si>
    <t>PAZOS TELLO, ROBERTO ELIAS</t>
  </si>
  <si>
    <t>PECHE GRADOS DANY RAUL</t>
  </si>
  <si>
    <t>AV DOMINICOS 2753 MANZANA C LOTE 24 URBANIZACIÓN LOS CHASQUIS, LIMA, LIMA, SAN MARTIN DE PORRES</t>
  </si>
  <si>
    <t>44433090</t>
  </si>
  <si>
    <t>PECHO VILLALOBOS YENNI ELIZABETH</t>
  </si>
  <si>
    <t>MERCADO SAN PEDRO DE MALA PUESTO 123</t>
  </si>
  <si>
    <t>44938911</t>
  </si>
  <si>
    <t>PEIRANO MENDOZA JORGE RAFAEL</t>
  </si>
  <si>
    <t>AV GRAU S/N (CENTRO COMERCIAL GRAU STAD 338)</t>
  </si>
  <si>
    <t>09399984</t>
  </si>
  <si>
    <t>PEIRANO MENDOZA, JORGE RAFAEL</t>
  </si>
  <si>
    <t>PELAEZ MELENDEZ KATERIN</t>
  </si>
  <si>
    <t>PEDRO RUIZ GALLO 668</t>
  </si>
  <si>
    <t>46027993</t>
  </si>
  <si>
    <t>PELAEZ PERALTA JORGE ANTONIO</t>
  </si>
  <si>
    <t>URB SINDICATO DE CHOFERES MZ A P-LOTE 38</t>
  </si>
  <si>
    <t>45519433</t>
  </si>
  <si>
    <t>PELOSI VINCES CHIARA KATIA</t>
  </si>
  <si>
    <t>LOS EUCALIPTOS N° 296</t>
  </si>
  <si>
    <t>46689898</t>
  </si>
  <si>
    <t>PEÑA CARRASCO DAMMIR PABLO</t>
  </si>
  <si>
    <t>MZ. G LT 1 12 DE OCTUBRE</t>
  </si>
  <si>
    <t>73569212</t>
  </si>
  <si>
    <t>PEÑA CARRASCO, DAMMIR PABLO</t>
  </si>
  <si>
    <t>PEÑA HUAMANI YANET YSELA</t>
  </si>
  <si>
    <t>AV. VICTOR MALASQUEZ MZ. B LT. 39 ASOCIACION YARIWILCAS</t>
  </si>
  <si>
    <t>Principal - 8690 - OTRAS ACTIVIDADES DE ATENCIÓN DE LA SALUD HUMANA</t>
  </si>
  <si>
    <t>42458029</t>
  </si>
  <si>
    <t>PEÑA HUAMANI, YANET YSELA</t>
  </si>
  <si>
    <t>PEÑA MAMANI JEAN PIERRE ORLANDO</t>
  </si>
  <si>
    <t>AV. JOSE MARTI MZ. S LT. 5</t>
  </si>
  <si>
    <t>70115009</t>
  </si>
  <si>
    <t>PEÑA MANDUJANO HECTOR FREDY</t>
  </si>
  <si>
    <t>JR. HUARAZ 1765 URB. AZCONA INT. 297, LIMA, LIMA, BREÑA</t>
  </si>
  <si>
    <t>10436050</t>
  </si>
  <si>
    <t>PEÑA MANDUJANO, HECTOR FREDY</t>
  </si>
  <si>
    <t>PEÑA QUISPE JORGE</t>
  </si>
  <si>
    <t>MZ. O5 LT. 41 LOS LICENCIADOS VENTANILLA, CALLAO, CALLAO, VENTANILLA</t>
  </si>
  <si>
    <t>40888038</t>
  </si>
  <si>
    <t>PEÑA QUISPE, JORGE</t>
  </si>
  <si>
    <t>PEÑA RUIZ JUAN MANUEL</t>
  </si>
  <si>
    <t>MZ. I-12 LT. 02 - CDAD MCAL CACERES II</t>
  </si>
  <si>
    <t>41628098</t>
  </si>
  <si>
    <t>PEÑA SILVA JUAN CARLOS</t>
  </si>
  <si>
    <t>AV. CÉSAR VALLEJO 26, LIMA 15834 / STR. 2 GRUPO 10 MZ. K LT.17</t>
  </si>
  <si>
    <t>45526131</t>
  </si>
  <si>
    <t>PEÑA SILVA, JUAN CARLOS</t>
  </si>
  <si>
    <t>PEÑA TORRES EMERSON GIL</t>
  </si>
  <si>
    <t>AV. APURIMAC EL PALOMAR JICAMARCA ANEX MZA. DI LOTE. 1B LIMA - HUAROCHIRI - SAN ANTONIO</t>
  </si>
  <si>
    <t>42366900</t>
  </si>
  <si>
    <t>PERALES CHILENO ALBERTO ABSALON</t>
  </si>
  <si>
    <t>CALLE MANUEL SENCIE N° 121 - PUEBLO NUEVO</t>
  </si>
  <si>
    <t>FERREÑAFE</t>
  </si>
  <si>
    <t>PUEBLO NUEVO</t>
  </si>
  <si>
    <t>41369325</t>
  </si>
  <si>
    <t>ENRIQUE PERALES MORALES</t>
  </si>
  <si>
    <t>PERALTA GRILLO WILLIAMS JONATHAN</t>
  </si>
  <si>
    <t>MZ. B LOTE 18 URB VILLA JUANITA</t>
  </si>
  <si>
    <t>47531483</t>
  </si>
  <si>
    <t>PERALTA GRILLO, WILLIAMS JONATHAN</t>
  </si>
  <si>
    <t>PERALTA NUÑEZ PRESBITERO</t>
  </si>
  <si>
    <t>MZ A- LOTE  03 PRO VIVIENDA VISTA ALEGRE DE CARABAYLLO</t>
  </si>
  <si>
    <t>42363523</t>
  </si>
  <si>
    <t>PERALTA SANCHEZ MANUEL ALBERTO</t>
  </si>
  <si>
    <t>VIRGEN DE LA ASUNCION MZ A LT 26</t>
  </si>
  <si>
    <t>46599998</t>
  </si>
  <si>
    <t>PERALTA TRINIDAD ANDY ADOLFO</t>
  </si>
  <si>
    <t>MZ S LT 24 I SECTOR OASIS</t>
  </si>
  <si>
    <t>75507518</t>
  </si>
  <si>
    <t>PERALTA VERAN JESUS ROBERTO</t>
  </si>
  <si>
    <t>JIRÓN HUANDOVAL N°262 URB. SANTOYO, LIMA, LIMA, EL AGUSTINO</t>
  </si>
  <si>
    <t>09232472</t>
  </si>
  <si>
    <t>PEREA FLORES MOISES SEGUNDO</t>
  </si>
  <si>
    <t>JR. GAMARRA 981 OF 404</t>
  </si>
  <si>
    <t>07383511</t>
  </si>
  <si>
    <t>PEREDA DIAZ MIRIAM JESUS ELIZABETH</t>
  </si>
  <si>
    <t>MZ D1 LT 1,2, 15 Y 16, AV. 200, VENTANILLA</t>
  </si>
  <si>
    <t>Principal - 8510 - ENSEÑANZA PREESCOLAR Y PRIMARIA</t>
  </si>
  <si>
    <t>15728904</t>
  </si>
  <si>
    <t>PEREDA DIAZ, MIRIAM JESUS ELIZABETH</t>
  </si>
  <si>
    <t>PEREDA NEIRA GENARO</t>
  </si>
  <si>
    <t>MZ "C" LOTE 10 URB. CALICHERA-ANCON (FRENTE AL MERCADO 3 REGIONES KM 33.5 PANAM. NORTE), LIMA, LIMA, PUENTE PIEDRA</t>
  </si>
  <si>
    <t>42993517</t>
  </si>
  <si>
    <t>PEREYRA DELGADO EDWIN FERNANDO</t>
  </si>
  <si>
    <t>AV. CHILLON TRAPICHE 647</t>
  </si>
  <si>
    <t>43284857</t>
  </si>
  <si>
    <t>PEREZ BERNAL ANGELA JOHANNA</t>
  </si>
  <si>
    <t>URBANIZACION HUACHO A 1</t>
  </si>
  <si>
    <t>42514552</t>
  </si>
  <si>
    <t>PEREZ CASAS JESUS GILBERTO</t>
  </si>
  <si>
    <t>AV UNIVERSITARIA NORTE MZ A LT 9 , LIMA, LIMA, LOS OLIVOS 15301</t>
  </si>
  <si>
    <t>46525928</t>
  </si>
  <si>
    <t>PEREZ CHAVEZ ANITA</t>
  </si>
  <si>
    <t>CALLE LOS ANDES N° 139</t>
  </si>
  <si>
    <t>43253546</t>
  </si>
  <si>
    <t>PEREZ DIAZ BREMILDA</t>
  </si>
  <si>
    <t>JIRON JACARANDA 824 (AL COSTADO DE PLAZA VEA)</t>
  </si>
  <si>
    <t>10046968</t>
  </si>
  <si>
    <t>PEREZ GARGATE BEATRIZ JUANA</t>
  </si>
  <si>
    <t>AV. ALFREDO BENAVIDES N° 5384, LIMA, LIMA, SANTIAGO DE SURCO</t>
  </si>
  <si>
    <t>09593161</t>
  </si>
  <si>
    <t>PEREZ GARGATE, BEATRIZ JUANA</t>
  </si>
  <si>
    <t>PEREZ MARIN HENRY</t>
  </si>
  <si>
    <t>CENTRO COMERCIAL ACOMERSUR STAND E-51-52-53</t>
  </si>
  <si>
    <t>08599731</t>
  </si>
  <si>
    <t>PEREZ MARTINEZ HELGA DENISSE</t>
  </si>
  <si>
    <t>JR. LOS CLAVELES N° 471 PISO 1</t>
  </si>
  <si>
    <t>41523341</t>
  </si>
  <si>
    <t>PEREZ MARTINEZ, HELGA DENISSE</t>
  </si>
  <si>
    <t>PEREZ MOCARRO PEDRO ANTONIO</t>
  </si>
  <si>
    <t>CAR. PANAMERICANA NORTE KM 83, LIMA, HUARAL, CHANCAY</t>
  </si>
  <si>
    <t>32983337</t>
  </si>
  <si>
    <t>PEREZ NINAHUANCA CARLOS ALBERTO</t>
  </si>
  <si>
    <t>AV. JOSE AUSEJO SALAS 205</t>
  </si>
  <si>
    <t>43300655</t>
  </si>
  <si>
    <t>PEREZ RAMIREZ LUIS ANGEL</t>
  </si>
  <si>
    <t>AV UNIVERSITARIA 9756 ALBORADA, LIMA, LIMA, COMAS</t>
  </si>
  <si>
    <t>62735299</t>
  </si>
  <si>
    <t>PEREZ SANCHEZ BRUCE DAVID</t>
  </si>
  <si>
    <t>AV. EL TRIUNFO MZ. X LT. 7 INT. B COOP. VIV. UMAMARCA</t>
  </si>
  <si>
    <t>70102882</t>
  </si>
  <si>
    <t>PEREZ SIMEON CINTHYA KARINA</t>
  </si>
  <si>
    <t>AV.GUILLERM DANSEY 405 C.C. PLAZA FERRETERO INT1112 PASAJE A</t>
  </si>
  <si>
    <t>45160672</t>
  </si>
  <si>
    <t>PEREZ URBINA GUILLERMO ANTONIO</t>
  </si>
  <si>
    <t>AV. CARLOS ALBERTO IZAGUIRRE  NRO. 1229, LIMA, LIMA, LOS OLIVOS</t>
  </si>
  <si>
    <t>41313497</t>
  </si>
  <si>
    <t>PEREZ URBINA, GUILLERMO ANTONIO</t>
  </si>
  <si>
    <t>PEREZ VALENCIA VICTOR REYNALDO</t>
  </si>
  <si>
    <t>AV. ALCIDES VIGO HURTADO MZ. J LT. 15 UBR. LOS LIRIOS</t>
  </si>
  <si>
    <t>09915283</t>
  </si>
  <si>
    <t>PEREZ VELASQUEZ RAUL HERNAN</t>
  </si>
  <si>
    <t>CALLE INDEPENDENCIA 222, LIMA, BARRANCA, BARRANCA</t>
  </si>
  <si>
    <t>15300710</t>
  </si>
  <si>
    <t>PERFECTO PINTO JUAN DIEGO</t>
  </si>
  <si>
    <t>JR. MIGUEL A ODRIA 518 PUEBLO JOVEN EL PROGRESO</t>
  </si>
  <si>
    <t>46666594</t>
  </si>
  <si>
    <t>PERICHE YSIQUE PIERO ADEMIR</t>
  </si>
  <si>
    <t>CENTRO COMERCIAL (CENTRO DE LIMA) BOLIVIA N° 148</t>
  </si>
  <si>
    <t>75439782</t>
  </si>
  <si>
    <t>PEZO PUMA ALEX ALEJANDRO</t>
  </si>
  <si>
    <t>AV. CANTA CALLAO MZ. A LT. 2 ASOC.BRISAS DE SANTA ROSA</t>
  </si>
  <si>
    <t>76289100</t>
  </si>
  <si>
    <t>PFLUCKER CASTRO ENRIQUE JORGE</t>
  </si>
  <si>
    <t>JR. JOSE MIGUEL RIOS 1648 URB. LA TRINIDAD ALT. CDRA 24 PROLONGACION ARICA, LIMA, LIMA, LIMA</t>
  </si>
  <si>
    <t>08290964</t>
  </si>
  <si>
    <t>PFLUCKER CASTRO, ENRIQUE JORGE</t>
  </si>
  <si>
    <t>PFUTURY CHARA JOSE ANTONIO</t>
  </si>
  <si>
    <t>MZ. T LT. 23 URB SANTO DOMINGO V ETAPA</t>
  </si>
  <si>
    <t>07508024</t>
  </si>
  <si>
    <t>PFUYO QUISPE CLAUDIO</t>
  </si>
  <si>
    <t>AV. PROCERES DE LA INDEPENDENCIA NRO. 2409 URB. SAN IGNACIO - AMPLIACION</t>
  </si>
  <si>
    <t>43063563</t>
  </si>
  <si>
    <t>PHOCCO MAMANI DONALDO</t>
  </si>
  <si>
    <t>AV. UNIVERSITARIA MZ C LOTE 14 (A ESPALDA DEL PARQUE NARANJAL)</t>
  </si>
  <si>
    <t>80116910</t>
  </si>
  <si>
    <t>PICHARDO HUAROC ISMAEL</t>
  </si>
  <si>
    <t>JIRÓN LOS ECONOMISTAS, MZ. D-8, LOTE 1-B</t>
  </si>
  <si>
    <t>80340473</t>
  </si>
  <si>
    <t>PICHIHUA MIRANDA HERNAN JULIO</t>
  </si>
  <si>
    <t>AVENIDA SANTA ROSA MZ. F LT. 10 URB. LOS ALAMOS, LIMA, LIMA, SAN JUAN DE LURIGANCHO</t>
  </si>
  <si>
    <t>06003728</t>
  </si>
  <si>
    <t>PICHILINGUE PACHECO LUZ DOMINGA</t>
  </si>
  <si>
    <t>JR. MOGUEGUA NRO.119 CAJA DE AGUA</t>
  </si>
  <si>
    <t>09660408</t>
  </si>
  <si>
    <t>PICON ROJAS EDGAR</t>
  </si>
  <si>
    <t>MZ 14 LT 9 VILLA DE ANCÓN</t>
  </si>
  <si>
    <t>42319800</t>
  </si>
  <si>
    <t>PILLACA ENCISO STALYN VICTOR</t>
  </si>
  <si>
    <t>AV. LOS ALISOS 1413</t>
  </si>
  <si>
    <t>48191284</t>
  </si>
  <si>
    <t>PILLACA ENCISO, STALYN VICTOR</t>
  </si>
  <si>
    <t>PILLIHUAMAN DE LA CRUZ JHON ANTONY</t>
  </si>
  <si>
    <t>MZ. J LOTE. 10 GRUPO 1 ASENT. H. EDILBERTO RAMOS</t>
  </si>
  <si>
    <t>77079200</t>
  </si>
  <si>
    <t>PILLPA AGUILAR DIEGO ARSENIO</t>
  </si>
  <si>
    <t>AV. CARLOS IZAGUIRRE N° 200 INT. 1A6 GALERIA SAN LAZARO</t>
  </si>
  <si>
    <t>71058234</t>
  </si>
  <si>
    <t>PILLPA AGUILAR, DIEGO ARSENIO</t>
  </si>
  <si>
    <t>PILLPE SAENZ JORGE JAVIER</t>
  </si>
  <si>
    <t>BARRIO ACOLA S/N SAN SEBASTIAN DE SACRARA</t>
  </si>
  <si>
    <t>PAUCAR DEL SARA SARA</t>
  </si>
  <si>
    <t>LAMPA</t>
  </si>
  <si>
    <t>45728006</t>
  </si>
  <si>
    <t>PILLPE SAENZ, JORGE JAVIER</t>
  </si>
  <si>
    <t>PIMENTEL CHAVERA VICTOR ARTURO</t>
  </si>
  <si>
    <t>AV. BOCANEGRA MZ. R LT. 19 URB. SANTA ROSA</t>
  </si>
  <si>
    <t>25812552</t>
  </si>
  <si>
    <t>PIMENTEL CHAVERA, VICTOR ARTURO</t>
  </si>
  <si>
    <t>PINEDO ARROYO CHRISTIAN EDGAR</t>
  </si>
  <si>
    <t>CALLE JOSE GONZALES 384 DEPARTAMENTO 404</t>
  </si>
  <si>
    <t>VENTA AL POR MENOR DE PRODUCTOS TEXTILES, PRENDAS DE VESTIR Y CALZADO EN PUESTOS DE VENTA Y MERCADOS</t>
  </si>
  <si>
    <t>44922578</t>
  </si>
  <si>
    <t>PINEDO DAVILA MARIA RELFIA</t>
  </si>
  <si>
    <t>AAHH SAN BENITO MZ Ñ1 LT 22</t>
  </si>
  <si>
    <t>09917171</t>
  </si>
  <si>
    <t>PINEDO DAVILA  MARIA RELFIA</t>
  </si>
  <si>
    <t>PINEDO LAGOS CARLOS FERNANDO</t>
  </si>
  <si>
    <t>LAS FRAGUAS NRO 272</t>
  </si>
  <si>
    <t>20016406</t>
  </si>
  <si>
    <t>PINEDO PEREZ LUIS ENRIQUE</t>
  </si>
  <si>
    <t>AV. UNIVERSITARIA MZ 6 LOTE 7 SMP</t>
  </si>
  <si>
    <t>45940312</t>
  </si>
  <si>
    <t>PINEDO VEGA EDVER ERMILO</t>
  </si>
  <si>
    <t>ASOC. DE PROPIETARIOS LOS LIRIOS DE GRAMADAL MZ.A LT.4</t>
  </si>
  <si>
    <t>75874309</t>
  </si>
  <si>
    <t>PINGLO BALDERA CATALINA</t>
  </si>
  <si>
    <t>AV. ACAPULCO MUJICA GALLO MZ. V LOTE 23</t>
  </si>
  <si>
    <t>45323722</t>
  </si>
  <si>
    <t>PINGO MARQUEZ ROBERT HUGO</t>
  </si>
  <si>
    <t>AV BUENOS AIRES 326, PASAJE CHAVEZ COSTADO DE LA SUNAT</t>
  </si>
  <si>
    <t>10777595</t>
  </si>
  <si>
    <t>PINGO ZAPATA ANTONIA CRUZ</t>
  </si>
  <si>
    <t>MZ N LT 1 ASOCIACIÓN DE VIVIENDA LAS COLINAS, CALLAO, CALLAO, CALLAO</t>
  </si>
  <si>
    <t>25745589</t>
  </si>
  <si>
    <t>PINILLOS RIOFRIO WENCESLAO IVAN</t>
  </si>
  <si>
    <t>JIRÓN LUIS GIRIBALDI N° 738</t>
  </si>
  <si>
    <t>06311418</t>
  </si>
  <si>
    <t>PINO CONZA PEDRO</t>
  </si>
  <si>
    <t>AV. MATEO PUMACAHUA MZA.B LT.19 COOP VIRGEN DE COCHARCAS, LIMA, LIMA, VILLA EL SALVADOR</t>
  </si>
  <si>
    <t>10445923</t>
  </si>
  <si>
    <t>PINTO CONTRERAS SARA JACKELIN</t>
  </si>
  <si>
    <t>AV. GARCILAZO DE LA VEGA N° 1251 TDA 333 GALERIA COMPUPLAZA</t>
  </si>
  <si>
    <t>42842456</t>
  </si>
  <si>
    <t>PINTO CONTRERAS, SARA JACKELIN</t>
  </si>
  <si>
    <t>PIZARRO TEPISMANA DANIEL EDINSON</t>
  </si>
  <si>
    <t>JR MACHU PICCHU 340 URB. VENTURA ROSSI</t>
  </si>
  <si>
    <t>49000733</t>
  </si>
  <si>
    <t>PIZARRO TEPISMANA, DANIEL EDINSON</t>
  </si>
  <si>
    <t>PIZARRO VILLAVICENCIO CHELITA</t>
  </si>
  <si>
    <t>AV. LOS ROSALES HUERTOS DE LURIN</t>
  </si>
  <si>
    <t>40823150</t>
  </si>
  <si>
    <t>PLACIDO ANGELES ISAAC BERNARDO</t>
  </si>
  <si>
    <t>CALLE LAS FRAGUAS NRO. 245</t>
  </si>
  <si>
    <t>07178604</t>
  </si>
  <si>
    <t>POLLERA LOPEZ ROGER JENRY</t>
  </si>
  <si>
    <t>VILLA CARRIÓN MZ C. LT 8 - MARIATEGUI, LIMA, HUAURA, HUAURA</t>
  </si>
  <si>
    <t>45189498</t>
  </si>
  <si>
    <t>POLLERA LOPEZ, ROGER JENRY</t>
  </si>
  <si>
    <t>POLO ALVA JOSE LUIS</t>
  </si>
  <si>
    <t>CAL.SOLIDARIDAD NRO. 798 URB. PRO</t>
  </si>
  <si>
    <t>18200403</t>
  </si>
  <si>
    <t>POLO CHAPOÑAN JULIO CESAR</t>
  </si>
  <si>
    <t>MZ. M LT. 18 SECTOR 3 VILLA LOS REYES</t>
  </si>
  <si>
    <t>70045323</t>
  </si>
  <si>
    <t>POLO CHAPOÑAN, JULIO CESAR</t>
  </si>
  <si>
    <t>POLO ROMERO ANIBAL</t>
  </si>
  <si>
    <t>AV SEPARADORA INDUSTRIAL MZ E LT 36 URB PACHACAMAC, BARRIO 1 SC 1 VES</t>
  </si>
  <si>
    <t>72248870</t>
  </si>
  <si>
    <t>POLO VELEZMORO TITO GERMAN</t>
  </si>
  <si>
    <t>AVENIDA GLOBO TERRAQUEO 7461 URB. SOL DE ORO</t>
  </si>
  <si>
    <t>47225251</t>
  </si>
  <si>
    <t>POMA OSORIO ANGEL ERNESTO</t>
  </si>
  <si>
    <t>AV. ARGENTINA N° 111 C.C. FERREMARKET ARDILES PSJ. 3 STAD 13</t>
  </si>
  <si>
    <t>POMA OSORIO, ANGEL ERNESTO</t>
  </si>
  <si>
    <t>POMA SAEZ MARITSA</t>
  </si>
  <si>
    <t>MZ. E LT. 1 AA.HH. EL UNIVERSO</t>
  </si>
  <si>
    <t>45804021</t>
  </si>
  <si>
    <t>POMAHUALI PAUCAR ANGEL TEODORICO</t>
  </si>
  <si>
    <t>CALLE SAN JUAN MZ.H LOTE 14</t>
  </si>
  <si>
    <t>09364198</t>
  </si>
  <si>
    <t>POMAHUALLCA CAYHUALLA ORLANDO</t>
  </si>
  <si>
    <t>JR FRANCISCO BOLOGNESI MZ B LOTE 10</t>
  </si>
  <si>
    <t>10085930</t>
  </si>
  <si>
    <t>PONCE CIRINEO ANITA</t>
  </si>
  <si>
    <t>CAR. CENTRAL KM. 111 CASAPALCA LIMA - HUAROCHIRI - CHICLA</t>
  </si>
  <si>
    <t>0322 - ACUICULTURA DE AGUA DULCE</t>
  </si>
  <si>
    <t>21287501</t>
  </si>
  <si>
    <t>PONCE DE LEON CORRALES NESTOR</t>
  </si>
  <si>
    <t>CALLE. CANTUARIAS 140, MIRAFLORES 15046</t>
  </si>
  <si>
    <t>7583019</t>
  </si>
  <si>
    <t>PONCE ESPINOZA LENIN LEONIDAS</t>
  </si>
  <si>
    <t>CALLE EL INCA MZ K LT 5. URB. EL LUCUMO - HUAYCAN - ATE</t>
  </si>
  <si>
    <t>46677575</t>
  </si>
  <si>
    <t>PONCE MATTO PIERO HANS</t>
  </si>
  <si>
    <t>MUNICIPALIDAD DE PUENTE PIEDRA CALLE 9 DE JUNIO 100</t>
  </si>
  <si>
    <t>70803410</t>
  </si>
  <si>
    <t>PONCE MUÑOZ MARIA FAUSTINA</t>
  </si>
  <si>
    <t>MZ. M LOTE 01 URB. ÁLAMO</t>
  </si>
  <si>
    <t>06085475</t>
  </si>
  <si>
    <t>PONCE POMALAZA ISAIAS JORGE</t>
  </si>
  <si>
    <t>AH SAN PEDRO MZ F LOTE 2 PANAERICANA NORTE KM 37.800 VENTANILLA,LIMA, LIMA, VENTANILLA</t>
  </si>
  <si>
    <t>25694671</t>
  </si>
  <si>
    <t>PONGO AGUILAR WILLIBALDO</t>
  </si>
  <si>
    <t>JR. HUALLAGA 649. LIMA</t>
  </si>
  <si>
    <t>10678126</t>
  </si>
  <si>
    <t>PONTE BACA JOSE LUIS</t>
  </si>
  <si>
    <t>AV. 09 DE DICIEMBRE S/NRO. (REF. A UNA CUADRA DE METRO)</t>
  </si>
  <si>
    <t>15710827</t>
  </si>
  <si>
    <t>JOSE LUIS PONTE BACA</t>
  </si>
  <si>
    <t>PORRAS ISAAC GENARO MANUEL</t>
  </si>
  <si>
    <t>AV. TUPAC AMARUC N 546 -VILLA CLORINDA</t>
  </si>
  <si>
    <t>29459819</t>
  </si>
  <si>
    <t>PORRAS POLO JOEL SEBASTIAN</t>
  </si>
  <si>
    <t>CALLE D MZ F LT 14 1RA ETAPA LOS DOMINICOS DE SANTA ROSA</t>
  </si>
  <si>
    <t>46926899</t>
  </si>
  <si>
    <t>PORRAS POLO, JOEL SEBASTIAN</t>
  </si>
  <si>
    <t>PORTAL UGARTE YESSICA</t>
  </si>
  <si>
    <t>AV. INCA GARCILAZO DE LA VEGA 1251</t>
  </si>
  <si>
    <t>41231099</t>
  </si>
  <si>
    <t>PORTAL UGARTE, YESSICA</t>
  </si>
  <si>
    <t>PORTOCARRERO ESCALANTE CLAUDIO ADRIAN</t>
  </si>
  <si>
    <t>MZ. B1 LOTE 20 SEGUNDO SECTOR DERECHO</t>
  </si>
  <si>
    <t>45946368</t>
  </si>
  <si>
    <t>PORTUGUEZ FRANCIA ISMAEL PEDRO GONZALO</t>
  </si>
  <si>
    <t>QUILMANA/CAÑETE/LIMA</t>
  </si>
  <si>
    <t>45968881</t>
  </si>
  <si>
    <t>PORTUGUEZ QUISPE LUIS RAFAEL</t>
  </si>
  <si>
    <t>URBANIZACION SAN ANTONIO MZ A LOTE15</t>
  </si>
  <si>
    <t>4651082</t>
  </si>
  <si>
    <t>PORTUGUEZ SANCHEZ OTTO PABLO</t>
  </si>
  <si>
    <t>CAL. SUCRE NRO. 340</t>
  </si>
  <si>
    <t>15345699</t>
  </si>
  <si>
    <t>POZO FALCON YOHNNY EISNER</t>
  </si>
  <si>
    <t>CALLE, C. LEONCIO PRADO 149, LIMA, LIMA, PUENTE PIEDRA 15118</t>
  </si>
  <si>
    <t>47041379</t>
  </si>
  <si>
    <t>POZO RAMIREZ JHAN CARLOS</t>
  </si>
  <si>
    <t>MZ. F LT. 34 AV. CRUZ DE MOTUPE</t>
  </si>
  <si>
    <t>72137162</t>
  </si>
  <si>
    <t>PRADO BLAS ISRAEL ROY</t>
  </si>
  <si>
    <t>CALLE SAN MARTIN 241-CHANCAY; HUARAL; LIMA</t>
  </si>
  <si>
    <t>44259858</t>
  </si>
  <si>
    <t>PRADO MARTINEZ ZAGHIT AARON</t>
  </si>
  <si>
    <t>CALLE SIMON BOLIVAR 545 URB. SAN RAFAEL</t>
  </si>
  <si>
    <t>72493800</t>
  </si>
  <si>
    <t>PRADO PERALES VICENTE JULIO</t>
  </si>
  <si>
    <t>AV. LOS LIBERTADORES MZA. B LOTE. 01)</t>
  </si>
  <si>
    <t>15354609</t>
  </si>
  <si>
    <t>PRADO PERNIA WILMER HERNAN</t>
  </si>
  <si>
    <t>PRO.VOV.SANTA JOSEFINA LL ETAPA MZ B LOTE 4</t>
  </si>
  <si>
    <t>40475358</t>
  </si>
  <si>
    <t>PRADO SAIME DIEGO FERNANDO</t>
  </si>
  <si>
    <t>JR. LOS PINOS 775 KM 11</t>
  </si>
  <si>
    <t>72274947</t>
  </si>
  <si>
    <t>PRADO TINEO MARINA MELISA</t>
  </si>
  <si>
    <t>AV. LOS HEROES NRO. 549 LIMA - LIMA - SAN JUAN DE MIRAFLORES</t>
  </si>
  <si>
    <t>OTRAS INDUSTRIAS MANUFACTURERAS N.C.P.</t>
  </si>
  <si>
    <t>44707445</t>
  </si>
  <si>
    <t>PRADO TINEO, MARINA MELISA</t>
  </si>
  <si>
    <t>PRADO ZELADA WILLIAM</t>
  </si>
  <si>
    <t>JR. LIMA NRO 668</t>
  </si>
  <si>
    <t>45997315</t>
  </si>
  <si>
    <t>PRECIADO ZAPATA YOISY</t>
  </si>
  <si>
    <t>AV. ROSA DE AMERICA NRO 292, LIMA, LIMA, COMAS</t>
  </si>
  <si>
    <t>40134770</t>
  </si>
  <si>
    <t>PRECIADO ZAPATA, YOISY</t>
  </si>
  <si>
    <t>PRIETO MAMANI DANES BRAHE</t>
  </si>
  <si>
    <t>CALLE "A" MZ. "B" LOTE 1 - 5 URB. PRO INDUSTRIAL ( ESPALDA COLEGIO TRENTO- PARADERO PRO LIMA)</t>
  </si>
  <si>
    <t>40317984</t>
  </si>
  <si>
    <t>PRIMO OSORIO MISAEL</t>
  </si>
  <si>
    <t>AV. UNIVERSITARIA NORTE URB. SANTA LUZMILA - COMAS 6315,  LIMA,LIMA, COMAS</t>
  </si>
  <si>
    <t>43521079</t>
  </si>
  <si>
    <t>PRIMO TELLO ROY MAYER</t>
  </si>
  <si>
    <t>JR HIPOLITO UNANUE 380 STAND 72NRO</t>
  </si>
  <si>
    <t>45798308</t>
  </si>
  <si>
    <t>PRINCIPE SANCHEZ JHONATHAN JESUS</t>
  </si>
  <si>
    <t>CALLE LOS MARTIRES MZ A LT 20 MATEO PUMACAHUA</t>
  </si>
  <si>
    <t>45436057</t>
  </si>
  <si>
    <t>PROCIL YUPANQUI EDER</t>
  </si>
  <si>
    <t>ASOC. DE VIV - LAS PALMERA DE LA MOLINA MZA B -  LTE 6 - CALL. ALISOS - CARABAYLLO - LIMA</t>
  </si>
  <si>
    <t>72046898</t>
  </si>
  <si>
    <t>PUCHO PUCHO FIDELIA</t>
  </si>
  <si>
    <t>PJ.VIRGEN DE LA CANDELARIA AA.HH POETA JOSE GALVEZ MZ.122U LT.06</t>
  </si>
  <si>
    <t xml:space="preserve"> 4052485</t>
  </si>
  <si>
    <t>PUCHOC PECHO GERMAN MATIAS</t>
  </si>
  <si>
    <t>AVENIDA LEONCIO PRADO 186-A, PUENTE PIEDRA 15113 - LIMA</t>
  </si>
  <si>
    <t>21136751</t>
  </si>
  <si>
    <t>PUCUHUARANGA CASTRO LUIS</t>
  </si>
  <si>
    <t>MZ B. LOTE 6. PROVIVIENDA RESIDENCIAL LAS FRESAS</t>
  </si>
  <si>
    <t>45473762</t>
  </si>
  <si>
    <t>PUCUHUAYLA TORRES ARMANDO LUIS</t>
  </si>
  <si>
    <t>JR. AMAZONAS Nº 214, JUNIN, TARMA, TARMA</t>
  </si>
  <si>
    <t>21135468</t>
  </si>
  <si>
    <t>PUELLES ROJAS ARTURO</t>
  </si>
  <si>
    <t>JIRÓN GALDEANO Y MENDOZA 461</t>
  </si>
  <si>
    <t>10427513</t>
  </si>
  <si>
    <t>PUENTE ALTEZ BRUNO ENRIQUE</t>
  </si>
  <si>
    <t>ASOC. DE VIVIENDA LA ENCALADA MANZA 3 LOTE 23</t>
  </si>
  <si>
    <t>41871816</t>
  </si>
  <si>
    <t>PUENTE ARGANDOÑA JULIA LIZBET</t>
  </si>
  <si>
    <t>AV. SAN LUIS N° 555</t>
  </si>
  <si>
    <t>76234848</t>
  </si>
  <si>
    <t>PUENTE VALVERDE CARLOS ADRIAN</t>
  </si>
  <si>
    <t>MZ.RR2 LT 23-ZONA INDUSTRIAL LOS OLIVOS DE PRO</t>
  </si>
  <si>
    <t>641 - VENTA AL POR MAYOR DE PRODUCTOS TEXTILES, PRENDAS DE VESTIR Y CALZADO</t>
  </si>
  <si>
    <t>45498618</t>
  </si>
  <si>
    <t>PUMA ESTRADA DANIEL</t>
  </si>
  <si>
    <t>AVENIDA NICOLAS DE PIEROLA 829, VILLA MARÍA DEL TRIUNFO</t>
  </si>
  <si>
    <t>10518107</t>
  </si>
  <si>
    <t>PUMA SILVA TIMOTEA</t>
  </si>
  <si>
    <t>JIRON LOS BADIANES 201</t>
  </si>
  <si>
    <t>07522063</t>
  </si>
  <si>
    <t>PUMACAHUA MORON JAVIER</t>
  </si>
  <si>
    <t>PARC. 1 MZ. 12 LT. 9 Z.I. - A.P.E.M.I.A.</t>
  </si>
  <si>
    <t>43895919</t>
  </si>
  <si>
    <t>PUNIL GUILLEN EDGAR</t>
  </si>
  <si>
    <t>MZ BY 1A LT 01A JUNTA DE POSES BOLOGNESI EL VALLESITO ANX22 JICAMARCA</t>
  </si>
  <si>
    <t>31490079</t>
  </si>
  <si>
    <t>PURIZACA TAPIA MARJORIE NORMA</t>
  </si>
  <si>
    <t>AV. CORICANCHA NRO 326, LIMA, LIMA, INDEPENDENCIA</t>
  </si>
  <si>
    <t>72715138</t>
  </si>
  <si>
    <t>PURIZACA TAPIA, MARJORIE NORMA</t>
  </si>
  <si>
    <t>PUSE ROQUE MIGUEL ANGEL</t>
  </si>
  <si>
    <t>PSJE AÑO NUEVO, ZONA E JR TACNA MZ J LT 22, LIMA, LIMA, COMAS</t>
  </si>
  <si>
    <t>46195619</t>
  </si>
  <si>
    <t>PUYEN MECHAN YSIDORO</t>
  </si>
  <si>
    <t>AV. ANGELICA GAMARRA DE LEÓN NRO. 2340 LOS LIBERTADORES</t>
  </si>
  <si>
    <t>03701121</t>
  </si>
  <si>
    <t>QUESQUEN FLORES JOSE ALEXANDER</t>
  </si>
  <si>
    <t>CALLE LUDWING VAN BEETHOVEN 791</t>
  </si>
  <si>
    <t>Principal - 7310 - PUBLICIDAD</t>
  </si>
  <si>
    <t>45230327</t>
  </si>
  <si>
    <t>QUEZADA CAMPOS CARLOS ENRIQUE</t>
  </si>
  <si>
    <t>JIRON RAMON ZAVALA 109</t>
  </si>
  <si>
    <t>03888273</t>
  </si>
  <si>
    <t>QUEZADA VALDIVIA CARMEN PAOLA</t>
  </si>
  <si>
    <t>AA.HH LOS INCAS MZ. F LT. 15 3RA ETAPA</t>
  </si>
  <si>
    <t>44327735</t>
  </si>
  <si>
    <t>QUICHCA QUISPE MARIBEL</t>
  </si>
  <si>
    <t>AV. COLECTORA MZ D LT. 11 ASOCIACION. SANTA CRUZ DE VISTA ALEGRE</t>
  </si>
  <si>
    <t>48979341</t>
  </si>
  <si>
    <t>QUICHCA QUISPE, MARIBEL</t>
  </si>
  <si>
    <t>QUICHE LAOS EDGAR OSWALDO</t>
  </si>
  <si>
    <t>AV. DOMINGO MANDAMIENTO NRO. 790, LIMA, HUAURA, HUALMAY</t>
  </si>
  <si>
    <t>44740815</t>
  </si>
  <si>
    <t>QUICO JUACHIN YANET</t>
  </si>
  <si>
    <t>MZ B LT. 21 SANTA ANA DE LORENZO</t>
  </si>
  <si>
    <t>Principal - 4721 - VENTA AL POR MENOR DE ALIMENTOS EN COMERCIOS ESPECIALIZADOS</t>
  </si>
  <si>
    <t>43965859</t>
  </si>
  <si>
    <t>QUIJADA RICRA DAVID</t>
  </si>
  <si>
    <t>AV. GUILLERMO DANSEY N° 354 C.C BOULEVARD INT. B1 SOTANO</t>
  </si>
  <si>
    <t>70843262</t>
  </si>
  <si>
    <t>QUIJADA RICRA, DAVID</t>
  </si>
  <si>
    <t>QUIJAITE FLORES PIERO NICOLAS</t>
  </si>
  <si>
    <t>ALBERTO SAMAMÉ DÁVILA 682, LIMA, LIMA, SURCO</t>
  </si>
  <si>
    <t>73868373</t>
  </si>
  <si>
    <t>QUILIANO FLORES JAQUELINE ANDREA</t>
  </si>
  <si>
    <t>AV. JOSE SANTOS CHOCANO MZ 53 LOTE 3 SAN ANTONIO, LIMA, LIMA, LURIGANCHO</t>
  </si>
  <si>
    <t>44827120</t>
  </si>
  <si>
    <t>QUILIANO JARRA JORGE SEBASTIAN</t>
  </si>
  <si>
    <t>AV PABLO PATRON 430, INTERIOR ALMACEN 32, LA VICTORIA</t>
  </si>
  <si>
    <t>07327608</t>
  </si>
  <si>
    <t>QUILLAS POLIDO WILFREDO</t>
  </si>
  <si>
    <t>CIENEGUILLA KM 11 MZ A LOTE 22 P,J ASOC DE POSISIONARIOS PRO LIMA, LIMA, LIMA, PACHACAMAC</t>
  </si>
  <si>
    <t>15420718</t>
  </si>
  <si>
    <t>QUIN QUIN JULIO ANDRES</t>
  </si>
  <si>
    <t>AAHH CERRO COLORADO MZ. F LT. 17  REF LOZA DEPORTIVA II ETAPA FUJIMORI, LIMA, HUAURA, SANTA MARIA</t>
  </si>
  <si>
    <t>72712766</t>
  </si>
  <si>
    <t>QUIN QUIN, JULIO ANDRES</t>
  </si>
  <si>
    <t>QUINCHO TICSE ALEJANDRO WENCESLAO</t>
  </si>
  <si>
    <t>AV SIMON BOLÍVAR NRO 914  CARRETERA CENTRAL</t>
  </si>
  <si>
    <t>21122068</t>
  </si>
  <si>
    <t>QUINCHO VELI JOHN HENRY</t>
  </si>
  <si>
    <t>AV. PARAMONGA MZ A LT 4 (PANADERIA MI NEGRITA)</t>
  </si>
  <si>
    <t>10627445</t>
  </si>
  <si>
    <t>QUINTANA GUEVARA RAUL FERNANDO</t>
  </si>
  <si>
    <t>CALLE MARANGA 356</t>
  </si>
  <si>
    <t>09278542</t>
  </si>
  <si>
    <t>QUINTANILLA ARAUJO IVAN GUSTAVO</t>
  </si>
  <si>
    <t>AV. LOS MOCHICAS N° 306</t>
  </si>
  <si>
    <t>25705420</t>
  </si>
  <si>
    <t>QUINTANILLA ARAUJO, IVAN GUSTAVO</t>
  </si>
  <si>
    <t>QUINTO RAMIREZ JOFFER KENETH</t>
  </si>
  <si>
    <t>MALECON PROGRESO 294</t>
  </si>
  <si>
    <t>47805904</t>
  </si>
  <si>
    <t>QUINTO RAMIREZ, JOFFER KENETH</t>
  </si>
  <si>
    <t>QUIÑONES ORTIZ PEDRO</t>
  </si>
  <si>
    <t>MZ D LOTE 31 ASOCIACIOS  CRUZ DE MOTUPE</t>
  </si>
  <si>
    <t>48443863</t>
  </si>
  <si>
    <t>QUIÑONEZ ALFONSO IVAN SAUL</t>
  </si>
  <si>
    <t>AV. ALAMEDA GAMBETA BAJA MZ. U3I LOTE 49, CALLAO, CALLAO, CALLAO</t>
  </si>
  <si>
    <t>25860361</t>
  </si>
  <si>
    <t>QUIÑONEZ ALFONSO, IVAN SAUL</t>
  </si>
  <si>
    <t>QUIROZ AREVALO GELER JUANITA</t>
  </si>
  <si>
    <t>JR. HUALLAGA 649 TDA 524 5TO PISO GALERIA SANTA FELICITA</t>
  </si>
  <si>
    <t>09479329</t>
  </si>
  <si>
    <t>QUIROZ AREVALO, GELER JUANITA</t>
  </si>
  <si>
    <t>QUIROZ ESPINOZA SANTOS GUZMAN</t>
  </si>
  <si>
    <t>LOTE 01 MZ J2 SECTOR B -GR B4 PROYECTO PILOTO NUEVO PACHACUTEC</t>
  </si>
  <si>
    <t>40471491</t>
  </si>
  <si>
    <t>QUIROZ LEON HERNAN ENRIQUE</t>
  </si>
  <si>
    <t>CAL. LOS ALAMOS MZ. J LT. 4 A.H. - DON JOSE LIMA, HUAURA, HUAURA</t>
  </si>
  <si>
    <t>40592934</t>
  </si>
  <si>
    <t>QUIROZ LINO LUIS ENRIQUE</t>
  </si>
  <si>
    <t>JR MONTEVIDEO N° 1015</t>
  </si>
  <si>
    <t>45843342</t>
  </si>
  <si>
    <t>QUIROZ LINO, LUIS ENRIQUE</t>
  </si>
  <si>
    <t>QUIROZ MAGUIÑA TANIA ISABEL</t>
  </si>
  <si>
    <t>MORRO LOTE 01 CARQUIN (CERCA AL RESERVORIO DE AGUA)</t>
  </si>
  <si>
    <t>70256067</t>
  </si>
  <si>
    <t>QUIROZ MARTINEZ JOSE AMADEO</t>
  </si>
  <si>
    <t>AV. GARCILAZO DE LA VEGA 1348 TIENDA 1B-160</t>
  </si>
  <si>
    <t>80223190</t>
  </si>
  <si>
    <t>QUIROZ QUISPE MERY ANGELICA</t>
  </si>
  <si>
    <t>PROL. 28 DE JULIO - SALAVERRY 301 (MEGA CENTRO 3000 - STAND 260/252), CHOSICA</t>
  </si>
  <si>
    <t>46330604</t>
  </si>
  <si>
    <t>QUIROZ TINOCO JHON JESUS</t>
  </si>
  <si>
    <t>JR PIERRE CONSTAN 386 URB PALAO</t>
  </si>
  <si>
    <t>42111736</t>
  </si>
  <si>
    <t>QUISPE AGUIRRE DAVID</t>
  </si>
  <si>
    <t>AV. PEREZ ARANIBAR NRO. 1272</t>
  </si>
  <si>
    <t>42120010</t>
  </si>
  <si>
    <t>QUISPE ANTEZANA PABLO</t>
  </si>
  <si>
    <t>CAR. ANTIGUA PANAMERICANA SUR KM. 35 FND. SAN VICENTE (PARCELA B 35)</t>
  </si>
  <si>
    <t>42291740</t>
  </si>
  <si>
    <t>QUISPE ANTEZANA, PABLO</t>
  </si>
  <si>
    <t>QUISPE ANYOSA MARIO FELIPE</t>
  </si>
  <si>
    <t>JR.13 DE JULIO MZ. N2 LOTE 14-1 ASOC. DE VIV. COMUNEROS DE JICAMARCA BAJA SECTOR 8 DE CHOSICA</t>
  </si>
  <si>
    <t>20440906</t>
  </si>
  <si>
    <t>QUISPE ARIZACA FILOMENA</t>
  </si>
  <si>
    <t>SECTOR 2 GRUPO 10 C.C. SESQUICENTENARIO PUESTO. 54</t>
  </si>
  <si>
    <t>40543582</t>
  </si>
  <si>
    <t>QUISPE ARIZACA, FILOMENA</t>
  </si>
  <si>
    <t>QUISPE ASTO JHON AUGUSTO</t>
  </si>
  <si>
    <t>PROLONGACION LAS MORAS MZ. B LOTE 2</t>
  </si>
  <si>
    <t>2511 - FABRICACION DE PRODUCTOS METALICOS PARA USO ESTRUCTURA</t>
  </si>
  <si>
    <t>09834584</t>
  </si>
  <si>
    <t>QUISPE BOLAÑOS VICTORIA</t>
  </si>
  <si>
    <t>MANZANA G1, LOTE 4, II  ETAPA, URBANIZACIÓN PACHACAMAC</t>
  </si>
  <si>
    <t>Principal - 3312 - REPARACIÓN DE MAQUINARIA</t>
  </si>
  <si>
    <t>01023594</t>
  </si>
  <si>
    <t>QUISPE CASTAÑEDA MIGUEL ANGEL</t>
  </si>
  <si>
    <t>MZ. R LT 23 PARQUE INDUSTRIAL</t>
  </si>
  <si>
    <t>10797142</t>
  </si>
  <si>
    <t>QUISPE CASTRO OLMER RONALS</t>
  </si>
  <si>
    <t>CALLE A LOTE 4 MZ A URB PRO INDUSTRIAL S.M.P</t>
  </si>
  <si>
    <t>40664685</t>
  </si>
  <si>
    <t>QUISPE CHAÑI RUBEN JACINTO</t>
  </si>
  <si>
    <t>AV. LAS PONCIANAS MZ A LT 1 AGRUPACION FAMILIAR VIRGEN DE CHAPI</t>
  </si>
  <si>
    <t>29604315</t>
  </si>
  <si>
    <t>QUISPE CHAVEZ CARLOS ENRIQUE</t>
  </si>
  <si>
    <t>AV SAN JUAN 188 SAN JUAN DE MIRAFLORES (ESTACION ATOCONGO PLATAFORMA 1) SEGUNDO PISO TIENDA 204</t>
  </si>
  <si>
    <t>09577460</t>
  </si>
  <si>
    <t>QUISPE CHUQUILLANQUI ROBERT GERARDO</t>
  </si>
  <si>
    <t>SUCURSAL MZ B LT LA CASA HUERTA SAN PEDRO</t>
  </si>
  <si>
    <t>45754864</t>
  </si>
  <si>
    <t>MZ V LT 32 1ERA ETAPA URB PACHACAMAC-LIMA-LIMA-VILLA EL SALVADOR</t>
  </si>
  <si>
    <t>QUISPE COBEÑAS, VICTOR OMAR</t>
  </si>
  <si>
    <t>QUISPE CONDORI CARLOS TOMAS</t>
  </si>
  <si>
    <t>CALLE 5 MZ. C LOTE 10 - LAS VEGAS</t>
  </si>
  <si>
    <t>47145889</t>
  </si>
  <si>
    <t>QUISPE CONZA JUANA VICENTA</t>
  </si>
  <si>
    <t>MZ. W3 LOTE 12 AV. CAMINO DEL INCA IZQUIERDO PACHACUTEC</t>
  </si>
  <si>
    <t>07465165</t>
  </si>
  <si>
    <t>QUISPE CORDOVA MARIA PAOLA</t>
  </si>
  <si>
    <t>AV. 28 DE JULIO 1761, IMT. PISO 5</t>
  </si>
  <si>
    <t>ACABADO DE PRODUCTOS TEXTILES</t>
  </si>
  <si>
    <t>76603503</t>
  </si>
  <si>
    <t>QUISPE CORDOVA, MARIA PAOLA</t>
  </si>
  <si>
    <t>QUISPE DAVILA JUAN</t>
  </si>
  <si>
    <t>JIRÓN LAS RETAMAS 276 - URBANIZACIÓN PRIMAVERA</t>
  </si>
  <si>
    <t>41685174</t>
  </si>
  <si>
    <t>QUISPE DIAZ JULIAN ANTONY</t>
  </si>
  <si>
    <t>JR. CAMANA 1161 INT. PJE 472.C; AV. URUGUAY CON AV. PANAMA AL COSTADO DEL BCO DE LA NACION</t>
  </si>
  <si>
    <t>5819 - OTRAS ACTIVIDADES DE EDICIÓN</t>
  </si>
  <si>
    <t>45343861</t>
  </si>
  <si>
    <t>QUISPE ESTRADA RICARDO VICENTE</t>
  </si>
  <si>
    <t>MZ. D LT. 1 URB. LOS ROSALES JR. URUBAMBA</t>
  </si>
  <si>
    <t>72232054</t>
  </si>
  <si>
    <t>QUISPE ESTRADA, RICARDO VICENTE</t>
  </si>
  <si>
    <t>QUISPE GALARZA SIMEON</t>
  </si>
  <si>
    <t>IRRIGACION SANTA ROSA MZ A LT 18</t>
  </si>
  <si>
    <t>16019550</t>
  </si>
  <si>
    <t>QUISPE GARCIA BRAULIO EMMANUEL</t>
  </si>
  <si>
    <t>AV. SAN MARTIN 462; AV. SAN MARTIN 462, HUAURA 15138 REF(NEWTON EN RED), LIMA, HUAURA, HUAURA</t>
  </si>
  <si>
    <t>46056457</t>
  </si>
  <si>
    <t>QUISPE GONZALES LOURDES</t>
  </si>
  <si>
    <t>NICOLAS ARRIOLA 2331-2333</t>
  </si>
  <si>
    <t xml:space="preserve"> 4721 - VENTA AL POR MENOR DE ALIMENTOS EN COMERCIOS ESPECIALIZADOS</t>
  </si>
  <si>
    <t>07327703</t>
  </si>
  <si>
    <t>QUISPE GUTIERREZ WILBER SALVADOR</t>
  </si>
  <si>
    <t>MZ.G INT. LT07 ESTRELLA SOLAR (ULT.PDRO.145-B KM.17.5) -LIMA-LIMA- CARABAYLLO</t>
  </si>
  <si>
    <t>FABRICACIÓN DE HORNOS, HOGARES Y QUEMADORES</t>
  </si>
  <si>
    <t>1021501</t>
  </si>
  <si>
    <t>QUISPE GUTIERREZ, WILBER SALVADOR</t>
  </si>
  <si>
    <t>QUISPE HERRERA GERARDO ANDRÉS</t>
  </si>
  <si>
    <t>JR. ISABEL I DE CASTILLA NR. 2425, LIMA, LIMA, SAN JUAN DE LURIGANCHO</t>
  </si>
  <si>
    <t>73945725</t>
  </si>
  <si>
    <t>QUISPE HUAMAN DE AYALA MATILDE</t>
  </si>
  <si>
    <t>AV. 225 TOPOGRAFOS PACHACUTEC LABARTE</t>
  </si>
  <si>
    <t>10321868</t>
  </si>
  <si>
    <t>QUISPE HUAMAN DE AYALA, MATILDE</t>
  </si>
  <si>
    <t>QUISPE IPANAQUE NOE ANGEL</t>
  </si>
  <si>
    <t>AV. LAS AMÉRICAS N° 950</t>
  </si>
  <si>
    <t>47185852</t>
  </si>
  <si>
    <t>QUISPE LEANDRO VICTOR HUGO</t>
  </si>
  <si>
    <t>JR. EL TRIUNFO MZ F1 LT 22 URB. TUPAC AMARU DE VILLA</t>
  </si>
  <si>
    <t>46221405</t>
  </si>
  <si>
    <t>QUISPE LEON ANICETO</t>
  </si>
  <si>
    <t>MZ.ALT.1A.H 19 DE JULIO (AV PACHACAMAC)</t>
  </si>
  <si>
    <t>10755297</t>
  </si>
  <si>
    <t>QUISPE LEVANO DANIEL GONZALO</t>
  </si>
  <si>
    <t>45597103</t>
  </si>
  <si>
    <t>QUISPE LEVANO, DANIEL GONZALO</t>
  </si>
  <si>
    <t>QUISPE LICLA RUFINO</t>
  </si>
  <si>
    <t>AV SEPARADORA AGROINDUSTRIAL MZ D LT 01 AAHH LA ENCANTADA</t>
  </si>
  <si>
    <t>40808906</t>
  </si>
  <si>
    <t>QUISPE LINARES FRANCISCO NICOLAS</t>
  </si>
  <si>
    <t>10557831</t>
  </si>
  <si>
    <t>QUISPE LINO JULIO ANDRES</t>
  </si>
  <si>
    <t>ST:2 G:18</t>
  </si>
  <si>
    <t>40379824</t>
  </si>
  <si>
    <t>QUISPE LOPEZ YENNY CAROL</t>
  </si>
  <si>
    <t>RES. OQUENDO MZ. A LT. 7</t>
  </si>
  <si>
    <t>10616135</t>
  </si>
  <si>
    <t>QUISPE LUYO CHRISTIAN JHONATAN</t>
  </si>
  <si>
    <t>URB SAN JOSE S/N</t>
  </si>
  <si>
    <t>44575182</t>
  </si>
  <si>
    <t>QUISPE MEDINA FELIX CLAUDIO</t>
  </si>
  <si>
    <t>AV. MÉXICO  N°1471, LIMA, LIMA, LA VICTORIA</t>
  </si>
  <si>
    <t>07353504</t>
  </si>
  <si>
    <t>QUISPE MEZA JOEL CHRISTIAN</t>
  </si>
  <si>
    <t>ST 2 GR 21A MZ ZC PSTO 8/ AV. EL SOL /REFERENCIA AL LADO DEL LUBRICENTRO CAMILA</t>
  </si>
  <si>
    <t>43124085</t>
  </si>
  <si>
    <t>QUISPE MEZA YESSENIA LIZETTE</t>
  </si>
  <si>
    <t>AV. 1° DE MAYO N° 3181 - URB. HUANCAYO I ETAPA, LIMA, LIMA, EL AGUSTINO</t>
  </si>
  <si>
    <t>45842302</t>
  </si>
  <si>
    <t>QUISPE MEZA, YESSENIA LIZETTE</t>
  </si>
  <si>
    <t>QUISPE ONCOY JOSE FERNANDO</t>
  </si>
  <si>
    <t>CALLE ALEJANDRO DUMAS.</t>
  </si>
  <si>
    <t>0887785</t>
  </si>
  <si>
    <t>QUISPE PACOMPIA ROLANDO</t>
  </si>
  <si>
    <t>JR. SANTA LEONOR 6391, ALTURA CESAR VALLEJO PAN. NORTE</t>
  </si>
  <si>
    <t>43235640</t>
  </si>
  <si>
    <t>QUISPE PEÑA SANDRA EDITH</t>
  </si>
  <si>
    <t>JIRON HUALLAGA NRO. 311 INT. 211 -01</t>
  </si>
  <si>
    <t>45028111</t>
  </si>
  <si>
    <t>QUISPE PEREZ JEAN CARLOS ELIAS</t>
  </si>
  <si>
    <t>AV. CARLOS IZAGUIRRE N° 216 GALERIA SAN LAZARO INTERIOR 1D1</t>
  </si>
  <si>
    <t>73175906</t>
  </si>
  <si>
    <t>QUISPE PRADO ROLY EDISON</t>
  </si>
  <si>
    <t>CALLE PRECARIO 369</t>
  </si>
  <si>
    <t>42223432</t>
  </si>
  <si>
    <t>QUISPE QUIHUI NELLY</t>
  </si>
  <si>
    <t>MZ. S1 LOTE 16 SECTOR E3 PACHACUTEC</t>
  </si>
  <si>
    <t>09684216</t>
  </si>
  <si>
    <t>QUISPE QUISPE ALEJANDRO</t>
  </si>
  <si>
    <t>A.H. PROGRESISTA "C" MA T2 LOTE 7, ATE</t>
  </si>
  <si>
    <t>9609 - OTRAS ACTIVIDADES DE SERVICIOS PERSONALES N.C.P</t>
  </si>
  <si>
    <t>46671809</t>
  </si>
  <si>
    <t>QUISPE QUISPE JAIME</t>
  </si>
  <si>
    <t>JR. CELENDIN N° 978 - AV. MORALES DUAREZ CDRA 9, LIMA, LIMA, LIMA</t>
  </si>
  <si>
    <t>09933368</t>
  </si>
  <si>
    <t>QUISPE QUISPE, JAIME</t>
  </si>
  <si>
    <t>QUISPE QUISPE JOSE AMADO</t>
  </si>
  <si>
    <t>PROG. VIV. NAZARETH DE NA MZA. D LOTE. 19 LIMA -LIMA -SAN MARTIN DE PORRES</t>
  </si>
  <si>
    <t>76395689</t>
  </si>
  <si>
    <t>QUISPE QUISPE JUANA LEONARDA</t>
  </si>
  <si>
    <t>AV. SAN MARTIN 708 MZA V LT 36 URB. CANTO REY</t>
  </si>
  <si>
    <t>43912668</t>
  </si>
  <si>
    <t>QUISPE QUISPE YURI NELSON</t>
  </si>
  <si>
    <t>URB LOS LIBERTADORES MZ B LT 1</t>
  </si>
  <si>
    <t>45048703</t>
  </si>
  <si>
    <t>QUISPE REYNO JHON RICHARD</t>
  </si>
  <si>
    <t>AV. 13 DE ENERO NRO. 1648</t>
  </si>
  <si>
    <t>70441736</t>
  </si>
  <si>
    <t>QUISPE RIVAS ANDRES</t>
  </si>
  <si>
    <t>CALLE SAN JUAN MZ E LT 1 C 1ERA ETAPA (FRENTE GRIFO FERCOR - A 3 CDRAS. DE PLAZA VEA)</t>
  </si>
  <si>
    <t>09758729</t>
  </si>
  <si>
    <t>QUISPE ROJAS JULIO NICOLAS</t>
  </si>
  <si>
    <t>AV. LAS AMERICAS NRO. 1449 COO. - TRADICIONES PERUANAS, LIMA, LIMA, LA VICTORIA</t>
  </si>
  <si>
    <t>10874040</t>
  </si>
  <si>
    <t>QUISPE ROSALES DORIS MIRIAM</t>
  </si>
  <si>
    <t>MZ. M2 LT. 7 PROLONGACIÓN DE VIVIENDA LOS PARQUES DEL REY</t>
  </si>
  <si>
    <t>47759202</t>
  </si>
  <si>
    <t>QUISPE ROSALES, DORIS MIRIAM</t>
  </si>
  <si>
    <t>QUISPE SALAZAR SUSAN SCARLET</t>
  </si>
  <si>
    <t>GALERIA GRAN MEZA REDONDA JR. ANDAHUAYLAS 1049 INT 325A</t>
  </si>
  <si>
    <t>47605013</t>
  </si>
  <si>
    <t>QUISPE SANTOS FREDY</t>
  </si>
  <si>
    <t>ASOC. SEÑOR DE LOS MILAGROSS MZ LL LOTE 19</t>
  </si>
  <si>
    <t>40840212</t>
  </si>
  <si>
    <t>QUISPE SEPULVEDA JAVIER HUGO</t>
  </si>
  <si>
    <t>AV. MIGUEL GRAU N° 521</t>
  </si>
  <si>
    <t>09502617</t>
  </si>
  <si>
    <t>QUISPE SOTO JAIME</t>
  </si>
  <si>
    <t>AV GUARDIA CIVIL 245 LA CAMPIÑA ZONA 2, LIMA, LIMA, SAN JUAN DE MIRAFLORES</t>
  </si>
  <si>
    <t>40664064</t>
  </si>
  <si>
    <t>QUISPE SUAREZ DE TORO TERESA</t>
  </si>
  <si>
    <t>AV. LOS HÉROES Nº 683 -707. 1 CUADRA ANTES DE LA ESTACIÓN ATOCONGO / ZONA "K"</t>
  </si>
  <si>
    <t>09133114</t>
  </si>
  <si>
    <t>QUISPE TICSE ISAIAS JACINTO</t>
  </si>
  <si>
    <t>AV. LA MAR 368. ASOCIACION DE VIVIENDA SANTA ANITA BAJA. LIMA, LIMA, ATE (X PLAZA VEA DE SANTA ANITA)</t>
  </si>
  <si>
    <t>08433189</t>
  </si>
  <si>
    <t>QUISPE TREVEJO RICARDO</t>
  </si>
  <si>
    <t>JR. ARANGURI N° 510</t>
  </si>
  <si>
    <t>40542562</t>
  </si>
  <si>
    <t>QUISPE TRUJILLO CHRISTIAN SAUL</t>
  </si>
  <si>
    <t>ASOCIACIÓN  LOS ANDES MZ. C LT 3 A LA ALTURA DE LA CUADRA 25 DE CARLOS IZAGUIRRE, LIMA, LIMA, SMP</t>
  </si>
  <si>
    <t>46880066</t>
  </si>
  <si>
    <t>QUISPE UMINA JUAN</t>
  </si>
  <si>
    <t>ASOCIACIÓN PRO VIVIENDA COMPRATERRENO CAMPOY MZ K1 LOTE 15-B</t>
  </si>
  <si>
    <t>40007435</t>
  </si>
  <si>
    <t>QUISPE UTAZU PEDRO</t>
  </si>
  <si>
    <t>AV WIESSE MZ B LOTE 9 AAHH SOMOS LIBRES URB MARISCAL CACERES PARADERO 4</t>
  </si>
  <si>
    <t>10578064</t>
  </si>
  <si>
    <t>QUISPE VALENTIN ANDREINA DEL MAR</t>
  </si>
  <si>
    <t>MZ. G LT. 12 VIVIENDA RIO SANTA (FRENTE A CONDOMINIO LAS TORRES)</t>
  </si>
  <si>
    <t>70080203</t>
  </si>
  <si>
    <t>QUISPE VILLALTA CESAR EDUARDO</t>
  </si>
  <si>
    <t>CALLE SALAVERRY N°717</t>
  </si>
  <si>
    <t>46839520</t>
  </si>
  <si>
    <t>QUISPE YACTAYO MILAGROS ELIZABETH</t>
  </si>
  <si>
    <t>AV BENAVIDES URB SINDICATO DE CHOFERES MZ P LT 37</t>
  </si>
  <si>
    <t>41321955</t>
  </si>
  <si>
    <t>QUISPETIRA TRUJILLO PILAR ANTONIA</t>
  </si>
  <si>
    <t>AV MARISCAL BENAVIDES 616</t>
  </si>
  <si>
    <t>40385744</t>
  </si>
  <si>
    <t>QUISURUCO CUBAS JANNETH VANESSA</t>
  </si>
  <si>
    <t>AV. BOLIVIA N° 180 TIENDA S132</t>
  </si>
  <si>
    <t>72454834</t>
  </si>
  <si>
    <t>QUISURUCO CUBAS, JANNETH VANESSA</t>
  </si>
  <si>
    <t>RABANAL HINOSTROZA ROMULO NICOLAS</t>
  </si>
  <si>
    <t>JR. LAS RETAMAS NRO 468, LIMA, LIMA. EL AGUSTINO</t>
  </si>
  <si>
    <t>47909075</t>
  </si>
  <si>
    <t>RABANAL HINOSTROZA, ROMULO NICOLAS</t>
  </si>
  <si>
    <t>RAGGIO DELGADO JORGE MANUEL</t>
  </si>
  <si>
    <t>JIRON CARLOS SAYAN 276-278</t>
  </si>
  <si>
    <t>15857859</t>
  </si>
  <si>
    <t>RAMIREZ ALVAREZ MADELEYNE</t>
  </si>
  <si>
    <t>JR. AGUSTIN GAMARRA N° 1095 GALERIA KRISTALES PISO 6 INT. 607</t>
  </si>
  <si>
    <t>09451574</t>
  </si>
  <si>
    <t>RAMIREZ ALVAREZ, MADELEYNE</t>
  </si>
  <si>
    <t>RAMIREZ BARRIGA PIERO ALEXIS</t>
  </si>
  <si>
    <t>LOPEZ DE ZUÑIGA 224 - CHANCAY</t>
  </si>
  <si>
    <t>15992287</t>
  </si>
  <si>
    <t>PIERO ALEXIS RAMIREZ BARRIGA</t>
  </si>
  <si>
    <t>RAMIREZ BENITES ELVIS HUMBERTO</t>
  </si>
  <si>
    <t>AV CANTA CALLAO MZ A5 LOTE 1 URBANIZACION DE PRO - AV CANTA CON CORDIALIDAD( COSTADO GRIFO REPSOL)</t>
  </si>
  <si>
    <t>40786689</t>
  </si>
  <si>
    <t>RAMIREZ CABALLERO SEGUNDO WILLIAM</t>
  </si>
  <si>
    <t>AV. CNEL PUENTE LLANOS N°15494</t>
  </si>
  <si>
    <t>01146604</t>
  </si>
  <si>
    <t>RAMIREZ CABALLERO, SEGUNDO WILLIAM</t>
  </si>
  <si>
    <t>RAMIREZ CARO OSCAR</t>
  </si>
  <si>
    <t>AV. EL SOL MZ I LT 8, LIMA, LIMA, VILLA EL SALVADOR</t>
  </si>
  <si>
    <t>16731082</t>
  </si>
  <si>
    <t>RAMIREZ CAYCHO CINDY NATIVIDAD</t>
  </si>
  <si>
    <t>AV. ALFREDO MENDIOLA #3540</t>
  </si>
  <si>
    <t>Principal - 9601 - LAVADO Y LIMPIEZA, INCLUIDA LA LIMPIEZA EN SECO, DE PRODUCTOS TEXTILES Y DE PIEL</t>
  </si>
  <si>
    <t>45942439</t>
  </si>
  <si>
    <t>RAMIREZ COLLANTES ANA LUZ</t>
  </si>
  <si>
    <t>CALLE 18 DE JULIO S/N (PLAZUELA SAN MARTIN)</t>
  </si>
  <si>
    <t>15718705</t>
  </si>
  <si>
    <t>RAMIREZ COLMENARES NAILETH ALEJANDRA</t>
  </si>
  <si>
    <t>AV. MARISCAL BENAVIDES N° 739 PISO 3</t>
  </si>
  <si>
    <t>00212772</t>
  </si>
  <si>
    <t>RAMIREZ DIAZ RAUL ANTONIO</t>
  </si>
  <si>
    <t>JR. GARCILAZO DE LA VEGA 199 URB. STA LUZMILA 1RA ET. (POR EL BOULEVARD RETABLO)</t>
  </si>
  <si>
    <t>42253064</t>
  </si>
  <si>
    <t>RAMIREZ ESCALERA ELIZABETH VALERIA</t>
  </si>
  <si>
    <t>AV. ARENALES 1737, INT. 5-11, LINCE</t>
  </si>
  <si>
    <t>48907968</t>
  </si>
  <si>
    <t>RAMIREZ FARRO BRIDETTY YOHAN</t>
  </si>
  <si>
    <t>AV. MARIANO MELGAR NRO. 287</t>
  </si>
  <si>
    <t>43451908</t>
  </si>
  <si>
    <t>RAMIREZ GOMEZ EDIX</t>
  </si>
  <si>
    <t>A UNA CUADRA DE BOMBEROS DE VMT</t>
  </si>
  <si>
    <t>70265190</t>
  </si>
  <si>
    <t>RAMIREZ GOMEZ MARCO ANTONIO</t>
  </si>
  <si>
    <t>MZ. N LT.31 LOS OLIVOS DE PRO</t>
  </si>
  <si>
    <t>09633247</t>
  </si>
  <si>
    <t>RAMIREZ GONZALES MARIO</t>
  </si>
  <si>
    <t>CALLE 1  PRÍNCIPE DE ASTURIAS SECTOR 8, LIMA, LIMA, VILLA EL SALVADOR</t>
  </si>
  <si>
    <t>44360383</t>
  </si>
  <si>
    <t>RAMIREZ HUAMAN OMAR ANGEL</t>
  </si>
  <si>
    <t>ASOC LOS GRANADALES MZD LT49 C PUENTE PIEDRA (REFENCIA AL COSTADO DE MAVISUR PARADERO ARICA)</t>
  </si>
  <si>
    <t>46121325</t>
  </si>
  <si>
    <t>RAMIREZ LAUREANO ROSALIA NOEMI</t>
  </si>
  <si>
    <t>JR. JOSE GALVEZ Nº 1337</t>
  </si>
  <si>
    <t>45525622</t>
  </si>
  <si>
    <t>RAMIREZ LEON ROSA CARMEN</t>
  </si>
  <si>
    <t>AV. TUPAC AMARU NRO. 3573 (RESTAURANTE PARACHUTE)</t>
  </si>
  <si>
    <t>80608373</t>
  </si>
  <si>
    <t>RAMIREZ LOZA JUAN MANUEL</t>
  </si>
  <si>
    <t>AA.HH. LETICIA S/N</t>
  </si>
  <si>
    <t>71530126</t>
  </si>
  <si>
    <t>RAMIREZ LOZANO NELSON ROAN</t>
  </si>
  <si>
    <t>AV. PAMPA DE LARA 140</t>
  </si>
  <si>
    <t>09470172</t>
  </si>
  <si>
    <t>RAMIREZ MAURICIO EMER GILDARDO</t>
  </si>
  <si>
    <t>JR. ALFONSO UGARTE S/N REF. AL COSTADO DEL HOSTAL LAS VEGA</t>
  </si>
  <si>
    <t>42380669</t>
  </si>
  <si>
    <t>RAMIREZ MEDINA DURAN SEVERIANO</t>
  </si>
  <si>
    <t>AV. LOS LAURELES MZ. K LT. 8, LIMA, HUAROCHIRI, SAN BARTOLOME</t>
  </si>
  <si>
    <t>16144102</t>
  </si>
  <si>
    <t>RAMIREZ MEDINA, DURAN SEVERIANO</t>
  </si>
  <si>
    <t>RAMIREZ MEZA DAVID MARCELO</t>
  </si>
  <si>
    <t>FRANCISCO VIDAL DE LAOS 742, LIMA, LIMA, SAN LUIS</t>
  </si>
  <si>
    <t>21122822</t>
  </si>
  <si>
    <t>RAMIREZ MUCHA JEAN AXEL</t>
  </si>
  <si>
    <t>AV.LOS RUISEÑORES NRO 684</t>
  </si>
  <si>
    <t>47718900</t>
  </si>
  <si>
    <t>RAMIREZ OSORIO LEOO BERNARDO</t>
  </si>
  <si>
    <t>AV. SANTA MERCEDES 187 URB. PALAO</t>
  </si>
  <si>
    <t xml:space="preserve"> 64207 - TELECOMUNICACIONES</t>
  </si>
  <si>
    <t>45631202</t>
  </si>
  <si>
    <t>RAMIREZ PAMPA CRISTHIAM RAUL</t>
  </si>
  <si>
    <t>CALLE SANTA CLARA NRO 860</t>
  </si>
  <si>
    <t>47857341</t>
  </si>
  <si>
    <t>RAMIREZ PICHILINGUE BRANDO LUIS</t>
  </si>
  <si>
    <t>AV. LIBERTAD 1521 - ZAPATA</t>
  </si>
  <si>
    <t>71585671</t>
  </si>
  <si>
    <t>RAMIREZ QUISPE MOISES</t>
  </si>
  <si>
    <t>CAL. LOS CEDROS MZ. B LOTE 22 ASOC. VIV. LOS JARDINES</t>
  </si>
  <si>
    <t>42867624</t>
  </si>
  <si>
    <t>RAMIREZ SEDANO ISABEL MARLENE</t>
  </si>
  <si>
    <t>COLLIQUE, QUINTA ETAPA / AV. MARÍA DE BELLIDO - SEGUNDO GRIFO.</t>
  </si>
  <si>
    <t>10883051</t>
  </si>
  <si>
    <t>RAMIREZ SOTOMAYOR LELYS LISSETTE</t>
  </si>
  <si>
    <t>CALLE LEON PINELA NRO 572 (MERCADO CHACRA CERRO), LIMA, LIMA, COMAS</t>
  </si>
  <si>
    <t>46391412</t>
  </si>
  <si>
    <t>RAMIREZ SOTOMAYOR, LELYS LISSETTE</t>
  </si>
  <si>
    <t>RAMIREZ SUAREZ ROSARIO SOLEDAD</t>
  </si>
  <si>
    <t>AV PERALVILLO N° 2413 (FRENTE A LA FABRICA DE HIELO FATICA)</t>
  </si>
  <si>
    <t>15756813</t>
  </si>
  <si>
    <t>RAMIREZ SUAZO STEPHANIE ALLISON</t>
  </si>
  <si>
    <t>CALLE LOS SAUCES MZ L LT 26 URB SHANGRILA</t>
  </si>
  <si>
    <t>72858053</t>
  </si>
  <si>
    <t>RAMIREZ TOCAS CARLOS HUMBERTO</t>
  </si>
  <si>
    <t>AV. 28 DE JULIO N° 111 LIMA, HUAURA, HUACHO</t>
  </si>
  <si>
    <t>01400 - SERVICIOS AGRICOLAS, GANADERAS.</t>
  </si>
  <si>
    <t>46172598</t>
  </si>
  <si>
    <t>CARLOS HUMBERTO RAMIREZ TOCAS</t>
  </si>
  <si>
    <t>RAMOS ACARO ISRAEL</t>
  </si>
  <si>
    <t>AV.28 DE JULIO NRO. 425 (REF. AL FRENTE DE IMPORTACIONES ARIAS)</t>
  </si>
  <si>
    <t>15641171</t>
  </si>
  <si>
    <t>ISRAEL RAMOS ACARO</t>
  </si>
  <si>
    <t>RAMOS ALMONTE MARIA JACQUELINE</t>
  </si>
  <si>
    <t>JR. GAMARRA NRO 789 INT 004 SÓTANO LA VICTORIA</t>
  </si>
  <si>
    <t>43255350</t>
  </si>
  <si>
    <t>RAMOS ALVARADO MAYHUME EUDOCIA</t>
  </si>
  <si>
    <t>AV. SANTA ROSA 2310</t>
  </si>
  <si>
    <t>47850508</t>
  </si>
  <si>
    <t>RAMOS BENITES JULIO DAMIAN</t>
  </si>
  <si>
    <t>AV NUEVE DE SEPTIEMBRE MZ J1 LT 7 SECTOR SUR</t>
  </si>
  <si>
    <t xml:space="preserve"> 0807695</t>
  </si>
  <si>
    <t>RAMOS CABEZAS ORLANDO ZACARIAS</t>
  </si>
  <si>
    <t>ASENTAMIENTO HUMANO NUEVA AURORA MZ A LT. 3 CARABAYLLO</t>
  </si>
  <si>
    <t>10478708</t>
  </si>
  <si>
    <t>RAMOS CACERES ANGELICA MARIA</t>
  </si>
  <si>
    <t>JR. ALBERTO BARTON N° 495</t>
  </si>
  <si>
    <t>21538570</t>
  </si>
  <si>
    <t>RAMOS CACERES, ANGELICA MARIA</t>
  </si>
  <si>
    <t>RAMOS CAMASITA INOCENCIO</t>
  </si>
  <si>
    <t>COM. CAMP. VIÑAS DE MEDIA LUNA MANZ."M"LOTE "2C" HUACHIPA - LIMA - LIMA - LURIGANCHO</t>
  </si>
  <si>
    <t>29693434</t>
  </si>
  <si>
    <t>INOCENCIO RAMOS CAMASITA</t>
  </si>
  <si>
    <t>RAMOS CANDIA WALTER JACINTO</t>
  </si>
  <si>
    <t>AV. SAN HILARION ESTE 195-A,  LIMA, LIMA, SAN JUAN DE LURIGANCHO</t>
  </si>
  <si>
    <t>09657833</t>
  </si>
  <si>
    <t>RAMOS CANDIA, WALTER JACINTO</t>
  </si>
  <si>
    <t>RAMOS CORDOVA RAUL</t>
  </si>
  <si>
    <t>AV. UNIVERSITARIA NORTE NRO 9666 URB. LA ALBORADO (PASANDO LA AV. LOS INCAS)</t>
  </si>
  <si>
    <t>10864055</t>
  </si>
  <si>
    <t>RAMOS CORDOVA ROSEIDY EBANY</t>
  </si>
  <si>
    <t>AV. LAURIAMA NRO. 139 CERCA DE RECEPCIONES TAHOL, EN LA MISMA RECTA.</t>
  </si>
  <si>
    <t>02986472</t>
  </si>
  <si>
    <t>RAMOS COSME RUBEN MACARIO</t>
  </si>
  <si>
    <t>AV. CONFRATERNIDAD INTERNACIONAL N°1190 - INDEPENDENCIA</t>
  </si>
  <si>
    <t>41146010</t>
  </si>
  <si>
    <t>Ruben Macario Ramos Cosme</t>
  </si>
  <si>
    <t>RAMOS ESPINOZA RAUL LALO</t>
  </si>
  <si>
    <t>URB. SAN JOSÉ MZ. J LOTE 04 AV. LOS LIBERTADORES, SAN VICENTE</t>
  </si>
  <si>
    <t>40745056</t>
  </si>
  <si>
    <t>RAMOS ESPINOZA WALTER DESIDERIO</t>
  </si>
  <si>
    <t>LOS EUCALIPTOS ETAPA III MZ B3 LT30, PUENTE PIEDRA</t>
  </si>
  <si>
    <t>44795434</t>
  </si>
  <si>
    <t>RAMOS ESPINOZA, WALTER DESIDERIO</t>
  </si>
  <si>
    <t>RAMOS FERNÁNDEZ HEYDI DENÍSS</t>
  </si>
  <si>
    <t>CALLE JAUJA MZ 33 LOTE 1 CHORRILLOS</t>
  </si>
  <si>
    <t xml:space="preserve"> 74996 - OTRAS ACTIVIDADES EMPRESARIALES NCP.</t>
  </si>
  <si>
    <t>73100919</t>
  </si>
  <si>
    <t>RAMOS GASPAR YANET LUCY</t>
  </si>
  <si>
    <t>CAL. CARLOS GERMAN AMEZAGA 342</t>
  </si>
  <si>
    <t>41841639</t>
  </si>
  <si>
    <t>RAMOS GASPAR, YANET LUCY</t>
  </si>
  <si>
    <t>RAMOS GORDILLO GRISELDA MARISOL</t>
  </si>
  <si>
    <t>MZ. B LT. 13 URB. LAS VIRREYNA</t>
  </si>
  <si>
    <t>40612057</t>
  </si>
  <si>
    <t>RAMOS GUTIERREZ JORGE ARMANDO</t>
  </si>
  <si>
    <t>JR.JOSE ANTONIO ENCINAS 400 SAN JUAN DE LURIGANCHO  RF. COLEGIO SANTO DOMINGO DE GUZMAN</t>
  </si>
  <si>
    <t>40525213</t>
  </si>
  <si>
    <t>RAMOS HUAMAN MARIBEL</t>
  </si>
  <si>
    <t>JR. LEONCIO PRADO 1067</t>
  </si>
  <si>
    <t>42407955</t>
  </si>
  <si>
    <t>RAMOS HUAMAN, MARIBEL</t>
  </si>
  <si>
    <t>RAMOS HUAYLLASCO SAMUEL</t>
  </si>
  <si>
    <t>MZ. B16 LT. 16 MARISCAL CACERES, LIMA, LIMA, SAN JUAN DE LURIGANCHO</t>
  </si>
  <si>
    <t>77015060</t>
  </si>
  <si>
    <t>RAMOS HUAYLLASCO, SAMUEL</t>
  </si>
  <si>
    <t>RAMOS LIMAY FAVIO JOSHELIN</t>
  </si>
  <si>
    <t>AV. CENTRAL N° 308 URB. SANTA ELVIRA, LIMA, LIMA, LOS OLIVOS</t>
  </si>
  <si>
    <t>40778722</t>
  </si>
  <si>
    <t>RAMOS LIMAY, FAVIO JOSHELIN</t>
  </si>
  <si>
    <t>RAMOS LLACTAHUAMAN MIGUEL ANGEL</t>
  </si>
  <si>
    <t>MZ F.LT 4 AGR. VIVIENDA LAS PALMAS DE BELEN</t>
  </si>
  <si>
    <t>72707110</t>
  </si>
  <si>
    <t>RAMOS MAMANI JOEL JHONATAN</t>
  </si>
  <si>
    <t>AV. JOSE SACO ROJAS MZ B LT.4-5 LAS CASUARINAS (FRENTE A REVISIONES TECNICAS)</t>
  </si>
  <si>
    <t>45760409</t>
  </si>
  <si>
    <t>RAMOS MEDRANO VILMA LUZ</t>
  </si>
  <si>
    <t>MZ. U1 LT. 18 AV. 190</t>
  </si>
  <si>
    <t>25853699</t>
  </si>
  <si>
    <t>RAMOS MEDRANO, VILMA LUZ</t>
  </si>
  <si>
    <t>RAMOS MELCHOR KATY SUSANA</t>
  </si>
  <si>
    <t>CENTRO COMERCIAL LAS MALVINAS, LA VICTORIA 15018</t>
  </si>
  <si>
    <t>75202616</t>
  </si>
  <si>
    <t>RAMOS MELENDEZ LUZ AMPARO</t>
  </si>
  <si>
    <t>AV. ROOSEVELT S/N ( ALTURA DEL CASTILLO DE CHANCAY)</t>
  </si>
  <si>
    <t>15950436</t>
  </si>
  <si>
    <t>RAMOS MENDEZ OLIBER</t>
  </si>
  <si>
    <t>AV. INCA GARCILAZO DE LA VEGA - GALERIA CYBERPLAZA STAND SSA120</t>
  </si>
  <si>
    <t>42744265</t>
  </si>
  <si>
    <t>RAMOS MUÑOZ JOSE EUSTRACIO</t>
  </si>
  <si>
    <t>HUACA DE LOS CHINOS MZ C LOTE 3</t>
  </si>
  <si>
    <t>43831826</t>
  </si>
  <si>
    <t>RAMOS NICHO MANUEL ANTONIO</t>
  </si>
  <si>
    <t>CA UCAYALI - L10, LIMA, HUARAL, HUARAL</t>
  </si>
  <si>
    <t>42509309</t>
  </si>
  <si>
    <t>RAMOS OGOSI RICARDO</t>
  </si>
  <si>
    <t>A.H. H.ZEVALLOS GP. H</t>
  </si>
  <si>
    <t>0978227</t>
  </si>
  <si>
    <t>RAMOS OGOSI, RICARDO</t>
  </si>
  <si>
    <t>RAMOS PALOMINO DAVID JHON</t>
  </si>
  <si>
    <t>AV.ESPINAR NRO 620</t>
  </si>
  <si>
    <t>42977329</t>
  </si>
  <si>
    <t>RAMOS POLANCO ROSA APOLONIA</t>
  </si>
  <si>
    <t>AV. EL MURO MZ. G 2 LOTE 41 10 DE OCT. SJL</t>
  </si>
  <si>
    <t>09102375</t>
  </si>
  <si>
    <t>RAMOS RAMIREZ EBONY ESTEFANIA</t>
  </si>
  <si>
    <t>JR. MARISCAL MILLER N° 15</t>
  </si>
  <si>
    <t>43597490</t>
  </si>
  <si>
    <t>RAMOS RAMIREZ, EBONY ESTEFANIA</t>
  </si>
  <si>
    <t>RAMOS REYES ROSA IRENE</t>
  </si>
  <si>
    <t>JR. GALVEZ NRO 275</t>
  </si>
  <si>
    <t>15865156</t>
  </si>
  <si>
    <t>RAMOS ROMERO RODRIGO</t>
  </si>
  <si>
    <t>AV. ANGELICA GAMARRA N 481 .COOP. NTRA. SRA. GUADALUPE</t>
  </si>
  <si>
    <t>40085729</t>
  </si>
  <si>
    <t>RAMOS SARANGO GLADYS</t>
  </si>
  <si>
    <t>CARRETERA PANAMERICANA NORTE KM 33.5, LIMA, LIMA, PUENTE PIEDRA</t>
  </si>
  <si>
    <t>05645122</t>
  </si>
  <si>
    <t>RAMOS SARANGO, GLADYS</t>
  </si>
  <si>
    <t>RAMOS TOLEDO EDWIN GIANFRANCO</t>
  </si>
  <si>
    <t>AV MERCEDES INDACOCHEA S/N</t>
  </si>
  <si>
    <t>46172068</t>
  </si>
  <si>
    <t>RAMOS TORREJON SANTOS MODESTO</t>
  </si>
  <si>
    <t>ASOC. ESTRELLA SOLAR MZ F LOTE 25 CARABAYLLO</t>
  </si>
  <si>
    <t>10694291</t>
  </si>
  <si>
    <t>RAMOS URRUTIA ELSER JOEL</t>
  </si>
  <si>
    <t>AV. 26 DE NOVIEMBRE 935 4 PJ. NUEVA ESPERANZA, LIMA, LIMA, VILLA MARIA DEL TRIUNFO</t>
  </si>
  <si>
    <t>43802566</t>
  </si>
  <si>
    <t>RARAZ FUSTER LILIANA JULY</t>
  </si>
  <si>
    <t>MZ. K LOTE 1 URB. EL LUCUMO</t>
  </si>
  <si>
    <t>43819667</t>
  </si>
  <si>
    <t>RAVELLO BAZAN EMELY</t>
  </si>
  <si>
    <t>JIRON COLQUEPATA 209, TAHUANTINSUYO, LIMA, LIMA, INDEPENDENCIA</t>
  </si>
  <si>
    <t>45865161</t>
  </si>
  <si>
    <t>RAVINES CABALLERO ANTHONY MICHAEL</t>
  </si>
  <si>
    <t>AV. JOSE GRANDA 3320</t>
  </si>
  <si>
    <t>42691848</t>
  </si>
  <si>
    <t>REA ABARCA MAGDALENA ESTHER</t>
  </si>
  <si>
    <t>URB. VIRGEN DE CHAPI MZ G LT. 01(LA LOZA BARBARA DE ACHILE), LIMA, BARRANCA, BARRANCA</t>
  </si>
  <si>
    <t>15623365</t>
  </si>
  <si>
    <t>REA ABARCA, MAGDALENA ESTHER</t>
  </si>
  <si>
    <t>REAÑO COSQUILLO MANUEL ERNESTO</t>
  </si>
  <si>
    <t>JR. GIRIBALDI 490, LA VICTORIA 15018, LA TORRE DE GAMARRA 2, PISO 10, N° 1006</t>
  </si>
  <si>
    <t>42987197</t>
  </si>
  <si>
    <t>REAÑO ORTEGA VENANCIO</t>
  </si>
  <si>
    <t>AV. ANCASH S/NRO. LIMA, HUAURA, HUAURA</t>
  </si>
  <si>
    <t>15656212</t>
  </si>
  <si>
    <t>REAP OLIVARES AIDE</t>
  </si>
  <si>
    <t>MZ F LOTE11 ASOCIACION DE VIVIENDA MUNICIPAL LUIS PARDO NOVOA, LIMA, LIMA, PUENTE PIEDRA</t>
  </si>
  <si>
    <t>43362163</t>
  </si>
  <si>
    <t>REATEGUI PARIONA RODRIGO ALFONSO</t>
  </si>
  <si>
    <t>AV. ANDROMEDA NRO. 263</t>
  </si>
  <si>
    <t>41384660</t>
  </si>
  <si>
    <t>REATEGUI PARIONA, RODRIGO ALFONSO</t>
  </si>
  <si>
    <t>REFULIO HUAMAN BRENDA ANAIS</t>
  </si>
  <si>
    <t>CALLE EL BALCON MZ A LT 10B</t>
  </si>
  <si>
    <t>78105940</t>
  </si>
  <si>
    <t>REGALADO HERRERA EVI YANI</t>
  </si>
  <si>
    <t>AV SAN JUAN MZ A LTE 8,9 Y 10 AAHH LAS ESPERANZAS</t>
  </si>
  <si>
    <t>41967720</t>
  </si>
  <si>
    <t>REGALADO SILVA BENEDICTO LUIS</t>
  </si>
  <si>
    <t>AV. TUPAC AMARU 1821 URB HUAQUILLAY 2DO PISO (AL COSTADO DE LA CLINICA VERSALLES)</t>
  </si>
  <si>
    <t>43299499</t>
  </si>
  <si>
    <t>REIMUNDIZ ESPINOZA DIOMEDES</t>
  </si>
  <si>
    <t>AV PROGRESO 576</t>
  </si>
  <si>
    <t>4117644</t>
  </si>
  <si>
    <t>RENGIFO GONZALES KATTY</t>
  </si>
  <si>
    <t>BOULEVARD DEL CUERO CA. 5 &amp; AV. SOLIDARIDAD VILLA EL SALVADOR 15816. REF. A UNA CUADRA ARRIBA DE LA ESTACIÓN VILLA EL SALVADOR.</t>
  </si>
  <si>
    <t>VENTA AL POR MENOR DE PRENDAS DE VESTIR, CALZADO Y ARTÍCULOS DE CUERO EN COMERCIOS ESPECIALIZADOS</t>
  </si>
  <si>
    <t>41379285</t>
  </si>
  <si>
    <t>REQUEJO VASQUEZ BUENAVENTURA MATEO</t>
  </si>
  <si>
    <t>JR. CORONEL ALFONSO UGARTE N° 479</t>
  </si>
  <si>
    <t>43296350</t>
  </si>
  <si>
    <t>REQUENA GIRALDO LUIS MIGUEL</t>
  </si>
  <si>
    <t>SECTOR 1 , GRUPO 26 (RUTA LA "C" CON LOS ANGELES)</t>
  </si>
  <si>
    <t>4165809</t>
  </si>
  <si>
    <t>REQUES MEZA DANNY EDWIN</t>
  </si>
  <si>
    <t>MZA S/N KM17.5 CARRETA CENTRAL - ATE</t>
  </si>
  <si>
    <t>80018609</t>
  </si>
  <si>
    <t>REQUEZ BRUNO ROGER ENRIQUE</t>
  </si>
  <si>
    <t>JR. SAN JOSÉ MZ. C LT. 8 URB. SANTO DOMINGO, LIMA, LIMA, CARABAYLLO</t>
  </si>
  <si>
    <t>73076035</t>
  </si>
  <si>
    <t>REQUEZ BRUNO, ROGER ENRIQUE</t>
  </si>
  <si>
    <t>RETUERTO FALCON NEL</t>
  </si>
  <si>
    <t>MZ F LOTE 22 ASOCIACIÓN "CORSAC"</t>
  </si>
  <si>
    <t>10779419</t>
  </si>
  <si>
    <t>REVILLA MALCA JULIO CESAR</t>
  </si>
  <si>
    <t>AV. DEFENSORES DE LIMA MZ 9C LOTE 11, LIMA, LIMA, SAN JUAN DE MIRAFLORES</t>
  </si>
  <si>
    <t>10090108</t>
  </si>
  <si>
    <t>REYES ALVAREZ JUAN FELIPE</t>
  </si>
  <si>
    <t>MZ H2 LT 41 SECTOR MIGUEL GRAU, PAMPLONA ALTA,</t>
  </si>
  <si>
    <t> VENTA AL POR MENOR DE ORDENADORES, EQUIPO PERIFÉRICO, PROGRAMA DE INFORM. Y EQU. DE TELEC. EN COMERCIOS ESPECIALIZADOS</t>
  </si>
  <si>
    <t>43393126</t>
  </si>
  <si>
    <t>REYES ALVAREZ, JUAN FELIPE</t>
  </si>
  <si>
    <t>REYES BARROSO BILLY JHONATAN</t>
  </si>
  <si>
    <t>PLAZA DE ARMAS 136 REF. COSTADO DE LA NOTARIA NIEVES CHENG</t>
  </si>
  <si>
    <t>45386030</t>
  </si>
  <si>
    <t>REYES BAZALAR DANNY JAVIER</t>
  </si>
  <si>
    <t>JR. LIMA SUR 460 - BARRANCA (REF. FRENTE A EMPRESA MALVACEDA MOTORS.)</t>
  </si>
  <si>
    <t>80603824</t>
  </si>
  <si>
    <t>REYES CHOQQUE JUAN CARLOS</t>
  </si>
  <si>
    <t>MZ VV2 LOTE 3, AV. CORDIALIDAD - PRO</t>
  </si>
  <si>
    <t>10691848</t>
  </si>
  <si>
    <t>REYES FARIAS BREYNER LUIS ALBERTO</t>
  </si>
  <si>
    <t>AV. CAJAMARQUILLA MZ M LOTE 3A - LOTIZACION NIEVERIA</t>
  </si>
  <si>
    <t>45559753</t>
  </si>
  <si>
    <t>REYES GUERRERO LUIS BENJAMIN</t>
  </si>
  <si>
    <t>JR.GALVEZ 1212</t>
  </si>
  <si>
    <t>76315582</t>
  </si>
  <si>
    <t>REYES HUAMAN JUAN CARLOS</t>
  </si>
  <si>
    <t>AV ARGENTINA 144 -INT 3054-LIMA--(UNICENTRO)</t>
  </si>
  <si>
    <t>46092300</t>
  </si>
  <si>
    <t>REYES MASGO CHRISTIAN JOEL</t>
  </si>
  <si>
    <t>JR. BOGOTA NRO 656 URB EL PARRAL</t>
  </si>
  <si>
    <t>44138831</t>
  </si>
  <si>
    <t>REYES OCAÑA FERNANDO MANUEL</t>
  </si>
  <si>
    <t>AV BOLIVIA N° 148 INT 3170</t>
  </si>
  <si>
    <t>41726820</t>
  </si>
  <si>
    <t>REYES SAAVEDRA LEYDON WENCESLAO</t>
  </si>
  <si>
    <t>MZ 10 LT 19 SECTOR LEONCIO PRADO PAMPLONA ALTA</t>
  </si>
  <si>
    <t>45397673</t>
  </si>
  <si>
    <t>REYES SILVA JOSE CARLOS</t>
  </si>
  <si>
    <t>CRUZ DE CANO NRO 207</t>
  </si>
  <si>
    <t>15733320</t>
  </si>
  <si>
    <t>REYNA CANDELA LUIS ANTONIO</t>
  </si>
  <si>
    <t>JR. MADRE DIOS 576 QUILMANA CAÑETE</t>
  </si>
  <si>
    <t>15439177</t>
  </si>
  <si>
    <t>REYNA MERCADO IVAN FERNANDO</t>
  </si>
  <si>
    <t>AV SAN ISIDRO NRO 1028</t>
  </si>
  <si>
    <t>07422381</t>
  </si>
  <si>
    <t>REYNA SOLLER JULIO ERNESTO</t>
  </si>
  <si>
    <t>AV TUPAC AMARU NRO 4414 PJ AÑO NUEVO</t>
  </si>
  <si>
    <t>10740095</t>
  </si>
  <si>
    <t>REYNOSO BALDEON CESAR DANIEL</t>
  </si>
  <si>
    <t>AV LIMA NRO 4003</t>
  </si>
  <si>
    <t>40618675</t>
  </si>
  <si>
    <t>REYNOSO DOLORES VICTOR MANUEL</t>
  </si>
  <si>
    <t>CALLE FERROCARRIL S/N URB JUAN PABLO II LOTE 15-17 (AL COSTADO DEL HOTEL FLAMINGO)</t>
  </si>
  <si>
    <t>46293747</t>
  </si>
  <si>
    <t>RICAZA FARFAN JONATHAN VIKTOR</t>
  </si>
  <si>
    <t>URB. EL CONDOR N° 236</t>
  </si>
  <si>
    <t>40164627</t>
  </si>
  <si>
    <t>RICAZA FARFAN, JONATHAN VIKTOR</t>
  </si>
  <si>
    <t>RICO ESLAVA ROSA LUZ</t>
  </si>
  <si>
    <t>MZ.42.LTE.7A  ASC.PEQ.AGROP.SSTA.INES, CARABAYLLO</t>
  </si>
  <si>
    <t>80647867</t>
  </si>
  <si>
    <t>RICRA FUENTES HAMMERLY JHOEL</t>
  </si>
  <si>
    <t>AV. AVIACIÓN #342-346  / GAMARRA</t>
  </si>
  <si>
    <t>46268828</t>
  </si>
  <si>
    <t>RIMAC CHOQUE MARIELENA</t>
  </si>
  <si>
    <t>JIRON HUALLAGA 736 GALERIA DORADO TIENDA 222</t>
  </si>
  <si>
    <t>Principal - 4690 - VENTA AL POR MAYOR NO ESPECIALIZADA</t>
  </si>
  <si>
    <t>47785345</t>
  </si>
  <si>
    <t>RIMARACHIN SANCHEZ MARIA ZARELA</t>
  </si>
  <si>
    <t>JR. ÚRSULA PEREDA #380, TUNGASUCA, CARABAYLLO</t>
  </si>
  <si>
    <t>09172916</t>
  </si>
  <si>
    <t>RIMARACHIN SANCHEZ, MARIA ZARELA</t>
  </si>
  <si>
    <t>RINZA MANAYAY PEDRO ANTONIO</t>
  </si>
  <si>
    <t>AV 2 DE OCTUBRE MZ F4 LOTE 77</t>
  </si>
  <si>
    <t>41958550</t>
  </si>
  <si>
    <t>RINZA MENDOZA KAREN MERCEDES</t>
  </si>
  <si>
    <t>JR. HUAROCHIRI 366 (1388 PRIMERO PISO)</t>
  </si>
  <si>
    <t>47911705</t>
  </si>
  <si>
    <t>RIOJAS MORALES JHOSIMAR JUNIOR</t>
  </si>
  <si>
    <t>CALLE LOS ALHELIES 609 DPTO 401 URB. SAN JOSÉ</t>
  </si>
  <si>
    <t>45528320</t>
  </si>
  <si>
    <t>RIOJAS MORALES, JHOSIMAR JUNIOR</t>
  </si>
  <si>
    <t>RIOS ANDAGUA JUSTINIANO OSCAR</t>
  </si>
  <si>
    <t>CARRETERA PANAMERICA NORTE KM 83 (FRENTE EMPRESA   AVICOLA  EX AVINKA)</t>
  </si>
  <si>
    <t>41870512</t>
  </si>
  <si>
    <t>RIOS AVILA PEDRO LEON</t>
  </si>
  <si>
    <t>MZ. B 15 LT 20 CALLE 14 ASOC. LAS GARDENIAS TERCERA ETAPA, LIMA, LIMA, ATE</t>
  </si>
  <si>
    <t>15674187</t>
  </si>
  <si>
    <t>RIOS CADILLO PEDRO ARMANDO</t>
  </si>
  <si>
    <t>LOTIZADORA SANTA HILDA MZ G LOTE 31 CALLE LAS CUCARDAS, LIMA, HUARAL, HUARAL</t>
  </si>
  <si>
    <t>15752099</t>
  </si>
  <si>
    <t>RIOS CORDOVA EVER JOEL</t>
  </si>
  <si>
    <t>AV. BELISARIO SUAREZ 858, LIMA, LIMA, SAN JUAN DE MIRAFLORES</t>
  </si>
  <si>
    <t>44592303</t>
  </si>
  <si>
    <t>RIOS DIAZ JOSE RUBEN</t>
  </si>
  <si>
    <t>MZ. D LT. 10 MCDO. CENTRAL AL COSTADO DE LA LOSA DEPORTIVA, (BAJAR EN CURVA LABARTE) PACHACUTEC</t>
  </si>
  <si>
    <t>27391327</t>
  </si>
  <si>
    <t>RIOS DIAZ, JOSE RUBEN</t>
  </si>
  <si>
    <t>RIOS FLORES DE JESUS MARISSA JANELLY</t>
  </si>
  <si>
    <t>LOS ALISOS NRO. 468 A.V. NARANJAL</t>
  </si>
  <si>
    <t>42173994</t>
  </si>
  <si>
    <t>RIOS FLORES SILVIA</t>
  </si>
  <si>
    <t>A.V VIRGEN DEL CARMEN- SMP, URB SAN DIEGO (MZ, K-LT 28) - LIMA</t>
  </si>
  <si>
    <t>10316514</t>
  </si>
  <si>
    <t>RIOS FRANCO LUCAS PEDRO</t>
  </si>
  <si>
    <t>MZ G LT11 ASOCIACIÓN ROMA BAJA AV GALLINASOS. CARABAYLLO</t>
  </si>
  <si>
    <t>41639751</t>
  </si>
  <si>
    <t>RIOS JULCA CLORINDA</t>
  </si>
  <si>
    <t>PRO LIMA CALLE 14 MZ F LOTE 57</t>
  </si>
  <si>
    <t>08574069</t>
  </si>
  <si>
    <t>RIOS MARIN ADEIR DANIEL</t>
  </si>
  <si>
    <t>AV.EL TRIUNFO NRO 361</t>
  </si>
  <si>
    <t>72690738</t>
  </si>
  <si>
    <t>RIOS PISCO ALIS</t>
  </si>
  <si>
    <t>AV. LOS JAZMINES NRO. 140</t>
  </si>
  <si>
    <t>42936372</t>
  </si>
  <si>
    <t>RIOS SANTOS ANYELA ANDREINA</t>
  </si>
  <si>
    <t>JR BOLIVAR NRO 332 REF. ESPALDA DEL COLEGIO SUCRE HUACHO</t>
  </si>
  <si>
    <t>70652296</t>
  </si>
  <si>
    <t>RIOS SANTOS JHON HENRY</t>
  </si>
  <si>
    <t>AV. TUPAC AMARU N° 4818</t>
  </si>
  <si>
    <t>40044173</t>
  </si>
  <si>
    <t>RIOS SANTOS, JHON HENRY</t>
  </si>
  <si>
    <t>RIOS SENOSAIN SANDRA KATHERINE</t>
  </si>
  <si>
    <t>MZ. A.LT.4 DE ASOC. DE VIV PODEROSA, A UNA CDRA PYE PUCUSANA</t>
  </si>
  <si>
    <t>70378637</t>
  </si>
  <si>
    <t>RIOS VEGA DANIEL SANTIAGO</t>
  </si>
  <si>
    <t>"MZ F LT 16 SECTOR 3 GRUPO 27</t>
  </si>
  <si>
    <t>76276799</t>
  </si>
  <si>
    <t>RISCO GUERRERO LUIS</t>
  </si>
  <si>
    <t>AV. LOS ANGELES NRO 452</t>
  </si>
  <si>
    <t>27855046</t>
  </si>
  <si>
    <t>RIVAS BECERRA ELIZABETH YOVANA</t>
  </si>
  <si>
    <t>JIRÓN ALMIRANTE GUISSE 1900</t>
  </si>
  <si>
    <t>80393703</t>
  </si>
  <si>
    <t>RIVAS DIAZ OSCAR MIGUEL</t>
  </si>
  <si>
    <t>AV. JOSE GÁLVEZ 1455 SANTA BEATRIZ</t>
  </si>
  <si>
    <t>09488777</t>
  </si>
  <si>
    <t>RIVAS ESTEVEZ CYNTHIA VIVIANA</t>
  </si>
  <si>
    <t>CENTRO EMPRESARIAL SAN LAZARO AV.CARLOS IZAGUIRRE N°216 1S-14  ID-3</t>
  </si>
  <si>
    <t>42567204</t>
  </si>
  <si>
    <t>RIVAS GIN CARLOS YNOCENTE</t>
  </si>
  <si>
    <t>CHAPERITO, SOL DE CAUDEVILLA MZ A LOTE 16, LIMA, LIMA, CARABAYLLO</t>
  </si>
  <si>
    <t>09227958</t>
  </si>
  <si>
    <t>RIVAS MUCHOTRIGO RAMON ERUBINO</t>
  </si>
  <si>
    <t>ASOSIACION DE VIVIENDA SEÑOR DE CACHUY MZ B LT 7</t>
  </si>
  <si>
    <t>15346455</t>
  </si>
  <si>
    <t>RIVERA ARIAS NELLY PAULINA</t>
  </si>
  <si>
    <t>JIRON PARURO 6 INTERIOR</t>
  </si>
  <si>
    <t>09095524</t>
  </si>
  <si>
    <t>RIVERA ARIAS, NELLY PAULINA</t>
  </si>
  <si>
    <t>RIVERA CACERES EDSON JUNNIOR</t>
  </si>
  <si>
    <t>AV.LIMA SUR 1140</t>
  </si>
  <si>
    <t>43038743</t>
  </si>
  <si>
    <t>RIVERA CHAVEZ GERALD HENRY</t>
  </si>
  <si>
    <t>AV. LOS PROCERES N° 567 RIMAC</t>
  </si>
  <si>
    <t>07764600</t>
  </si>
  <si>
    <t>RIVERA CHILENO DE PEÑA MARIANELA</t>
  </si>
  <si>
    <t>AV. ALVAREZ  DE ARENALES MZ. B LT. 7 SAYAN</t>
  </si>
  <si>
    <t>15735075</t>
  </si>
  <si>
    <t>RIVERA CORONADO JOSEFINA KETTY</t>
  </si>
  <si>
    <t>CALLE ANDRES COSTELLO 263/502</t>
  </si>
  <si>
    <t>10672203</t>
  </si>
  <si>
    <t>RIVERA ESPINOZA DELIA</t>
  </si>
  <si>
    <t>CALLE LOS CHASQUIS 123 1RA ZONA DE TAHUANTINSUYO</t>
  </si>
  <si>
    <t xml:space="preserve"> Principal - 52206 - VTA. MIN. ALIMENTOS, BEBIDAS, TABACO.</t>
  </si>
  <si>
    <t>10530783</t>
  </si>
  <si>
    <t>RIVERA FLORES NESTOR</t>
  </si>
  <si>
    <t>PROLONGACIÓN LIMA NORTE N° 100 SAN JUAN BOSCO. LURIGANCHO - CHOSICA</t>
  </si>
  <si>
    <t>43176466</t>
  </si>
  <si>
    <t>RIVERA GALLARDO ESTHER JULIA</t>
  </si>
  <si>
    <t>AV. TUPAC AMARU NRO. 4614 COO. - CAPITAN JOSE ABELARDO QUIÑONES</t>
  </si>
  <si>
    <t>09794848</t>
  </si>
  <si>
    <t>RIVERA GUTIERREZ PATRICIA CONSUELO</t>
  </si>
  <si>
    <t>PJ. CINCUENTENARIO LOTE 06, LIMA, HUAURA, HUALMAY</t>
  </si>
  <si>
    <t>43612126</t>
  </si>
  <si>
    <t>RIVERA GUTIERREZ WILSON ADOLFO</t>
  </si>
  <si>
    <t>URB. EL PEREGRINO LOTE 03 (COSTADO DEL COLEGIO DIVINO CORAZÓN DE JESÚS)</t>
  </si>
  <si>
    <t>41050863</t>
  </si>
  <si>
    <t>RIVERA HUANUQUEÑO NILTON JAVIER</t>
  </si>
  <si>
    <t>AVENIDA HUAROCHIRI MZ B 6 LT5</t>
  </si>
  <si>
    <t>45525659</t>
  </si>
  <si>
    <t>RIVERA HUANUQUEÑO, NILTON JAVIER</t>
  </si>
  <si>
    <t>RIVERA JIMENEZ FRANCISCA ELENA</t>
  </si>
  <si>
    <t>CALLE LOS CIRUELOS MZ. A LT. 35 - REF. MCDO. PLAZA "F"</t>
  </si>
  <si>
    <t>10115528</t>
  </si>
  <si>
    <t>RIVERA JIMENEZ, FRANCISCA ELENA</t>
  </si>
  <si>
    <t>RIVERA MATOS JESUS RONALD</t>
  </si>
  <si>
    <t>SANTO DOMINGO DE COPACABANA MZ E LOTE 11</t>
  </si>
  <si>
    <t>44922622</t>
  </si>
  <si>
    <t>RIVERA MENDOZA KARINA WENDY</t>
  </si>
  <si>
    <t>PROL. LETICIA 1000 INTERIOR STAND 111</t>
  </si>
  <si>
    <t>76481328</t>
  </si>
  <si>
    <t>RIVERA NOREÑA ALICIA</t>
  </si>
  <si>
    <t>ASOCIACION MIRAFLORES MZ H LT 6 (REF. POR LA I.E. CALAMAQUI)</t>
  </si>
  <si>
    <t>42084249</t>
  </si>
  <si>
    <t>ALICIA RIVERA NOREÑA</t>
  </si>
  <si>
    <t>RIVERA NUÑEZ LESLY YSABEL</t>
  </si>
  <si>
    <t>AV NESTOR GAMBETA 9053, CALLAO, CALLAO, CALLAO</t>
  </si>
  <si>
    <t>46214179</t>
  </si>
  <si>
    <t>RIVERA OSORIO BARNABY PEDRO</t>
  </si>
  <si>
    <t>AV. PUENTE PIEDRA 1818 SECTOR ZAPALLAL ,REFERENCIA ALTURA 33 1/2 PANAMERICANA NORTE (MERCADO 3 REGIONES)</t>
  </si>
  <si>
    <t>10201914</t>
  </si>
  <si>
    <t>RIVERA PORTA FRANKLIN WILLIAN</t>
  </si>
  <si>
    <t>JR JUNIN CUADRA 7 MZ H1 LOTE 3</t>
  </si>
  <si>
    <t>42763076</t>
  </si>
  <si>
    <t>RIVERA QUISPE ISAURA</t>
  </si>
  <si>
    <t>MZ. J LT. 13 NUEVA ESPERANZA 3RA ZONA DE COLLIQUE</t>
  </si>
  <si>
    <t>43636563</t>
  </si>
  <si>
    <t>RIVERA ROMERO MAVILON RIGOBERTO</t>
  </si>
  <si>
    <t>MZ E  LT 1 URB LOS PORTALES DEL AEROPUERTO, CALLAO, CALLAO, CALLAO</t>
  </si>
  <si>
    <t>25718813</t>
  </si>
  <si>
    <t>RIVERO CASTRO JUAN CARLOS</t>
  </si>
  <si>
    <t>JR. LIZARDO MONTERO N° 760 TIENDA 34</t>
  </si>
  <si>
    <t>46141819</t>
  </si>
  <si>
    <t>ROBLES CACHA ROLANDO TOMAS</t>
  </si>
  <si>
    <t>JR SAN CARLOS 685 SURQUILLO, TALLER AMARILLO</t>
  </si>
  <si>
    <t>09777331</t>
  </si>
  <si>
    <t>ROBLES GAMARRA HENRY ALBERT</t>
  </si>
  <si>
    <t>AV. BENAVIDES 5384 TDA 120 URB LAS GARDENIAS, LIMA, LIMA, SANTIAGO DE SURCO</t>
  </si>
  <si>
    <t>31667378</t>
  </si>
  <si>
    <t>ROBLES GAMARRA PAUL JORGE</t>
  </si>
  <si>
    <t>AV. BENAVIDES N 5384 STD. 000118 MZ. E3 LT. 2 LAS GARDENIAS</t>
  </si>
  <si>
    <t>31655829</t>
  </si>
  <si>
    <t>ROBLES JAMANCA JONATHAN SERGIO</t>
  </si>
  <si>
    <t>AV SANTA ROSA URB SAN GABRIEL MZ F LOTE 29 CANTO GRANDE</t>
  </si>
  <si>
    <t>45770166</t>
  </si>
  <si>
    <t>ROBLES LOVATON DIANNA LIDDIA</t>
  </si>
  <si>
    <t>AV. SAN MARTIN MZ. C LOTE 8 URB. LAS MAGNOLIAS-CAMPOY, LIMA, LIMA, SJL</t>
  </si>
  <si>
    <t>04083861</t>
  </si>
  <si>
    <t>ROBLES MEDRANO CARLOS MELITON</t>
  </si>
  <si>
    <t>AV SEPARADORA INDUSTRIAL 3076</t>
  </si>
  <si>
    <t>10150530</t>
  </si>
  <si>
    <t>ROBLES SOLIER KEVIN ANTHONY</t>
  </si>
  <si>
    <t>AV TOMAS VALLE N° 3121</t>
  </si>
  <si>
    <t>74398391</t>
  </si>
  <si>
    <t>ROBLES TINOCO ROMUALDO EPIFANIO</t>
  </si>
  <si>
    <t>JR. COPERNICO 263, LIMA, LIMA, LOS OLIVOS</t>
  </si>
  <si>
    <t>10216056</t>
  </si>
  <si>
    <t>ROBLES TINOCO, ROMUALDO EPIFANIO</t>
  </si>
  <si>
    <t>ROBLES TOLENTINO ALICIA FORTUNATA</t>
  </si>
  <si>
    <t>C.P LA CHILAMPA MZ CLT 1-A (I.E.P. LOS NIÑOS DEL MILENIO )</t>
  </si>
  <si>
    <t>15717651</t>
  </si>
  <si>
    <t>ROCA CABRERA WALTER PETER</t>
  </si>
  <si>
    <t>JR. GALVEZ 1179 BARRANCA, LIMA, BARRANCA, BARRANCA</t>
  </si>
  <si>
    <t>00550291</t>
  </si>
  <si>
    <t>ROCA CIPRIAN PEDRO ROMAN</t>
  </si>
  <si>
    <t>LT 1 PARCELA 1 P.I DE VILLA EL SALVADOR. ALT PDRO 44 DE AV PACHACUTEC</t>
  </si>
  <si>
    <t>10233139</t>
  </si>
  <si>
    <t>ROCA CONTRERAS HECTOR DAVID</t>
  </si>
  <si>
    <t>AV. WIESE  N°3371 ASC. LOS PINOS (FRENTE A LA ESTACION SAN MATIN, TREN ELECTRICO)</t>
  </si>
  <si>
    <t>07140869</t>
  </si>
  <si>
    <t>ROCANO YUPA CESAR AUGUSTO</t>
  </si>
  <si>
    <t>AV. COLON 214 HUACHO, LIMA, HUAURA, HUACHO</t>
  </si>
  <si>
    <t>15762398</t>
  </si>
  <si>
    <t>RODAS MEJIA HOMERO ABSALON</t>
  </si>
  <si>
    <t>AV. UNIVERSITARIA 7291 URB. EL RETABLO, LIMA, LIMA, COMAS</t>
  </si>
  <si>
    <t>80230309</t>
  </si>
  <si>
    <t>RODRIGUEZ ABARCA EDGAR</t>
  </si>
  <si>
    <t>AV.CANTA CALLAO MZ.B LOTE 31 URB.LOS LIRIOS, LIMA, LIMA, S.M.P</t>
  </si>
  <si>
    <t>42898864</t>
  </si>
  <si>
    <t>RODRIGUEZ ANGULO JOSE FRANCISCO</t>
  </si>
  <si>
    <t>URB. 7 DE JUNIO MZ. 1 LT.99 PARAMONGA</t>
  </si>
  <si>
    <t>15666897</t>
  </si>
  <si>
    <t>RODRIGUEZ ARIAS ANDREA STEPHANIA</t>
  </si>
  <si>
    <t>COSTA AZUL  MZ LL-1 LT10 / FRENTE ALA ENTRADA DE LA PLAYA PUNTA LAS ROCAS</t>
  </si>
  <si>
    <t xml:space="preserve"> 0034461</t>
  </si>
  <si>
    <t>RODRIGUEZ BANCHO JOSE ENRIQUE</t>
  </si>
  <si>
    <t>MZ. C LOTE 9 AV. SANTA MARIA</t>
  </si>
  <si>
    <t>72642342</t>
  </si>
  <si>
    <t>RODRIGUEZ BARBA LURY ELIZABETH</t>
  </si>
  <si>
    <t>JR PRIMAVERA N° 239 (POR LA EMPRESA TURISMO BARRANCA)</t>
  </si>
  <si>
    <t>15849348</t>
  </si>
  <si>
    <t>RODRIGUEZ BAYES CELINA AMPARO</t>
  </si>
  <si>
    <t>RIO VIRU 694 - VILLA DEL NORTE</t>
  </si>
  <si>
    <t>08296739</t>
  </si>
  <si>
    <t>RODRIGUEZ CASTILLO JASMIN ESTEFANY</t>
  </si>
  <si>
    <t>REMOTO</t>
  </si>
  <si>
    <t>ENSEÑANZA DEPORTIVA Y RECREATIVA</t>
  </si>
  <si>
    <t>70548494</t>
  </si>
  <si>
    <t>RODRIGUEZ CASTILLO, JASMIN ESTEFANY</t>
  </si>
  <si>
    <t>RODRIGUEZ DAVALOS GABRIELA ROSA</t>
  </si>
  <si>
    <t>AV. GUILLERMO DANSEY 481 INT. 153</t>
  </si>
  <si>
    <t>43048198</t>
  </si>
  <si>
    <t>RODRIGUEZ DEPAZ YOVER ANTONIO</t>
  </si>
  <si>
    <t>AV. TOMAS VALLE MZ. G LOTE31-B - URB JORGE CHAVEZ -1RA. ETP. CALLAO</t>
  </si>
  <si>
    <t>45669228</t>
  </si>
  <si>
    <t>RODRIGUEZ ENCARNACION ENRIQUE CARMEN</t>
  </si>
  <si>
    <t>AV. ALFREDO MENDIOLA NRO. 4622 URB. EL NARANJAL - INDEPENDENCIA</t>
  </si>
  <si>
    <t>10395204</t>
  </si>
  <si>
    <t>RODRIGUEZ FERNANDEZ DEMETRIO</t>
  </si>
  <si>
    <t>SECTOR 6 GRUPO 10 LA O LOTE 9</t>
  </si>
  <si>
    <t>08480846</t>
  </si>
  <si>
    <t>RODRIGUEZ GONZALES RICARDO CARLOS RUBEN</t>
  </si>
  <si>
    <t>CALLE LAS AZUCENAS MZ. "G" LT. "2". A. H. 25 DE JULIO</t>
  </si>
  <si>
    <t>42944119</t>
  </si>
  <si>
    <t>RODRIGUEZ GUTIERREZ JENNY</t>
  </si>
  <si>
    <t>AV.BOLIVIA CDRA.1-GALERIA CENTRO LIMA 1ER.NIVEL PSJE."G" TDA.285</t>
  </si>
  <si>
    <t>09479019</t>
  </si>
  <si>
    <t>RODRIGUEZ HUAMAN MARCO ANTONIO</t>
  </si>
  <si>
    <t>AV. RUISEÑORES N° 870 - PSTO N°36 COMPUCENTRO</t>
  </si>
  <si>
    <t>41678002</t>
  </si>
  <si>
    <t>RODRIGUEZ HUAMAN, MARCO ANTONIO</t>
  </si>
  <si>
    <t>RODRIGUEZ JARA NIKE PAOLO</t>
  </si>
  <si>
    <t>CALLE JOSE OLAYA MZ E LT. 110 HUARAL</t>
  </si>
  <si>
    <t>46768918</t>
  </si>
  <si>
    <t>RODRIGUEZ LIZANA MILTON ALEXANDER</t>
  </si>
  <si>
    <t>ASOC. RICARDO PALMA MZ. E LOTE 14  ATE , LIMA, LIMA, ATE</t>
  </si>
  <si>
    <t>41132231</t>
  </si>
  <si>
    <t>RODRIGUEZ LOAYZA YOEL EDUARDO</t>
  </si>
  <si>
    <t>AV. FERNANDO WIESSE 4049 - SAN JUAN DE LURIGANCHO</t>
  </si>
  <si>
    <t>42746250</t>
  </si>
  <si>
    <t>RODRIGUEZ LOAYZA, YOEL EDUARDO</t>
  </si>
  <si>
    <t>RODRIGUEZ MAUCAYLLE CARLOS ENRIQUE</t>
  </si>
  <si>
    <t>AV. TUPAC AMARU 3730 EL PROGRESO, LIMA, LIMA, CARABAYLLO</t>
  </si>
  <si>
    <t>45480543</t>
  </si>
  <si>
    <t>RODRIGUEZ MEZA ENJELS GREGORIO</t>
  </si>
  <si>
    <t>MZ. A LT. 5 LOS ROSALES DE NARANJAL (3 CDRAS A LA DERECHA DEL GRIFO ARIANA) (SEGUN COORDENADA)</t>
  </si>
  <si>
    <t>10694760</t>
  </si>
  <si>
    <t>RODRIGUEZ NOEL JUAN GERARDO</t>
  </si>
  <si>
    <t>MANCO SEGUNDO N° 678 URB. MARANGA SAN MIGUEL</t>
  </si>
  <si>
    <t>25660022</t>
  </si>
  <si>
    <t>RODRIGUEZ PEREDA LUCILA</t>
  </si>
  <si>
    <t>AV. NARANJAL 271, SAN MARTÍN DE PORRES 15311</t>
  </si>
  <si>
    <t>46019156</t>
  </si>
  <si>
    <t>RODRIGUEZ RABANAL ARMANDO ANTENOR</t>
  </si>
  <si>
    <t>PRO. LOS MARTILLOS 5228 OTR. LOT. INDUSTRIAL INFANTAS II ETAPA</t>
  </si>
  <si>
    <t>08519440</t>
  </si>
  <si>
    <t>RODRIGUEZ RABANAL, ARMANDO ANTENOR</t>
  </si>
  <si>
    <t>RODRIGUEZ RAMOS HOMERO EDUARDO</t>
  </si>
  <si>
    <t>MZ W LOTE 47 BARRIO 2 SECTOR 2 SEPARADORA INDUSTRIAL CRUZE MARÍA REICHE</t>
  </si>
  <si>
    <t>10182385</t>
  </si>
  <si>
    <t>RODRIGUEZ RIVERA JUAN CARLOS</t>
  </si>
  <si>
    <t>JIRON JOSE GALVEZ Nº 300</t>
  </si>
  <si>
    <t>47646154</t>
  </si>
  <si>
    <t>RODRIGUEZ RIVERA, JUAN CARLOS</t>
  </si>
  <si>
    <t>RODRIGUEZ ROJAS ELSA</t>
  </si>
  <si>
    <t>JR. AREQUIPA 379 POR LA CALLE SAENZ PEÑA 181 , LIMA, BARRANCA, BARRANCA</t>
  </si>
  <si>
    <t>48735092</t>
  </si>
  <si>
    <t>RODRIGUEZ ROJAS MARIA DEL CARMEN</t>
  </si>
  <si>
    <t>C.P CHANCAYLLO MZ.J LT. 2 KM.91.5 AV PLAYA CHANCAYLLO N°15</t>
  </si>
  <si>
    <t>75147337</t>
  </si>
  <si>
    <t>RODRIGUEZ ROJAS PAOLA</t>
  </si>
  <si>
    <t>JIRON HUANCAVELICA 3438 - LIMA - LIMA - SAN MARTIN DE PORRES</t>
  </si>
  <si>
    <t>80552992</t>
  </si>
  <si>
    <t>PAOLA RODRIGUEZ ROJAS</t>
  </si>
  <si>
    <t>RODRIGUEZ SARMIENTO JULIA PLACIDA</t>
  </si>
  <si>
    <t>JIRON AYACUHO 251MZ 9M LT 18 2DA ZONA TABLADA DE LURIN, LIMA, LIMA, VILLA MARIA DEL TRIUNFO</t>
  </si>
  <si>
    <t>09405193</t>
  </si>
  <si>
    <t>RODRIGUEZ TAMAYO CARLOS DANIEL</t>
  </si>
  <si>
    <t>AV. SAENZ PEÑA 115 MZ. F LT. 1 URB. SANTO DOMINGO</t>
  </si>
  <si>
    <t>10779037</t>
  </si>
  <si>
    <t>RODRIGUEZ TENORIO ROLANDO EPIFANIO</t>
  </si>
  <si>
    <t>AV. DOS DE OCTUBRE MZA. L 1 LOTE. 05 URB. LOS OLIVOS DE PRO (FRENTE AL COLEGIO FUJIMORI</t>
  </si>
  <si>
    <t>10198976</t>
  </si>
  <si>
    <t>RODRIGUEZ VALLADARES NESTOR MANUEL</t>
  </si>
  <si>
    <t>URB.PACHACAMAC BARR.3 SECT.II</t>
  </si>
  <si>
    <t>47833848</t>
  </si>
  <si>
    <t>RODRIGUEZ ZEGARRA DIEGO ALEJANDRO</t>
  </si>
  <si>
    <t>TOMÁS RAMSEY 930</t>
  </si>
  <si>
    <t>47552477</t>
  </si>
  <si>
    <t>ROEL VERREN CARLOS RICARDO</t>
  </si>
  <si>
    <t>AV. DEL AIRE 1413</t>
  </si>
  <si>
    <t>06486103</t>
  </si>
  <si>
    <t>ROEL VERREN, CARLOS RICARDO</t>
  </si>
  <si>
    <t>ROIRO CASTRO HERACLIA GUDELIA</t>
  </si>
  <si>
    <t>PARQUE INDUSTRIAL - HUAYCÁN</t>
  </si>
  <si>
    <t>09061680</t>
  </si>
  <si>
    <t>ROJAS ANAYA JOSE JUNIOR</t>
  </si>
  <si>
    <t>AV. BOLIVIA NRO. 148 CENTRO LIMA, STAND 2307</t>
  </si>
  <si>
    <t>45707629</t>
  </si>
  <si>
    <t>ROJAS ARANCEL JHOSEP MICHEL</t>
  </si>
  <si>
    <t>AV.  KM 11 CARRETERA CENTRAL MZ E LT 3</t>
  </si>
  <si>
    <t>76364240</t>
  </si>
  <si>
    <t>ROJAS ARELLANO EDWIN CELI</t>
  </si>
  <si>
    <t>CALLE FRANCISCO OLAZABAL 202</t>
  </si>
  <si>
    <t>Principal - 1071 - ELABORACIÓN DE PRODUCTOS DE PANADERÍA</t>
  </si>
  <si>
    <t>06925189</t>
  </si>
  <si>
    <t>ROJAS ARIAS ALIPIO FABIAN</t>
  </si>
  <si>
    <t>MZ. 59 LT. 4 - HUASCAR PARADERO 4</t>
  </si>
  <si>
    <t>80133424</t>
  </si>
  <si>
    <t>ROJAS BASTIDAS LUIS AURELIO</t>
  </si>
  <si>
    <t>AV. CENTRAL MZ B LOTE 3 REF. AV. CANTA CALLAO- PARADERO COCHERA</t>
  </si>
  <si>
    <t>41312487</t>
  </si>
  <si>
    <t>ROJAS CABOS ALFREDO CIRO</t>
  </si>
  <si>
    <t>ISIDRIO BONIFAZ 471 (DENTRO DE EMPRESA TENOFIL , COSTADO DE SENATI CENTRAL), LIMA, LIMA, INDEPENDENCIA</t>
  </si>
  <si>
    <t>09684698</t>
  </si>
  <si>
    <t>ROJAS CASTILLEJOS DE MESTANZA NINA SUSY</t>
  </si>
  <si>
    <t>AV. UNIVERSITARIA 799, LIMA, LIMA, SAN MARTÍN DE PORRES</t>
  </si>
  <si>
    <t>09474697</t>
  </si>
  <si>
    <t>ROJAS CHAMORRO GUMERCINDO</t>
  </si>
  <si>
    <t>AV. LOS ROSALES NRO 455</t>
  </si>
  <si>
    <t>20004119</t>
  </si>
  <si>
    <t>ROJAS CHAVESTA WILLIAM DANNY</t>
  </si>
  <si>
    <t>AGRP. LOS HIJOS DEL MISTI MZ. A LT. 9</t>
  </si>
  <si>
    <t>73335649</t>
  </si>
  <si>
    <t>ROJAS ENRIQUEZ JUAN DE DIOS</t>
  </si>
  <si>
    <t>AV. MALECON CHILLON MZ. A LT. 38-39</t>
  </si>
  <si>
    <t>07993688</t>
  </si>
  <si>
    <t>ROJAS ENRIQUEZ, JUAN DE DIOS</t>
  </si>
  <si>
    <t>ROJAS ESTRADA HENSLEY ESTELA</t>
  </si>
  <si>
    <t>JR. PARIACOTO 136</t>
  </si>
  <si>
    <t>76293827</t>
  </si>
  <si>
    <t>ROJAS ESTRADA, HENSLEY ESTELA</t>
  </si>
  <si>
    <t>ROJAS GONZALES LUIS ALBERTO</t>
  </si>
  <si>
    <t>AV. LAS PRENSAS N°232</t>
  </si>
  <si>
    <t>45690685</t>
  </si>
  <si>
    <t>ROJAS GONZALEZ ANA BARBARA</t>
  </si>
  <si>
    <t>CALLE PANAMA MZF LT 21</t>
  </si>
  <si>
    <t>63739662</t>
  </si>
  <si>
    <t>ROJAS HERRERA WHORLIYNTON JAGTH</t>
  </si>
  <si>
    <t>JR. LOS JASPES N° 162, LIMA, LIMA, LA VICTORIA</t>
  </si>
  <si>
    <t>40276637</t>
  </si>
  <si>
    <t>ROJAS HERRERA, WHORLIYNTON JAGTH</t>
  </si>
  <si>
    <t>ROJAS JARA JUAN GUALBERTO</t>
  </si>
  <si>
    <t>1 MZ. S-2 LT. 19 URB. - EL ALAMO, SEGUNDA ETAPA COMAS</t>
  </si>
  <si>
    <t>09475280</t>
  </si>
  <si>
    <t>ROJAS MARQUEZ ESNAIDER FREDDY</t>
  </si>
  <si>
    <t>AV. LOS OLIVOS MZ. P LT. 11 - S.M.P</t>
  </si>
  <si>
    <t>77222006</t>
  </si>
  <si>
    <t>ROJAS MIRABAL FELIX</t>
  </si>
  <si>
    <t>AV. PRÓCERES DE LA INDEPENDENCIA 3479 S.J.L.</t>
  </si>
  <si>
    <t>44513732</t>
  </si>
  <si>
    <t>ROJAS MIRABAL, FELIX</t>
  </si>
  <si>
    <t>ROJAS MOLLINEDO JACQUELYNE MARITZA</t>
  </si>
  <si>
    <t>JR. RIOBAMBA N° 790, LIMA, LIMA, SAN MARTIN DE PORRES</t>
  </si>
  <si>
    <t>74891873</t>
  </si>
  <si>
    <t>ROJAS MOLLINEDO, JACQUELYNE MARITZA</t>
  </si>
  <si>
    <t>ROJAS NAJARRO ARTEMIO CAMACHO</t>
  </si>
  <si>
    <t>AV. HUANDOY MZA PP2 LOTE 36 UBR.PUERTA DE PRO</t>
  </si>
  <si>
    <t xml:space="preserve"> 0657087</t>
  </si>
  <si>
    <t>ROJAS PASTOR MOISES FERNANDO</t>
  </si>
  <si>
    <t>JR. DANIEL HERNANDEZ NRO. 315 (FRENTE AL MERCADO)</t>
  </si>
  <si>
    <t>09637672</t>
  </si>
  <si>
    <t>ROJAS PASTOR, MOISES FERNANDO</t>
  </si>
  <si>
    <t>ROJAS PAZ ANGEL MARIANO</t>
  </si>
  <si>
    <t>AV SAN LORENZO MZ B - LT 8 - LOS ALAMOS 4 ETAPA</t>
  </si>
  <si>
    <t>28111057</t>
  </si>
  <si>
    <t>ROJAS PINEDA SANTIAGO CRISTOBAL</t>
  </si>
  <si>
    <t>AV. CINCUENTENARIO NRO. 1538</t>
  </si>
  <si>
    <t>15581324</t>
  </si>
  <si>
    <t>ROJAS POLLO CARLOS IVAN</t>
  </si>
  <si>
    <t>JR INDEPENDENCIA 140 ( PUERTA8 DEL HOSPITAL DEL NIÑO), BREÑA</t>
  </si>
  <si>
    <t>70458621</t>
  </si>
  <si>
    <t>ROJAS PRIMO CECILIA</t>
  </si>
  <si>
    <t>AV. SOLAR N° 132</t>
  </si>
  <si>
    <t>47431129</t>
  </si>
  <si>
    <t>ROJAS PRIMO, CECILIA</t>
  </si>
  <si>
    <t>ROJAS QUIROZ JHON ALEXANDER</t>
  </si>
  <si>
    <t>JR. NAZCA 279 JESÚS MARÍA</t>
  </si>
  <si>
    <t>10467066</t>
  </si>
  <si>
    <t>ROJAS RAFAEL CRISTIAN ANTONIO</t>
  </si>
  <si>
    <t>JR. WIGHET 266 - SUPE</t>
  </si>
  <si>
    <t>46231669</t>
  </si>
  <si>
    <t>ROJAS RIVERA JERSON FRANCISCO</t>
  </si>
  <si>
    <t>URB. LAS GARDENIAS DE PRO MZ. B LT. 8</t>
  </si>
  <si>
    <t>75368163</t>
  </si>
  <si>
    <t>ROJAS RIVERA, JERSON FRANCISCO</t>
  </si>
  <si>
    <t>ROJAS ROMANI JOSUE HARON</t>
  </si>
  <si>
    <t>MZ. A-6 LOTE 17 II ETAPA DE PANCHA PAULA</t>
  </si>
  <si>
    <t>45395865</t>
  </si>
  <si>
    <t>ROJAS SAMANIEGO DIEGO</t>
  </si>
  <si>
    <t>AV CANTA CALLAO MZ B LOTE 22 URB. LOS LIRIOS.</t>
  </si>
  <si>
    <t>47049526</t>
  </si>
  <si>
    <t>ROJAS SIESQUEN NOE</t>
  </si>
  <si>
    <t>AV. METROPOLITANA 491-405 SANTA ANITA</t>
  </si>
  <si>
    <t>27993483</t>
  </si>
  <si>
    <t>ROJAS SIMEON CESAR ROSENDO</t>
  </si>
  <si>
    <t>AV. AREVALO 992 CARRETERA CENTRAL KM 168 JUNIN YAULI SANTA ROSA DE SACCO</t>
  </si>
  <si>
    <t>YAULI</t>
  </si>
  <si>
    <t>SANTA ROSA DE SACCO</t>
  </si>
  <si>
    <t>21279365</t>
  </si>
  <si>
    <t>ROJAS TITO DANELLI ARMANDO</t>
  </si>
  <si>
    <t>JR PICHERT 136 S.M.P ANTES DE CRUCE AV. UNIVERSITARIA CON MAYOLO</t>
  </si>
  <si>
    <t>45053406</t>
  </si>
  <si>
    <t>ROJAS TITO, DANELLI ARMANDO</t>
  </si>
  <si>
    <t>ROJAS TRUJILLO VIRGINIA</t>
  </si>
  <si>
    <t>AV. ARGENTINA 144 CENTRO COMERCIAL UNICENTRO 2DO PISO 2113</t>
  </si>
  <si>
    <t>25502842</t>
  </si>
  <si>
    <t>ROJAS USQUIZA EBER ALEXANDER</t>
  </si>
  <si>
    <t>AV. ALFONSO UGARTE NRO. 252 INT. B-L (C.C. UNICENTRO PUERTA 4 B-L 42 1ER PISO)</t>
  </si>
  <si>
    <t>42904236</t>
  </si>
  <si>
    <t>ROJAS USQUIZA, EBER ALEXANDER</t>
  </si>
  <si>
    <t>ROJAS VALERIO MAIKOL</t>
  </si>
  <si>
    <t>CALLE BOLOGNESI NRO 205 (A 2 CDRAS DE LA PLAZA DE ARMAS CASA DE 2 PISOS)</t>
  </si>
  <si>
    <t>47818285</t>
  </si>
  <si>
    <t>ROJAS VARGAS JOSE MARIA</t>
  </si>
  <si>
    <t>A. GARZON 1279 INT. 126</t>
  </si>
  <si>
    <t>48785076</t>
  </si>
  <si>
    <t>ROJAS VARGAS, JOSE MARIA</t>
  </si>
  <si>
    <t>ROJAS VELASQUEZ DAVID PERCY</t>
  </si>
  <si>
    <t>JR. SANTA ELENA MZ B LT 21, URBANIZACIÓN SANTA ANA</t>
  </si>
  <si>
    <t>09628725</t>
  </si>
  <si>
    <t>ROJAS ZELA BUENA VENTURA CORNELIO</t>
  </si>
  <si>
    <t>AV. ARGENTINA  N° 575, LIMA, LIMA, LIMA</t>
  </si>
  <si>
    <t>08590081</t>
  </si>
  <si>
    <t>ROJAS ZELA, BUENA VENTURA CORNELIO</t>
  </si>
  <si>
    <t>ROMAN DIAZ ALICIA MARIBEL</t>
  </si>
  <si>
    <t>JR. VICENTE PANIZO 141 - AÑO NUEVO</t>
  </si>
  <si>
    <t>10743885</t>
  </si>
  <si>
    <t>ROMAN HIJUELA LEYTER ROLANDO</t>
  </si>
  <si>
    <t>AV LIMA MZ A LT1</t>
  </si>
  <si>
    <t>47613512</t>
  </si>
  <si>
    <t>ROMAN MIRANDA WILLIAM</t>
  </si>
  <si>
    <t>CRUCE DE 18 DE JULIO CON AV SALVADOR ALLENDE. A DOS CUADRAS DEL HOSPITAL DE SOLIDARIDAD DE VMT</t>
  </si>
  <si>
    <t>40233356</t>
  </si>
  <si>
    <t>ROMAN QUESADA JULIO</t>
  </si>
  <si>
    <t>AV SANTA ELVIRA N° 6085, LIMA, LIMA, LOS OLIVOS</t>
  </si>
  <si>
    <t>10390342</t>
  </si>
  <si>
    <t>ROMANI ROLDAN NAYSHA MILAGROS</t>
  </si>
  <si>
    <t>AV LORENZO DE ENCALADA N° 341 - URB. EL MANZANO</t>
  </si>
  <si>
    <t>77165539</t>
  </si>
  <si>
    <t>ROMANI SIVIPAUCAR TIMOTEO</t>
  </si>
  <si>
    <t>CALLE MAYOR JOSE ANDRES RAZURI 227 VILLA MARIA DEL TRIUNFO 15811</t>
  </si>
  <si>
    <t>FAB. DE CALZADO</t>
  </si>
  <si>
    <t>08256648</t>
  </si>
  <si>
    <t>ROMERO ARANDA ADA ELIZABETH</t>
  </si>
  <si>
    <t>CARRETERA HUAURA-SAYAN KM42 ANDAHUASI</t>
  </si>
  <si>
    <t>15700269</t>
  </si>
  <si>
    <t>ROMERO CASTRO MARCO ANTONIO</t>
  </si>
  <si>
    <t>URB. LOS CIPRECES C7</t>
  </si>
  <si>
    <t>40238244</t>
  </si>
  <si>
    <t>ROMERO CHERO JUAN ANTONIO</t>
  </si>
  <si>
    <t>FELIX B CARDENAS NRO 102</t>
  </si>
  <si>
    <t>15643413</t>
  </si>
  <si>
    <t>ROMERO CONTRERAS JUSTO ANDRES</t>
  </si>
  <si>
    <t>AV CANTO GRANDE 3666</t>
  </si>
  <si>
    <t>Principal - 8620 - ACTIVIDADES DE MÉDICOS Y ODONTÓLOGOS</t>
  </si>
  <si>
    <t>09559951</t>
  </si>
  <si>
    <t>ROMERO CUADROS JULIO ROLY</t>
  </si>
  <si>
    <t>AV. LAS PALMERAS N° 5707, LIMA, LIMA, LOS OLIVOS</t>
  </si>
  <si>
    <t>44551809</t>
  </si>
  <si>
    <t>ROMERO CUADROS, JULIO ROLY</t>
  </si>
  <si>
    <t>ROMERO DIESTRA JUAN JACINTO</t>
  </si>
  <si>
    <t>AV. EMANCIPACION 948 INT.40</t>
  </si>
  <si>
    <t>71010302</t>
  </si>
  <si>
    <t>ROMERO HUAYTALLA ANDRES VALERIO</t>
  </si>
  <si>
    <t>JR. LOS ANGELES S/N (COSTADO DEL CEMENTERIO)</t>
  </si>
  <si>
    <t>46066275</t>
  </si>
  <si>
    <t>ROMERO HURTADO ALBERTO TEODOCEO</t>
  </si>
  <si>
    <t>ANTIGUA PANAMERICANA SUR KM 145</t>
  </si>
  <si>
    <t>15358026</t>
  </si>
  <si>
    <t>ROMERO LECHON MARCO JACINTO</t>
  </si>
  <si>
    <t>JR VIALE KM 145 ANT PANAMERICANA SUR, LIMA, CAÑETE, SAN VICENTE CAÑETE</t>
  </si>
  <si>
    <t>46685879</t>
  </si>
  <si>
    <t>ROMERO MEJIA DE RODRIGUEZ LUZ HERMILA</t>
  </si>
  <si>
    <t>MZ B LOTE 13, 2°ETAPA, ASOCIACION DE VIVIENDAS CHILLON.</t>
  </si>
  <si>
    <t>10408686</t>
  </si>
  <si>
    <t>ROMERO MEJIA JACQUELINE STIVY</t>
  </si>
  <si>
    <t>AV, LOS NATURALES N° 460 CON AV. CIRCUNVALACION NORTE, CALLAO, CALLAO, VENTANILLA</t>
  </si>
  <si>
    <t>48159238</t>
  </si>
  <si>
    <t>ROMERO MEJIA, JACQUELINE STIVY</t>
  </si>
  <si>
    <t>ROMERO MORENO MOISES ANTHONY</t>
  </si>
  <si>
    <t>MERC. COOPERATIVA STAND 429 URB. SAN PEDRO, LIMA, LIMA, PUENTE PIEDRA</t>
  </si>
  <si>
    <t>75920464</t>
  </si>
  <si>
    <t>ROMERO MORENO, MOISES ANTHONY</t>
  </si>
  <si>
    <t>ROMERO PERALTA WILMER</t>
  </si>
  <si>
    <t>AV. 12 DE OCTUBRE 2050 LIBERTADORES. SMP. CRUCE CON AV. ANTUNEZ DE MAYOLO. LAS VAQUITAS</t>
  </si>
  <si>
    <t>40542582</t>
  </si>
  <si>
    <t>ROMERO RODRIGUEZ ELSA RAQUEL</t>
  </si>
  <si>
    <t>MZ. A LOTE 09 (10) ASOC. VILLA CAUDIVILLA</t>
  </si>
  <si>
    <t>41782437</t>
  </si>
  <si>
    <t>ROMERO RODRIGUEZ EMER ELEODORO</t>
  </si>
  <si>
    <t>CALLE SANTA CAROLINA 589 URB. PALAO 2DA ETAPA</t>
  </si>
  <si>
    <t>10674540</t>
  </si>
  <si>
    <t>ROMERO RUPAY WALTER JAYRO</t>
  </si>
  <si>
    <t>CALLE ANSELMO ANDIA 503-URB, SANTA LUZMILA</t>
  </si>
  <si>
    <t>73982044</t>
  </si>
  <si>
    <t>ROMERO SILVA MATIAS EDILBERTO</t>
  </si>
  <si>
    <t>CA. CEDROS MZ. E2 LT. 40 ALAMEDA DEL NORTE, LIMA, LIMA, PUENTE PIEDRA</t>
  </si>
  <si>
    <t>09205790</t>
  </si>
  <si>
    <t>ROMERO SILVA, MATIAS EDILBERTO</t>
  </si>
  <si>
    <t>ROMERO VALENZUELA DEIVI WILIAM</t>
  </si>
  <si>
    <t>JR. ALFONSO UGARTE NRO. 365</t>
  </si>
  <si>
    <t>40769818</t>
  </si>
  <si>
    <t>ROMISONCCO INAUSI HAYDEE</t>
  </si>
  <si>
    <t>PROLONGACION SAN JUAN  MZ Z10 LT6 , LIMA, LIMA, SAN JUAN DE MIRAFLORES</t>
  </si>
  <si>
    <t>09583880</t>
  </si>
  <si>
    <t>ROMUALDO SAAVEDRA JOSE LUIS</t>
  </si>
  <si>
    <t>JIRÓN ARICA 133, CALLAO, CALLAO, CALLAO</t>
  </si>
  <si>
    <t>40921763</t>
  </si>
  <si>
    <t>RONCAL LAOS JHUNIOR YEFERSON</t>
  </si>
  <si>
    <t>PROG. VIV. SAN FRANCISCO MZ D LOTE 01, LIMA, LIMA, CARABAYLLO</t>
  </si>
  <si>
    <t>47296164</t>
  </si>
  <si>
    <t>RONCAL LAOS, JHUNIOR YEFERSON</t>
  </si>
  <si>
    <t>RONDON ZORRILLA AURORA ROXANA</t>
  </si>
  <si>
    <t>JR. BOLOGNESI N°121, LIMA, BARRANCA, BARRANCA</t>
  </si>
  <si>
    <t>46906198</t>
  </si>
  <si>
    <t>ROQUE FUERTES DE NUÑEZ DEL PRADO ZOILA ANTONIA</t>
  </si>
  <si>
    <t>AV. GUARDIA CIVIL MZA. K-1 LOTE 1A-5 URB. LA CAMPIÑA (COSTADO ESCUELA DE OFICI. DE LA POLICIA))</t>
  </si>
  <si>
    <t>08381774</t>
  </si>
  <si>
    <t>ROQUE MONTERO MARILU</t>
  </si>
  <si>
    <t>MZ 2 LT 6 URBANIZACIÓN SAN ANTONIO DE CARAPONGO (CHOSICA)</t>
  </si>
  <si>
    <t>42236079</t>
  </si>
  <si>
    <t>ROQUE VIVAR ABEL ARISTEDES</t>
  </si>
  <si>
    <t>AV. TUPAC AMARU NRO 7428 AÑO NUEVO</t>
  </si>
  <si>
    <t>10216485</t>
  </si>
  <si>
    <t>ROSALES CANCHARI KENNY DJAMEL</t>
  </si>
  <si>
    <t>PROLONG HUANUCO 2010</t>
  </si>
  <si>
    <t>47804224</t>
  </si>
  <si>
    <t>ROSALES CORNELIO JULIAN FERNANDO</t>
  </si>
  <si>
    <t>JR. JOSE OLAYA N°151 (02 PISO OF.03), LIMA, BARRANCA, BARRANCA</t>
  </si>
  <si>
    <t>15637404</t>
  </si>
  <si>
    <t>ROSALES DIAZ GIOVANNI</t>
  </si>
  <si>
    <t>AV. 23 DE SETIEMBRE CON PASAJE ALFA # 144</t>
  </si>
  <si>
    <t xml:space="preserve"> 4240607</t>
  </si>
  <si>
    <t>ROSALES JULCARIMA HILDA A</t>
  </si>
  <si>
    <t>JR SAENZ PEÑA 141INT.108</t>
  </si>
  <si>
    <t>08922147</t>
  </si>
  <si>
    <t>ROSALES POLONIO DE ROSALES FLOR DE MARIA</t>
  </si>
  <si>
    <t>JR. MANCO CAPAC 360</t>
  </si>
  <si>
    <t>43773644</t>
  </si>
  <si>
    <t>ROSALES REYES AMELIA MARIBEL</t>
  </si>
  <si>
    <t>25 ENERO MZ C LT 17 B URB .STA ROSA DE INFANTES</t>
  </si>
  <si>
    <t>32973402</t>
  </si>
  <si>
    <t>ROSALES TAYPE MARIBEL ROSARIO</t>
  </si>
  <si>
    <t>JR GAMARRA-GALERIA YUYI 5TO PISO</t>
  </si>
  <si>
    <t>20041189</t>
  </si>
  <si>
    <t>ROSAS MANDUJANO JUAN MARINO</t>
  </si>
  <si>
    <t>AV LOS INCAS MZ G LOTE 10 B EL DESCANSO</t>
  </si>
  <si>
    <t>42040547</t>
  </si>
  <si>
    <t>ROSAS REYES WIHELMER AGUSTIN</t>
  </si>
  <si>
    <t>CAL. HUASCAR NRO. 120 URB. - TAHUANTINSUYO</t>
  </si>
  <si>
    <t>07143428</t>
  </si>
  <si>
    <t>RUA ROJAS ISRAEL ALDRIN</t>
  </si>
  <si>
    <t>MZ. O LOTE 11 SECTOR C3 PROYECTO PILOTO PACHACUTEC</t>
  </si>
  <si>
    <t>43124928</t>
  </si>
  <si>
    <t>RUBINA DIAZ JESUS ANDRES</t>
  </si>
  <si>
    <t>AV. ARGENTINA N° 144 TIENDA 1408</t>
  </si>
  <si>
    <t>47867045</t>
  </si>
  <si>
    <t>RUBINA DIAZ, JESUS ANDRES</t>
  </si>
  <si>
    <t>RUEDA CAMPOS LUIS ADRIAN</t>
  </si>
  <si>
    <t>MZA. I LOTE. 173 URB. CASABLANCA (SUBLT. 7 - ALT. AV. VICTOR MALASQUEZ)</t>
  </si>
  <si>
    <t>10497571</t>
  </si>
  <si>
    <t>RUEDA GRANADOS EDGAR ANIBAL</t>
  </si>
  <si>
    <t>MZ.J LT.5A ASOCIACIÓN BRISAS DE SANTA ROSA</t>
  </si>
  <si>
    <t>10439866</t>
  </si>
  <si>
    <t>RUFINO MARTINEZ DAVID JESUS</t>
  </si>
  <si>
    <t>CALLE LOS ALAMOS N° 149 (POR LA IGLESIA DE LOS MORMONES)</t>
  </si>
  <si>
    <t>07308403</t>
  </si>
  <si>
    <t>RUIZ ALZAMORA JAIME</t>
  </si>
  <si>
    <t>CHAQUILA KM. 280</t>
  </si>
  <si>
    <t>15710358</t>
  </si>
  <si>
    <t>RUIZ CERON MEDARDO</t>
  </si>
  <si>
    <t>URB. SAN MERCEDES  MZ. A LOTE 6 EL AGUSTINO-ATE</t>
  </si>
  <si>
    <t>40064852</t>
  </si>
  <si>
    <t>RUIZ DIAZ MARIA ROSALIA</t>
  </si>
  <si>
    <t>AV. JOSE PARDO N° 329 - DPTO 901</t>
  </si>
  <si>
    <t>09296778</t>
  </si>
  <si>
    <t>RUIZ HORNA LUIS ANGEL</t>
  </si>
  <si>
    <t>MZ. A  LT.4 AAHH. 9 DE OCTUBRE, PARADERO LA COCA COLA ( ENTRE AV TUPAC AMARU CON IZAGUIRRE)</t>
  </si>
  <si>
    <t>40857143</t>
  </si>
  <si>
    <t>RUIZ JARAMILLO YOLANDA</t>
  </si>
  <si>
    <t>HUÁNUCO 1601 URBANIZACIÓN SAN PABLO OFICINA 80</t>
  </si>
  <si>
    <t>09338868</t>
  </si>
  <si>
    <t>RUIZ MANGUINURI HENRY BILL</t>
  </si>
  <si>
    <t>AH CHAMBALA MZ H LOTE 9 A LURIGANCHO</t>
  </si>
  <si>
    <t>46426477</t>
  </si>
  <si>
    <t>RUIZ MANGUINURI, HENRY BILL</t>
  </si>
  <si>
    <t>RUIZ RONDINEL EMERENCIANA ERLINDA</t>
  </si>
  <si>
    <t>CALLE LOS FLAMENCOS, LIMA, LIMA, ATE</t>
  </si>
  <si>
    <t>40891580</t>
  </si>
  <si>
    <t>RUIZ TOLEDO INGRID VANESSA</t>
  </si>
  <si>
    <t>ADÁN ACEVEDO C.C. ACOMERSUR STAND E 40-41</t>
  </si>
  <si>
    <t>72128989</t>
  </si>
  <si>
    <t>RUJEL GARCIA EDWIN JESUS</t>
  </si>
  <si>
    <t>JIRON JOAQUIN CAPELLO 328, SAN MARTIN DE PORRES 15102</t>
  </si>
  <si>
    <t>70913912</t>
  </si>
  <si>
    <t>SAAVEDRA CORONADO FIDELA</t>
  </si>
  <si>
    <t>AV. NICOLAS AYLLON N° 1664-B</t>
  </si>
  <si>
    <t>06968834</t>
  </si>
  <si>
    <t>SAAVEDRA CORONADO, FIDELA</t>
  </si>
  <si>
    <t>SAAVEDRA CURIPUMA CONSUELO AURORA</t>
  </si>
  <si>
    <t>LOS CIPRECES NO. 336</t>
  </si>
  <si>
    <t>40124810</t>
  </si>
  <si>
    <t>SAAVEDRA DE LA CRUZ RODOLFO PASTOR</t>
  </si>
  <si>
    <t>AV. PACASMAYO MZ. M LT. 1 URBANIZACION LOS JASMINES 3ER ETAPA</t>
  </si>
  <si>
    <t>28204702</t>
  </si>
  <si>
    <t>SAAVEDRA MENDOZA CESAR JASSON JUDA</t>
  </si>
  <si>
    <t>CALLE LIBERTAD 452 AMAY</t>
  </si>
  <si>
    <t>45860656</t>
  </si>
  <si>
    <t>SACSARA MARCOS JACKELINE YOVANA</t>
  </si>
  <si>
    <t>PASAJE VILLA MARÍA 117 A.H.C.-CERRO EL AGUSTINO</t>
  </si>
  <si>
    <t>70489053</t>
  </si>
  <si>
    <t>SAENZ LEON JUAN CARLOS</t>
  </si>
  <si>
    <t>CALLE SAN ANDRÉS MZ F LT 1 URB. SANTA MARTA</t>
  </si>
  <si>
    <t>FABRICACIÓN DE OTROS PRODUCTOS DE MADERA; FABRICACIÓN DE ARTÍCULOS DE CORCHO, PAJA Y MATERIALES TRENZABLES</t>
  </si>
  <si>
    <t>09933073</t>
  </si>
  <si>
    <t>SAENZ LEON, JUAN CARLOS</t>
  </si>
  <si>
    <t>SAIRE PARIONA LUIS</t>
  </si>
  <si>
    <t>AV. LOS PINOS LOT CHILLON MZA. E LOTE. 6, LIMA, LIMA, PUENTE PIEDRA</t>
  </si>
  <si>
    <t>08619276</t>
  </si>
  <si>
    <t>SAIRE PARIONA, LUIS</t>
  </si>
  <si>
    <t>SAIRE ZAMBRANO JORGE MARCIAL</t>
  </si>
  <si>
    <t>JR. RIO TUMBES NRO. 241, LIMA, LIMA, SAN LUIS</t>
  </si>
  <si>
    <t>42404210</t>
  </si>
  <si>
    <t>SAL Y ROSAS MARTINEZ LIZ MARLENE</t>
  </si>
  <si>
    <t>PASAJE LEONCIO PRADO NRO. 168</t>
  </si>
  <si>
    <t>45349699</t>
  </si>
  <si>
    <t>SALAMBAY CRUZ ELVIS LUIS</t>
  </si>
  <si>
    <t>AV BOLIVIA 180 INT 106 CC WILSON PLAZA</t>
  </si>
  <si>
    <t>43970184</t>
  </si>
  <si>
    <t>SALAS BRICEÑO ROBERTO MANUEL</t>
  </si>
  <si>
    <t>ENRIQUE PALACIOS N°255</t>
  </si>
  <si>
    <t>15864838</t>
  </si>
  <si>
    <t>SALAS CACERES WILSON</t>
  </si>
  <si>
    <t>42898721</t>
  </si>
  <si>
    <t>SALAS CELIS GLADYS</t>
  </si>
  <si>
    <t>AV. LEONCIO PRADO 1015, MAGDALENA DEL MAR</t>
  </si>
  <si>
    <t>Principal - 5610 - ACTIVIDADES DE RESTAURANTES Y DE SERVICIO MÓVIL DE COMIDAS</t>
  </si>
  <si>
    <t>00819564</t>
  </si>
  <si>
    <t>SALAS DOMINGUEZ HAYDEE MARITZA</t>
  </si>
  <si>
    <t>JR. LIMA NRO 933 - B, LIMA, BARRANCA, BARRANCA</t>
  </si>
  <si>
    <t>15848884</t>
  </si>
  <si>
    <t>SALAS FLORES YULISA</t>
  </si>
  <si>
    <t>JR. CUSCO 626 INT. 2240</t>
  </si>
  <si>
    <t>41316034</t>
  </si>
  <si>
    <t>SALAS OSORIO PILAR AQUILA</t>
  </si>
  <si>
    <t>AV. MEXICO 126</t>
  </si>
  <si>
    <t>32485975</t>
  </si>
  <si>
    <t>SALAS REATEGUI KLAUS MILWAR</t>
  </si>
  <si>
    <t>JR. SAN PEDRO 1011 SURQUILLO</t>
  </si>
  <si>
    <t>44506463</t>
  </si>
  <si>
    <t>SALAS SANTI FLOR DE MARIA</t>
  </si>
  <si>
    <t>AV INCA GARCILAZO DE LA VEGA N° 1236 STAND 102-S MAXI PLAZA CERCADO DE LIMA</t>
  </si>
  <si>
    <t>45947948</t>
  </si>
  <si>
    <t>SALAS SOSA DEYSI MERCEDES</t>
  </si>
  <si>
    <t>JR. LAS MAGNOLIAS N° 150</t>
  </si>
  <si>
    <t>09039676</t>
  </si>
  <si>
    <t>SALAS SOSA, DEYSI MERCEDES</t>
  </si>
  <si>
    <t>SALAS TORRES JUAN CARLOS</t>
  </si>
  <si>
    <t>AV. INDUSTRIAL-CALLE A N°3623</t>
  </si>
  <si>
    <t>10189530</t>
  </si>
  <si>
    <t>SALAZAR ABANTO MARIA YOLANDA</t>
  </si>
  <si>
    <t>CALLE LOS SAUCES E-05 URBANIZACIÓN SEMI RÚSTICA CANTO GRANDE REFERENCIA AV SANTA ROSA SAN JUAN DE LURIGANCHO</t>
  </si>
  <si>
    <t>44641894</t>
  </si>
  <si>
    <t>SALAZAR AGAPITO PABLO CESAR</t>
  </si>
  <si>
    <t>AV. TUPAC AMARU 4258 KM 14 AÑO NUEVO - S.P. DE CAJAS, LIMA, LIMA, COMAS</t>
  </si>
  <si>
    <t>16754854</t>
  </si>
  <si>
    <t>SALAZAR ARRIAGA CARLOS ALBERTO</t>
  </si>
  <si>
    <t>MZ.D1 LOTE.02 . AH. DANIEL ALCIDES CARRION - CRUCE AV. TOMAS VALLE CON AV. UNIVERSITARIA</t>
  </si>
  <si>
    <t>07757901</t>
  </si>
  <si>
    <t>SALAZAR GONZALES EDUARDO</t>
  </si>
  <si>
    <t>AV. REPUBLICA DE POLONIA MZA. K1 LOTE 51 APV. LOS PINOS</t>
  </si>
  <si>
    <t>10722850</t>
  </si>
  <si>
    <t>SALAZAR GUEVARA YAMIL MICHEL</t>
  </si>
  <si>
    <t>AV. ANGELICA GAMARRA , N°2039 - SAN MARTIN DE PORRES</t>
  </si>
  <si>
    <t>43461489</t>
  </si>
  <si>
    <t>SALAZAR HUAYRA WENDY ANGIE</t>
  </si>
  <si>
    <t>JR. SANTA CARLA 113 LIMA 15103 URB. PALAO</t>
  </si>
  <si>
    <t>44804932</t>
  </si>
  <si>
    <t>SALAZAR LA TORRE MANUEL FELIPE</t>
  </si>
  <si>
    <t>CALLE 2 MZ. 7 LT. 20 URB. SATELITE, CALLAO, CALLAO, CALLAO</t>
  </si>
  <si>
    <t>25689240</t>
  </si>
  <si>
    <t>SALAZAR LA TORRE, MANUEL FELIPE</t>
  </si>
  <si>
    <t>SALAZAR MANDARE LUIS ANDRES</t>
  </si>
  <si>
    <t>AV. SAN MARTIN S/N - HUMAYA</t>
  </si>
  <si>
    <t>74249751</t>
  </si>
  <si>
    <t>SALAZAR MINAYA JOSE LUIS</t>
  </si>
  <si>
    <t>CAR. PAN. NORTE KM 197 (REF. GRIFO PETRO PERU)</t>
  </si>
  <si>
    <t>15682336</t>
  </si>
  <si>
    <t>SALAZAR ROJAS JHIMY BRYAN</t>
  </si>
  <si>
    <t>AV. 24 DE SETIEMBRE MZ K LOTE 12 - ASOC. PRO VIVIENDA CAMPO SOL</t>
  </si>
  <si>
    <t>72175345</t>
  </si>
  <si>
    <t>SALAZAR TAFUR CRUZ</t>
  </si>
  <si>
    <t>AV. CAUDIVILLA MZ. G LT. 10 REF. PARADERO HACIENDA</t>
  </si>
  <si>
    <t>09548174</t>
  </si>
  <si>
    <t>SALAZAR TAFUR, CRUZ</t>
  </si>
  <si>
    <t>SALAZAR TAPIA HANS DAVES</t>
  </si>
  <si>
    <t>JR. BENJAMIN QUIROGA 548</t>
  </si>
  <si>
    <t>45027543</t>
  </si>
  <si>
    <t>SALAZAR VILLAFUERTE MARIA YSABEL</t>
  </si>
  <si>
    <t>CALLE LOS LIRIOS MZ B, LOTE 21, EX FUNDO SANTA ROSA - LURÍN (FRENTE AL GRIFO DE PETRO PERÚ)</t>
  </si>
  <si>
    <t>09682928</t>
  </si>
  <si>
    <t>SALCEDO CAQUI ELIZABETH</t>
  </si>
  <si>
    <t>CALLE LOS GORRIONES NRO 193, LIMA, LIMA, EL AGUSTINO</t>
  </si>
  <si>
    <t>43413095</t>
  </si>
  <si>
    <t>SALCEDO CAQUI, ELIZABETH</t>
  </si>
  <si>
    <t>SALCEDO CARRILLO JOSE CLEMENTE</t>
  </si>
  <si>
    <t>MZ K PRIMA01 LT. 03A PROYECTO PILOTO NUEVO PACHACÚTEC SC. B4, CALLAO, CALLAO, VENTANILLA</t>
  </si>
  <si>
    <t>06778418</t>
  </si>
  <si>
    <t>SALCEDO CASTRO RICARDO DANIEL</t>
  </si>
  <si>
    <t>MZ L4 LOTE 44 - CERCADO DE LIMA</t>
  </si>
  <si>
    <t>74065853</t>
  </si>
  <si>
    <t>SALCEDO ROCA WALTER JHONATAN</t>
  </si>
  <si>
    <t>GUILLERMO GERALDINO CD. 23 N° 1617</t>
  </si>
  <si>
    <t>SALCEDO ROCA, WALTER JHONATAN</t>
  </si>
  <si>
    <t>SALCEDO VILLANUEVA LENIN</t>
  </si>
  <si>
    <t>MZ B LOTE 1 ASOC VIV. LOS PORTALES, LIMA, LIMA, PUENTE PIEDRA</t>
  </si>
  <si>
    <t>40671232</t>
  </si>
  <si>
    <t>SALDIVAR TTUPA SILVESTRE</t>
  </si>
  <si>
    <t>CAR. ANTIGUA PANAMERICANA NORTE - CHAQUILA N° 225 (ANTES DE LLEGAR AL COLEGIO MICHEL)</t>
  </si>
  <si>
    <t>44976105</t>
  </si>
  <si>
    <t>SILVESTRE SALDIVAR TTUPA</t>
  </si>
  <si>
    <t>SALGADO LEZAMETA MICHAEL WINKLER</t>
  </si>
  <si>
    <t>AV. INCA GARCALAZO DE LA VEGA N° 1282 INT. 315</t>
  </si>
  <si>
    <t>41582211</t>
  </si>
  <si>
    <t>SALGADO LEZAMETA, MICHAEL WINKLER</t>
  </si>
  <si>
    <t>SALGADO MARTINEZ HUBER NILTON</t>
  </si>
  <si>
    <t>CALLE LOS VARAYOC 110 ZARATE</t>
  </si>
  <si>
    <t>09569737</t>
  </si>
  <si>
    <t>SALINAS ELESCANO LUZ MERY</t>
  </si>
  <si>
    <t>CARRETERA CENTRAL. KM 13.5. PARADERO CARAPONGO</t>
  </si>
  <si>
    <t>21136499</t>
  </si>
  <si>
    <t>SALINAS GONZALES WILDER ALFREDO</t>
  </si>
  <si>
    <t>AV. JOSFEL PSJE.LOBATON N°200</t>
  </si>
  <si>
    <t>75985743</t>
  </si>
  <si>
    <t>SALINAS GUERE OMAR ELVIS</t>
  </si>
  <si>
    <t>AV. PERU 4537 INT. A A.H. BOCANEGRA</t>
  </si>
  <si>
    <t>47371661</t>
  </si>
  <si>
    <t>SALINAS GUERE, OMAR ELVIS</t>
  </si>
  <si>
    <t>SALIRROSAS VASQUEZ SARA ISABEL</t>
  </si>
  <si>
    <t>JR. MICAELA BASTIDAS N° 625, LIMA, LIMA, COMAS</t>
  </si>
  <si>
    <t>09017571</t>
  </si>
  <si>
    <t>SALIRROSAS VASQUEZ, SARA ISABEL</t>
  </si>
  <si>
    <t>SALOME CATAY SOLEDAD MARISOL</t>
  </si>
  <si>
    <t>AV. TUPAC AMARU N° 1902, LIMA, LIMA, INDEPENDENCIA</t>
  </si>
  <si>
    <t>40231831</t>
  </si>
  <si>
    <t>SALOME CATAY, SOLEDAD MARISOL</t>
  </si>
  <si>
    <t>SALOME LALE GERSON DANTE</t>
  </si>
  <si>
    <t>AA.HH LOS LICENCIADOS MZ O LT 5</t>
  </si>
  <si>
    <t>41166811</t>
  </si>
  <si>
    <t>SALOME LALE, GERSON DANTE</t>
  </si>
  <si>
    <t>SALVA CRUZ LUIS ANTONY</t>
  </si>
  <si>
    <t>JIRON JOSE BALTA 105</t>
  </si>
  <si>
    <t>41599269</t>
  </si>
  <si>
    <t>SALVA CRUZ, LUIS ANTONY</t>
  </si>
  <si>
    <t>SALVADOR ARENAS MARICELY</t>
  </si>
  <si>
    <t>AV GARCILAZO DELA VEGA 1342, LIMA</t>
  </si>
  <si>
    <t>07510801</t>
  </si>
  <si>
    <t>Maricely Salvador Arenas</t>
  </si>
  <si>
    <t>SALVADOR AYBAR OSCAR YOEL</t>
  </si>
  <si>
    <t>CENTRO POBLADO MENOR LA ESMERALDA MZC LO 8</t>
  </si>
  <si>
    <t>42164037</t>
  </si>
  <si>
    <t>SALVADOR CACERES AGUSTIN ELADIO</t>
  </si>
  <si>
    <t>AV. 13 DE ENERO N° 1634 URB. INCA MANCO CÁPAC 2° ETAPA</t>
  </si>
  <si>
    <t>10516023</t>
  </si>
  <si>
    <t>SALVADOR DIAZ JESUS ENRIQUE</t>
  </si>
  <si>
    <t>28 DE JULIO 111, LIMA, HUAURA, HUACHO</t>
  </si>
  <si>
    <t>15741625</t>
  </si>
  <si>
    <t>SALVADOR FERNANDEZ RAUL ANDRES</t>
  </si>
  <si>
    <t>AV. BOLIVIA 148 INT 2183- 2DO NIVEL</t>
  </si>
  <si>
    <t>72721619</t>
  </si>
  <si>
    <t>SALVADOR FERNANDEZ, RAUL ANDRES</t>
  </si>
  <si>
    <t>SALVADOR JAUREGUI YESENIA JENNY</t>
  </si>
  <si>
    <t>AV. SAN MARTIN MZ. B LT. 14B</t>
  </si>
  <si>
    <t>10876178</t>
  </si>
  <si>
    <t>SALVADOR JAUREGUI, YESENIA JENNY</t>
  </si>
  <si>
    <t>SALVADOR PORTAL YESSY MIRTHA</t>
  </si>
  <si>
    <t>CALLE MARIANO MELGAR N° 264 (REF. COSTADO TALLER CHERREPANO)</t>
  </si>
  <si>
    <t>47479696</t>
  </si>
  <si>
    <t>SALVATIERRA LAURA CARLOS JESUS</t>
  </si>
  <si>
    <t>AA.HH CORAZON DE JESUS MZ. M LT. 10, LIMA, LIMA, SAN JUAN DE LURIGANCHO</t>
  </si>
  <si>
    <t>10656973</t>
  </si>
  <si>
    <t>SALVATIERRA LAURA, CARLOS JESUS</t>
  </si>
  <si>
    <t>SALVATIERRA NINA CLEMENTE</t>
  </si>
  <si>
    <t>AV. CESAR VALLEJO N° 599</t>
  </si>
  <si>
    <t>08919891</t>
  </si>
  <si>
    <t>SALVATIERRA REYMUNDO KARINA JANNET</t>
  </si>
  <si>
    <t>AV. LAS TORRES DE MELGAR AA.HH. TORRES DE MELGAR MZ. N LT. 12 (PARADERO LA "W")</t>
  </si>
  <si>
    <t>43215580</t>
  </si>
  <si>
    <t>SAMAME SANCHEZ JOSE RODOLFO</t>
  </si>
  <si>
    <t>SECTOR 3 GRUPO 8 MZ. J LT. 19</t>
  </si>
  <si>
    <t>72437404</t>
  </si>
  <si>
    <t>SAMAN CABRERA RAQUEL NATHALY</t>
  </si>
  <si>
    <t>AV. BUENOS AIRES NRO. 278 OFICINA 202</t>
  </si>
  <si>
    <t>45397738</t>
  </si>
  <si>
    <t>SAMAN RAMOS ERNESTO PAULO</t>
  </si>
  <si>
    <t>JR. YUNGAY N° 1648 URB. CHACRA RIO NORTE, LIMA, LIMA, CERCADO DE LIMA</t>
  </si>
  <si>
    <t>09896241</t>
  </si>
  <si>
    <t>SAMANAMUD QUISPE NANCY ELVIA</t>
  </si>
  <si>
    <t>AV. TUPAC AMARU 407</t>
  </si>
  <si>
    <t>15742363</t>
  </si>
  <si>
    <t>SAMANIEGO ARAUJO ALAN ALEJANDRO</t>
  </si>
  <si>
    <t>AV. LIMA SUR 1222-LT 1-4 LURIGANCHO -CHOSICA</t>
  </si>
  <si>
    <t>43698012</t>
  </si>
  <si>
    <t>SAMANIEGO CHUCOS ADELA</t>
  </si>
  <si>
    <t>CALLE LANCASTER MZO LOTE 2B</t>
  </si>
  <si>
    <t>20063279</t>
  </si>
  <si>
    <t>SANCHEZ AGUILAR MIGUEL ANGEL</t>
  </si>
  <si>
    <t>CALLE PANAMERICANA MZ. B  LT. 2A (REF. FERRETERIA MIKY)</t>
  </si>
  <si>
    <t>40486564</t>
  </si>
  <si>
    <t>SANCHEZ ALVARADO ALEXANDER JOSE</t>
  </si>
  <si>
    <t>AV. UNIVERSITARIA NORTE Nº8649 - COMAS - FRENTE AL PARQUE SINCHI ROCA</t>
  </si>
  <si>
    <t>45139950</t>
  </si>
  <si>
    <t>SANCHEZ ARATA JUAN MANUEL</t>
  </si>
  <si>
    <t>ANEXO SAN JERONIMO</t>
  </si>
  <si>
    <t>22319262</t>
  </si>
  <si>
    <t>SANCHEZ ARIZA AYDE</t>
  </si>
  <si>
    <t>AV. ANDRES AVELINO CACERES N° 110 A.H. AÑO NUEVO.</t>
  </si>
  <si>
    <t>45149414</t>
  </si>
  <si>
    <t>SANCHEZ AYASTA FRANCISCO MANUEL</t>
  </si>
  <si>
    <t>MZA. ÑA LOTE. 06 ASC. DE COMUNEROS POSESIONARIO</t>
  </si>
  <si>
    <t>76330193</t>
  </si>
  <si>
    <t>SANCHEZ AYASTA, FRANCISCO MANUEL</t>
  </si>
  <si>
    <t>SANCHEZ BRAVO CARLOS ALBERTO</t>
  </si>
  <si>
    <t>CALLE LOS QUEROS 7439</t>
  </si>
  <si>
    <t>40039232</t>
  </si>
  <si>
    <t>SANCHEZ CALAGUA ZAIDA PAOLA</t>
  </si>
  <si>
    <t>CALLE SAN MARTIN #304  SAN LUIS CAÑETE</t>
  </si>
  <si>
    <t>40261873</t>
  </si>
  <si>
    <t>SANCHEZ CAMPOS JOSE LUIS</t>
  </si>
  <si>
    <t>MZA. 79 LOTE 3  URB. TORRE BLANCA, LIMA, LIMA, CARABAYLLO</t>
  </si>
  <si>
    <t>10393269</t>
  </si>
  <si>
    <t>SANCHEZ CAYCHO SYHARA YSABEL</t>
  </si>
  <si>
    <t>MZ GL32 BARRIO CERRO DE ORO</t>
  </si>
  <si>
    <t>74095511</t>
  </si>
  <si>
    <t>SANCHEZ CHAVEZ CESAR WILLY</t>
  </si>
  <si>
    <t>AV. JOSÉ BALTA 1412, CHICLAYO 14001</t>
  </si>
  <si>
    <t>46136512</t>
  </si>
  <si>
    <t>SANCHEZ CHAVEZ YONATHAN ALEXANDER</t>
  </si>
  <si>
    <t>MANUEL GONZALES PRADA NRO 826</t>
  </si>
  <si>
    <t>44794066</t>
  </si>
  <si>
    <t>SANCHEZ CHUMPISUCA OSCAR WILSON</t>
  </si>
  <si>
    <t>PARCELA B-35 MZ E LT 1, EX FUNDO SAN VICENTE LURIN</t>
  </si>
  <si>
    <t>41180562</t>
  </si>
  <si>
    <t>SANCHEZ CHUMPISUCA, OSCAR WILSON</t>
  </si>
  <si>
    <t>SANCHEZ CONDE NORITH CRISTINA</t>
  </si>
  <si>
    <t>AV.ALISOS MZ. K LT. 1 OQUENDO</t>
  </si>
  <si>
    <t>42388402</t>
  </si>
  <si>
    <t>SANCHEZ CONDE, NORITH CRISTINA</t>
  </si>
  <si>
    <t>SANCHEZ CORDOVA REYLEN</t>
  </si>
  <si>
    <t>AV. ALFREDO MENDIOLA N° 5877</t>
  </si>
  <si>
    <t>SANCHEZ CORDOVA, REYLEN</t>
  </si>
  <si>
    <t>SANCHEZ CUBA JUAN ALONSO</t>
  </si>
  <si>
    <t>MANUEL ITURREGUI 447</t>
  </si>
  <si>
    <t>40638276</t>
  </si>
  <si>
    <t>SANCHEZ DELGADO MARCIAL</t>
  </si>
  <si>
    <t>JR ANCASH MZ. B LT. 25 EL AGUSTINO LIMA</t>
  </si>
  <si>
    <t>40879574</t>
  </si>
  <si>
    <t>SANCHEZ DIAZ CHRISTIAN ALEXANDER</t>
  </si>
  <si>
    <t>JR PUNO 287</t>
  </si>
  <si>
    <t>41205062</t>
  </si>
  <si>
    <t>SANCHEZ DIAZ ZAIDA JUDITH</t>
  </si>
  <si>
    <t>AV. GRAU Nº 334 CENTRO COMERCIAL GRAU</t>
  </si>
  <si>
    <t>43116734</t>
  </si>
  <si>
    <t>SANCHEZ GONZALES DENIS JOHAN</t>
  </si>
  <si>
    <t>CALLE 21 DE OCTUBRE Nº 112 URB. SEÑOR DE LOS MILAGROS</t>
  </si>
  <si>
    <t>45135016</t>
  </si>
  <si>
    <t>SANCHEZ GONZALES, DENIS JOHAN</t>
  </si>
  <si>
    <t>SANCHEZ GURVIÑA JORGE LUIS</t>
  </si>
  <si>
    <t>CARABAYLLO KM 17.5 PARADERO ENTRADA HACIENDA.</t>
  </si>
  <si>
    <t>40397581</t>
  </si>
  <si>
    <t>SANCHEZ IRARICA JESUS ALFONSO</t>
  </si>
  <si>
    <t>AV GERARDO UNGER 6708 URB SANTA LUZMILA</t>
  </si>
  <si>
    <t>74133915</t>
  </si>
  <si>
    <t>SANCHEZ JANAMPA JUAN PABLO</t>
  </si>
  <si>
    <t>AV. 15 DE JULIO-UCV 21, ATE 15479 (MERCADO MODELO - 3ER PISO)</t>
  </si>
  <si>
    <t>44916320</t>
  </si>
  <si>
    <t>SANCHEZ JANAMPA, JUAN PABLO</t>
  </si>
  <si>
    <t>SANCHEZ LEYVA ROBERTO</t>
  </si>
  <si>
    <t>AV. PUENTE PIEDRA NRO 308 PISO 2, LIMA, LIMA, PUENTE PIEDRA</t>
  </si>
  <si>
    <t>10069971</t>
  </si>
  <si>
    <t>SANCHEZ MALARIN JHONNY CLYDE</t>
  </si>
  <si>
    <t>AV. CESAR VALLEJO CON AV. REVOLUCION MERCADO SESQUINCENARIO PUESTO NRO B1, LIMA, LIMA, VILLA EL SALVADOR</t>
  </si>
  <si>
    <t>44240749</t>
  </si>
  <si>
    <t>SANCHEZ MALARIN, JHONNY CLYDE</t>
  </si>
  <si>
    <t>SANCHEZ MALDONADO VICTOR</t>
  </si>
  <si>
    <t>ASOC. CALIFORNIA SEGUNDA ETAPA MZ B1 LO 24 (VILLA EL SALVADOR, ALT KM 17 DE PANAMERICAN SUR)</t>
  </si>
  <si>
    <t>15385115</t>
  </si>
  <si>
    <t>SANCHEZ NORIEGA DOMINGO EDILFREDO</t>
  </si>
  <si>
    <t>FRENTE 2DO PARADERO ANGAMOS, ALT. KM. 17,5 AUTOPISTA VENTANILLA</t>
  </si>
  <si>
    <t>09076822</t>
  </si>
  <si>
    <t>SANCHEZ PUCHURI NOEMI KARINA</t>
  </si>
  <si>
    <t>AV NICOLÁS DE PIEROLA 1433</t>
  </si>
  <si>
    <t>45757008</t>
  </si>
  <si>
    <t>SANCHEZ ROJAS DOMINGO</t>
  </si>
  <si>
    <t>AV. SANTA ROSA 676 LOS SAUCES, ATE</t>
  </si>
  <si>
    <t>10487446</t>
  </si>
  <si>
    <t>SANCHEZ ROMERO SERGIO RICARDO</t>
  </si>
  <si>
    <t>CALLE LAS CARMELIAS MZ F LOTE 2 APV LAS GARDENIAS, HARAS 4TA ENTRADA AL COSTADO DE LA CANCHA DEPORTIVA MURUMBI.</t>
  </si>
  <si>
    <t>43180403</t>
  </si>
  <si>
    <t>SANCHEZ SALAZAR JIMMY WILLIAM</t>
  </si>
  <si>
    <t>LOS GIRASOLES MZ Q LT 5 URB. LOS GIRASOLES - SAN LUIS</t>
  </si>
  <si>
    <t>15358300</t>
  </si>
  <si>
    <t>SANCHEZ SARAVIA BENITO ADOLFO</t>
  </si>
  <si>
    <t>LAS TURQUESAS 273 BALCONCILLO, LIMA, LIMA, LA VICTORIA</t>
  </si>
  <si>
    <t>40991441</t>
  </si>
  <si>
    <t>SANCHEZ VELARDE PEDRO JAHIR ROMARIO</t>
  </si>
  <si>
    <t>URB SAN AGUSTIN MZV LOTE 11A</t>
  </si>
  <si>
    <t>6391 - ACTIVIDADES DE AGENCIAS DE NOTICIAS</t>
  </si>
  <si>
    <t>73109584</t>
  </si>
  <si>
    <t>SANCHEZ VILCHEZ JIMY COLINS</t>
  </si>
  <si>
    <t>AV. MEXICO N°107 URB. HUAQUILLAY STAND 207</t>
  </si>
  <si>
    <t>46121766</t>
  </si>
  <si>
    <t>SANCHEZ VILCHEZ, JIMY COLINS</t>
  </si>
  <si>
    <t>SANCHEZ VILCHEZ JORGE MANUEL</t>
  </si>
  <si>
    <t>AV MEXICO 107 TDA 221-210 SEGUNDO PISO URB. HUAQUILLAY</t>
  </si>
  <si>
    <t>41599645</t>
  </si>
  <si>
    <t>SANCHEZ VILLA JULIO CESAR</t>
  </si>
  <si>
    <t>AV. TÚPAC AMARU 253, SAN MARTÍN DE PORRES 15102</t>
  </si>
  <si>
    <t>45748398</t>
  </si>
  <si>
    <t>SANCHEZ VILLAMAR JUAN PABLO</t>
  </si>
  <si>
    <t>SC 2 GR 24A MZ J LT 16 (ESPALDA DE VETERINARIA "GONZALES")</t>
  </si>
  <si>
    <t>10755946</t>
  </si>
  <si>
    <t>SANCHEZ YUCRA FERNANDO DANNY</t>
  </si>
  <si>
    <t>AV. SAN JUAN MZ A1 - LT 8 - A.H. TUPAC AMARU</t>
  </si>
  <si>
    <t>40621325</t>
  </si>
  <si>
    <t>SANCHEZ ZAMUDIO JORGE SAUL</t>
  </si>
  <si>
    <t>C MZ CLT9 AH EL PROGRESO SAN VICENTE DE CAÑETE</t>
  </si>
  <si>
    <t>41378951</t>
  </si>
  <si>
    <t>SANDAZA CERRO DANIELA SUSANA</t>
  </si>
  <si>
    <t>CALLE PAVAYACU MZ L-1 LOTE 5</t>
  </si>
  <si>
    <t>09344859</t>
  </si>
  <si>
    <t>SANDOVAL BANCES NICOLAS</t>
  </si>
  <si>
    <t>AV. HUANCARAY MZA. A5 LOTE. 10 ASC. LAS VEGAS</t>
  </si>
  <si>
    <t>17560127</t>
  </si>
  <si>
    <t>SANDOVAL FLORES EDDINSON JESUS</t>
  </si>
  <si>
    <t>MZA LT16A, SANTA CRUZ DE CAJAMARQUILLA. FRENTE AL COMPLEJO ARQUEOLÓGICO (RUINAS DE CAJAMARQUILLA). LURIGANCHO</t>
  </si>
  <si>
    <t>09906385</t>
  </si>
  <si>
    <t>SANDOVAL FLORES MILAGROS YANET</t>
  </si>
  <si>
    <t>AV VICTOR MALASQUEZ MZ 120 LT 3 . PACHACAMAC, FRENTE A FERRETERIA AZUL</t>
  </si>
  <si>
    <t>48230229</t>
  </si>
  <si>
    <t>SANDOVAL GOMEZ JORGE JULIO</t>
  </si>
  <si>
    <t>MANCO CAPAC 886 LA VICTORIA</t>
  </si>
  <si>
    <t>10426141</t>
  </si>
  <si>
    <t>SANDOVAL JIMENEZ VDA DE JULCA GILMA</t>
  </si>
  <si>
    <t>MZ. F LT. 07 ASOC. DE VIVIENDA SANTA ROSA DE LIMA</t>
  </si>
  <si>
    <t>07988945</t>
  </si>
  <si>
    <t>SANDOVAL JIMENEZ VDA DE JULCA, GILMA</t>
  </si>
  <si>
    <t>SANDOVAL NUÑEZ SONIA EDITH</t>
  </si>
  <si>
    <t>AV. LOS HEROES 529 INTERIOR 201 SAN JUAN DE MIRAFLORES</t>
  </si>
  <si>
    <t>20407910</t>
  </si>
  <si>
    <t>SANDOVAL ZAMUDIO CARLOS AGUSTIN</t>
  </si>
  <si>
    <t>MI PERU LOTE 2</t>
  </si>
  <si>
    <t>15358592</t>
  </si>
  <si>
    <t>SANEZ FALCONI AMILCAR BENITO</t>
  </si>
  <si>
    <t>PALESTINA MZA. A-4 LOTE. 3 SAN JUANITO</t>
  </si>
  <si>
    <t>42985393</t>
  </si>
  <si>
    <t>SANGAMA SHUPINGAHUA DAN LUIS</t>
  </si>
  <si>
    <t>AV.LAS TORRES MZ K LT. 1 LURIGANCHO CHOSICA</t>
  </si>
  <si>
    <t>5224 - MANIPULACIÓN DE LA CARGA</t>
  </si>
  <si>
    <t>60197858</t>
  </si>
  <si>
    <t>SANGAMA SHUPINGAHUA, DAN LUIS</t>
  </si>
  <si>
    <t>SANGAY RAMIREZ EVA</t>
  </si>
  <si>
    <t>MZ.D. LOTE 4. SAN BENITO DE CAUDEVILLA</t>
  </si>
  <si>
    <t>41326959</t>
  </si>
  <si>
    <t>SANTA MARIA CALDERON PABLO ALBERTO</t>
  </si>
  <si>
    <t>JR. TACNA N° 233 GALERIA EL REY DE MAGDALENA</t>
  </si>
  <si>
    <t>08128080</t>
  </si>
  <si>
    <t>SANTA MARIA CALDERON, PABLO ALBERTO</t>
  </si>
  <si>
    <t>SANTACRUZ ORTEGA RICHARD MARCELO</t>
  </si>
  <si>
    <t>CALLE 3 MZ. B LT.26 URB. VIRGEN DEL CARMEN (CANTA CALLAO CON DOMINICOS - CALLE DETRAS DEL GRIFO A UNA CUADRA)</t>
  </si>
  <si>
    <t>25840457</t>
  </si>
  <si>
    <t>SANTAMARIA RIVERA EDGAR</t>
  </si>
  <si>
    <t>MZ O LTE 9 SECTOR CERCADO COMUNICAD CAMPESINA DE JICAMARCA ANEXO 22 PAMPA CTO GRANDE, HUAROCHIRI, SAN ANTONIO</t>
  </si>
  <si>
    <t>45839322</t>
  </si>
  <si>
    <t>SANTANA TORRES EFRAIN EUGENIO</t>
  </si>
  <si>
    <t>AV. ARGENTINA 144 TDA.1410-1411, C.G UNICENTRO( PLAZA UNIÓN)</t>
  </si>
  <si>
    <t>42009277</t>
  </si>
  <si>
    <t>SANTIAGO CONTRERAS DIANA KARIN</t>
  </si>
  <si>
    <t>CALLE MONTESQUIEU N° 144, LA CALERA DE LA MERCED</t>
  </si>
  <si>
    <t>25800118</t>
  </si>
  <si>
    <t>SANTIAGO ISUIZA MALU CLAUDIA</t>
  </si>
  <si>
    <t>AV. TUPAC AMARU N°2691 - KM19 - CARABAYLLO. REFERENCIA: AL COSTADO DE MONTALVO</t>
  </si>
  <si>
    <t>46478047</t>
  </si>
  <si>
    <t>SANTILLAN CARRASCO EDWIN</t>
  </si>
  <si>
    <t>MZ. A LT. 4 AA.HH. NUEVA ESPERANZA, LIMA, LIMA, PUENTE PIEDRA</t>
  </si>
  <si>
    <t>41935974</t>
  </si>
  <si>
    <t>SANTILLAN CARRASCO, EDWIN</t>
  </si>
  <si>
    <t>SANTILLAN CHAVEZ HORACIO</t>
  </si>
  <si>
    <t>AV NICOLAS DE PIEROLA NRO 669</t>
  </si>
  <si>
    <t>43294306</t>
  </si>
  <si>
    <t>SANTILLAN PAUCCARA JORGE</t>
  </si>
  <si>
    <t>AV. BOLIVIA 148, C.C. CENTRO DE LIMA 2DO NIVEL - OF. 2235, LIMA, LIMA, CERCADO DE LIMA</t>
  </si>
  <si>
    <t>46827620</t>
  </si>
  <si>
    <t>SANTILLAN PAUCCARA ROGER</t>
  </si>
  <si>
    <t>AV URUGUAY 308 INT D</t>
  </si>
  <si>
    <t>42277564</t>
  </si>
  <si>
    <t>SANTISTEBAN SANTISTEBAN EDICSON</t>
  </si>
  <si>
    <t>MZA. B LOTE 12 A.V SAN SEBASTIAN</t>
  </si>
  <si>
    <t>44915096</t>
  </si>
  <si>
    <t>SANTOS VELIZ GERMAN MOISES</t>
  </si>
  <si>
    <t>AV TUPAC AMARU 2136 KM 18 (REFERENCIA PARADERO CHIFA)</t>
  </si>
  <si>
    <t>16010433</t>
  </si>
  <si>
    <t>SARA VIERA JAIRO ANGELLO</t>
  </si>
  <si>
    <t>AV GARCILAZO DE LA VEGA 12671 INT S-125</t>
  </si>
  <si>
    <t>Principal - 4799 - OTRAS ACTIVIDADES DE VENTA AL POR MENOR NO REALIZADAS EN COMERCIOS, PUESTOS DE VENTA O MERCADOS</t>
  </si>
  <si>
    <t>45753614</t>
  </si>
  <si>
    <t>SARA VIERA, JAIRO ANGELLO</t>
  </si>
  <si>
    <t>SARAVIA MARCOS MANUEL</t>
  </si>
  <si>
    <t>PASAJE CHUMPI MZ U - LOTE 7</t>
  </si>
  <si>
    <t>SUNAMPE</t>
  </si>
  <si>
    <t xml:space="preserve"> Principal - 1811 - IMPRESIÓN</t>
  </si>
  <si>
    <t>21835108</t>
  </si>
  <si>
    <t>SARAVIA MARCOS, MANUEL</t>
  </si>
  <si>
    <t>SARAVIA YSLADO EDISON VICENTE</t>
  </si>
  <si>
    <t>AV. CHIMPU OCLLO CUADRA 10 C.C QATUNA PTO. 177</t>
  </si>
  <si>
    <t>40044052</t>
  </si>
  <si>
    <t>SARMIENTO ABANTO MARIA JULIA</t>
  </si>
  <si>
    <t>PERSEVERANCIA 420 URB. PRO, LIMA, LIMA, LOS OLIVOS</t>
  </si>
  <si>
    <t>09334982</t>
  </si>
  <si>
    <t>SARMIENTO ALEGRE OSWALDO RICHARD</t>
  </si>
  <si>
    <t>AVENIDA LOS POSTES 599 COOPERATIVA LA HAYRONA</t>
  </si>
  <si>
    <t>06901676</t>
  </si>
  <si>
    <t>SARMIENTO BUSTAMANTE JAIME JOSE</t>
  </si>
  <si>
    <t>CALLE 5 N° 901 URBANIZACION LA FLORIDA</t>
  </si>
  <si>
    <t>41500769</t>
  </si>
  <si>
    <t>SARMIENTO FUENTES JORGE LUIS</t>
  </si>
  <si>
    <t>SECTOR 2, GRUPO  10, AVENIDA  REVOLUCION S/N</t>
  </si>
  <si>
    <t>0968337</t>
  </si>
  <si>
    <t>SARMIENTO ROJAS ROMEL ZENOBIO</t>
  </si>
  <si>
    <t>CALLE VARAYOC 263</t>
  </si>
  <si>
    <t>40675552</t>
  </si>
  <si>
    <t>SARMIENTO SANCHEZ JUAN CARLOS</t>
  </si>
  <si>
    <t>AA.HH LOS ROSALES DE PRO - AV 2 DE  OCTUBRE MZ .N LT 17</t>
  </si>
  <si>
    <t xml:space="preserve"> Principal - 9609 - OTRAS ACTIVIDADES DE SERVICIOS PERSONALES N.C.P.</t>
  </si>
  <si>
    <t>48034429</t>
  </si>
  <si>
    <t>SARMIENTO SANCHEZ, JUAN CARLOS</t>
  </si>
  <si>
    <t>SARMIENTO VARGAS ENDALICIA</t>
  </si>
  <si>
    <t>JR. LAS VERDOLAGAS MZ 96 LOTE 4 URB LAS FLORES</t>
  </si>
  <si>
    <t>09240136</t>
  </si>
  <si>
    <t>SARMIENTO VILLAVICENCIO IVAN ROGER</t>
  </si>
  <si>
    <t>GALERIA SANTA ROSA STAND D-8</t>
  </si>
  <si>
    <t>40688200</t>
  </si>
  <si>
    <t>SARMIENTO VILLAVICENCIO, IVAN ROGER</t>
  </si>
  <si>
    <t>SAYA GONZALES DE ESCALANTE MARIA CLEOFE</t>
  </si>
  <si>
    <t>AV. ROSALUZ MZ F LTE 13 (PARADERO ROSALUZ A 2.5 CUADRAS DE PAN NORTE).</t>
  </si>
  <si>
    <t>10484117</t>
  </si>
  <si>
    <t>SAYAGO ORTIZ HERLINDA</t>
  </si>
  <si>
    <t>JR SÁENZ PEÑA 1573, LA VICTORIA 15018 - PISO 12 A</t>
  </si>
  <si>
    <t>43707053</t>
  </si>
  <si>
    <t>SCHIANTARELLI RUIZ ILIANA</t>
  </si>
  <si>
    <t>CALLE ENRIQUE PALACIOS 580 A, LIMA, LIMA, MIRAFLORES</t>
  </si>
  <si>
    <t>45582108</t>
  </si>
  <si>
    <t>SCHWARTZ JURADO NONOY LOURDES</t>
  </si>
  <si>
    <t>AV ROOSEVELT NRO 361</t>
  </si>
  <si>
    <t>15986830</t>
  </si>
  <si>
    <t>SEBASTIANI VILCACHAGUA ROBERTO LUIS</t>
  </si>
  <si>
    <t>AV. 13 DE ENERO 1752 - SJL (REFR: ANTES SE LLAMABA AV. LIMA - A LA ESPALDA DEL METRO LA HACIENDA)</t>
  </si>
  <si>
    <t>43431826</t>
  </si>
  <si>
    <t>SEBEDON RAYMUNDO ARVIN LLALLIN</t>
  </si>
  <si>
    <t>AV. NARANJAL 1701</t>
  </si>
  <si>
    <t>48140616</t>
  </si>
  <si>
    <t>SEGURA AVALOS ROY ALAN</t>
  </si>
  <si>
    <t>AV. MANUEL OLGUIN 503EDIFICIO MACROS, LIMA, LIMA, SANTIAGO DE SURCO</t>
  </si>
  <si>
    <t>42022601</t>
  </si>
  <si>
    <t>SEGURA MELGAREJO YOEL RICARDO</t>
  </si>
  <si>
    <t>C.P PAMPA VELARDE BARRANCA, KM 193 DE LA PANAMERICANA NUEVA, LIMA, BARRANCA, BARRANCA</t>
  </si>
  <si>
    <t>4669 - VENTA AL POR MAYOR DE DESPERDICIOS, DESECHOS Y CHATARRA Y OTROS PRODUCTOS N.C.P.</t>
  </si>
  <si>
    <t>76373361</t>
  </si>
  <si>
    <t>SEMINARIO JUAREZ EDY FIORELLA</t>
  </si>
  <si>
    <t>JR HUMBOLD Y AV AVIACION - SANTA ROSITA 1659 STAN 28</t>
  </si>
  <si>
    <t>44686916</t>
  </si>
  <si>
    <t>SEMINARIO POZO MANUEL ANGEL</t>
  </si>
  <si>
    <t>AV. ELIA AGUIRRE MZA.12Y LT.14-TABLADA DE LURIN</t>
  </si>
  <si>
    <t>09576697</t>
  </si>
  <si>
    <t>SERNA RONDAN CARLOS ALFONSO</t>
  </si>
  <si>
    <t>CALLE MARIANO IGNACIO PRADO N° 353</t>
  </si>
  <si>
    <t>09474136</t>
  </si>
  <si>
    <t>SERNA RONDAN, CARLOS ALFONSO</t>
  </si>
  <si>
    <t>SERNAQUE ADANAQUE FRANCISCO</t>
  </si>
  <si>
    <t>AV. JOSE ANTONIO DE SUCRE  196A -PUEBLO LIBRE</t>
  </si>
  <si>
    <t>02854162</t>
  </si>
  <si>
    <t>SERNAQUE SERNAQUE PEDRO</t>
  </si>
  <si>
    <t>CALLE LUIS MANNARELLI 191 MAGDALENA DEL MAR</t>
  </si>
  <si>
    <t>10427905</t>
  </si>
  <si>
    <t>SERNAQUE YANAVILCA MARIA DEL CARMEN</t>
  </si>
  <si>
    <t>CALLE APARICIO 164</t>
  </si>
  <si>
    <t>44457580</t>
  </si>
  <si>
    <t>SERNAQUE YPANAQUE JORGE LUIS</t>
  </si>
  <si>
    <t>CARRETERA CENTRAL KM 7.5 C.C. PLAZA VITARTE BLOCK 2A OF. 108 - 129, LIMA, LIMA, ATE</t>
  </si>
  <si>
    <t>40432253</t>
  </si>
  <si>
    <t>SERNAQUE YPANAQUE, JORGE LUIS</t>
  </si>
  <si>
    <t>SERQUEN SUCLUPE JONATHAN PIERRE</t>
  </si>
  <si>
    <t>AV.HUANDOY C AV A MZ.205 LT.31</t>
  </si>
  <si>
    <t>75362367</t>
  </si>
  <si>
    <t>SEVILLA JIMENEZ GABRIEL LUIS</t>
  </si>
  <si>
    <t>MZ M LT 18 COMPRADORES DE CAMPOY TERCERA ETAPA, LIMA, LIMA, SJL</t>
  </si>
  <si>
    <t>09089240</t>
  </si>
  <si>
    <t>SHAHUANO VELA SONIA MARINA</t>
  </si>
  <si>
    <t>AV.28 DE JULIO #573 EN EL SOTANO DEL HOTEL GARDEN,</t>
  </si>
  <si>
    <t>71724349</t>
  </si>
  <si>
    <t>SHIMABUKURO GALVEZ EDINSON</t>
  </si>
  <si>
    <t>JIRON LO PINOS S/N CALLAO -REFERNCIA ESPALADA DE EMPRESA ALTOMAYO</t>
  </si>
  <si>
    <t>25860591</t>
  </si>
  <si>
    <t>SHIMABUKURO GALVEZ, EDINSON</t>
  </si>
  <si>
    <t>SHUÑA SHAPIAMA BORIS LEONID</t>
  </si>
  <si>
    <t>AV. PARINACOCHAS 1358</t>
  </si>
  <si>
    <t>41389312</t>
  </si>
  <si>
    <t>SIFUENTES AGUIRRE OSCAR JOEL</t>
  </si>
  <si>
    <t>JR. LOS LIBERTADORES- CHALLUA, ANCASH, HUARAZ, HUARAZ</t>
  </si>
  <si>
    <t>46260053</t>
  </si>
  <si>
    <t>OSCAR JOEL SIFUENTES AGUIRRE</t>
  </si>
  <si>
    <t>SIFUENTES ARELLAN MARCO ANTONIO</t>
  </si>
  <si>
    <t>AV GRAU NRO 598</t>
  </si>
  <si>
    <t>15299783</t>
  </si>
  <si>
    <t>SIFUENTES CORTEZ PAULA ROSA</t>
  </si>
  <si>
    <t>AV. EL TRIUNFO &amp; AV. VILLA MARÍA CDRA 6 -ZONA CERCADO -STAND N°100</t>
  </si>
  <si>
    <t>44890291</t>
  </si>
  <si>
    <t>SIFUENTES CORTEZ, PAULA ROSA</t>
  </si>
  <si>
    <t>SIFUENTES SILVESTRE GABRIEL JULIO</t>
  </si>
  <si>
    <t>LOTIZADORA EL MILAGRO MZ E LT18 POBLADO LA VILLA LIMA, HUAURA, SAYAN</t>
  </si>
  <si>
    <t>40145344</t>
  </si>
  <si>
    <t>SIFUENTES ZORRILLA JOSE LUIS</t>
  </si>
  <si>
    <t>CALLE 9 DE OCTUBRE MZ K LT 6, LIMA, HUAURA, SAYAN</t>
  </si>
  <si>
    <t>80617775</t>
  </si>
  <si>
    <t>SIGNORI BUSTAMANTE GIANMARCO LUGÜIE</t>
  </si>
  <si>
    <t>AV HUANCARAY MZ A LOTE 14 B ASOCIACION SAN CARLOS LIMA, LIMA, SANTA ANITA</t>
  </si>
  <si>
    <t>71236386</t>
  </si>
  <si>
    <t>SIGUAS CORDOVA ESTEFANI ADRIANA</t>
  </si>
  <si>
    <t>MZ. E LT. 14 SECTOR 9 GRUPO 4. AV. MARIA ELENA MOYANO</t>
  </si>
  <si>
    <t>70587705</t>
  </si>
  <si>
    <t>SIGUAS CORDOVA, ESTEFANI ADRIANA</t>
  </si>
  <si>
    <t>SIGUEÑAS ARAGON VICENTE JOHN</t>
  </si>
  <si>
    <t>JR LOS FAISANES MZ B LOTE 12 COOPERATIVA HUANCAYO SEGUNDA ETAPA EL AGUSTINO</t>
  </si>
  <si>
    <t>41254605</t>
  </si>
  <si>
    <t>SIGÜEÑAS CAURINO CARLOS IVAN</t>
  </si>
  <si>
    <t>IRRIGACION SANTA ROSA-LA VILLA-MZ.A LT 4, LIMA, HUAURA, SAYAN</t>
  </si>
  <si>
    <t>46600015</t>
  </si>
  <si>
    <t>SIGUEÑAS RODRIGUEZ JOEL NELSON</t>
  </si>
  <si>
    <t>IRRIGACION SANTA ROSA - LA VILLA</t>
  </si>
  <si>
    <t>45448263</t>
  </si>
  <si>
    <t>SIHUI RAMIREZ ANGEL</t>
  </si>
  <si>
    <t>MZ.B LT.7A2 C.P.R HUERTO DE MANCHAY</t>
  </si>
  <si>
    <t>44028711</t>
  </si>
  <si>
    <t>SILUPU ANCAJIMA EDAR HENRRY</t>
  </si>
  <si>
    <t>AV. CARLOS IZAGUIRRE NRO.200 INT. 1S 14 GALERIA SAN LAZARO - LIMA, LIMA, INDEPENDENCIA</t>
  </si>
  <si>
    <t>80622819</t>
  </si>
  <si>
    <t>SILUPU SANDOVAL MARIA ROXANA</t>
  </si>
  <si>
    <t>CALLE FRANCISCO BOLOGNESI N° 105 MERCADO COOPERATIVA</t>
  </si>
  <si>
    <t>43856272</t>
  </si>
  <si>
    <t>SILUPU SANDOVAL, MARIA ROXANA</t>
  </si>
  <si>
    <t>SILVA CISNEROS DE CARPIO MILAGROS WENDY GENARA</t>
  </si>
  <si>
    <t>AV. LA LIBERTAD 2841, SAN MIGUEL 15087</t>
  </si>
  <si>
    <t>40709067</t>
  </si>
  <si>
    <t>SILVA CORAS DAVID ALEXANDER</t>
  </si>
  <si>
    <t>CALLE LOS LIBERTADORES MZ F LT 4</t>
  </si>
  <si>
    <t>48272465</t>
  </si>
  <si>
    <t>SILVA LOZANO DIEGO ARMANDO</t>
  </si>
  <si>
    <t>CALLE JUAN FERMEL N° 2015 MZ G LOTE 18 (FRENTE AL PALACIO DE LA JUVENTUD)</t>
  </si>
  <si>
    <t>52190 - VTA. MIN. OTROS PRODUCTOS EN ALMACEN.</t>
  </si>
  <si>
    <t>44033947</t>
  </si>
  <si>
    <t>SILVA MATTOS YOEL MARCELINO</t>
  </si>
  <si>
    <t>AV. GARCILAZO DE LA VEGA 1261 INT. 218</t>
  </si>
  <si>
    <t>46790128</t>
  </si>
  <si>
    <t>SILVA MENDOZA FLOR CELENITA</t>
  </si>
  <si>
    <t>CALLE AUSEJO SALAS REF. IGLESIA EVANGELICA GETHSEMANI</t>
  </si>
  <si>
    <t>15740059</t>
  </si>
  <si>
    <t>SILVA NAVARRO ESTELA VERONICA</t>
  </si>
  <si>
    <t>MAZ E LOTE 2 LOS PORTALES DEL AEROPUERTO CALLAO-CALLAO-CALLAO</t>
  </si>
  <si>
    <t>47836901</t>
  </si>
  <si>
    <t>SILVA PAREDES JOSE LUIS</t>
  </si>
  <si>
    <t>MARISCAL CÁCERES CHANCAY 127 (ATRÁS DE LA COMISARÍA DE CHANCAY)</t>
  </si>
  <si>
    <t>15753833</t>
  </si>
  <si>
    <t>SILVA PONCIANO DARIO</t>
  </si>
  <si>
    <t>P.J J.C.M LT. 12 MZ. 6C 2ETAPA SECTOR SANTA ROSA Y BELEN</t>
  </si>
  <si>
    <t>22749905</t>
  </si>
  <si>
    <t>SILVA PONCIANO, DARIO</t>
  </si>
  <si>
    <t>SILVA ROJAS SHAGAR JUSSELLY</t>
  </si>
  <si>
    <t>AV. CORONEL PORTILLO 173</t>
  </si>
  <si>
    <t>41440519</t>
  </si>
  <si>
    <t>SILVA SOTO CHRIS CONCEPCION</t>
  </si>
  <si>
    <t>AV. PEDRO SAYAN NRO 179 2DO PISO</t>
  </si>
  <si>
    <t>77529839</t>
  </si>
  <si>
    <t>SILVA TELLO HOMERO</t>
  </si>
  <si>
    <t>AV. LOMAS DE CARABAYLLO- LAS CASUARINAS MZ H LT . 2 FRT</t>
  </si>
  <si>
    <t>43193425</t>
  </si>
  <si>
    <t>SILVA VEGA JUAN</t>
  </si>
  <si>
    <t>C.P. LA MURRALLA S/NRO. (INTERSECCIÓN LA MURRALA CON CAR. PANAMERICANA NORTE)</t>
  </si>
  <si>
    <t>15742302</t>
  </si>
  <si>
    <t>SILVA ZAPATA ANDRES AVELINO</t>
  </si>
  <si>
    <t>ANTIG. PANAN. NORTE MZ G LT 12 B2 - CHANCAY</t>
  </si>
  <si>
    <t>16017621</t>
  </si>
  <si>
    <t>SILVERA SANDOVAL EDUARDO CHANEL</t>
  </si>
  <si>
    <t>AV SANTA ANA 489, POR MERCADO LOS SAUCES</t>
  </si>
  <si>
    <t>41949122</t>
  </si>
  <si>
    <t>SIME PEREZ CARMEN ALICIA DE FATIMA</t>
  </si>
  <si>
    <t>AV. AYACUCHO 1005 SURCO</t>
  </si>
  <si>
    <t>16448987</t>
  </si>
  <si>
    <t>SIMON MELITON SONIA LILIANA</t>
  </si>
  <si>
    <t>CALLE LOS GIRASOLES MZ.P LT.3 PISO 1 INTERIOR B URB. SAN JOSE</t>
  </si>
  <si>
    <t>45348184</t>
  </si>
  <si>
    <t>SINCHE CARLOS FIORELLA DESIREE</t>
  </si>
  <si>
    <t>URBANIZACIÓN ¨EL LÚCUMO¨ MZ C , LT 3 HUAYCÁN</t>
  </si>
  <si>
    <t>40368123</t>
  </si>
  <si>
    <t>SISMATEC</t>
  </si>
  <si>
    <t>CALLE MANGOS N° 19, BOLIVIA, LA PAZ, LA PAZ.</t>
  </si>
  <si>
    <t>SOLUCIONES EN COMPUTACIÓN</t>
  </si>
  <si>
    <t>47718350</t>
  </si>
  <si>
    <t>ROLANDO QUISPE ASISTIRE</t>
  </si>
  <si>
    <t>SOLANO CORNEJO JUAN CARLOS MARTIN</t>
  </si>
  <si>
    <t>AV. LOMA DE CARABAYLLO MZ H LT 03 A.H. LAS CASUARIANAS</t>
  </si>
  <si>
    <t>09459853</t>
  </si>
  <si>
    <t>SOLIS AQUINO OSCAR HENRY</t>
  </si>
  <si>
    <t>AV. URUBAMBA N° 339 - ATE</t>
  </si>
  <si>
    <t>45220385</t>
  </si>
  <si>
    <t>SOLIS ARQUINIGO RUSBEL FISHER</t>
  </si>
  <si>
    <t>PANAMERICANA NORTE CRUCE PRIMAVERA</t>
  </si>
  <si>
    <t>44588301</t>
  </si>
  <si>
    <t>SOLIS AUQUI PAULET ANDREA</t>
  </si>
  <si>
    <t>CALLE LOS ALGARROBOS MZ L LT 30 COOPERATIVA UMAMARCA</t>
  </si>
  <si>
    <t>45667172</t>
  </si>
  <si>
    <t>SOLIS AUQUI, PAULET ANDREA</t>
  </si>
  <si>
    <t>SOLIS GARCIA MAGALY KAREN</t>
  </si>
  <si>
    <t>PSJ. MANUEL GONZALES PRADA N° 170</t>
  </si>
  <si>
    <t>44883300</t>
  </si>
  <si>
    <t>SOLIS GRANADOS YESSICA</t>
  </si>
  <si>
    <t>JR. JUAN LUIS HAGUE 3624</t>
  </si>
  <si>
    <t>40667571</t>
  </si>
  <si>
    <t>SOLIS NUÑEZ IVAN RICARDO</t>
  </si>
  <si>
    <t>MZ:E LT3 ASEN. HUMANO JUAN PABLO SEGUNDO (REFERENCIA A UNA CUADRA DEL COLEGIO JUAN PABLO II)</t>
  </si>
  <si>
    <t>47663923</t>
  </si>
  <si>
    <t>SOLIS SAYERS MARCO ANTONIO</t>
  </si>
  <si>
    <t>AV AVIACION 4007- LA CALERA (CERCA SENATI SURQUILLO)</t>
  </si>
  <si>
    <t>09299913</t>
  </si>
  <si>
    <t>SOLORZANO RODRIGUEZ MARCO ANTONIO</t>
  </si>
  <si>
    <t>MZ. A LOTE 24 COOP. VIVIENDA SANTA LIGIA, LIMA, LIMA, COMAS</t>
  </si>
  <si>
    <t>08034046</t>
  </si>
  <si>
    <t>SORIA CCENCHO MARIO ENRIQUE</t>
  </si>
  <si>
    <t>URB. LA ESPERANZA MZ. C LT. 9</t>
  </si>
  <si>
    <t>42442830</t>
  </si>
  <si>
    <t>SORIA HUAMAN JUAN FRANCISCO</t>
  </si>
  <si>
    <t>PANAMERICANA SUR, LIMA 15842</t>
  </si>
  <si>
    <t>FABRICACIÓN DE PARTES Y PIEZAS DE CARPINTERÍA PARA EDIFICIOS Y CONSTRUCCIONES</t>
  </si>
  <si>
    <t>10418314</t>
  </si>
  <si>
    <t>SORIA HUAMAN, JUAN FRANCISCO</t>
  </si>
  <si>
    <t>SORIANO CORDERO EDGAR ROGER</t>
  </si>
  <si>
    <t>AV. MANUEL PRADO 15319, CARABAYLLO</t>
  </si>
  <si>
    <t>43211052</t>
  </si>
  <si>
    <t>SORIANO CORDERO, EDGAR ROGER</t>
  </si>
  <si>
    <t>SORIANO RAMIREZ MARCOS ALBERTO</t>
  </si>
  <si>
    <t>CRTA PANAM NORTE LOS GRAMALES MZ Z LTE 3</t>
  </si>
  <si>
    <t>42601237</t>
  </si>
  <si>
    <t>SORIANO RUIZ GISELA VANESSA</t>
  </si>
  <si>
    <t>ASOC. CRUZ DE MOTUPE MZ. I LT. 13, LIMA, LIMA, PUENTE PIEDRA</t>
  </si>
  <si>
    <t>76578709</t>
  </si>
  <si>
    <t>SORIANO RUIZ, GISELA VANESSA</t>
  </si>
  <si>
    <t>SORIANO SANCHEZ DUANY ELVIS</t>
  </si>
  <si>
    <t>CALLE LAS PALMAS DE EX FUNDO BARBADILLO MZ.A-L.4</t>
  </si>
  <si>
    <t>80399935</t>
  </si>
  <si>
    <t>SOSA CAMINO MARTIN MIGUEL ANGEL</t>
  </si>
  <si>
    <t>CALLE CATALINO MIRANDA 137 SANTIAGO DE SURCO</t>
  </si>
  <si>
    <t>08985651</t>
  </si>
  <si>
    <t>SOTA MALDONADO EUSEBIO</t>
  </si>
  <si>
    <t>AV. 3 DE OCTUBRE MZ. A LT URB. LAS FLORES DE HUARAL, LIMA, HUARAL, HUARAL</t>
  </si>
  <si>
    <t>16019548</t>
  </si>
  <si>
    <t>SOTACURO SORIA LORENZO</t>
  </si>
  <si>
    <t>CENTRO COMERCIAL LAS BRISAS - TIENDA 44 - CARRETERA CENTRAL KM 6.5</t>
  </si>
  <si>
    <t>45461177</t>
  </si>
  <si>
    <t>SOTACURO SORIA, LORENZO</t>
  </si>
  <si>
    <t>SOTELO CACERES PEDRO JORGE</t>
  </si>
  <si>
    <t>MZA. H LOTE. 8 URB. SAN JOSE</t>
  </si>
  <si>
    <t>15345091</t>
  </si>
  <si>
    <t>SOTELO CASAVILCA CHRISTIAN ANDERSON</t>
  </si>
  <si>
    <t>AV. HUAROCHIRI MZ. B6 LOTE 14</t>
  </si>
  <si>
    <t>73271081</t>
  </si>
  <si>
    <t>SOTELO SALCEDO JULIO ALEJANDRO</t>
  </si>
  <si>
    <t>JR. LAMPA 236 INT. 144 - REFERENCIA A LA ESPALDA DE PALACIO DE GOBIERNO.</t>
  </si>
  <si>
    <t>45360709</t>
  </si>
  <si>
    <t>SOTERO ALLER FRANCISCO JOSE</t>
  </si>
  <si>
    <t>JR CHANCHAN MZ 8AB LT 5 P.J. TABLADA DE LURIN (COSTADO DE COLEGIO JOSE OLAYA)</t>
  </si>
  <si>
    <t>42868669</t>
  </si>
  <si>
    <t>FRANCISCO JOSE SOTERO</t>
  </si>
  <si>
    <t>SOTO ACUÑA KEVIN YUSTIN</t>
  </si>
  <si>
    <t>JIRON LIMONCILLO N° 1065 (FRENTE AL GRIFO PRIMAX)</t>
  </si>
  <si>
    <t>48197361</t>
  </si>
  <si>
    <t>SOTO BEJAR ALDAIR RENZO CHANG</t>
  </si>
  <si>
    <t>MZ 13 A-1 LOTE 1 SECTOR NUEVA RINCONADA PAMPLONA ALTA . LIMA - LIMA - SJM</t>
  </si>
  <si>
    <t>RECTIFICACIONES</t>
  </si>
  <si>
    <t>75224076</t>
  </si>
  <si>
    <t>SOTO CARBAJAL PEDRO MANUEL</t>
  </si>
  <si>
    <t>CA VISTA ALEGRE I-13</t>
  </si>
  <si>
    <t>40094961</t>
  </si>
  <si>
    <t>SOTO DEMANUEL EDWIN WINDER</t>
  </si>
  <si>
    <t>AV. LIMA MZ C LT 17</t>
  </si>
  <si>
    <t>10528961</t>
  </si>
  <si>
    <t>SOTO ESPINAL JEAN DEYLI</t>
  </si>
  <si>
    <t>MZ. H LT. 17 URB. SAN ROQUE, LIMA, LIMA, LOS OLIVOS</t>
  </si>
  <si>
    <t>21098 - FAB. DE OTROS ARTICULOS.</t>
  </si>
  <si>
    <t>40516862</t>
  </si>
  <si>
    <t>SOTO ESPINAL, JEAN DEYLI</t>
  </si>
  <si>
    <t>SOTO FLORES ANTONIO</t>
  </si>
  <si>
    <t>LAS CASUARINAS MZ.B LT.5 LURIN ANTIGUA PANAMERICANA SUR</t>
  </si>
  <si>
    <t>07840407</t>
  </si>
  <si>
    <t>SOTO FUENTES CARLOS EMILIO</t>
  </si>
  <si>
    <t>CALLE JULIO C. TELLO S/N LIMA, HUARAL, HUARAL</t>
  </si>
  <si>
    <t>15963252</t>
  </si>
  <si>
    <t>SOTO HUARCAYA KELLY DAENES</t>
  </si>
  <si>
    <t>SECTOR 6, GRUPO 3A, MANZANA F, LOTE 13</t>
  </si>
  <si>
    <t>44686410</t>
  </si>
  <si>
    <t>SOTO LEON LUIS ALBERTO</t>
  </si>
  <si>
    <t>MZA. G LOTE. 3 URB. RES. ALAMEDA DEL MARQUEZ (AUTOPISTA IMPERIAL SAN VICENTE FTE URB REYE)</t>
  </si>
  <si>
    <t>74996 - Otras Actividades empresa2riales Ncp.</t>
  </si>
  <si>
    <t>43704321</t>
  </si>
  <si>
    <t>SOTO RAMIREZ GELBIN FRANCISCO</t>
  </si>
  <si>
    <t>AV. FELIX B. CARDENAS S/NRO. - B INT.2, LIMA, HUAURA, SANTA MARIA</t>
  </si>
  <si>
    <t>72705876</t>
  </si>
  <si>
    <t>SOTO SOTO CRISTIAN WILDER</t>
  </si>
  <si>
    <t>AV. VENEZUELA N° 1073 - STAND A5</t>
  </si>
  <si>
    <t>70188970</t>
  </si>
  <si>
    <t>SOTO SOTO, CRISTIAN WILDER</t>
  </si>
  <si>
    <t>SOTOMAYOR BERRIO DE AGUILAR SILVIA FLORENCIA</t>
  </si>
  <si>
    <t>AGUSTIN GAMARRA "SAN PEDRO" SOTANO 2 TIENDA 0-231</t>
  </si>
  <si>
    <t>08561207</t>
  </si>
  <si>
    <t>SOTOMAYOR BERRIO DE AGUILAR, SILVIA FLORENCIA</t>
  </si>
  <si>
    <t>SOVERO HUAMAN JUNIORS ANGEL</t>
  </si>
  <si>
    <t>JR. FRANKLIN D. ROOSEVELT 172, LIMA 15049</t>
  </si>
  <si>
    <t>47475493</t>
  </si>
  <si>
    <t>SPRAY FLORES GIANMARCO ANDRE</t>
  </si>
  <si>
    <t>MZ N LT1 URB VILLAS DE OQUENDO  CALLAO</t>
  </si>
  <si>
    <t>43474025</t>
  </si>
  <si>
    <t>SUAREZ ATAUPILLCO YELCA</t>
  </si>
  <si>
    <t>AGUSTIN GAMARRA 901</t>
  </si>
  <si>
    <t>45906672</t>
  </si>
  <si>
    <t>SUAREZ AVALOS PEDRO JULIO</t>
  </si>
  <si>
    <t>JR LOS NARANJOS S/N,LIMA, CAÑETE, MALA</t>
  </si>
  <si>
    <t>15387937</t>
  </si>
  <si>
    <t>SUAREZ CARREÑO JAIME RAFAEL</t>
  </si>
  <si>
    <t>ATAHUALPA NRO 144 PANAMERICA NORTE</t>
  </si>
  <si>
    <t>15735623</t>
  </si>
  <si>
    <t>Suarez Carreño Jaime Rafael</t>
  </si>
  <si>
    <t>SUAREZ CASTILLO MANOLO EFRAIN</t>
  </si>
  <si>
    <t>AV WIESSE MZ. J15   LT.31  MARICAL CACERES - POR ESTACION BAYOBAR</t>
  </si>
  <si>
    <t>10121792</t>
  </si>
  <si>
    <t>SUAREZ GERONIMO MARIA ELIZABETH</t>
  </si>
  <si>
    <t>JORGE GALVEZ 984 DPTO. 504 ESQ MARTIN NAPANGA</t>
  </si>
  <si>
    <t>41907605</t>
  </si>
  <si>
    <t>SUAREZ OLIVOS DIAZ ARTURO</t>
  </si>
  <si>
    <t>MZ F15 LT 13 EX ZONA COMERCIAL GALERIA EL DUBAITT VENTANILLA</t>
  </si>
  <si>
    <t>25725490</t>
  </si>
  <si>
    <t>SUASACA SUCAPUCA FLORENCIO</t>
  </si>
  <si>
    <t>AV. LA PLAYA, TIENDA BAZAR</t>
  </si>
  <si>
    <t>10047538</t>
  </si>
  <si>
    <t>FLORENCIO SUASACA SUCAPUCA</t>
  </si>
  <si>
    <t>SUASNABAR MENDOZA YORDAN RUDY</t>
  </si>
  <si>
    <t>JR. SAN CRISTOBAL N°1573 INT.201 - 2DO PISO</t>
  </si>
  <si>
    <t>73124864</t>
  </si>
  <si>
    <t>SUASNABAR VELASQUEZ WILLIAMS SERGIO</t>
  </si>
  <si>
    <t>MZA. J LOTE. 1 HUMANO PROYECTOS ESPECIALES</t>
  </si>
  <si>
    <t>46294490</t>
  </si>
  <si>
    <t>SUCASAIRE CHIPANA OLINDA</t>
  </si>
  <si>
    <t>AV. HUANDOY MZ3 LT1 LAURA CALLER</t>
  </si>
  <si>
    <t>FAB. OTRO TIPO MAQUINARIA USO GRAL.</t>
  </si>
  <si>
    <t>40026423</t>
  </si>
  <si>
    <t>SUCESION TRINIDAD HUALLPAHUARME MARIA DEL ROSARIO</t>
  </si>
  <si>
    <t>AV. PERU NRO. S/N MERCADO ROSARIO (PUESTO NRO 20-CUADRA 3), LIMA, HUARAL, HUARAL</t>
  </si>
  <si>
    <t>75234857</t>
  </si>
  <si>
    <t>PORTALATINO TRINIDAD VICTOR ALFONSO</t>
  </si>
  <si>
    <t>SUCNO KANCHA FELIX</t>
  </si>
  <si>
    <t>AV.CANTA CALLAO MZ.D LTE.10 HUERTOS DE NARANJA SMP</t>
  </si>
  <si>
    <t>07356494</t>
  </si>
  <si>
    <t>SUCSO LEANDRO ADOLFO</t>
  </si>
  <si>
    <t>PZA.30 DE AGOSTO NRO. 150 URB. CORPAC</t>
  </si>
  <si>
    <t>07451754</t>
  </si>
  <si>
    <t>SULCA AZAÑERO DAVE ANDERSON</t>
  </si>
  <si>
    <t>JR. IRENE SALVADOR N°128</t>
  </si>
  <si>
    <t>44732843</t>
  </si>
  <si>
    <t>SULCA FUENTES FREDDY</t>
  </si>
  <si>
    <t>SECTOR 2 GRUPO 4 MZ J, LOTE 17 VILLA EL SALVADOR</t>
  </si>
  <si>
    <t>Principal - 9524 - REPARACIÓN DE MUEBLES Y ACCESORIOS DOMÉSTICOS</t>
  </si>
  <si>
    <t>10237743</t>
  </si>
  <si>
    <t>SULCA LOZANO ESTHER VERONICA</t>
  </si>
  <si>
    <t>JR. PUNO N. 884 PT. 140</t>
  </si>
  <si>
    <t>42061224</t>
  </si>
  <si>
    <t>SULCA PISHUA TEOFILO</t>
  </si>
  <si>
    <t>JR. SIMON BOLIVAR 487 SMP - A ESPALDAS DEL GRIFO PETROPERU PALAO, LIMA, LIMA, SAN MARTIN DE PORRES</t>
  </si>
  <si>
    <t>08679074</t>
  </si>
  <si>
    <t>SULCA QUISPE ELSA</t>
  </si>
  <si>
    <t>COOP. VIV. 14 DE FEBRERO SAGITARIO MZ A LOTE 7</t>
  </si>
  <si>
    <t>40809033</t>
  </si>
  <si>
    <t>SULCA VILCA MARGARITA FLOR</t>
  </si>
  <si>
    <t>JR. CARLOS DELLEPIANI 150 - LIMA - LIMA -VILLA MARIA DEL TRIUNFO</t>
  </si>
  <si>
    <t>10088641</t>
  </si>
  <si>
    <t>SULCA VILCA, MARGARITA FLOR</t>
  </si>
  <si>
    <t>SULLCA LONDOÑE HILDEBRANDO</t>
  </si>
  <si>
    <t>MZ E1 LOTE 21 MI PERU</t>
  </si>
  <si>
    <t>80090707</t>
  </si>
  <si>
    <t>SULLCA QUISPE IRENEO</t>
  </si>
  <si>
    <t>AV. METROPOLITANA 2DA ETAPA CERES MZ. G1 LT. 42</t>
  </si>
  <si>
    <t>42445396</t>
  </si>
  <si>
    <t>SULLCA RICALDE JOSE CARLOS</t>
  </si>
  <si>
    <t>ANTIGUA PANAMERICANA SUR, LURÍN 15823 / AL LADO DE EDIFICIO DE "SAN LORENZO"</t>
  </si>
  <si>
    <t>45724589</t>
  </si>
  <si>
    <t>SUPA ROJAS MARIA STEFANI</t>
  </si>
  <si>
    <t>LOS CLAVELES MZ. E. LT 17 SAN FELIPE</t>
  </si>
  <si>
    <t>71747763</t>
  </si>
  <si>
    <t>SURCO FLORES MAXIMO</t>
  </si>
  <si>
    <t>AV MARISCAL CACERES 288 URB. VALDIVIEZO</t>
  </si>
  <si>
    <t>46442560</t>
  </si>
  <si>
    <t>SUSUKI PAREDES RUBEN MIGUEL</t>
  </si>
  <si>
    <t>CALLE MARISCAL LUZURIAGA N 234 HUARAL REF. AL TERMINAL DE Z BUS</t>
  </si>
  <si>
    <t>15748476</t>
  </si>
  <si>
    <t>SUTTA HUANCA EUGENIO</t>
  </si>
  <si>
    <t>CALL.  SAN EFRAIN MZ "B" LT "6" AV. SANTA MARIA DE NARANJAL, LIMA, LIMA, SAN MARTIN DE PORRES</t>
  </si>
  <si>
    <t>09791822</t>
  </si>
  <si>
    <t>SUTTA HUANCA, EUGENIO</t>
  </si>
  <si>
    <t>SUYON CASTRO EDINSON JESUS</t>
  </si>
  <si>
    <t>AV. SINCHI ROCA MZ. O  LT. 16 C ASOC. DE POB. EL CERCADO ANX 22 JICAMARCA, LIMA, LIMA, LURIGANCHO</t>
  </si>
  <si>
    <t>45509707</t>
  </si>
  <si>
    <t>SUYON CASTRO, EDINSON JESUS</t>
  </si>
  <si>
    <t>SUYON RUIZ YOHANA DEL MILAGRO</t>
  </si>
  <si>
    <t>MZB2 LT.22  LOS CEDROS II ETAPA VENTANILLA - PACHACUTEC</t>
  </si>
  <si>
    <t>42640094</t>
  </si>
  <si>
    <t>TACAS GUILLEN KIYOSHI</t>
  </si>
  <si>
    <t>CALLE 16 NRO.505 URB. CARABAYLLO, LIMA, LIMA, COMAS</t>
  </si>
  <si>
    <t>72406444</t>
  </si>
  <si>
    <t>TACUNAN GUTIERREZ JESUS HECTOR</t>
  </si>
  <si>
    <t>JR. REAL N° 4741</t>
  </si>
  <si>
    <t>15413293</t>
  </si>
  <si>
    <t>TACONAN GUTIERREZ, JESUS HECTOR</t>
  </si>
  <si>
    <t>TACURI HUACCANQUE JULIO ROGER</t>
  </si>
  <si>
    <t>AV HUAROCHIRI URB LOS CEDRONES MZ E 8 LOTE 7 (FRENTE A TECSUP).</t>
  </si>
  <si>
    <t>46726246</t>
  </si>
  <si>
    <t>TACURI VARGAS YURI</t>
  </si>
  <si>
    <t>MAMACONA ALTA MZ. A LT.4.PACHACAMAC/LIMA. REFRENCIA: AL COSTADODO DEL PARQUE</t>
  </si>
  <si>
    <t>48194182</t>
  </si>
  <si>
    <t>TAFUR MELGAREJO SAMUEL DAVID</t>
  </si>
  <si>
    <t>CALLE 28 DE JULIO NRO. 140, PUERTO CHANCAY, HANCAY (PARQUE DEL COMITÉ 05)</t>
  </si>
  <si>
    <t>16020688</t>
  </si>
  <si>
    <t>TAFUR PANDURO EDWIN</t>
  </si>
  <si>
    <t>AV. PROL. JAVIER PRADO ESTE 8308, LIMA, LIMA, ATE</t>
  </si>
  <si>
    <t>10192702</t>
  </si>
  <si>
    <t>TAIPE GOMEZ APOLINARIO</t>
  </si>
  <si>
    <t>AV SAN JUAN MZ D LT 5 CMTE 4 MATEO PUMACAHUA</t>
  </si>
  <si>
    <t>4741 - VENTA AL POR MENOR DE ORDENADORES, EQUIPO PERIFÉRICO- PROGRAMA DE INFORM. Y EQU. DE TELEC. EN COMERCIOS ESPECIALIZADOS</t>
  </si>
  <si>
    <t>42147642</t>
  </si>
  <si>
    <t>TAIPE MARCAS RAUL</t>
  </si>
  <si>
    <t>CA. COLLANAC MZ C LTE 8</t>
  </si>
  <si>
    <t>47212840</t>
  </si>
  <si>
    <t>TAIPE SAMANEZ WILSON</t>
  </si>
  <si>
    <t>AV.FRANCISCO MASIAS 2674</t>
  </si>
  <si>
    <t>46304067</t>
  </si>
  <si>
    <t>TAIPE VARGAS RAUL</t>
  </si>
  <si>
    <t>AV. CARRETERA CENTRAL  KM 13 SAN JUAN, LIMA, LIMA, ATE</t>
  </si>
  <si>
    <t>46809907</t>
  </si>
  <si>
    <t>TAMARA MILLA ROLIN ARNOL</t>
  </si>
  <si>
    <t>AV. 2 DE OCTUBRE CRUCE CON SANTA ELVIRA, LIMA, LIMA, LOS OLIVOS</t>
  </si>
  <si>
    <t>71091050</t>
  </si>
  <si>
    <t>TAMARA MILLA, ROLIN ARNOL</t>
  </si>
  <si>
    <t>TANCHIVA CHISTAMA KELITA</t>
  </si>
  <si>
    <t>CAR.FEDERICO BASADRE MZ A LOTE. 05 ENTRADA DE CURIMANA</t>
  </si>
  <si>
    <t>UCAYALI</t>
  </si>
  <si>
    <t>PADRE ABAD</t>
  </si>
  <si>
    <t>NESHUYA</t>
  </si>
  <si>
    <t>10361490</t>
  </si>
  <si>
    <t>TANGOA MOGOLLON JUAN MIGUEL</t>
  </si>
  <si>
    <t>MZ B2 LT. 01 A.H MANUEL SCORZA, LIMA, LIMA, INDEPENDENCIA</t>
  </si>
  <si>
    <t>44784892</t>
  </si>
  <si>
    <t>TANTA GUERRERO JUAN MICHAEL</t>
  </si>
  <si>
    <t>AV. CENTENARIO N° 195</t>
  </si>
  <si>
    <t>15738971</t>
  </si>
  <si>
    <t>TANTA SULCA JENNY LUZMILA</t>
  </si>
  <si>
    <t>AV TUPAC AMARU 254</t>
  </si>
  <si>
    <t>40437012</t>
  </si>
  <si>
    <t>TANTA VASQUEZ YHONNY</t>
  </si>
  <si>
    <t>MZ Q LOTE 12 AV CRUZ DE MOTUPE</t>
  </si>
  <si>
    <t>70029510</t>
  </si>
  <si>
    <t>TAO TERRONES BETTY CRISTINA</t>
  </si>
  <si>
    <t>AV. JOSÉ ARNALDO MARQUEZ 1231 - TIENDA 50(SEMISÓTANO) GALERÍA TOPICENTER</t>
  </si>
  <si>
    <t>07407286</t>
  </si>
  <si>
    <t>TAPAHUASCO BARJA STEPHANIE SOFIA</t>
  </si>
  <si>
    <t>AV SAN FELIPE N° 657 URB SAN FELIPE.</t>
  </si>
  <si>
    <t>48490811</t>
  </si>
  <si>
    <t>TAPARA TORRES STEFANO FRANCO</t>
  </si>
  <si>
    <t>AV REPUBLICA DE PANAMA 6746</t>
  </si>
  <si>
    <t>77425877</t>
  </si>
  <si>
    <t>TAPARA TORRES, STEFANO FRANCO</t>
  </si>
  <si>
    <t>TAPIA PEÑALOZA ROBERT MARCEL</t>
  </si>
  <si>
    <t>AV. PACASMAYO CUADRA 40 ALTURA DE LA AV. PERÚ</t>
  </si>
  <si>
    <t>10310377</t>
  </si>
  <si>
    <t>TAPIA RONCAL PEDRO</t>
  </si>
  <si>
    <t>AV LOS GERANIOS MZ A LOTE 31</t>
  </si>
  <si>
    <t>08963727</t>
  </si>
  <si>
    <t>TAPIA RONCAL, PEDRO</t>
  </si>
  <si>
    <t>TAPIA ZUÑIGA DIEGO CRISTHIAN</t>
  </si>
  <si>
    <t>AV. UNIVERSITARIA 9964 - PARADERO ALBORADA</t>
  </si>
  <si>
    <t>44978579</t>
  </si>
  <si>
    <t>TAQUIRE CHIRE LAURA LORENA</t>
  </si>
  <si>
    <t>AV. TÚPAC AMARU 738, COMAS 15328</t>
  </si>
  <si>
    <t>43456411</t>
  </si>
  <si>
    <t>TARAZONA ESPINOZA YOWSHY</t>
  </si>
  <si>
    <t>AV. TUPAC AMARU MZ. C LT. 16</t>
  </si>
  <si>
    <t>70022698</t>
  </si>
  <si>
    <t>TARAZONA MOSQUEIRA LUIS FERNANDO</t>
  </si>
  <si>
    <t>LOS CEDROS DE VILLA. EN LA ESQUINA HAY UN RESTAURANTE LLAMADO " HABLA PEX"</t>
  </si>
  <si>
    <t>40748433</t>
  </si>
  <si>
    <t>TARAZONA TRUJILLO EDGAR MOISES</t>
  </si>
  <si>
    <t>URB. SAN JUAN 1 AV. TUPAC AMARU MZ B LT 2 - HUARAL (REFERENCIA 3 CDRAS ANTES DEL HOSPITAL SAN JUAN)</t>
  </si>
  <si>
    <t>41819539</t>
  </si>
  <si>
    <t>TARAZONA ZORRILLA ELIZABETH ZENAIDA</t>
  </si>
  <si>
    <t>ANTIGUA PANAMERICANA NORTE S/N (FRENTE DE GRIFO PECSA)</t>
  </si>
  <si>
    <t>40551527</t>
  </si>
  <si>
    <t>TARRILLO ESPINOZA EYSDER JHELMER</t>
  </si>
  <si>
    <t>AV. HUARANGAL MZ B LT 15 OASIS DE LA MOLINA</t>
  </si>
  <si>
    <t>44084578</t>
  </si>
  <si>
    <t>TATAJE CASAS JOSE MANUEL</t>
  </si>
  <si>
    <t>AV. ARGENTINA 144 - 1ER. PISO, STAND 1216 GALERÍA UNICENTRO, LIMA, LIMA, LIMA</t>
  </si>
  <si>
    <t>44502897</t>
  </si>
  <si>
    <t>TATAJE CASAS, JOSE MANUEL</t>
  </si>
  <si>
    <t>TAVARA RUESTA JOSE</t>
  </si>
  <si>
    <t>AV EL OLIVAR MZ A2 LT 2 BOCANEGRA, CALLAO, CALLAO, CALLAO</t>
  </si>
  <si>
    <t>80116366</t>
  </si>
  <si>
    <t>TAYPE ROJAS ALEJANDRO DANIEL</t>
  </si>
  <si>
    <t>MZ. A27 LOTE 6 - LOMAS DE ZAPALLAL</t>
  </si>
  <si>
    <t>48269068</t>
  </si>
  <si>
    <t>TAYPE VICENTE JACKELINE LISETT</t>
  </si>
  <si>
    <t>PARADERO MEZARINA ANT. PANAM SUR KM. 33</t>
  </si>
  <si>
    <t>44220928</t>
  </si>
  <si>
    <t>TEJADA OTINIANO JOSELIN</t>
  </si>
  <si>
    <t>MZ. E LT. 07 LOS LIBERTADORES AV. 200 MILLAS</t>
  </si>
  <si>
    <t>10724922</t>
  </si>
  <si>
    <t>TEJADA VALDERA EDUARDO</t>
  </si>
  <si>
    <t>ALAMEDA LOS MISIONEROS TDA. 344 CIUDAD SATELITE SANTA ROSA CALLAO</t>
  </si>
  <si>
    <t>07985323</t>
  </si>
  <si>
    <t>TEJADA VALDERA, EDUARDO</t>
  </si>
  <si>
    <t>TELLES SOTO EDWIN GREGORIO</t>
  </si>
  <si>
    <t>AV GIRASOLES 015051 FRENTE A EMPRESA BACKUS</t>
  </si>
  <si>
    <t>46264435</t>
  </si>
  <si>
    <t>TELLO MENDOZA MARIA SELIA</t>
  </si>
  <si>
    <t>MZ C LT 36 VALLE CHILLÓN, LIMA, LIMA, PUENTE PIEDRA</t>
  </si>
  <si>
    <t>09392646</t>
  </si>
  <si>
    <t>TELLO MONTEVERDE ALEXANDER MANUEL</t>
  </si>
  <si>
    <t>AV. CIRCUNVALACION SUR S/N FRENTE AL MERCADO MIYASHIRO</t>
  </si>
  <si>
    <t>43748204</t>
  </si>
  <si>
    <t>TELLO MONTEVERDE, ALEXANDER MANUEL</t>
  </si>
  <si>
    <t>TELLO PEREZ IVAN DANILO</t>
  </si>
  <si>
    <t>MZA. W LOTE 17 A.H. JOSEFINA RAMOS</t>
  </si>
  <si>
    <t>40024406</t>
  </si>
  <si>
    <t>TELLO RUBIO BEYMER</t>
  </si>
  <si>
    <t>CALLE LOS RUISEÑORES N1 LT 22, Z.I PARCELA 2 PARQUE INDUSTRIAL</t>
  </si>
  <si>
    <t>46967967</t>
  </si>
  <si>
    <t>TELLO TORRES JACQUELINE MAGALY</t>
  </si>
  <si>
    <t>JR SAN FABIAN MZ J LT 1 ETAPA 12 URB SANTO DOMINGO CARABAYLLO(PARALELA AV PROL.TRAPICHE) LIMA, LIMA, CARABAYLLO</t>
  </si>
  <si>
    <t>40550901</t>
  </si>
  <si>
    <t>TENAZOA ATOCHE JIM FRANCO</t>
  </si>
  <si>
    <t>MZ F1 LT2 HIROSHIMA-PACHACUTEC- VENTANILLA</t>
  </si>
  <si>
    <t>23017871</t>
  </si>
  <si>
    <t>TERREROS SUAREZ YSABEL CARMEN</t>
  </si>
  <si>
    <t>CRUSE HERALDOS NEGROS CON EL MISTI / REFERENCIA PARQUE "INCA PACHACUTEC" O IGLESIA SANTA ROSA</t>
  </si>
  <si>
    <t>09142268</t>
  </si>
  <si>
    <t>TERREROS SUAREZ, YSABEL CARMEN</t>
  </si>
  <si>
    <t>TERRONES ESTELA JUAN CARLOS</t>
  </si>
  <si>
    <t>MZ.HB LT.8 ASOC. SANTA ROSA UNIDA ANX 22 JICAMARCA,</t>
  </si>
  <si>
    <t>47839299</t>
  </si>
  <si>
    <t>TERRONES FLORES LUIS MIGUEL</t>
  </si>
  <si>
    <t>JR. LETICIA Nº 955 TIENDA.108-LIMA</t>
  </si>
  <si>
    <t>19326401</t>
  </si>
  <si>
    <t>TERRONES RAMIREZ KATY LILIANA</t>
  </si>
  <si>
    <t>CALLE ALSELMO ANDIA 518</t>
  </si>
  <si>
    <t>09744591</t>
  </si>
  <si>
    <t>TETTY DE BAESA LEONELA ESMERALDA</t>
  </si>
  <si>
    <t>PROLONGACION JAVIER PRADO MZ. H LT. 8 CERES MEDIO 2</t>
  </si>
  <si>
    <t>43675582</t>
  </si>
  <si>
    <t>TETTY DE BAESA, LEONELA ESMERALDA</t>
  </si>
  <si>
    <t>TEVES QUISPE EDWIN</t>
  </si>
  <si>
    <t>AV. CORDIALIDAD MZ G LOTE 40</t>
  </si>
  <si>
    <t>10616269</t>
  </si>
  <si>
    <t>TEXSI SUAREZ KARLA VERONICA</t>
  </si>
  <si>
    <t>AV. SANTA ROSA 968 MZ A LOTE 1 ASOC DE VIV. LOS PARRALES</t>
  </si>
  <si>
    <t>09976943</t>
  </si>
  <si>
    <t>TEXSI SUAREZ, KARLA VERONICA</t>
  </si>
  <si>
    <t>TIBURCIO COLONIA ANTONY JAIR</t>
  </si>
  <si>
    <t>AV. SALAVERRY 429, LIMA, HUAURA, HUACHO</t>
  </si>
  <si>
    <t>72440892</t>
  </si>
  <si>
    <t>TICLAHUANCA JULCA RONAL</t>
  </si>
  <si>
    <t>ASOCIACIÓN DE VIVIENDA BELLO HORIZONTE MZ. A LOTE. 13</t>
  </si>
  <si>
    <t>44520225</t>
  </si>
  <si>
    <t>TICLAHUANCA JULCA, RONAL</t>
  </si>
  <si>
    <t>TIMANA MORALES JUAN CARLOS</t>
  </si>
  <si>
    <t>PASAJE LOS LAURELES 229 SUBLOTE 1B (ESPALDA SOL PALMERAS  Y RESTAURANTE DON PASCUAL)</t>
  </si>
  <si>
    <t>43248592</t>
  </si>
  <si>
    <t>TINCO ALDAVE ELIZABETH YOMIRA</t>
  </si>
  <si>
    <t>EX FUNDO PREDIO RUSTICO NIEVERIA LT 11,LURIGANCHO-CHOSICA (POR LA QUEBRADA HUAICOLORO, AL COSTADO DE ENVASES JOSEPH)</t>
  </si>
  <si>
    <t>72722563</t>
  </si>
  <si>
    <t>TINCO HUAYANAY ZOSIMO DANIEL</t>
  </si>
  <si>
    <t>CARRETERA CENTRAL KM 14.5 GLORIA BAJA - ATE</t>
  </si>
  <si>
    <t>10055626</t>
  </si>
  <si>
    <t>TINEO PELTROCHE JIMY</t>
  </si>
  <si>
    <t>AV UNIVERSITARIA NORTE 9528 URB SAN JUAN BAUTISTA</t>
  </si>
  <si>
    <t>1410 - FABRICACIÓN DE PRENDAS DE VESTIR, EXCEPTO PRENDAS DE</t>
  </si>
  <si>
    <t>4146085</t>
  </si>
  <si>
    <t>TINEO RAYME JINNE YORDY</t>
  </si>
  <si>
    <t>AV. SAN MARTÍN DE PORRES N°499, LIMA, LIMA, SJL</t>
  </si>
  <si>
    <t>70228466</t>
  </si>
  <si>
    <t>TINTAYA HUAQUISACA CARMELO</t>
  </si>
  <si>
    <t>JIRON MONTEVIDEO 711-595, LIMA 15001, GALERIA SUDAMERICANO, STAD: 1082</t>
  </si>
  <si>
    <t>01850995</t>
  </si>
  <si>
    <t>TITO ARDILES DEIBY JOEL</t>
  </si>
  <si>
    <t>AV TUPAC AMARU 5577 URB. HUAQUILLAY</t>
  </si>
  <si>
    <t>72911400</t>
  </si>
  <si>
    <t>TITO ARDILES JUAN SEINER</t>
  </si>
  <si>
    <t>AV. TUPAC AMARU 5749 HUAQUILLAY</t>
  </si>
  <si>
    <t>72911455</t>
  </si>
  <si>
    <t>TITO ARDILES, JUAN SEINER</t>
  </si>
  <si>
    <t>TITO DEL CASTILLO JOHNNY PERCY</t>
  </si>
  <si>
    <t>AV. ALFONSO UGARTE 252 - BC15-PUERTA 3 C.C. UNICENTRO</t>
  </si>
  <si>
    <t>09689462</t>
  </si>
  <si>
    <t>JOHNNY PERCY TITO DEL CASTILLO</t>
  </si>
  <si>
    <t>TITO GUTIERREZ MILY</t>
  </si>
  <si>
    <t>JR. BASE SUR 206 NUEVA JERUSALÉN</t>
  </si>
  <si>
    <t>70806210</t>
  </si>
  <si>
    <t>TIXI BRICEÑO JUAN CARLOS</t>
  </si>
  <si>
    <t>CALLE PEZ AUSTRAL MZ K LT 16</t>
  </si>
  <si>
    <t>10054804</t>
  </si>
  <si>
    <t>TOCTO LOPEZ LUIS PAULINO</t>
  </si>
  <si>
    <t>AV. HUANCARAY MZ E LT. 14, LIMA, LIMA, SANTA ANITA</t>
  </si>
  <si>
    <t>45801462</t>
  </si>
  <si>
    <t>TOLEDO BAZALAR OSCAR EDILBERTO</t>
  </si>
  <si>
    <t>AV.CRUZ BLANCA N° 885</t>
  </si>
  <si>
    <t>15641230</t>
  </si>
  <si>
    <t>TOLEDO LEANDRO HENRY TOMAS</t>
  </si>
  <si>
    <t>AV. ARGENTINA 144 STAND CK57, GK72</t>
  </si>
  <si>
    <t>80141098</t>
  </si>
  <si>
    <t>TOLEDO LEANDRO, HENRY TOMAS</t>
  </si>
  <si>
    <t>TOLEDO LOAYZA ELMER</t>
  </si>
  <si>
    <t>SC 3 GR 16 MZ B LT 7 (RUTA A, AV.REVOLUCION)</t>
  </si>
  <si>
    <t>10080838</t>
  </si>
  <si>
    <t>TOLENTINO ESCUDERO ULDARICO JOSE</t>
  </si>
  <si>
    <t>AV. LAS VEGONIAS 292</t>
  </si>
  <si>
    <t>09543161</t>
  </si>
  <si>
    <t>TOLENTINO GONZALES ERICKSON JOSE</t>
  </si>
  <si>
    <t>AV. PRIMAVERA DE MAYO 139 - AL LADO DEL ESTADIO DE CHANCAY</t>
  </si>
  <si>
    <t>73678404</t>
  </si>
  <si>
    <t>TOLENTINO OBREGON LEONARDO SANTIAGO</t>
  </si>
  <si>
    <t>AV. EZEQUIEL GAGOMZ. V LT 6-2 MEDIO MUNDO</t>
  </si>
  <si>
    <t>73252259</t>
  </si>
  <si>
    <t>TOLENTINO OBREGON, LEONARDO SANTIAGO</t>
  </si>
  <si>
    <t>TOLENTINO TAPIA YUDY MAGALY</t>
  </si>
  <si>
    <t>JR. VILELA 548 REF. AL COSTADO DE LA POLLERIA RICO RICO</t>
  </si>
  <si>
    <t>40348300</t>
  </si>
  <si>
    <t>TOMAYLLA YALLI EDWARD FELIX</t>
  </si>
  <si>
    <t>THOMAS ALVA EDINSON MZ. B LOTE 21</t>
  </si>
  <si>
    <t>43372339</t>
  </si>
  <si>
    <t>TONGOMBOL TERAN FERNANDO</t>
  </si>
  <si>
    <t>MZ K LT 16 SAN JOSE</t>
  </si>
  <si>
    <t>10194077</t>
  </si>
  <si>
    <t>TOPALAYA CHUQUILLANQUI RAUL</t>
  </si>
  <si>
    <t>LA ESPERANZA MZ Q LT 22 PV RESID. LAS AMERICAS - LIMA - LIMA - ATE</t>
  </si>
  <si>
    <t>43033725</t>
  </si>
  <si>
    <t>RAUL TOPALAYA CHUQUILLANQUI</t>
  </si>
  <si>
    <t>TORERO ZELADA MARIA VICTORIA</t>
  </si>
  <si>
    <t>CALLE LEONCIO PRADO #159</t>
  </si>
  <si>
    <t>8230 - ORGANIZACIÓN DE CONVENCIONES Y EXPOSICIONES COMERCIALES</t>
  </si>
  <si>
    <t>09629909</t>
  </si>
  <si>
    <t>TORIBIO AQUINO HEIDI SOLEDAD</t>
  </si>
  <si>
    <t>MZA. V LOTE 20 ASOC.PRO VIV SAN CARLOS</t>
  </si>
  <si>
    <t>41461767</t>
  </si>
  <si>
    <t>TORIBIO SOTELO WILLIAM</t>
  </si>
  <si>
    <t>CALLE RAQUIA 4855, LOS OLIVOS 15304</t>
  </si>
  <si>
    <t>09786784</t>
  </si>
  <si>
    <t>TORIBIO TORIBIO JULIA ISABEL</t>
  </si>
  <si>
    <t>JR. MANUEL CUADROS NRO. 232</t>
  </si>
  <si>
    <t>40465137</t>
  </si>
  <si>
    <t>TORPOCO MUÑOZ LUIS FERNANDO</t>
  </si>
  <si>
    <t>LOS COCALENOS MZ. N X LOTE. 1A</t>
  </si>
  <si>
    <t>48053549</t>
  </si>
  <si>
    <t>TORRES BARTUREN JORDY</t>
  </si>
  <si>
    <t>CALLE 23 DE AGOSTO NRO 322 JOSÉ SANTOS CHOCANO, LAMBAYEQUE, CHICLAYO, JOSE LEONARDO ORTIZ</t>
  </si>
  <si>
    <t>77704387</t>
  </si>
  <si>
    <t>TORRES BARTUREN, JORDY</t>
  </si>
  <si>
    <t>TORRES BRAVO PEDRO LEON</t>
  </si>
  <si>
    <t>MZ B LT.15 URB. HUERTOS DE NARANJAL</t>
  </si>
  <si>
    <t>22500844</t>
  </si>
  <si>
    <t>TORRES CAMACHO RUDY KAREN</t>
  </si>
  <si>
    <t>ROSARIO DE ASIA, MZ. F, LOTE. 1</t>
  </si>
  <si>
    <t>70075440</t>
  </si>
  <si>
    <t>TORRES CHAFLOQUE MARCIO BRYAN</t>
  </si>
  <si>
    <t>JR. RIO ILO MZ B1 LT 1 URB VILLA DEL NORTE, LOS OLIVOS</t>
  </si>
  <si>
    <t>73883044</t>
  </si>
  <si>
    <t>TORRES CHANGANO YSABEL PATRICIA</t>
  </si>
  <si>
    <t>AA.HH SANTA ROSA MZ. 50 LT, PM, LIMA, LIMA, PUENTE PIEDRA</t>
  </si>
  <si>
    <t>09743603</t>
  </si>
  <si>
    <t>TORRES CHANGANO, YSABEL PATRICIA</t>
  </si>
  <si>
    <t>TORRES ENRIQUEZ MANOLO ESTEBAN</t>
  </si>
  <si>
    <t>MZ. I2 LT. 09 URB. EL ÁLAMO 2DA ETAPA, COMAS 15316, COMAS 15316</t>
  </si>
  <si>
    <t>42601809</t>
  </si>
  <si>
    <t>TORRES EUSEBIO MELISSA CLAUDIA</t>
  </si>
  <si>
    <t>AV.TUPAC AMARU N°2649 URB. EL PROGRESO KM22</t>
  </si>
  <si>
    <t>41700416</t>
  </si>
  <si>
    <t>TORRES EUSEBIO, MELISSA CLAUDIA</t>
  </si>
  <si>
    <t>TORRES FARRO HILDA FELICITA</t>
  </si>
  <si>
    <t>AV. TUPAC AMARU N°185 URB. P. CUEVA</t>
  </si>
  <si>
    <t>09242606</t>
  </si>
  <si>
    <t>TORRES FLORES HEBER LUCINIO</t>
  </si>
  <si>
    <t>URB. LOS PEREGRINOS MZ. B LT. 10</t>
  </si>
  <si>
    <t>40527942</t>
  </si>
  <si>
    <t>TORRES LEON MIGUEL ANGEL</t>
  </si>
  <si>
    <t>AV. MEXICO 2510,LIMA, LIMA, LA VICTORIA</t>
  </si>
  <si>
    <t>44935705</t>
  </si>
  <si>
    <t>TORRES LEVANO ALBERTO GIOVANNI</t>
  </si>
  <si>
    <t>MZ D LT 1 SECTOR 1 LOCAL NUMERO 8, VILLA LOS REYES - VENTANILLA</t>
  </si>
  <si>
    <t>10071274</t>
  </si>
  <si>
    <t>TORRES LEYVA LOURDES LUZ</t>
  </si>
  <si>
    <t>CALLE SAN MARTÍN N° 326MZ. R1</t>
  </si>
  <si>
    <t>15849721</t>
  </si>
  <si>
    <t>TORRES LUNA ALBERTO RUBEN</t>
  </si>
  <si>
    <t>CAR. ANTIGUA PANAMERICNA NORTE S/N (ENTRADA DE PATIVILCA POR EL COLEGIO PARTICULAR COLUMBUS AMERICA)</t>
  </si>
  <si>
    <t>15449928</t>
  </si>
  <si>
    <t>TORRES LUNA OSCAR MOISES</t>
  </si>
  <si>
    <t>CALLE. "A" MZ "D" LOTE "06" OFICINA "301" REFERENCIA COSTADO DE MEGA PLAZA</t>
  </si>
  <si>
    <t>43541777</t>
  </si>
  <si>
    <t>TORRES NUÑEZ ALFREDO</t>
  </si>
  <si>
    <t>PRINCIPAL - 6190 - OTRAS ACTIVIDADES DE TELECOMUNICACIONES</t>
  </si>
  <si>
    <t>Callle abelardo gamarra 1464 piso 2 urb elio lima</t>
  </si>
  <si>
    <t>10270284</t>
  </si>
  <si>
    <t>TORRES NUÑEZ, ALFREDO</t>
  </si>
  <si>
    <t>TORRES ORTIZ YVAN</t>
  </si>
  <si>
    <t>AV. CALCA 104 - B, LIMA, LIMA, ATE</t>
  </si>
  <si>
    <t>10882524</t>
  </si>
  <si>
    <t>TORRES PADILLA VERONICA YSABEL</t>
  </si>
  <si>
    <t>AV. SAN BORJA SUR N.° 824</t>
  </si>
  <si>
    <t>42069503</t>
  </si>
  <si>
    <t>TORRES PALOMARES PEDRO</t>
  </si>
  <si>
    <t>AV CENTENARIO S/N PASAJE DOMINGO MANDAMIENTO N° 449 PASANDO PUENTE DE LA PANAMERICANA</t>
  </si>
  <si>
    <t>48474663</t>
  </si>
  <si>
    <t>TORRES POZO LEONEL</t>
  </si>
  <si>
    <t>AV OSCAR BENAVIDES 578</t>
  </si>
  <si>
    <t>10786258</t>
  </si>
  <si>
    <t>TORRES QUISPE ROLY</t>
  </si>
  <si>
    <t>MZ.E, LT22 NAVIDAD DE VILLA</t>
  </si>
  <si>
    <t>42183174</t>
  </si>
  <si>
    <t>TORRES RIVERA PAOLA</t>
  </si>
  <si>
    <t>AV. LAS FLORES DE PRIMAVERA 475</t>
  </si>
  <si>
    <t>09947769</t>
  </si>
  <si>
    <t>TORRES RUIZ MICHEL RUDY</t>
  </si>
  <si>
    <t>PJ. LOS JARDINES DE LA CAPITA URB. CAPITANA MZA. J LOTE. 10 INT. 26 AV CIRCUMVALACION MZ J LTR 10 PDRO ESTAB LIMA - LIMA - LURIGANCHO</t>
  </si>
  <si>
    <t>46370322</t>
  </si>
  <si>
    <t>TORRES SALCEDO EDWIN DANIEL</t>
  </si>
  <si>
    <t>CARRETERA CENTRAL KM 1580 PARADERO MACETAS</t>
  </si>
  <si>
    <t>40879680</t>
  </si>
  <si>
    <t>ADWIN DANIEL TORRES SALCEDO</t>
  </si>
  <si>
    <t>TORRES SANTIAGO LENIN EDISON</t>
  </si>
  <si>
    <t>ASOCIACION FUJIMOTI ETAPA II MZ E LT 21</t>
  </si>
  <si>
    <t>76313034</t>
  </si>
  <si>
    <t>TORRES SARAVIA MARCO ANTONIO</t>
  </si>
  <si>
    <t>EL SODIO 286</t>
  </si>
  <si>
    <t>10190619</t>
  </si>
  <si>
    <t>TORRES SARAVIA, MARCO ANTONIO</t>
  </si>
  <si>
    <t>TORRES SIPAN PAULA BEATRIZ</t>
  </si>
  <si>
    <t>AV. UNIVERSITARIA NORTE N° 5899 URB. LAS VEGAS, LIMA, LIMA, COMAS</t>
  </si>
  <si>
    <t>09611510</t>
  </si>
  <si>
    <t>TORRES SUSANIBAR DAVID FRANCYS</t>
  </si>
  <si>
    <t>JR BOLIVAR NRO 316</t>
  </si>
  <si>
    <t>48095597</t>
  </si>
  <si>
    <t>TORRES TAIPE BETO ALCIDES</t>
  </si>
  <si>
    <t>URB. LA PORTADA DE CERES MZA. S LOTE. 05 LIMA LIMA SANTA ANITA</t>
  </si>
  <si>
    <t>42319653</t>
  </si>
  <si>
    <t>TORRES VILLANUEVA LUCIO MARINO</t>
  </si>
  <si>
    <t>ASOC.  DE VIV. EL PORVENIR MZ. A  LT. 6 - PRDRO. 3 REGIONES</t>
  </si>
  <si>
    <t>15700342</t>
  </si>
  <si>
    <t>TORRES VISSO CESAR EDUARDO</t>
  </si>
  <si>
    <t>JR. PUNO NRO 552 SEMI SOTANO STAND 107, LIMA, LIMA, LIMA</t>
  </si>
  <si>
    <t>45148920</t>
  </si>
  <si>
    <t>TORRES VISSO, CESAR EDUARDO</t>
  </si>
  <si>
    <t>TORRICO MONROY KARLA CECILIA</t>
  </si>
  <si>
    <t>SAN ROMÁN 188, HUACHO 15136, LIMA, HUAURA, HUACHO</t>
  </si>
  <si>
    <t>40275166</t>
  </si>
  <si>
    <t>TOSCANO GIL VERONICA NOEMI</t>
  </si>
  <si>
    <t>AH LOS ALAMOS DE CANTO GRANDE II ETAPA MZ. D LT. 3</t>
  </si>
  <si>
    <t>47358273</t>
  </si>
  <si>
    <t>TOTOCAYO BARZOLA EDUARDO ERIBERTO</t>
  </si>
  <si>
    <t>MZ A LOTE 2 INT.68 SECTOR 3 GRUPO 1</t>
  </si>
  <si>
    <t>45340614</t>
  </si>
  <si>
    <t>EDUARDO ERIBERTO TOTOCAYO BARZOLA</t>
  </si>
  <si>
    <t>TOVAR BENITES FRANS ROGER</t>
  </si>
  <si>
    <t>MZA. H LOTE. 19 URB. VILLA SANTA MARIA</t>
  </si>
  <si>
    <t>15428161</t>
  </si>
  <si>
    <t>TRAMONTANA GARCIA JEEMKEIN CLINGEMEL</t>
  </si>
  <si>
    <t>AV. 225 MZ H LT 1  PROYECTO PILOTO PACHACUTEC - VENTANILLA / A UNA CUADRA DEL GRIFO LUBRICANTES</t>
  </si>
  <si>
    <t>44850050</t>
  </si>
  <si>
    <t>TRAUCO HUAMAN MANUEL</t>
  </si>
  <si>
    <t>ASOC. MICAELA BASTIDAS MZ. C LT. 8</t>
  </si>
  <si>
    <t>44767259</t>
  </si>
  <si>
    <t>TRAUCO HUAMAN, MANUEL</t>
  </si>
  <si>
    <t>TRELLES RUBINA JANETH JENIFER</t>
  </si>
  <si>
    <t>AV. PACHACUTEC MZ. AF LT. 13 JICAMARCA</t>
  </si>
  <si>
    <t>44532173</t>
  </si>
  <si>
    <t>TRIGOSO MAGALLANES MIRIAM DEL PILAR</t>
  </si>
  <si>
    <t>AV. GRAU MZ G LOTE 02 NUEVO PROGRESO</t>
  </si>
  <si>
    <t>41046310</t>
  </si>
  <si>
    <t>TRIGOSO MAGALLANES, MIRIAM DEL PILAR</t>
  </si>
  <si>
    <t>TRINIDAD RAMOS JORGE ARMANDO</t>
  </si>
  <si>
    <t>UBR.LA VILLA - MZ E. LOTE 3 HUAURA</t>
  </si>
  <si>
    <t>41295850</t>
  </si>
  <si>
    <t>TRIVEÑO URRUTIA GIANCARLO FRANCESCO</t>
  </si>
  <si>
    <t>AV TOMAS VALLE 1411 SAN MARTIN DE PORRES</t>
  </si>
  <si>
    <t>45719190</t>
  </si>
  <si>
    <t>TRUJILLO AGURTO CARMEN ELIZABETH</t>
  </si>
  <si>
    <t>AV. LOS PINOS MZ S LT.28</t>
  </si>
  <si>
    <t>40939359</t>
  </si>
  <si>
    <t>TRUJILLO ARIAS FERNANDO GREGORIO</t>
  </si>
  <si>
    <t>JR DANIEL GARCES CON AV PISTA NUEVA MZ E LOTE</t>
  </si>
  <si>
    <t>10037028</t>
  </si>
  <si>
    <t>TRUJILLO CALZADA EDGAR PABLO</t>
  </si>
  <si>
    <t>AV CAJAMARQUILLA CUADRA 8</t>
  </si>
  <si>
    <t>04209870</t>
  </si>
  <si>
    <t>TRUJILLO LEON ENRIQUE ALIPIO</t>
  </si>
  <si>
    <t>CALLE LOS CIPRESES MZ C LT 5, LIMA, HUAURA, HUAURA</t>
  </si>
  <si>
    <t>72880010</t>
  </si>
  <si>
    <t>TRUJILLO LUNA LIZ YIZELA</t>
  </si>
  <si>
    <t>AV. URUBAMBA 362 COOPERATIVA 27 DE ABRIL</t>
  </si>
  <si>
    <t>48644565</t>
  </si>
  <si>
    <t>TRUJILLO MIRANDA MARIANO</t>
  </si>
  <si>
    <t>ASOC DE VIV VALLE CHILLON MZA. B LOTE. 4, LIMA, LIMA, PUENTE PIEDRA</t>
  </si>
  <si>
    <t>09356817</t>
  </si>
  <si>
    <t>TRUJILLO MIRANDA, MARIANO</t>
  </si>
  <si>
    <t>TRUJILLO PEREZ PABLO EZEQUIEL</t>
  </si>
  <si>
    <t>AV. ALFREDO MENDIOLA 3520</t>
  </si>
  <si>
    <t>ACTIVIDADES DE SERVICIOS DIVERSOS</t>
  </si>
  <si>
    <t>17272158</t>
  </si>
  <si>
    <t>TRUJILLO REYES BRIGITTE LENIA</t>
  </si>
  <si>
    <t>JR. SAN MARTIN N° 3721</t>
  </si>
  <si>
    <t>43898036</t>
  </si>
  <si>
    <t>TRUJILLO REYES, BRIGITTE LENIA</t>
  </si>
  <si>
    <t>TRUJILLO TORIBIO ELIAS ROMALDO</t>
  </si>
  <si>
    <t>KM 38.5 DE LA CARRETERA CENTRAL RICARDO PALMA (ALTURA DEL GRIFO MURUHUAY)</t>
  </si>
  <si>
    <t>45875840</t>
  </si>
  <si>
    <t>TRUJILLO TRUJILLO DE MENDIETA JUSTINA</t>
  </si>
  <si>
    <t>AV. 4 DE SEPTIEMBRE MZ P LT 2 SAN BARTOLOME</t>
  </si>
  <si>
    <t>15653408</t>
  </si>
  <si>
    <t>TUEROS SANCHEZ ARTURO</t>
  </si>
  <si>
    <t>GRUPO 4-A MZ. G LT. 2 SEC. - 6</t>
  </si>
  <si>
    <t>41629235</t>
  </si>
  <si>
    <t>TUESTA CASTRO RAFAEL</t>
  </si>
  <si>
    <t>AV. PACASMAYO G03</t>
  </si>
  <si>
    <t>45072502</t>
  </si>
  <si>
    <t>TUNCAR CONTRERAS CARMELA</t>
  </si>
  <si>
    <t>LOS CHANCAS MZ D LT 18 ASC. LOS PINOS</t>
  </si>
  <si>
    <t>41246051</t>
  </si>
  <si>
    <t>TUPAYACHI AMPUERO CRISTIAN</t>
  </si>
  <si>
    <t>CALLE AQUIA NRO 1193 URB. PERU, LIMA, LIMA, SAN MARTIN DE PORRES</t>
  </si>
  <si>
    <t>80220919</t>
  </si>
  <si>
    <t>TUPAYACHI AMPUERO, CRISTIAN</t>
  </si>
  <si>
    <t>TURPO PANCCA JAKELIN MILAGROS</t>
  </si>
  <si>
    <t>ST2 GRUPO 10 MZ J LOTE 19 A 1 CDRA DE LA MUNICIPALIDAD</t>
  </si>
  <si>
    <t>70016703</t>
  </si>
  <si>
    <t>TUSE CORO KARINA</t>
  </si>
  <si>
    <t>CRDA.9 DE MERINO REYNA 112LT.02 - KM 18, LIMA, LIMA, CARABAYLLO</t>
  </si>
  <si>
    <t>44925197</t>
  </si>
  <si>
    <t>TUYA VILLANUEVA CARLOS ALBERTO</t>
  </si>
  <si>
    <t>MZ A LOTE 11 LA MERCED- ENSENADA</t>
  </si>
  <si>
    <t>08635052</t>
  </si>
  <si>
    <t>UBILLUS TORRES CLAUDIA ELISA</t>
  </si>
  <si>
    <t>PANAMERICANA NORTE KM. 85.5 FRTE. EL HOSTAL EL PARQUE- OVALO DE CHANCAY</t>
  </si>
  <si>
    <t>16010631</t>
  </si>
  <si>
    <t>UBILLUS TORRES, CLAUDIA ELISA</t>
  </si>
  <si>
    <t>UCHOFEN MORAN DANITZA ODETH</t>
  </si>
  <si>
    <t>AV. SAN JUAN BAUTISTA 206 COMAS 15313</t>
  </si>
  <si>
    <t>75164054</t>
  </si>
  <si>
    <t>DANITZA ODETH UCHOFEN MORAN</t>
  </si>
  <si>
    <t>UCULMANA ROSAS MARCELO ANTONIO</t>
  </si>
  <si>
    <t>JIRON AMAZONAS MZ A2 LOTE 10 QUILMANA LAS FLORES (ESQUINA DE CUSCO Y AMAZONAS)</t>
  </si>
  <si>
    <t>7110 - ACTIVIDADES DE ARQUITECTURA E INGENIERIA Y ACTIVIDADES CONEXAS DE CONSULTORIA</t>
  </si>
  <si>
    <t>75572023</t>
  </si>
  <si>
    <t>UGARTE CRUZ NILTON</t>
  </si>
  <si>
    <t>AV DE LA UNION MZ T LOTE 2 (ALT DE LA PAN NORTE FRENTE A LA CASA DEL ABUELO Y AL LADO DE LA ASOC DE PRODUCT DE LECHE)</t>
  </si>
  <si>
    <t>77284247</t>
  </si>
  <si>
    <t>UGARTE OBREGON LISARDO MAYCOL</t>
  </si>
  <si>
    <t>AV. LOS LIBERTADORES S/NRO. - LA FLORIDA (VICHAMA PARK)</t>
  </si>
  <si>
    <t>74569409</t>
  </si>
  <si>
    <t>UGARTE RAMIREZ JOSE LUIS</t>
  </si>
  <si>
    <t>AV. CAJATAMBO MZ L N° 252 A OYON</t>
  </si>
  <si>
    <t>44933750</t>
  </si>
  <si>
    <t>UGAZ RAFAEL ESMERIA</t>
  </si>
  <si>
    <t>CAL.1MZF LTE18 ESQ.CAL8AV.SANTA CATALINA</t>
  </si>
  <si>
    <t>77910809</t>
  </si>
  <si>
    <t>ULLOA AQUIJE LESLIE SUSANA</t>
  </si>
  <si>
    <t>AV.PISTA CANTA CALLAO 156-09</t>
  </si>
  <si>
    <t>41609396</t>
  </si>
  <si>
    <t>ULLOA PACORA LESLY VIOLETA</t>
  </si>
  <si>
    <t>LIMA, BARRANCA, BARRANCA</t>
  </si>
  <si>
    <t>42733924</t>
  </si>
  <si>
    <t>ULLOA TORRES ALBERTO HERNANDO</t>
  </si>
  <si>
    <t>CALLE SAN CARLOS 551 - SURQUILLO</t>
  </si>
  <si>
    <t>07862699</t>
  </si>
  <si>
    <t>ULTRAMAGIA S.A.S</t>
  </si>
  <si>
    <t>AV. ALFREDO MENDIOLA N° 3520</t>
  </si>
  <si>
    <t>ESCUELA ONLINE INTERNACIONAL</t>
  </si>
  <si>
    <t>11442125</t>
  </si>
  <si>
    <t>ANDRES CAMILO TANGARIAN ALVAREZ</t>
  </si>
  <si>
    <t>UNOCC BENITO ALCEDO</t>
  </si>
  <si>
    <t>AV. CORDIALIDAD MZ Z LT 05 URB. LA FLORESTA</t>
  </si>
  <si>
    <t>44993976</t>
  </si>
  <si>
    <t>UNUCO VENTO JEAN CARLOS</t>
  </si>
  <si>
    <t>JR. SAN CRISTOBAL N° 1660 INT. 397- GALERIA YUYI</t>
  </si>
  <si>
    <t>46156039</t>
  </si>
  <si>
    <t>URBANO VENTOCILLA JOSE CARLOS</t>
  </si>
  <si>
    <t>JR. HUARAZ 1944-A, LIMA, LIMA, PUEBLO LIBRE</t>
  </si>
  <si>
    <t>09673178</t>
  </si>
  <si>
    <t>URBANO VENTOCILLA, JOSE CARLOS</t>
  </si>
  <si>
    <t>URBINA SANCHEZ MANUEL GERARDO</t>
  </si>
  <si>
    <t>JR. JOSÉ MARÍA CÓRDOBA MANZANA E LOTE 40 AMAKELLA</t>
  </si>
  <si>
    <t>10863672</t>
  </si>
  <si>
    <t>URIARTE MICHA ELMER ADALBERTO</t>
  </si>
  <si>
    <t>AV INCA ATAHUALPA M Q-L 9D SECTOR PEDREGAL BAJO ANEXO 22 - JICAMARCA, LIMA, LIMA, LURIGANCHO</t>
  </si>
  <si>
    <t>44639215</t>
  </si>
  <si>
    <t>URIBE OSORIO ZENON PERCY</t>
  </si>
  <si>
    <t>JR MANUEL CASOS 1207</t>
  </si>
  <si>
    <t>10548389</t>
  </si>
  <si>
    <t>URIBE ZUÑIGA RAPHAEL OMAR</t>
  </si>
  <si>
    <t>JR. TEJADA 330</t>
  </si>
  <si>
    <t>10496336</t>
  </si>
  <si>
    <t>URIOL ALVAREZ ANDREA ESMERALDA</t>
  </si>
  <si>
    <t>MZ. A3 LT. 161 LADERAS DE CHILLON</t>
  </si>
  <si>
    <t>76865235</t>
  </si>
  <si>
    <t>URIOL ALVAREZ, ANDREA ESMERALDA</t>
  </si>
  <si>
    <t>URQUIZO AROSTEGUI DIMAS CARMILO</t>
  </si>
  <si>
    <t>MZA L2 LOTE 13 BARRIO 2 SECTOR 1 ETAPA 4 PACHACAMAC</t>
  </si>
  <si>
    <t>10077748</t>
  </si>
  <si>
    <t>URQUIZO AROSTEGUI, DIMAS CARMILO</t>
  </si>
  <si>
    <t>URTEAGA SIFUENTES EDWARD JONNY</t>
  </si>
  <si>
    <t>AV. CANADA NRO. 3238 URB. JACARANDA 2DA ETAPA (CRUCE AV. CANADA Y SAN LUIS) LIMA - LIMA - SAN BORJA</t>
  </si>
  <si>
    <t>09878634</t>
  </si>
  <si>
    <t>USAITA PACHECO JUANA</t>
  </si>
  <si>
    <t>BARCELONA 240 SAN ISIDRO (MODULO DE LIBROS)</t>
  </si>
  <si>
    <t>06669375</t>
  </si>
  <si>
    <t>USEDA MARROQUIN LUIS DAVID</t>
  </si>
  <si>
    <t>AV LIMA 1761 ALT  PARADERO 10 AL COSTADO DEL SIDEM. VMT</t>
  </si>
  <si>
    <t>FABRICACIÓN DE TANQUES, DEPÓSITOS Y RECIPIENTES DE METAL</t>
  </si>
  <si>
    <t>44098583</t>
  </si>
  <si>
    <t>VADA LUNA RAMON</t>
  </si>
  <si>
    <t>ELEAZAR GUZMAN YBARRON N°2412</t>
  </si>
  <si>
    <t>40931576</t>
  </si>
  <si>
    <t>VALDERRAMA COLLANTES RODOLFO ABEL</t>
  </si>
  <si>
    <t>URB SANTO DOMINGO MZ A L1 LOTE 29  CARABAYLLO 15319 (CEVICHE DON COCO)</t>
  </si>
  <si>
    <t>10796125</t>
  </si>
  <si>
    <t>VALDERRAMA HUAPAYA OSCAR MARIO LEONCIO</t>
  </si>
  <si>
    <t>SAN FELIPE, MZ, C. LT. 03 URB. LAS MAGNOLIAS - COMAS</t>
  </si>
  <si>
    <t>48642895</t>
  </si>
  <si>
    <t>VALDEZ MONTOYA HENRY</t>
  </si>
  <si>
    <t>AV. ENRIQUE MEIGGS 3168</t>
  </si>
  <si>
    <t>06145397</t>
  </si>
  <si>
    <t>VALDEZ VILLANUEVA OSCAR JUNIOR</t>
  </si>
  <si>
    <t>AV.CATALINO MIRANDA 288 (BARRANCO)</t>
  </si>
  <si>
    <t>44094420</t>
  </si>
  <si>
    <t>VALDEZ ZAVALA MILTON DONALD</t>
  </si>
  <si>
    <t>MZ 6F LT 2A JIRON LIMA, LIMA, LIMA, VILLA MARIA DEL TRIUNFO</t>
  </si>
  <si>
    <t>03494178</t>
  </si>
  <si>
    <t>VALDIVIA ESPINOZA JAWER JHOLSEN</t>
  </si>
  <si>
    <t>AV. ALFREDO MENDIOLA N° 3540</t>
  </si>
  <si>
    <t>48184780</t>
  </si>
  <si>
    <t>VALDIVIA ESPINOZA, JAWER JHOLSEN</t>
  </si>
  <si>
    <t>VALDIVIESO ORTIZ RAFAEL DARIO</t>
  </si>
  <si>
    <t>JR LOS TITANES 189, FRENTE A CONDOMINIO</t>
  </si>
  <si>
    <t>10638635</t>
  </si>
  <si>
    <t>VALENCIA CARBAJAL SHIRLEY MARGOT</t>
  </si>
  <si>
    <t>CALLE LOS TORNILLOS N° 598 DPTO 202 URB. LAS FLORES, LIMA, LIMA, SAN JUAN DE LURIGANCHO</t>
  </si>
  <si>
    <t>74306 - PUBLICIDAD</t>
  </si>
  <si>
    <t>41117118</t>
  </si>
  <si>
    <t>VALENCIA DIAZ ROSA ESPERANZA</t>
  </si>
  <si>
    <t>AV.HEROES DEL ALTO CENEPA O1 LT24 URB ALAMO</t>
  </si>
  <si>
    <t>40185698</t>
  </si>
  <si>
    <t>VALENCIA LOPEZ JULIO CESAR</t>
  </si>
  <si>
    <t>ASOC. PRO. VIV. LA ARBOLEDA MZ. A LT. 15 CALLE LOS ROBLES</t>
  </si>
  <si>
    <t>10761038</t>
  </si>
  <si>
    <t>JULIO CESAR VALENCIA LOPEZ</t>
  </si>
  <si>
    <t>VALENCIA MATOS IVAN WALTER</t>
  </si>
  <si>
    <t>M.A L 3 ASOC. VIV. SANTA INES LL ETAPA .- CARABAYLLO, LIMA, LIMA, PUENTE PIEDRA</t>
  </si>
  <si>
    <t>4787754</t>
  </si>
  <si>
    <t>VALENCIA MAZA ISABEL</t>
  </si>
  <si>
    <t>ASENT. H. SAN LORENZO MZ: A LT:12</t>
  </si>
  <si>
    <t>47112735</t>
  </si>
  <si>
    <t>VALENCIA MAZA, ISABEL</t>
  </si>
  <si>
    <t>VALENCIA MONDRAGON JAVIER ALEJANDRO</t>
  </si>
  <si>
    <t>ME E LOTE 2 AV. ROSARIO DEL NORTE</t>
  </si>
  <si>
    <t>40235099</t>
  </si>
  <si>
    <t>VALENCIA NICOLAS PAULINA</t>
  </si>
  <si>
    <t>CLLE. JUSTINIANO MINAYA 359 - COOP. UNIVERSAL</t>
  </si>
  <si>
    <t>2540056</t>
  </si>
  <si>
    <t>VALENTIN MANZANEDO EFRAIN DANIEL</t>
  </si>
  <si>
    <t>JR COLUMNA PASCO 102</t>
  </si>
  <si>
    <t>FABRICACIÓN DE BISUTERÍA Y ARTÍCULOS CONEXOS</t>
  </si>
  <si>
    <t>43218071</t>
  </si>
  <si>
    <t>VALENTIN MANZANEDO, EFRAIN DANIEL</t>
  </si>
  <si>
    <t>VALENZUELA LUICHO FREDY CASELI</t>
  </si>
  <si>
    <t>MZ G LT 12 P.J. JERUSALÉN</t>
  </si>
  <si>
    <t>43461135</t>
  </si>
  <si>
    <t>VALENZUELA VILLENA JOHN SMITH</t>
  </si>
  <si>
    <t>AV. ALFREDO MENDIOLA 3317</t>
  </si>
  <si>
    <t>44959793</t>
  </si>
  <si>
    <t>VALERA VIVANCO KATHERINE YESENIA</t>
  </si>
  <si>
    <t>JR. GREGORIO VII 135 GALERIA UNICACHI</t>
  </si>
  <si>
    <t>40495616</t>
  </si>
  <si>
    <t>VALERA VIVANCO, KATHERINE YESENIA</t>
  </si>
  <si>
    <t>VALERIANO CASTRO GIANCARLO</t>
  </si>
  <si>
    <t>AV HUALCARA URB EL PINO MZ B1 LT 8</t>
  </si>
  <si>
    <t>70264114</t>
  </si>
  <si>
    <t>VALERO PAYANO DE MARIÑO DINA</t>
  </si>
  <si>
    <t>ASOCIACIÓN DE VIVIENDA CAMPO SOL MZ "L" LOTE 4, CARAPONGO-CHOSICA</t>
  </si>
  <si>
    <t>09599302</t>
  </si>
  <si>
    <t>VALIENTE RODRIGUEZ HECTOR UBENCELANS</t>
  </si>
  <si>
    <t>PAMPLONA ALTA - SECTOR ALFONSO UGARTE MZA. O LOTE 25</t>
  </si>
  <si>
    <t>Principal - 4321 - INSTALACIONES ELÉCTRICAS</t>
  </si>
  <si>
    <t>43292058</t>
  </si>
  <si>
    <t>HECTOR UBENCELANS VALIENTE RODRIGUEZ</t>
  </si>
  <si>
    <t>VALIENTE VALIENTE JOSE DAVID</t>
  </si>
  <si>
    <t>JR. GRAL VARELA N° 1676 EDIF. 1 PISO 7</t>
  </si>
  <si>
    <t>03516204</t>
  </si>
  <si>
    <t>VALLADARES AGUIRRE HUMBERTO ELEAZAR</t>
  </si>
  <si>
    <t>AV. PUENTE PIEDRA N°811</t>
  </si>
  <si>
    <t>10285800</t>
  </si>
  <si>
    <t>VALLADARES KOICHEOSKI FELIX DARLING</t>
  </si>
  <si>
    <t>MZ. T2  LT. 9 ALT. CUADRA 16 AV. TOMAS VALLE</t>
  </si>
  <si>
    <t>41989148</t>
  </si>
  <si>
    <t>VALLE DIAZ ABRAM</t>
  </si>
  <si>
    <t>LT. 12 MZ. N URB. HUERTOS DE LURIN</t>
  </si>
  <si>
    <t>08973429</t>
  </si>
  <si>
    <t>VALLE DIAZ, ABRAM</t>
  </si>
  <si>
    <t>VALLE PUIQUIN RITA ROXANA</t>
  </si>
  <si>
    <t>CIRO ALEGRIA MZ 19 LT 17 NICOLAS DE PIEROLA (RESTAUR. EL VELERO AZUL)</t>
  </si>
  <si>
    <t>42268794</t>
  </si>
  <si>
    <t>VALLE TRAUCO NANCY</t>
  </si>
  <si>
    <t>CALLE AMARU INCA YUPANQUI NRO 105 (RESTAURANTE MY REYNITA)</t>
  </si>
  <si>
    <t>09733627</t>
  </si>
  <si>
    <t>VALLEJOS CORNEJO JUAN JOSE</t>
  </si>
  <si>
    <t>CALLE ENRIQUE CASTILLA N° 164</t>
  </si>
  <si>
    <t>10684010</t>
  </si>
  <si>
    <t>VALLEJOS EVANGELISTA BETTY RAIDA</t>
  </si>
  <si>
    <t>AV. BOLIVIA 148 GALERIA CENTRO DE LIMA INT 3141</t>
  </si>
  <si>
    <t>45909124</t>
  </si>
  <si>
    <t>VALLEJOS EVANGELISTA, BETTY RAIDA</t>
  </si>
  <si>
    <t>VALLEJOS VILLAFUERTE JUAN</t>
  </si>
  <si>
    <t>AV HUANCARAY MZ A3 LOT 21</t>
  </si>
  <si>
    <t>43828532</t>
  </si>
  <si>
    <t>VALLES RODRIGUEZ NICOLAS</t>
  </si>
  <si>
    <t>COOPERATIVA VIRGEN DE FATIMA MZ. X LOTE 8</t>
  </si>
  <si>
    <t>01117884</t>
  </si>
  <si>
    <t>VALQUI CHAVEZ ERIK JONATHAN</t>
  </si>
  <si>
    <t>AV. TOMAS VALLE 3023, URB. EL CONDOR - CALLAO</t>
  </si>
  <si>
    <t>45527207</t>
  </si>
  <si>
    <t>VALVERDE CHUQUILLANQUE EMANUEL</t>
  </si>
  <si>
    <t>AV. BUENOS AIRES NRO 206</t>
  </si>
  <si>
    <t>44360765</t>
  </si>
  <si>
    <t>VALVERDE HUARCAYA JOSEPH ANDRE</t>
  </si>
  <si>
    <t>JR. ANDAHUAYLAS N°665</t>
  </si>
  <si>
    <t>74495246</t>
  </si>
  <si>
    <t>VALVERDE HUARCAYA, JOSEPH ANDRE</t>
  </si>
  <si>
    <t>VALVERDE PALACIN CESAR AUGUSTO</t>
  </si>
  <si>
    <t>JR. SAN JOSE 224. COOP. SAN JOSE – EL AGUSTINO</t>
  </si>
  <si>
    <t>45839203</t>
  </si>
  <si>
    <t>VALVERDE PONTE NICANOR PAULO</t>
  </si>
  <si>
    <t>ASOCIACIÓN SEMI RÚSTICA DE LA ENSENADA MZ H LT. 19</t>
  </si>
  <si>
    <t>3212 - FABRICACIÓN DE BISUTERÍA Y ARTÍCULOS CONEXOS</t>
  </si>
  <si>
    <t>46718647</t>
  </si>
  <si>
    <t>VALVERDE ROJAS CARLOS HILDER</t>
  </si>
  <si>
    <t>MZ.B LOTE 25 AV. CANTA CALLAO, LOS LIRIOS</t>
  </si>
  <si>
    <t>46300172</t>
  </si>
  <si>
    <t>VALVERDE VEREAU MAXIMO JESUS</t>
  </si>
  <si>
    <t>JR GALVEZ #1169</t>
  </si>
  <si>
    <t>72313775</t>
  </si>
  <si>
    <t>VARA MOROCCO ANDREA VICTORIA</t>
  </si>
  <si>
    <t>AV. NARANJAL 1470</t>
  </si>
  <si>
    <t>45558612</t>
  </si>
  <si>
    <t>VARGAS CORAL MARIA ELIZABETH</t>
  </si>
  <si>
    <t>JR. DOMINGO SARMIENTO 133</t>
  </si>
  <si>
    <t>22972815</t>
  </si>
  <si>
    <t>VARGAS CORAL, MARIA ELIZABETH</t>
  </si>
  <si>
    <t>VARGAS COTRINA MARIA JUANA</t>
  </si>
  <si>
    <t>AV. LAS PALMAS "CASA CLUB EL PALMAR"CASA 31 LURIN</t>
  </si>
  <si>
    <t>07600287</t>
  </si>
  <si>
    <t>VARGAS COTRINA, MARIA JUANA</t>
  </si>
  <si>
    <t>VARGAS DE LA CRUZ WILSON</t>
  </si>
  <si>
    <t>CALLE BOLOGNESI S/N DISTRITO DE LARES</t>
  </si>
  <si>
    <t>CALCA</t>
  </si>
  <si>
    <t>LARES</t>
  </si>
  <si>
    <t>47063600</t>
  </si>
  <si>
    <t>VARGAS EVANGELISTA LUZ MARIA</t>
  </si>
  <si>
    <t>AV. TUPAC AMARU N° 627 URB. UNIVERSAL</t>
  </si>
  <si>
    <t>71923353</t>
  </si>
  <si>
    <t>VARGAS HUANCA JORGE JUAN</t>
  </si>
  <si>
    <t>ANDRES AVELINO CACERES MZ C LOT 6 ASOC. DE PEQUEÑOS ARTESANOS. AL FRENTE DEL GRIFO LAS JUANAS</t>
  </si>
  <si>
    <t>09001574</t>
  </si>
  <si>
    <t>VARGAS IBANEZ PRIMITIVA</t>
  </si>
  <si>
    <t>PROLONGACION SANCHEZ CERRO 317</t>
  </si>
  <si>
    <t>06935785</t>
  </si>
  <si>
    <t>VARGAS LARRABURE JORGE LUIS</t>
  </si>
  <si>
    <t>AV. ELMER FOUCET N° 344</t>
  </si>
  <si>
    <t>09277138</t>
  </si>
  <si>
    <t>VARGAS LOSTAUNAU GERSON JAIR</t>
  </si>
  <si>
    <t>JR. GERMAN STIGLICH 2090</t>
  </si>
  <si>
    <t>74306628</t>
  </si>
  <si>
    <t>VARGAS MEDRANO JOSE LUIS</t>
  </si>
  <si>
    <t>ASOC. DE VIVIENDA, SOL DE LAS VIÑAS MZ Ñ LOTE 11</t>
  </si>
  <si>
    <t>46850119</t>
  </si>
  <si>
    <t>VARGAS MIZCUA PATRICIA CAROLINA</t>
  </si>
  <si>
    <t>BRISAS DE MONTECARLO MZ B LT 8</t>
  </si>
  <si>
    <t>0934178</t>
  </si>
  <si>
    <t>VARGAS MUÑOZ EFRAIN ALEJANDRO</t>
  </si>
  <si>
    <t>AV. CANTA CALLAO MZ. Z LT. 21 URB. PRO SÉTIMA (GRIFO SETIMA ESTACION)</t>
  </si>
  <si>
    <t>44065315</t>
  </si>
  <si>
    <t>VARGAS REYES ROSARIO DEL PILAR</t>
  </si>
  <si>
    <t>UCV 201-B  LTE.78 ZONA R  A.H HUAYCAN</t>
  </si>
  <si>
    <t>44078125</t>
  </si>
  <si>
    <t>VARGAS RINCON LESSLY SANDY</t>
  </si>
  <si>
    <t>MZ S LTE 16 AV LA CHALACA, CALLAO, CALLAO</t>
  </si>
  <si>
    <t>40617803</t>
  </si>
  <si>
    <t>VARGAS SILVA EDWARD JHONSTHON</t>
  </si>
  <si>
    <t>AV. 2 DE OCTUBRE 1-597, LOS OLIVOS 15307, LIMA, LIMA, LOS OLIVOS</t>
  </si>
  <si>
    <t>71420709</t>
  </si>
  <si>
    <t>VARGAS SOTO MARCO ANTONIO</t>
  </si>
  <si>
    <t>JR. LIMA N° 565</t>
  </si>
  <si>
    <t>VARGAS SOTO, MARCO ANTONIO</t>
  </si>
  <si>
    <t>VARGAS TENORIO LISSETTE</t>
  </si>
  <si>
    <t>AV. BOLIVIA N° 230 STAND 206 GALERIA LA ESQUINA</t>
  </si>
  <si>
    <t>43494246</t>
  </si>
  <si>
    <t>VARGAS TENORIO, LISSETTE</t>
  </si>
  <si>
    <t>VARGAS TORRES MAGALI YESENIA</t>
  </si>
  <si>
    <t>PROLONGACION SANTA ROSA S/N</t>
  </si>
  <si>
    <t>46799001</t>
  </si>
  <si>
    <t>VARGAS VARGAS MOISES AARON</t>
  </si>
  <si>
    <t>APV.CAMINO INCA L-1, CUZCO, CUZCO, CUZCO</t>
  </si>
  <si>
    <t>72582248</t>
  </si>
  <si>
    <t>VARGAS VARGAS WILLI ALIN</t>
  </si>
  <si>
    <t>CALLE CONFRATERNIDAD 746</t>
  </si>
  <si>
    <t>43393815</t>
  </si>
  <si>
    <t>VARGAS VASQUEZ CESAR</t>
  </si>
  <si>
    <t>PROLONGACION AYACUCHO NRO. S/N LIMA - HUAROCHIRI - SAN MATEO</t>
  </si>
  <si>
    <t>41941612</t>
  </si>
  <si>
    <t>VARGAS VILLALOBOS MARY HAYDEE</t>
  </si>
  <si>
    <t>QUILMANA JR LORETO LIMA CAÑETE</t>
  </si>
  <si>
    <t>41992023</t>
  </si>
  <si>
    <t>VARGAS VIZARRAGA ALONSO CARLOS</t>
  </si>
  <si>
    <t>JIRON CAMINO REAL 1800</t>
  </si>
  <si>
    <t>70771091</t>
  </si>
  <si>
    <t>VARILLAS GERMANI FLOR ANGELA</t>
  </si>
  <si>
    <t>MZ K2 LT 1 URB COOVITIOMAR SANTA ROSA</t>
  </si>
  <si>
    <t>10400237</t>
  </si>
  <si>
    <t>VARILLAS GERMANI PAULO CESAR</t>
  </si>
  <si>
    <t>MZ K2 LT 1 URB COOVITIOMAR SANTA ROSA , ANCON</t>
  </si>
  <si>
    <t>40587558</t>
  </si>
  <si>
    <t>VARILLAS OLIVARES JOSE LUIS</t>
  </si>
  <si>
    <t>AV. CENTRAL( 1ERA CUADRA N° 3625) MZ A LT. 19 AA.HH. VILLA MERCEDES (ALT. PARADERO BANCHERO WISSE A LA DERECHA)</t>
  </si>
  <si>
    <t>42027057</t>
  </si>
  <si>
    <t>VASQUEZ ALCEDO YULISSA FRIDA</t>
  </si>
  <si>
    <t>AV. SAN MARTIN NRO. 301 (REF. GALERIA ACOMERSUR - INT. E-44 )</t>
  </si>
  <si>
    <t>42363446</t>
  </si>
  <si>
    <t>VASQUEZ AVILA EULOGIO AMADO</t>
  </si>
  <si>
    <t>AV. EL SOL 516-URB. LOS ÁNGELES KM. 5-CARRETERA CENTRAL</t>
  </si>
  <si>
    <t>09848252</t>
  </si>
  <si>
    <t>VASQUEZ BECERRA DEISY BIBIANA</t>
  </si>
  <si>
    <t>CALLE C. MZ B LT 43 URB. PANAMERICANA NORTE - INDEPENDENCIA</t>
  </si>
  <si>
    <t>71068127</t>
  </si>
  <si>
    <t>VASQUEZ DIAZ DAVIS JAMES</t>
  </si>
  <si>
    <t>JR. CAMANA 564</t>
  </si>
  <si>
    <t>43845128</t>
  </si>
  <si>
    <t>VASQUEZ DURAND MARLON RICARDO</t>
  </si>
  <si>
    <t>AV. ATAHUALPA NRO. 233, LIMA, HUAURA, HUACHO</t>
  </si>
  <si>
    <t>47430664</t>
  </si>
  <si>
    <t>VASQUEZ DURAND RONALD</t>
  </si>
  <si>
    <t>AV CESAR CANEVARO MZQ2 LT8 TREBOL AZUL</t>
  </si>
  <si>
    <t>42309459</t>
  </si>
  <si>
    <t>VASQUEZ ESPINOZA JAIME</t>
  </si>
  <si>
    <t>CALLE LIMA N° 780</t>
  </si>
  <si>
    <t>73596705</t>
  </si>
  <si>
    <t>VASQUEZ FLORES HAROLD ERICK</t>
  </si>
  <si>
    <t>AV. MEXICO N° 207 PUESTO 205</t>
  </si>
  <si>
    <t>73628833</t>
  </si>
  <si>
    <t>VASQUEZ FLORES, HAROLD ERICK</t>
  </si>
  <si>
    <t>VASQUEZ GOICOCHEA EDWAR</t>
  </si>
  <si>
    <t>JR. RAMON CASTILLA MZ 4M LT 2 - TABLADA DE LURIN</t>
  </si>
  <si>
    <t>44541284</t>
  </si>
  <si>
    <t>VASQUEZ HINOSTROZA YULISA VILMA</t>
  </si>
  <si>
    <t>CALLE INCAHUASI N° 382 URB. MANGOMARCA ALTA</t>
  </si>
  <si>
    <t>45626040</t>
  </si>
  <si>
    <t>VASQUEZ LEYVA OSCAR</t>
  </si>
  <si>
    <t>MZ. C3 LT. 45 URB. LAS PALMERAS DE OQUENDO</t>
  </si>
  <si>
    <t>09478439</t>
  </si>
  <si>
    <t>VASQUEZ LOZANO JULIO CESAR</t>
  </si>
  <si>
    <t>SECTOR 2 GRUPO 3 MZ. L LT. 18</t>
  </si>
  <si>
    <t>10227136</t>
  </si>
  <si>
    <t>VASQUEZ MALDONADO JEIMI JANNINI</t>
  </si>
  <si>
    <t>AVENIDA ALAMEDA SUR, PASAJE LOS EUCALIPTOS MZ Q1 LT 15</t>
  </si>
  <si>
    <t>46852350</t>
  </si>
  <si>
    <t>VASQUEZ MEDINA JUAN MANUEL</t>
  </si>
  <si>
    <t>AV. CARLOS IZAGUIRRE 1969 SAN MARTIN DE PORRES</t>
  </si>
  <si>
    <t>07059341</t>
  </si>
  <si>
    <t>VASQUEZ MEDINA RAFAEL PEDRO</t>
  </si>
  <si>
    <t>PASAJE MERCEDES INDACOCHEA S/NRO. (REF. COSTADO DE MAXI AHORRO)</t>
  </si>
  <si>
    <t>15592962</t>
  </si>
  <si>
    <t>VASQUEZ NECIOSUP MARIA NELLY</t>
  </si>
  <si>
    <t>AA.HH RESIDENCIAL SANTÍSIMA CRUZ DE MOTUPE MZ C1 LOTE18</t>
  </si>
  <si>
    <t>1512 - FABRICACIÓN DE MALETAS, BOLSOS DE MANO Y ARTÍCULOS SIMILARES, Y DE ARTÍCULOS DE TALABARTERÍA Y GUARNICIONERÍA</t>
  </si>
  <si>
    <t>41348303</t>
  </si>
  <si>
    <t>VASQUEZ NECIOSUP, MARIA NELLY</t>
  </si>
  <si>
    <t>VASQUEZ NUNEZ RONALDO ELESBAN</t>
  </si>
  <si>
    <t>AV. UNIVERSITARIA NRO. 410</t>
  </si>
  <si>
    <t>16695298</t>
  </si>
  <si>
    <t>VASQUEZ PONTE JAVIER ENRIQUE</t>
  </si>
  <si>
    <t>AV. JAVIER PRADO MZA. A LOTE. 22 URB. MAYORAZGO 5TA ETAPA (FRENTE AL COLEG. ALPHAMAYO OVALO HUAROCH)</t>
  </si>
  <si>
    <t>09701625</t>
  </si>
  <si>
    <t>VASQUEZ RIMARACHIN JOSE FREDDY</t>
  </si>
  <si>
    <t>AV. UNIVERSITARIA 9716 - LA ALBORADA</t>
  </si>
  <si>
    <t>40985815</t>
  </si>
  <si>
    <t>VASQUEZ RODAS ANGELA ELIZABETH</t>
  </si>
  <si>
    <t>JR URUGUAY N° 220 URB. HUAQUILLAY ( ALA ESPALDA DE LA CLINICA VERSALLES KM 12 AV TUPAC AMARU PARADERO BCP)</t>
  </si>
  <si>
    <t>46435975</t>
  </si>
  <si>
    <t>VASQUEZ ROJAS JANETH</t>
  </si>
  <si>
    <t>MARÍA EGUSQUIZA DE GALVEZ 130, SAN MIGUEL 15087</t>
  </si>
  <si>
    <t>41094034</t>
  </si>
  <si>
    <t>VASQUEZ RUIZ PETER ANTHONY</t>
  </si>
  <si>
    <t>PARCELA 130 LT- 01 SANTA ROSA DE COLLANAC - CINEGUILLA, LIMA, LIMA, CIENEGUILLA</t>
  </si>
  <si>
    <t>1623 - FABRICACIÓN DE RECIPIENTES DE MADERA</t>
  </si>
  <si>
    <t>70773357</t>
  </si>
  <si>
    <t>VASQUEZ SILVA REIVI DAVID</t>
  </si>
  <si>
    <t>AVENIDA AVIACION 417</t>
  </si>
  <si>
    <t>71281306</t>
  </si>
  <si>
    <t>VASQUEZ TOCTO CRISTHIAN ALEXIS</t>
  </si>
  <si>
    <t>ASOC. DE VIV.CHILLON MZ E LT. 12</t>
  </si>
  <si>
    <t>72934352</t>
  </si>
  <si>
    <t>VASQUEZ TOCTO, CRISTHIAN ALEXIS</t>
  </si>
  <si>
    <t>VASQUEZ ZELADA LUIS CARLOS</t>
  </si>
  <si>
    <t>MZ. B LOTE 25 AV. CANTA CALLAO LOS LIRIOS</t>
  </si>
  <si>
    <t>44056701</t>
  </si>
  <si>
    <t>VASSALLO RODRIGUEZ CLAUDIA CAROLINA</t>
  </si>
  <si>
    <t>JR. PRIMAVERA 231(FRENTE AL EX TURISMO BARRANCA)</t>
  </si>
  <si>
    <t>47035435</t>
  </si>
  <si>
    <t>VEGA CHINCHAY ELEODORO REYNALDO</t>
  </si>
  <si>
    <t>AV. MERCEDES INDACOCHEA MZ. A LT. 06, LIMA, HUAURA, HUACHO</t>
  </si>
  <si>
    <t>15727475</t>
  </si>
  <si>
    <t>VEGA CRIBILLERO OSWALDO</t>
  </si>
  <si>
    <t>ALFREDO MENDIOLA 4190 LOS OLIVOS</t>
  </si>
  <si>
    <t>08653662</t>
  </si>
  <si>
    <t>VEGA CUEVA JAIME</t>
  </si>
  <si>
    <t>URB SAN LORENZO DE CARABAYLLO MZ H. LOTE6</t>
  </si>
  <si>
    <t>41569700</t>
  </si>
  <si>
    <t>VEGA JANCA ROSAS</t>
  </si>
  <si>
    <t>AV. CALCA NRO. 299, LIMA, LIMA, ATE</t>
  </si>
  <si>
    <t>10471457</t>
  </si>
  <si>
    <t>VEGA NEIRE PETRONILA ANA</t>
  </si>
  <si>
    <t>PASAJE.4 NUEVO CARMEN ALTO MZ.B LT.6 ( AV. JORGE CHAVEZ (CUADRA 25 ULTIMO PARADERO)</t>
  </si>
  <si>
    <t>46409428</t>
  </si>
  <si>
    <t>VEGA NICOLAS CARLOS ANTONIO</t>
  </si>
  <si>
    <t>AVENIDA NICOLAS AYLLON 5014 - ATE</t>
  </si>
  <si>
    <t>47537013</t>
  </si>
  <si>
    <t>VEGA NICOLAS, CARLOS ANTONIO</t>
  </si>
  <si>
    <t>VEGA SULCA VICTORIA</t>
  </si>
  <si>
    <t>AV. CAHUIDE MZA. J1 LOTE. 5 SEC. SAN FCO.DE LA CRUZ PAMPLO LIMA - LIMA - SAN JUAN DE MIRAFLORES</t>
  </si>
  <si>
    <t>45405358</t>
  </si>
  <si>
    <t>VEGA SULCA, VICTORIA</t>
  </si>
  <si>
    <t>VEGA VILLAVICENCIO CLEMENTE JESUS</t>
  </si>
  <si>
    <t>PROLONGACION SAN FRANCISCO MZ E LT 28</t>
  </si>
  <si>
    <t>16002698</t>
  </si>
  <si>
    <t>VEINTIMILLA CARRASCO ARTURO ALEXANDER</t>
  </si>
  <si>
    <t>AV, MEXICO STAND 6</t>
  </si>
  <si>
    <t>74841212</t>
  </si>
  <si>
    <t>VEINTIMILLA CARRASCO, ARTURO ALEXANDER</t>
  </si>
  <si>
    <t>VELA OLLAGUEZ SEGUNDO FERNANDO</t>
  </si>
  <si>
    <t>PANAMERICANA NORTE KM 32.5 MZ A LOTE 4 (COSTADO RECEPCIONES DIOSAS -PARADERO ARICA).</t>
  </si>
  <si>
    <t>05321879</t>
  </si>
  <si>
    <t>VELA PUMA EDWIN SEBASTIAN</t>
  </si>
  <si>
    <t>AV. NARANJAL 1481 PUESTO 1-2.HUANDOY-LOS OLIVOS</t>
  </si>
  <si>
    <t>09790910</t>
  </si>
  <si>
    <t>VELARDE LOPEZ LUIS ALBERTO</t>
  </si>
  <si>
    <t>AV. GERARDO UNGER N° 237</t>
  </si>
  <si>
    <t>46477330</t>
  </si>
  <si>
    <t>VELARDE LOPEZ, LUIS ALBERTO</t>
  </si>
  <si>
    <t>VELASCO CHINCHAYO MANUEL</t>
  </si>
  <si>
    <t>MZ A, LOT 37 AV. LAS TORRES - ROSA LUZ, LIMA, LIMA, PUENTE PIEDRA</t>
  </si>
  <si>
    <t>29517933</t>
  </si>
  <si>
    <t>VELASQUEZ ALTAMIRANO JOSE MANUEL</t>
  </si>
  <si>
    <t>MZ P LOTE 11 URB EL ALAMO</t>
  </si>
  <si>
    <t>Principal - 8219 - FOTOCOPIADO, PREPARACIÓN DE DOCUMENTOS Y OTRAS ACTIVIDADES ESPECIALIZADAS DE APOYO DE OFICINA</t>
  </si>
  <si>
    <t>08651598</t>
  </si>
  <si>
    <t>VELASQUEZ ALTAMIRANO, JOSE MANUEL</t>
  </si>
  <si>
    <t>VELASQUEZ BARBITO BRADS FRANK</t>
  </si>
  <si>
    <t>AV LOS JAZMINES NRO 490</t>
  </si>
  <si>
    <t>74081771</t>
  </si>
  <si>
    <t>VELASQUEZ CAMPOS AUBERTO</t>
  </si>
  <si>
    <t>AV. SAN JUAN DE DIOS LAS CASUARINAS MZ B LT 5 - CARABAYLLO</t>
  </si>
  <si>
    <t>70576171</t>
  </si>
  <si>
    <t>VELASQUEZ DELGADO DAVID CARLOS</t>
  </si>
  <si>
    <t>AV. TOMAS VALLE 1694 A.A.H.H SAN ALBERTO</t>
  </si>
  <si>
    <t>04205776</t>
  </si>
  <si>
    <t>VELASQUEZ DIEGO VIVIANA ROSARIO</t>
  </si>
  <si>
    <t>MZA. D LOTE. 36 URB. RESIDENCIAL SUIZA PERUAN</t>
  </si>
  <si>
    <t>42519413</t>
  </si>
  <si>
    <t>VELASQUEZ HERRERA ROBERTO JOSE</t>
  </si>
  <si>
    <t>URB. ANDRES ARAUJO MORAN MZ. 06 LT. 19</t>
  </si>
  <si>
    <t>TUMBES</t>
  </si>
  <si>
    <t>42196606</t>
  </si>
  <si>
    <t>VELASQUEZ HERRERA, ROBERTO JOSE</t>
  </si>
  <si>
    <t>VELASQUEZ HUALLPA PILAR SOLEDAD</t>
  </si>
  <si>
    <t>AV.VILLA MARIA N°626 - INT 5 Y 25</t>
  </si>
  <si>
    <t>10524958</t>
  </si>
  <si>
    <t>VELASQUEZ HUALLPA, PILAR SOLEDAD</t>
  </si>
  <si>
    <t>VELASQUEZ JIMENEZ MIGUEL ANGEL</t>
  </si>
  <si>
    <t>VILLA ALEJANDRO, AV LIMA MZ E LT. 7, LIMA, LIMA, LURIN</t>
  </si>
  <si>
    <t>77162541</t>
  </si>
  <si>
    <t>VELASQUEZ MALPARTIDA LUIS ALBERTO</t>
  </si>
  <si>
    <t>AV ZARUMILLA,  EN EL ULTIMO PARADERO DE VIPUSA</t>
  </si>
  <si>
    <t>42066519</t>
  </si>
  <si>
    <t>VELASQUEZ MERCADO SARAI ELVA</t>
  </si>
  <si>
    <t>AV. PACASMAYO A APV. LAS CARDENIAS INT. 2A</t>
  </si>
  <si>
    <t>76370798</t>
  </si>
  <si>
    <t>VELASQUEZ PEREZ JIMMY POOL</t>
  </si>
  <si>
    <t>RESIDENCIAL PARIACHI PRIMERA ETAPA MZ B LT 15</t>
  </si>
  <si>
    <t>45358240</t>
  </si>
  <si>
    <t>VELASQUEZ QUISPE SANTA ERNESTINA</t>
  </si>
  <si>
    <t>AV. PACHACUTEC MZ. AG LOTE 3 LAS MALVINAS DE JICAMARCA</t>
  </si>
  <si>
    <t>09335792</t>
  </si>
  <si>
    <t>VELASQUEZ QUISPE, SANTA ERNESTINA</t>
  </si>
  <si>
    <t>VELASQUEZ RAMOS SIGIFREDO MARCIAL</t>
  </si>
  <si>
    <t>MZ J, LT 7 JIRON UNION URBANIZACION PARQUE INDUSTRIAL-LIMA-LIMA-VILLA EL SALVADOR</t>
  </si>
  <si>
    <t>08900861</t>
  </si>
  <si>
    <t>VELASQUEZ RAMOS, SIGIFREDO MARCIAL</t>
  </si>
  <si>
    <t>VELASQUEZ REBAZA OSCAR ANDRES</t>
  </si>
  <si>
    <t>MZ Y LOTE 17 URB. SANTA ROSA ( PARADERO EX LINIA 45)</t>
  </si>
  <si>
    <t>18145050</t>
  </si>
  <si>
    <t>VELASQUEZ SANTOS GERARDO ANDRES</t>
  </si>
  <si>
    <t>MZ. Q LT 7 URB. LA FLORIDA</t>
  </si>
  <si>
    <t>15864849</t>
  </si>
  <si>
    <t>VELASQUEZ SICCOS EUGENIO</t>
  </si>
  <si>
    <t>MZ H LT 10 A.H. CAMPOY Y HEROES DE BREÑA</t>
  </si>
  <si>
    <t>10583132</t>
  </si>
  <si>
    <t>VELASQUEZ SORIA NATALY</t>
  </si>
  <si>
    <t>CALLE MARIANO BENAVIDES MZ. D1 LOTE 9 URB. VILLA SOL</t>
  </si>
  <si>
    <t>45678200</t>
  </si>
  <si>
    <t>VELASQUEZ SORIA, NATALY</t>
  </si>
  <si>
    <t>VELASQUEZ VELASQUEZ JUAN ALBERTO</t>
  </si>
  <si>
    <t>TOMAS VALLE CON AVENIDA ANGELICA GAMARRA (SMP)2388  , REFERENCIA FRENTE AL COMPLETO DEPORTIVO EX MAITACAPAC</t>
  </si>
  <si>
    <t>42837750</t>
  </si>
  <si>
    <t>VELASQUEZ VILCAÑAUPA DEYVIS</t>
  </si>
  <si>
    <t>JR. HUALLAGA 917</t>
  </si>
  <si>
    <t>41196478</t>
  </si>
  <si>
    <t>VELAZQUE SANCHEZ EDDIE SANTIAGO</t>
  </si>
  <si>
    <t>URB. SANTO DOMINGO MZ. E1 LOTE 25</t>
  </si>
  <si>
    <t>71261771</t>
  </si>
  <si>
    <t>VELAZQUE SANCHEZ, EDDIE SANTIAGO</t>
  </si>
  <si>
    <t>VELEZ BURGOS NARCISO YURI</t>
  </si>
  <si>
    <t>CAL. POLONIA MZA. I LOTE. 14 A.H. TABLADA DE LURIN-JUAN PAB LIMA - LIMA - VILLA MARIA DEL TRIUNFO</t>
  </si>
  <si>
    <t>09393921</t>
  </si>
  <si>
    <t>VELIZ DE LA CRUZ HAROLD SPIELBERG</t>
  </si>
  <si>
    <t>AV. PERU 3700, LIMA, LIMA, SAN MARTÍN DE PORRES</t>
  </si>
  <si>
    <t>74663362</t>
  </si>
  <si>
    <t>VELIZ VILLANUEVA EDGAR ROY</t>
  </si>
  <si>
    <t>JR AYACUCHO 719, LIMA CERCADO</t>
  </si>
  <si>
    <t>09242155</t>
  </si>
  <si>
    <t>VELIZ VILLANUEVA, EDGAR ROY</t>
  </si>
  <si>
    <t>VENEGAS FRANCIA SARAH REBECA</t>
  </si>
  <si>
    <t>CALLE IGNACIO MERINO N° 3799, LIMA, LIMA, LOS OLIVOS</t>
  </si>
  <si>
    <t>76466715</t>
  </si>
  <si>
    <t>VENEGAS FRANCIA, SARAH REBECA</t>
  </si>
  <si>
    <t>VENTO CORDERO HUGO PEDRO</t>
  </si>
  <si>
    <t>AV. ALFONSO UGARTE NRO 252 INTERIOR 1356, LIMA, LIMA, LIMA</t>
  </si>
  <si>
    <t>09995532</t>
  </si>
  <si>
    <t>VENTO CORDERO, HUGO PEDRO</t>
  </si>
  <si>
    <t>VENTO NARIO MARCO ANTONIO</t>
  </si>
  <si>
    <t>VÍCTOR ANDRÉS BELAUNDE 234 - URBANIZACIÓN LA RIBERA - LIMA - HURAL - CHANCAY</t>
  </si>
  <si>
    <t>16006682</t>
  </si>
  <si>
    <t>MARCO ANTONIO VENTO NARIO</t>
  </si>
  <si>
    <t>VENTOCILLA PANANA ROSA</t>
  </si>
  <si>
    <t>CALLE ALFONSO UGARTE 199</t>
  </si>
  <si>
    <t>15619056</t>
  </si>
  <si>
    <t>VENTOCILLA VENTOCILLA DEIVIS FRANCO</t>
  </si>
  <si>
    <t>JR. ALFONSO UGARTE NRO.199, LIMA, HUAURA, HUACHO</t>
  </si>
  <si>
    <t>45199779</t>
  </si>
  <si>
    <t>VENTURA ALVITES REYNA</t>
  </si>
  <si>
    <t>AV BOLIVIA 148 - GALERIA CENTRO LIMA (AV. INDUSTRIAL NRO. 741)</t>
  </si>
  <si>
    <t>09247603</t>
  </si>
  <si>
    <t>VENTURA ALVITES, REYNA</t>
  </si>
  <si>
    <t>VENTURA CRISTOBAL CARMEN</t>
  </si>
  <si>
    <t>MZ R LT 16 ETAPA 19 URB. SANTO DOMINGO</t>
  </si>
  <si>
    <t>43661470</t>
  </si>
  <si>
    <t>VENTURA EUSCATIGUE JHUNIOR LUIS</t>
  </si>
  <si>
    <t>AV. ALAMEDA SUR LA HUAQUILLA LT 7</t>
  </si>
  <si>
    <t>48332362</t>
  </si>
  <si>
    <t>VENTURA MURAYARI RUBEN</t>
  </si>
  <si>
    <t>AVENIDA MIGUEL IGLESIAS MZ. A LT. 5 COOP. UNIVERSO</t>
  </si>
  <si>
    <t>41044039</t>
  </si>
  <si>
    <t>VENTURA QUIJANO MISHELL ALISSÓN</t>
  </si>
  <si>
    <t>AV. PROCERES DE HUANDOY MZ. 69 LT. 46, LIMA, LIMA, LOS OLIVOS</t>
  </si>
  <si>
    <t>78459380</t>
  </si>
  <si>
    <t>VENTURA SOSA RONALD JEISSON</t>
  </si>
  <si>
    <t>4 ETAPA URB PACHACAMAC MZ. N1 LOTE 49 BARRIO 1 SECTOR 2</t>
  </si>
  <si>
    <t>42190325</t>
  </si>
  <si>
    <t>VENTURA VERGARA CESAR ALEJANDRO</t>
  </si>
  <si>
    <t>AV. CATOLICA 1588 LIMA,LIMA,LA VICTORIA</t>
  </si>
  <si>
    <t>45397847</t>
  </si>
  <si>
    <t>VENTURA VERGARA, CESAR ALEJANDRO</t>
  </si>
  <si>
    <t>VERA CUBA PAULA JACINTA</t>
  </si>
  <si>
    <t>AA.HH. LUIS FELIPE DE LAS CASAS MZ. Ñ LT. 19-20</t>
  </si>
  <si>
    <t>10198577</t>
  </si>
  <si>
    <t>VERA CUBA, PAULA JACINTA</t>
  </si>
  <si>
    <t>VERA ESCOBEDO ALEX RUBEN</t>
  </si>
  <si>
    <t>VGW+RRQ DIVERKIDS S.M.P. PACASMAYO, LIMA 15112</t>
  </si>
  <si>
    <t>73099400</t>
  </si>
  <si>
    <t>VERA ESCOBEDO, ALEX RUBEN</t>
  </si>
  <si>
    <t>VERA ORTIZ DANES DALTON</t>
  </si>
  <si>
    <t>MZ. A LT 27 URB. MARISCAL TORIBIO LUZURIAGA</t>
  </si>
  <si>
    <t>40813647</t>
  </si>
  <si>
    <t>VERA ROCHA MILUSKA LEIDY</t>
  </si>
  <si>
    <t>MZ F LT12URB. LOS JARDINES DE NARANJAL</t>
  </si>
  <si>
    <t>45245286</t>
  </si>
  <si>
    <t>VERA VERA LUIS HUMBERTO</t>
  </si>
  <si>
    <t>CALLE 15 DE JUNIO S/N MERCADO LADERAS PUESTO 178, FRENTE PARQUE DE LA CONCORDIA - LADERAS DE CHILLON</t>
  </si>
  <si>
    <t>09322566</t>
  </si>
  <si>
    <t>VERA VERA, LUIS HUMBERTO</t>
  </si>
  <si>
    <t>VERAMENDI ESPINOZA ALBERTO ANTONIO</t>
  </si>
  <si>
    <t>IGNACIO COSSIO NRO 1170</t>
  </si>
  <si>
    <t>07882974</t>
  </si>
  <si>
    <t>VERAMENDI JAIMEZ BIVIANA</t>
  </si>
  <si>
    <t>AV : PANAMERICANA NORTE KM 30 ASOCIACION  VILLA LOS ROSALES MZ C LT 8</t>
  </si>
  <si>
    <t>10069503</t>
  </si>
  <si>
    <t>VERAMENDI LA CRUZ MAXIMO GUSTAVO</t>
  </si>
  <si>
    <t>CALLE GUILLERMO DEL SOLAR SC.B SEC LA CHACARILLA</t>
  </si>
  <si>
    <t>41535399</t>
  </si>
  <si>
    <t>VERASTEGUI PORTOCARRERO WALTER</t>
  </si>
  <si>
    <t>CALLE ALFONSO UGARTE MZ. V3 LT. 6 SAN ANTONIO DE HUAROCHIRI</t>
  </si>
  <si>
    <t>40055727</t>
  </si>
  <si>
    <t>VERDE CERNA ANNY AIDA</t>
  </si>
  <si>
    <t>AV BOLIVIA 148 TDA 3176 3ER PISO CC CENTRO</t>
  </si>
  <si>
    <t>40905530</t>
  </si>
  <si>
    <t>VERGARA RAMIREZ JESUS NOEL</t>
  </si>
  <si>
    <t>AV. SAN BORJA NORTE 1219 DPTO 301</t>
  </si>
  <si>
    <t>31677929</t>
  </si>
  <si>
    <t>VERGARAY UZURIAGA ENRIQUE MARIN</t>
  </si>
  <si>
    <t>CALLE INCA ROCA 142 TAHUANTINSUYO , LIMA, LIMA, INDEPENDENCIA</t>
  </si>
  <si>
    <t>44728665</t>
  </si>
  <si>
    <t>VERGARAY VEGA FRANCISCO</t>
  </si>
  <si>
    <t>AV. RICARDO PALMA 152 MZ. L LOTE 12, LIMA, LIMA, PUENTE PIEDRA</t>
  </si>
  <si>
    <t>70688391</t>
  </si>
  <si>
    <t>VERGARAY VEGA, FRANCISCO</t>
  </si>
  <si>
    <t>VERTIZ REATEGUI ROSA MERCEDES</t>
  </si>
  <si>
    <t>HORACIO URTEAGA 1541</t>
  </si>
  <si>
    <t>07535295</t>
  </si>
  <si>
    <t xml:space="preserve"> VERTIZ REATEGUI ROSA MERCEDES</t>
  </si>
  <si>
    <t>VICAÑA FLORES CARLA ROSALYN</t>
  </si>
  <si>
    <t>COOP. COOPEMAR MZ. A LT. 27 - CALLAO - VENTANILLA</t>
  </si>
  <si>
    <t>47694849</t>
  </si>
  <si>
    <t>VICAÑA FLORES, CARLA ROSALYN</t>
  </si>
  <si>
    <t>VICENTE ABAD HUBERT</t>
  </si>
  <si>
    <t>MZ. E LT. 51-53 LOS GRAMADALES</t>
  </si>
  <si>
    <t>47164811</t>
  </si>
  <si>
    <t>VICENTE CAMPOS JOSE LUIS</t>
  </si>
  <si>
    <t>JIRON LOS EMPRENDEDORES LO 23 (PASAN EL COLEGIO MIGUEL GRAU/LAS PALMAS)</t>
  </si>
  <si>
    <t>46975497</t>
  </si>
  <si>
    <t>VICENTE GODOY LELYZ ALVARO</t>
  </si>
  <si>
    <t>JR CUZCO NO. 239</t>
  </si>
  <si>
    <t>15406133</t>
  </si>
  <si>
    <t>VICENTE GODOY, LELYZ ALVARO</t>
  </si>
  <si>
    <t>AV. LA MAR N° 765</t>
  </si>
  <si>
    <t>VICENTE ÑAÑEZ, ROZMELT HOVERT</t>
  </si>
  <si>
    <t>VICENTE ORTIZ JOSE LUIS</t>
  </si>
  <si>
    <t>PANAMERICANA SUR KM 34.5 PLAYA ARICA, POR CASETA DE SERENAZGO</t>
  </si>
  <si>
    <t>43248784</t>
  </si>
  <si>
    <t>VICENTE SANTOS ROLANDO MAX</t>
  </si>
  <si>
    <t>AV MEXICO 107</t>
  </si>
  <si>
    <t>44183054</t>
  </si>
  <si>
    <t>VICENTE SUSANIBAR ANTHONY PIERE</t>
  </si>
  <si>
    <t>JIRON 28 DE JULIO 285 PARADERO DE QUILMANA</t>
  </si>
  <si>
    <t>7287197</t>
  </si>
  <si>
    <t>VICENTE TORRES JOSUE ELIAS</t>
  </si>
  <si>
    <t>JR DOS DE MAYO 601 SAN VICENTE . CAÑETE COSTADO DE FINANCIERA CREDISCOTIA SEGUNDO PISO</t>
  </si>
  <si>
    <t>41455832</t>
  </si>
  <si>
    <t>VICENTE TORRES OSCAR MANUEL</t>
  </si>
  <si>
    <t>MZ. C LOTE 50 - URB. BRISAS DE SANTA ROSA III  (CRUCE AV. JAPON CON AV. LOS PINOS)</t>
  </si>
  <si>
    <t>42175623</t>
  </si>
  <si>
    <t>VICHARRA CONDOR JOSE ARTIME</t>
  </si>
  <si>
    <t>AV. ARGENTINA 449 STAND 3-4 CERCADO DE LIMA</t>
  </si>
  <si>
    <t>0996206</t>
  </si>
  <si>
    <t>VICTORIO VARGAS JOEL REYMUNDO</t>
  </si>
  <si>
    <t>PANAMERICANA SUR KM 143 MZ B LT 05 URB SAN VICENTE DE CAÑETE, LIMA, CAÑETE, SAN VICENTE DE CAÑETE</t>
  </si>
  <si>
    <t>15359200</t>
  </si>
  <si>
    <t>VIDAL ALVA EMERSON CARLOS</t>
  </si>
  <si>
    <t>MZ. P2 LT. 28 URB. - EL ALAMO</t>
  </si>
  <si>
    <t>47525210</t>
  </si>
  <si>
    <t>VIDAL BARRETO JORGE LUIS</t>
  </si>
  <si>
    <t>CALLE GIRASOLES LT. 17 MZ C URB. JOSE BOTERIN</t>
  </si>
  <si>
    <t>41564248</t>
  </si>
  <si>
    <t>VIDAL LA TORRE CELSO</t>
  </si>
  <si>
    <t>MZ. O LT. 17 URB LAS FRESAS (FAUCETT Y CANTA CALLAO)</t>
  </si>
  <si>
    <t>25648092</t>
  </si>
  <si>
    <t>VIDAL ROJAS NAY EDUARDO</t>
  </si>
  <si>
    <t>AV. GARCILAZO DE LA VEGA NRO. 1348 SST 115, LIMA, LIMA, LIMA</t>
  </si>
  <si>
    <t>44286311</t>
  </si>
  <si>
    <t>VIDAL ROJAS, NAY EDUARDO</t>
  </si>
  <si>
    <t>VIDAL VALLADOLID JAIME CLEMENTE</t>
  </si>
  <si>
    <t>AV. EDUARDO DE HABICH Nº 111-113</t>
  </si>
  <si>
    <t>08617378</t>
  </si>
  <si>
    <t>VIDALON ASTO MONICA LIZ</t>
  </si>
  <si>
    <t>AV. GARCILAZO DE LA VEGA 1282 TIENDA 221</t>
  </si>
  <si>
    <t>10679827</t>
  </si>
  <si>
    <t>VIDALON ASTO, MONICA LIZ</t>
  </si>
  <si>
    <t>VIDAURRE SANDOVAL JOSE ALBERTO</t>
  </si>
  <si>
    <t>10710563</t>
  </si>
  <si>
    <t>VIGIL ANTON DE VARGAS CINTHIA KARINA</t>
  </si>
  <si>
    <t>CALLE LA SANTA MARIA 159, PISO 101</t>
  </si>
  <si>
    <t>42846627</t>
  </si>
  <si>
    <t>VIGO GUTARRA MIGUEL ANGEL</t>
  </si>
  <si>
    <t>AV. MANCO CAPAC 349</t>
  </si>
  <si>
    <t>46619070</t>
  </si>
  <si>
    <t>VIGO GUTARRA, MIGUEL ANGEL</t>
  </si>
  <si>
    <t>VIGO TERRONES ALBERTO JAVIER</t>
  </si>
  <si>
    <t>MZ. N LOTE . 16 URB. LOS PARQUES DEL REY CARABYLLO</t>
  </si>
  <si>
    <t>43363671</t>
  </si>
  <si>
    <t>VILA DAMAS JESUS ANGEL</t>
  </si>
  <si>
    <t>AV. REVOLUCIÓN N° 1050 A.H COLLIQUE I, LIMA, LIMA, COMAS</t>
  </si>
  <si>
    <t>47159653</t>
  </si>
  <si>
    <t>VILA DAMAS, JESUS ANGEL</t>
  </si>
  <si>
    <t>VILCA CALDERON PIO X ELEODORO</t>
  </si>
  <si>
    <t>MZ. J LT. 9 PEDREGAL - HUAROCHIRI ,</t>
  </si>
  <si>
    <t>09660613</t>
  </si>
  <si>
    <t>VILCA CARDENAS ROBERTO RAFAEL</t>
  </si>
  <si>
    <t>AV. BENIGNO RIOS NRO. 173 (CERCA A OVALO DE IMPERIAL)</t>
  </si>
  <si>
    <t>40089769</t>
  </si>
  <si>
    <t>VILCA CUPA PEDRO RAFAEL</t>
  </si>
  <si>
    <t>AV ALAMEDA SUR J1 LT 20 URB. VILLA MARINA</t>
  </si>
  <si>
    <t>09823953</t>
  </si>
  <si>
    <t xml:space="preserve"> VILCA CUPA PEDRO RAFAEL</t>
  </si>
  <si>
    <t>VILCA GRANDES LUIS ERNESTO</t>
  </si>
  <si>
    <t>JR. PUNO 3103 URB. SAN PEDRO</t>
  </si>
  <si>
    <t>08523851</t>
  </si>
  <si>
    <t>VILCA GRANDES, LUIS ERNESTO</t>
  </si>
  <si>
    <t>VILCA HUALLPA ALEX LORENZO</t>
  </si>
  <si>
    <t>AV FERNANDO WIESSE MZ E8 LT 32- URB. MARISCAL CACERES -REF. FRENTE A LA PRE-SAN MARCOS</t>
  </si>
  <si>
    <t>10677417</t>
  </si>
  <si>
    <t>VILCA HUALLPA PLINIO ROSALIO</t>
  </si>
  <si>
    <t>AV. SAN MARTIN 455</t>
  </si>
  <si>
    <t>42774076</t>
  </si>
  <si>
    <t>VILCA HUMPIRE EUGENIO</t>
  </si>
  <si>
    <t>URB.FLORES Nº 81 JR.LOS CONCELES Nº 316 (ESPALDA DE METRO HACIENDA)</t>
  </si>
  <si>
    <t>09554558</t>
  </si>
  <si>
    <t>VILCA QUISPE JUNIOR RONY</t>
  </si>
  <si>
    <t>AV. SAN BORJA SUR, PSJE RICHARD WAGNER 299</t>
  </si>
  <si>
    <t>70303418</t>
  </si>
  <si>
    <t>VILCA QUISPE MOISES WILY</t>
  </si>
  <si>
    <t>MZ. I LT. 09 A.H. PRIMERO DE NOVIEMBRE</t>
  </si>
  <si>
    <t>41760064</t>
  </si>
  <si>
    <t>VILCABANA SOTERO NELSON NEZ</t>
  </si>
  <si>
    <t>AV. CINCUENTENARIO NRO. 880 I</t>
  </si>
  <si>
    <t>42460183</t>
  </si>
  <si>
    <t>VILCAÑAUPA SALAS RAUL EDILBERTO</t>
  </si>
  <si>
    <t>AV. NICOLAS AYLLON N° 5108, LIMA, LIMA, ATE</t>
  </si>
  <si>
    <t>09321442</t>
  </si>
  <si>
    <t>VILCAÑAUPA SALAS, RAUL EDILBERTO</t>
  </si>
  <si>
    <t>VILCARIMAC HUILLCA CESAR AUGUSTO</t>
  </si>
  <si>
    <t>URB. VILLA VICTORIA MZ.C1 LOTE2 OSCAR WILDE-LIMA, LIMA , SURQUILLO</t>
  </si>
  <si>
    <t>40341639</t>
  </si>
  <si>
    <t>VILCARIMAC HUILLCA, CESAR AUGUSTO</t>
  </si>
  <si>
    <t>VILCAS VILCAHUAMAN VILMA ROCIO</t>
  </si>
  <si>
    <t>JR. CARLOS AUGUSTO SALAVERRY 1082</t>
  </si>
  <si>
    <t>10112574</t>
  </si>
  <si>
    <t>VILCAS VILCAHUAMAN, VILMA ROCIO</t>
  </si>
  <si>
    <t>VILCHEZ CARHUANCHO NORMA EDIT</t>
  </si>
  <si>
    <t>CALLE CASTILLA MZ E LOTE 2</t>
  </si>
  <si>
    <t>19916625</t>
  </si>
  <si>
    <t>NORMA EDIT VILCHEZ CARHUANCHO</t>
  </si>
  <si>
    <t>VILCHEZ ROJAS GUIDO CESAR</t>
  </si>
  <si>
    <t>MZO LT11 ASOC PRP .LAS GARDENIAS, CALLAO, CALLAO, CALLAO</t>
  </si>
  <si>
    <t>16311403</t>
  </si>
  <si>
    <t>VILCHEZ SANCHEZ ALFREDO UBALDO</t>
  </si>
  <si>
    <t>SECTOR 2 GRUPO 15 MZ M LT 6, MERCADO CENTENARIO TIENDA A5</t>
  </si>
  <si>
    <t>73609211</t>
  </si>
  <si>
    <t>VILCHEZ VALDIVIA DAVID</t>
  </si>
  <si>
    <t>AV PROLONGACION JAVIER PRADO 8325 ATE</t>
  </si>
  <si>
    <t>47151161</t>
  </si>
  <si>
    <t>VILCHEZ VILLARRUBIA DE TORRES LUZ YSABEL</t>
  </si>
  <si>
    <t>AAHH JOSEFINA RAMOS M3 V LT 9</t>
  </si>
  <si>
    <t>15373210</t>
  </si>
  <si>
    <t>VILELA LEVANO FELIX JOSE</t>
  </si>
  <si>
    <t>AV EL TRIUNFO MZ F1 LT 22 URB TUPAC AMARU DE VILLA</t>
  </si>
  <si>
    <t>40826438</t>
  </si>
  <si>
    <t>VILLACORTA PAZ FERNANDO EUSEBIO</t>
  </si>
  <si>
    <t>MZ. M1 LT. 13 SECTOR C3 PROYECTO PILOTO NUEVO PACAHCUTEC, CALLAO, CALLAO, VENTANILLA</t>
  </si>
  <si>
    <t>07348888</t>
  </si>
  <si>
    <t>VILLAFRANCA REYES LENIN</t>
  </si>
  <si>
    <t>MZ J2 LOTE 20 SECTOR B4 PROYECTO PILOTO NUEVO PACHACUTEC</t>
  </si>
  <si>
    <t>45563926</t>
  </si>
  <si>
    <t>VILLAFUERTE FIDEL MARCELO VICENTE</t>
  </si>
  <si>
    <t>ANTIGUA PANAMERICANA NORTE NRO. 1035</t>
  </si>
  <si>
    <t>15736638</t>
  </si>
  <si>
    <t>VILLAFUERTE SEGOVIA EMILIA</t>
  </si>
  <si>
    <t>LA VICTORIA-JR.ANTONIO BAZO 522 PISO - GALERIA PLAZA HORIZONTES PISO 12 .INT 1212</t>
  </si>
  <si>
    <t>10454144</t>
  </si>
  <si>
    <t>VILLAFUERTE VILLAVICENCIO FRIORILA LUPE</t>
  </si>
  <si>
    <t>URB. RAMON CASTILLA COMITÉ 29 MZ.Q2 LOTE 1, CALLAO, CALLAO, CALLAO</t>
  </si>
  <si>
    <t>43583869</t>
  </si>
  <si>
    <t>VILLAGARAY PALACIOS CESAR ANTONIO</t>
  </si>
  <si>
    <t>JR. ALHUCEMAS NRO. 1760 COO. LAS FLORES, LIMA, LIMA, SAN JUAN DE LURIGANCHO</t>
  </si>
  <si>
    <t>10109582</t>
  </si>
  <si>
    <t>VILLALAZ FELIX BENJAMIN JOSSETT</t>
  </si>
  <si>
    <t>MZ Y1 LT 29 COOP AMERICA SJM / FRENTE AL PARQUE AMERICA O AL COSTADO DEL COLEGIO AMERICA CHILDREN</t>
  </si>
  <si>
    <t>76693799</t>
  </si>
  <si>
    <t>VILLALAZ FELIX, BENJAMIN JOSSETT</t>
  </si>
  <si>
    <t>VILLALOBOS BARDALES RICARDO MARTIN</t>
  </si>
  <si>
    <t>CALLE LOS LIBERTADORES 280</t>
  </si>
  <si>
    <t>08156196</t>
  </si>
  <si>
    <t>VILLALOBOS HUAMANI ANTONY GABRIEL</t>
  </si>
  <si>
    <t>AV. MANUEL OLGUIN NRO. 725 INT. A URB. EL DERBY DE MONTERRICO</t>
  </si>
  <si>
    <t>76399844</t>
  </si>
  <si>
    <t>VILLALTA BAUTISTA ALEX DELFIN</t>
  </si>
  <si>
    <t>URB. VILLA UNIVERSITARIA MZ. O LT. 21, LIMA, LIMA, LOS OLIVOS</t>
  </si>
  <si>
    <t>45326337</t>
  </si>
  <si>
    <t>VILLALTA BAUTISTA, ALEX DELFIN</t>
  </si>
  <si>
    <t>VILLANO CHAVEZ NEILL MIRKO</t>
  </si>
  <si>
    <t>AV. 28 DE JULIO NRO. 131, ALTURA PARADERO IKARUS</t>
  </si>
  <si>
    <t>47133985</t>
  </si>
  <si>
    <t>VILLANUEVA CHACATE LUIS ANTONIO</t>
  </si>
  <si>
    <t>JR. PILCOMAYO N° 625 INT. 201</t>
  </si>
  <si>
    <t>25751475</t>
  </si>
  <si>
    <t>VILLANUEVA CHACATE, LUIS ANTONIO</t>
  </si>
  <si>
    <t>VILLANUEVA DE LA CRUZ MARILUZ</t>
  </si>
  <si>
    <t>MZ D LOTE 7 URB SAN PABLO OQUENDO</t>
  </si>
  <si>
    <t>40808118</t>
  </si>
  <si>
    <t>VILLANUEVA OLIVAS HILDER OBLACH</t>
  </si>
  <si>
    <t>AV. BUENOS AIRES MZA. E LOTE 11 ASOCIACIÓN MICHAELA BASTIDAS PUENTE PIEDRA.</t>
  </si>
  <si>
    <t>70608526</t>
  </si>
  <si>
    <t>VILLANUEVA OLIVAS, HILDER OBLACH</t>
  </si>
  <si>
    <t>VILLANUEVA REGALADO RENZO FRANCESCO</t>
  </si>
  <si>
    <t>PASAJE SANTA ROSA NRO. 157-474 (REF. POR EL ESTADIO SEGUDO ARANDA TORRES / A ESPALDAS DE RESTAURANTE POLLOS Y PARRILLAS)</t>
  </si>
  <si>
    <t>72174924</t>
  </si>
  <si>
    <t>RENZO FRANCESCO VILLANUEVA REGALADO</t>
  </si>
  <si>
    <t>VILLANUEVA REQUENA PEDRO VICTOR</t>
  </si>
  <si>
    <t>CALLE SAENZ PEÑA N° 368</t>
  </si>
  <si>
    <t>15627707</t>
  </si>
  <si>
    <t>PEDRO VICTOR VILLANUEVA REQUENA</t>
  </si>
  <si>
    <t>VILLANUEVA ROJAS WESTON JESUS</t>
  </si>
  <si>
    <t>JR. SIEMPRE VIVA N° 112 URB. SANTA ISABEL</t>
  </si>
  <si>
    <t>06829796</t>
  </si>
  <si>
    <t>VILLANUEVA ROJAS, WESTON JESUS</t>
  </si>
  <si>
    <t>VILLANUEVA SILVA ROGELIO LUIS</t>
  </si>
  <si>
    <t>MZ R LOTE AA HH MERCADO CENTRAL PACHACUTEC</t>
  </si>
  <si>
    <t>44201954</t>
  </si>
  <si>
    <t>VILLANUEVA ZAVALA LUZ ANABEL</t>
  </si>
  <si>
    <t>AV. ADAN CEVEDO 711 REF(ACADEMIA LA PRIMERA), LIMA, HUAURA, HUACHO</t>
  </si>
  <si>
    <t>75388061</t>
  </si>
  <si>
    <t>VILLAR CARDENAS JUAN CARLOS</t>
  </si>
  <si>
    <t>CALLE SAN RODOLFO MZ T1 LT 26 URB. VILLA MARINA</t>
  </si>
  <si>
    <t>07644191</t>
  </si>
  <si>
    <t>VILLARREAL HARO EMERSON AMERICO</t>
  </si>
  <si>
    <t>JR. LAS ASTURIAS NRO. 183 URB. PUERTA DE PRO</t>
  </si>
  <si>
    <t>43090988</t>
  </si>
  <si>
    <t>VILLARROEL GESTRO LUIS ALBERTO</t>
  </si>
  <si>
    <t>NRO. SN FND. LA CALERA (EN SECTOR LA CALERA)</t>
  </si>
  <si>
    <t>74145 - ACTIV.DE ASESORAMIENTO EMPRESARIAL</t>
  </si>
  <si>
    <t>10352282</t>
  </si>
  <si>
    <t>VILLAVICENCIO RIOS MELBA</t>
  </si>
  <si>
    <t>AV MIRAMAR MZ B LOTE 6 (FRENTE AL HOTEL ARIES)</t>
  </si>
  <si>
    <t>15860664</t>
  </si>
  <si>
    <t>VILLAZANTE PICHANTA JUAN</t>
  </si>
  <si>
    <t>CALLE 3 AVENIDAS N° 136</t>
  </si>
  <si>
    <t>07478159</t>
  </si>
  <si>
    <t>VILLEGAS CHAVEZ OSCAR</t>
  </si>
  <si>
    <t>AV. PERU 4609 A. H. BOCANEGRA ZONA 4, CALLAO, CALLAO, CALLAO</t>
  </si>
  <si>
    <t>43428444</t>
  </si>
  <si>
    <t>VILLEGAS CHAVEZ, OSCAR</t>
  </si>
  <si>
    <t>VILLEGAS CUYA CESAR AUGUSTO</t>
  </si>
  <si>
    <t>AV. LOS LIBERTADORES MZA. B2 LOTE. 10</t>
  </si>
  <si>
    <t>15343702</t>
  </si>
  <si>
    <t>VILLEGAS PUQUIO DE CRUZ GLORINDA MARIA</t>
  </si>
  <si>
    <t>AV. PARACAS N° 559 - URB. SALAMANCA DE MONTERRICO</t>
  </si>
  <si>
    <t>09307319</t>
  </si>
  <si>
    <t>VILLENA VASQUEZ GINO ANGEL</t>
  </si>
  <si>
    <t>AV. WIESSE PARAD. 5 S.J.L MINIMARKET SANTA ROSA- 2DO PISO</t>
  </si>
  <si>
    <t>09983333</t>
  </si>
  <si>
    <t>VIRU LINARES CARLOS ALCIDES</t>
  </si>
  <si>
    <t>CALLE EL INCA 105</t>
  </si>
  <si>
    <t>43957713</t>
  </si>
  <si>
    <t>VIRU RAMIREZ WALTER ALFREDO</t>
  </si>
  <si>
    <t>CALLE JOSE T. GARCIA Nº 226</t>
  </si>
  <si>
    <t>15732498</t>
  </si>
  <si>
    <t>VITE LUJAN ARMANDO ARTURO</t>
  </si>
  <si>
    <t>JR. MONTEVIDEO N° 560 - SOTANO</t>
  </si>
  <si>
    <t>06249767</t>
  </si>
  <si>
    <t>VIVANCO FRANCO SILVIA</t>
  </si>
  <si>
    <t>AV. VICTOR ANDRES BELAUNDE N° 453</t>
  </si>
  <si>
    <t>31183624</t>
  </si>
  <si>
    <t>VIVANCO FRANCO, SILVIA</t>
  </si>
  <si>
    <t>VIVAR SALAS SENIHT SANDRA</t>
  </si>
  <si>
    <t>GRAL EGUSQUIZA N° 907</t>
  </si>
  <si>
    <t>1610 - ASERRADO Y ACEPILLADURA DE MADERA</t>
  </si>
  <si>
    <t>47810718</t>
  </si>
  <si>
    <t>VIVAS ROSALES OSWALDO</t>
  </si>
  <si>
    <t>JR.  JUNIN N° 376 (REF. COST DE REST JUAN MANUEL)</t>
  </si>
  <si>
    <t>25825904</t>
  </si>
  <si>
    <t>VIZARRO ZUÑIGA FREDY LITO</t>
  </si>
  <si>
    <t>HUERTOS DE MANCHAY MERCADO "COLLANAC" PUESTO Nº 16, LIMA, LIMA, PACHACAMAC</t>
  </si>
  <si>
    <t>40371440</t>
  </si>
  <si>
    <t>VIZARRO ZUÑIGA, FREDY LITO</t>
  </si>
  <si>
    <t>WAJAJAI WAJACH YIEZE</t>
  </si>
  <si>
    <t>MZ M. LT. 15 ASENTAMINETO HUMANO LOS CEDROS</t>
  </si>
  <si>
    <t>48962424</t>
  </si>
  <si>
    <t>WAJAJAI WAJACH, YIEZE</t>
  </si>
  <si>
    <t>WANG FLORES VICTOR HUGO</t>
  </si>
  <si>
    <t>CONDOMINIO SOL DE RETABLE MZ. E BLOCK 11</t>
  </si>
  <si>
    <t>41584763</t>
  </si>
  <si>
    <t>WANG FLORES, VICTOR HUGO</t>
  </si>
  <si>
    <t>WONG CORRALES GABRIEL PIERO ADOLFO</t>
  </si>
  <si>
    <t>AV ALISOS N° 384 M-18 COOP COVISEM</t>
  </si>
  <si>
    <t>70145263</t>
  </si>
  <si>
    <t>YACHACHIN MONTALVO YISELA MIRIAM</t>
  </si>
  <si>
    <t>AA.HH BAHIA BLANCA MZ. A5 LOTE 22 ALTURA DEL PARADERO VILLA ESTELA, LIMA, LIMA, ANCON</t>
  </si>
  <si>
    <t>44076437</t>
  </si>
  <si>
    <t>YACHACHIN MONTALVO, YISELA MIRIAM</t>
  </si>
  <si>
    <t>YACOLCA DEUDOR VICTOR</t>
  </si>
  <si>
    <t>AV. JOSE SACO ROJAS MZ A LT 19 URB. SANTO TOMAS, CARABAYLLO</t>
  </si>
  <si>
    <t>10429775</t>
  </si>
  <si>
    <t>YACOLCA DEUDOR WALTER ALFREDO</t>
  </si>
  <si>
    <t>MZ. A LOTE 19 FONDO SANTOS TOMAS SAN PEDRO</t>
  </si>
  <si>
    <t>04056239</t>
  </si>
  <si>
    <t>YACTAYO RASCON JOSE KEVIN</t>
  </si>
  <si>
    <t>SAN NICOLAS COMITÉ 15 (PARQUE SAN NICOLAS)</t>
  </si>
  <si>
    <t>73590516</t>
  </si>
  <si>
    <t>YACTAYO SANCHEZ CARLOS MIGUEL</t>
  </si>
  <si>
    <t>JR EL CARMEN 260 GALERIA HONORINA HUAPAYA INT 12</t>
  </si>
  <si>
    <t>41888694</t>
  </si>
  <si>
    <t>YAIPEN ÑACCHA THAYMY SHIRLEY</t>
  </si>
  <si>
    <t>AV. ALFREDO MENDIOLA 6121</t>
  </si>
  <si>
    <t>75677411</t>
  </si>
  <si>
    <t>YAMUNAQUE MAMANI YNES DEL PILAR</t>
  </si>
  <si>
    <t>MANZANA A LOTE 9 VIRGEN DEL CARMEN</t>
  </si>
  <si>
    <t>40159829</t>
  </si>
  <si>
    <t>YANA SUAÑA ADOLFO</t>
  </si>
  <si>
    <t>AV.UNIVERSITARIA. MZ. B. LT.18. BARRIÓ 1.SECTOR.1. PARCELA 3. AGRUPAMIENTO. PACHACAMAC. VILLA EL SALVADOR</t>
  </si>
  <si>
    <t>41066254</t>
  </si>
  <si>
    <t>YANA SUAÑA, ADOLFO</t>
  </si>
  <si>
    <t>YANAHURA HOSAKA CARLOS ALBERTO</t>
  </si>
  <si>
    <t>JIRON CHAMAYA N° 965 (PORTON AZUL GRANDE)</t>
  </si>
  <si>
    <t>07537157</t>
  </si>
  <si>
    <t>YANAHURA HOSAKA, CARLOS ALBERTO</t>
  </si>
  <si>
    <t>YANAMANGO GUZMAN ESPERANZA NANCY</t>
  </si>
  <si>
    <t>MZ O LT 19 CABO BLANCO</t>
  </si>
  <si>
    <t>80614554</t>
  </si>
  <si>
    <t>YANGALI GAMARRA JUAN ANTONIO</t>
  </si>
  <si>
    <t>JR. ARICA N° 555, CALLAO, CALLAO, CALLAO</t>
  </si>
  <si>
    <t>25403002</t>
  </si>
  <si>
    <t>YANGUA OLAZABAL AARON ROLANDO</t>
  </si>
  <si>
    <t>JR. SAN MARTIN  391</t>
  </si>
  <si>
    <t>77533568</t>
  </si>
  <si>
    <t>YAPIASH ESPINO FRANK SATURNO</t>
  </si>
  <si>
    <t>SAN ANTONIO DE MALA URB B4 LOTE 7</t>
  </si>
  <si>
    <t>44938884</t>
  </si>
  <si>
    <t>YAPU MAMANI FLAVIO RONALD</t>
  </si>
  <si>
    <t>JR ZAFIRO 1869 - LAS FLORES A UNAS CUADRAS DE LA NOTARIA DE METRO DE LA HACIENDA.</t>
  </si>
  <si>
    <t>40945483</t>
  </si>
  <si>
    <t>YARANGA ARONI JUNIOR JAVIER</t>
  </si>
  <si>
    <t>AV. LAS TORRES MZA. I LT. 1 URB. BAJA DEL FONDO</t>
  </si>
  <si>
    <t>48100371</t>
  </si>
  <si>
    <t>YARANGA ARONI, JUNIOR JAVIER</t>
  </si>
  <si>
    <t>YARANGA MEZA EULOGIO</t>
  </si>
  <si>
    <t>MZ O7 LOTE 5 VILLA SAN LUIS PAMPLONA ALTA</t>
  </si>
  <si>
    <t>08353019</t>
  </si>
  <si>
    <t>YARANGA QUISPE RUBEN</t>
  </si>
  <si>
    <t>JIRON REAL 428</t>
  </si>
  <si>
    <t>21283693</t>
  </si>
  <si>
    <t>YARASCA ROSALES JUAN CARLOS</t>
  </si>
  <si>
    <t>AV. CAMINO INCA DE OQUENDO S/N, CALLAO, CALLAO, CALLAO</t>
  </si>
  <si>
    <t>41733708</t>
  </si>
  <si>
    <t>YARLEQUE CHIUYARE JUAN CARLOS</t>
  </si>
  <si>
    <t>URB LAS BEGONIAS MZ. A LT. 16 (AL LADO HOTE EL MIRADOR)</t>
  </si>
  <si>
    <t>74896192</t>
  </si>
  <si>
    <t>YARLEQUE MARQUEZ WILLIANS FERNANDO</t>
  </si>
  <si>
    <t>CALLE LUIS BANCHERO ROSSI 251</t>
  </si>
  <si>
    <t>46753475</t>
  </si>
  <si>
    <t>YATACO RAMOS KAREN STEPHANY</t>
  </si>
  <si>
    <t>ASUNCION 8 MZ. E1 LT 11</t>
  </si>
  <si>
    <t>47749520</t>
  </si>
  <si>
    <t>YGNACIO QUISPE ROBERT</t>
  </si>
  <si>
    <t>JR. LAS MERCEDES N° 1042 URB. AZCARRUNZ, LIMA, LIMA, SAN JUAN DE LURIGANCHO</t>
  </si>
  <si>
    <t>43405592</t>
  </si>
  <si>
    <t>YGNACIO QUISPE, ROBERT</t>
  </si>
  <si>
    <t>YGNACIOS TRUJILLO JEAN JOSHMELL</t>
  </si>
  <si>
    <t>AV. LOS ANDES MZ. A LT. 16-20 ASOC. LOS ANDES, LIMA, LIMA, SAN MARTIN DE PORRES</t>
  </si>
  <si>
    <t>YGNACIOS TRUJILLO, JEAN JOSHMELL</t>
  </si>
  <si>
    <t>YNGA CHUQUIRUNA MARCOS</t>
  </si>
  <si>
    <t>ASOC. AGROPECUARIO DE CIUDAD DE DIOS (LA RINCONADA MZ A LT.10 A 12, A.V CAMINO REAL PAMPLONA ALTA</t>
  </si>
  <si>
    <t>40922615</t>
  </si>
  <si>
    <t>YOMONA PINEDO JACK</t>
  </si>
  <si>
    <t>ASOC. DE POBLADORES MICAELA BASTIDAS DE ZAPALLAL MZ. A LT. 03, LIMA, LIMA, PUENTE PIEDRA</t>
  </si>
  <si>
    <t>3830 - RECUPERACIÓN DE MATERIALES</t>
  </si>
  <si>
    <t>80285824</t>
  </si>
  <si>
    <t>YPARRAGUIRRE OBREGON JESUS MANUEL</t>
  </si>
  <si>
    <t>PJ. PORVENIR MZ. P LT. 11 AV. PORVENIR FUNDO ZARAGOSA, LIMA, LIMA, PUENTE PIEDRA</t>
  </si>
  <si>
    <t>43775541</t>
  </si>
  <si>
    <t>YSLA OBLITAS DIANA DEL PILAR</t>
  </si>
  <si>
    <t>JR. IGUALDAD N° 7911, LIMA, LIMA, LOS OLIVOS</t>
  </si>
  <si>
    <t>19256433</t>
  </si>
  <si>
    <t>YSLA OBLITAS, DIANA DEL PILAR</t>
  </si>
  <si>
    <t>YUCRA MENESES TEOFILO</t>
  </si>
  <si>
    <t>JR GALVEZ SILVERA 212 MZ V LT 13 URB LAS VIÑAS</t>
  </si>
  <si>
    <t>09700557</t>
  </si>
  <si>
    <t>YUPANQUI ASCONA CARMEN ROSA</t>
  </si>
  <si>
    <t>ASOCIACIÓN LAS FLORES MZ A-16 LT-20</t>
  </si>
  <si>
    <t>43680962</t>
  </si>
  <si>
    <t>YUPANQUI GARCIA MAYRA KELLY</t>
  </si>
  <si>
    <t>JR. GREGORIO PAREDES N° 120 URB. SANTA LUZMILA</t>
  </si>
  <si>
    <t>72896572</t>
  </si>
  <si>
    <t>YUPANQUI GARCIA, MAYRA KELLY</t>
  </si>
  <si>
    <t>YUPANQUI MORALES CARLOS HERNAN</t>
  </si>
  <si>
    <t>PAMPA DE LARA Nº240</t>
  </si>
  <si>
    <t>15670062</t>
  </si>
  <si>
    <t>YUPANQUI QUISPE ARISTER</t>
  </si>
  <si>
    <t>ASENT.H. LOS ROSALES P NORTE KM 39 MZ. C2 LT. 14, LIMA, LIMA, ANCON</t>
  </si>
  <si>
    <t>10378209</t>
  </si>
  <si>
    <t>YUPANQUI RICRA ELIZA</t>
  </si>
  <si>
    <t>PLAZA VITARTE TIENDA B-129 KM 7.5 CARRET. CENTRAL</t>
  </si>
  <si>
    <t>46148058</t>
  </si>
  <si>
    <t>YUPANQUI RICRA, ELIZA</t>
  </si>
  <si>
    <t>ZAA DURAND CARLOS JOSE</t>
  </si>
  <si>
    <t>AV AVIACIÓN 1750</t>
  </si>
  <si>
    <t>09774815</t>
  </si>
  <si>
    <t>ZACARIAS PORRAS JULIO CESAR</t>
  </si>
  <si>
    <t>URBANIZACION SANTA ANA BAJA KM 38.5 CC RICARDO PALMA</t>
  </si>
  <si>
    <t>09950456</t>
  </si>
  <si>
    <t>ZACARIAS PORRAS, JULIO CESAR</t>
  </si>
  <si>
    <t>ZAMBRANO TRUJILLO MARCO ANTONIO</t>
  </si>
  <si>
    <t>ANTIGUA PANAMERICA NORTE N° 1595 (REF. COSTADO DE DISTRIBUIDORA YAHAIRA)</t>
  </si>
  <si>
    <t>42489166</t>
  </si>
  <si>
    <t>ZAMORA CHUQUINO CAROLINA SARAI</t>
  </si>
  <si>
    <t>JIRON CAMANA 1180 GALERIA LA PERRICHOLI INTERIOR 106</t>
  </si>
  <si>
    <t>73632362</t>
  </si>
  <si>
    <t>ZAMORA GARCIA ESTELA</t>
  </si>
  <si>
    <t>AV. MARQUEZ DE VILLA MZ. A LT. 14 URB. VILLA NICOLAZA</t>
  </si>
  <si>
    <t>23959846</t>
  </si>
  <si>
    <t>ZAMORA GARCIA, ESTELA</t>
  </si>
  <si>
    <t>ZAMUDIO CAMPOS MOISES</t>
  </si>
  <si>
    <t>PLAZA VITARTE 2DO PISO BLOQUE E LOCAL 101</t>
  </si>
  <si>
    <t>41654742</t>
  </si>
  <si>
    <t>ZAMUDIO CAMPOS, MOISES</t>
  </si>
  <si>
    <t>ZANABRIA NATIVIDAD LUIS ERNESTO</t>
  </si>
  <si>
    <t>CAL. LA VERACIDAD MZ. EE4 LOTE. 25 URB. PRO LOS OLIVOS</t>
  </si>
  <si>
    <t>40632890</t>
  </si>
  <si>
    <t>ZANABRIA OCHOA HENRY JAVIER</t>
  </si>
  <si>
    <t>AV. SEPARADORA INDUSTRIAL MZ. H' LT. 23 URB. - PACHACAMAC, SECTOR 2</t>
  </si>
  <si>
    <t>40402418</t>
  </si>
  <si>
    <t>ZANI DE LOS RIOS ARNALDO PAOLO</t>
  </si>
  <si>
    <t>PANAMERICANA SUR KM 50.5 AUTODROMO LA CHUTANA, LIMA, CAÑETE, CHILCA</t>
  </si>
  <si>
    <t>10803247</t>
  </si>
  <si>
    <t>ZANI DE LOS RIOS, ARNALDO PAOLO</t>
  </si>
  <si>
    <t>ZAPANA FARFAN DANAE CINTHIA</t>
  </si>
  <si>
    <t>URB.KAMA 1 CALLE LOS GIRASOLES MZ A LT 16</t>
  </si>
  <si>
    <t>74733560</t>
  </si>
  <si>
    <t>ZAPATA HENAO CLAUDIA ISABEL DEL SOCORRO</t>
  </si>
  <si>
    <t>MZ. V9 LOTE 1 - SECTOR 3 PROFAM</t>
  </si>
  <si>
    <t>78108343</t>
  </si>
  <si>
    <t>QUISPE HUAROCC, ANA MARIA</t>
  </si>
  <si>
    <t>ZAPATA PINTO MARCOS SAUL</t>
  </si>
  <si>
    <t>AV. LOS NARCIZOS</t>
  </si>
  <si>
    <t>4741 - VENTA AL POR MENOR DE ORDENADORES - EQUIPO PERIFÉRICO - PROGRAMA DE INFORM. Y EQU. DE TELEC. EN COMERCIOS ESPECIALIZADOS</t>
  </si>
  <si>
    <t>41584370</t>
  </si>
  <si>
    <t>ZARATE ANGOSTO ANA ELADIA</t>
  </si>
  <si>
    <t>CAL. LOS MERCADERES NRO. 144 INT. 01 URB. LAS GARDENIAS ET. UNO</t>
  </si>
  <si>
    <t>ZARATE ANGOSTO, ANA ELADIA</t>
  </si>
  <si>
    <t>ZARATE PAREDES RAUL ELIAS</t>
  </si>
  <si>
    <t>CARRETERA PANAMERICA SUR MZ 9 LOTE 1B</t>
  </si>
  <si>
    <t>40662287</t>
  </si>
  <si>
    <t>ZAVALA ELDREDGE BLANCA ESTELA ROSA</t>
  </si>
  <si>
    <t>CALLE 1 MZ B LT 4 URB AEREO INDUSTRIAL GAMBETA</t>
  </si>
  <si>
    <t>25807964</t>
  </si>
  <si>
    <t>ZAVALA GOÑI CARLOS MIGUEL</t>
  </si>
  <si>
    <t>AV. BOLIVIA 148, CENTRO COMERCIAL, CENTRO LIMA, SOTANO PASAJE: H- 361</t>
  </si>
  <si>
    <t>72876244</t>
  </si>
  <si>
    <t>ZAVALA ORELLANO DANIEL ALEJANDRO</t>
  </si>
  <si>
    <t>GENERAL ORBEGOZO 225</t>
  </si>
  <si>
    <t>70113598</t>
  </si>
  <si>
    <t>ZAVALETA BUSTAMANTE JORGE LUIS</t>
  </si>
  <si>
    <t>LOS LAURELES MZ. 53 LT. 20 PMPLONA ALTA</t>
  </si>
  <si>
    <t>09591321</t>
  </si>
  <si>
    <t>ZAVALETA CUCCHI JHONATAN RIVERT</t>
  </si>
  <si>
    <t>CA. ALLAGDAY N° 107 SECTOR WALTER ACEVEDO, LA LIBERTAD, TRUJILLO, OTUZCO</t>
  </si>
  <si>
    <t>70384137</t>
  </si>
  <si>
    <t>ZAVALETA CUCCHI, JHONATAN RIVERT</t>
  </si>
  <si>
    <t>ZAVALETA GIRALDO BEATRIZ</t>
  </si>
  <si>
    <t>CALLE BOLOGNESI N° 194 (FRENTE AL BANCO INTERBANK)</t>
  </si>
  <si>
    <t>15855000</t>
  </si>
  <si>
    <t>ZAVALETA PAREDES JORGE LUIS</t>
  </si>
  <si>
    <t>AV. ARIOSTO MATELLINI - CALLE 2 - MZ E - LT 7, LIMA, LIMA, CHORRILLOS. A LA ESPALDA DEL MERCADO MACH</t>
  </si>
  <si>
    <t>50203 - MANTENIMIENTO Y REPARAC. VEHÍCULOS.</t>
  </si>
  <si>
    <t>40489339</t>
  </si>
  <si>
    <t>ZEGARRA FERNANDEZ VICTOR ENRIQUE</t>
  </si>
  <si>
    <t>AV. SAN MARTIN N° 628</t>
  </si>
  <si>
    <t>15687126</t>
  </si>
  <si>
    <t>ZEGARRA MARIN LUIS GEORGE</t>
  </si>
  <si>
    <t>MB - L9 PROVIV SANTA FE DE NARANJAL</t>
  </si>
  <si>
    <t>05341747</t>
  </si>
  <si>
    <t>ZEGARRA PORRAS SALETH DARIANA</t>
  </si>
  <si>
    <t>AV TUPAC AMARU NRO. 1801</t>
  </si>
  <si>
    <t>74983565</t>
  </si>
  <si>
    <t>ZEGARRA QUISPE JESSICA JHOVANA</t>
  </si>
  <si>
    <t>AV. REPUBLICA 463- MZA. 4P LT.6- TABLADA DE LURIN</t>
  </si>
  <si>
    <t>10708965</t>
  </si>
  <si>
    <t>ZELAYA TORREJON JULIA LIZBET</t>
  </si>
  <si>
    <t>AV. ALAMEDA MZ F1 LOTE 29 - CALLAO 8 (REF. CERCA AL AREOPUERTO JORGE CHAVEZ)</t>
  </si>
  <si>
    <t>44767862</t>
  </si>
  <si>
    <t>ZENTENO RICCE CARLOS JUSTINO</t>
  </si>
  <si>
    <t>MZ. H LOTE 18 COOP CANTO GRANDE 2DO PISO</t>
  </si>
  <si>
    <t>09554905</t>
  </si>
  <si>
    <t>ZENTENO RICCE, CARLOS JUSTINO</t>
  </si>
  <si>
    <t>ZEÑA HERNANDEZ EDWIN COLLINS</t>
  </si>
  <si>
    <t>ASOC. PROP. LOS PORTALES MZ. D LT. 06</t>
  </si>
  <si>
    <t>73930879</t>
  </si>
  <si>
    <t>ZEÑA HERNANDEZ, EDWIN COLLINS</t>
  </si>
  <si>
    <t>ZERPA OSPINO JOSE ANTONIO</t>
  </si>
  <si>
    <t>S8.G2, AV. REVOLUCION - MERCADO</t>
  </si>
  <si>
    <t>00269844</t>
  </si>
  <si>
    <t>ZEVALLOS CONDOR MICHAEL DENIS</t>
  </si>
  <si>
    <t>JR.RÍO MAJES 5540, LOS OLIVOS 15304</t>
  </si>
  <si>
    <t>48271963</t>
  </si>
  <si>
    <t>ZEVALLOS CONDOR OSCAR RIZO</t>
  </si>
  <si>
    <t>SECTOR 3 GRUPO 27 H LT 07, LIMA, LIMA, VILLA EL SALVADOR</t>
  </si>
  <si>
    <t>20905842</t>
  </si>
  <si>
    <t>ZEVALLOS CONDOR, OSCAR RIZO</t>
  </si>
  <si>
    <t>ZEVALLOS SUAREZ JOSE LUIS</t>
  </si>
  <si>
    <t>CALLE SANTA CRUZ NRO. 409</t>
  </si>
  <si>
    <t>40908840</t>
  </si>
  <si>
    <t>ZORRILLA REYES ARNALDO DANIEL</t>
  </si>
  <si>
    <t>SANTA ROSA S/N (ANTES DEL COLISEO CERRADO - PORTON GRIS)</t>
  </si>
  <si>
    <t>15621349</t>
  </si>
  <si>
    <t>ZUBIATE NORIEGA LUZ ANDREA</t>
  </si>
  <si>
    <t>CALLE 9 MZ. B LT. 17 Y 18 URB. ALAMEDA LIMA VILLA SUR</t>
  </si>
  <si>
    <t>40168453</t>
  </si>
  <si>
    <t>ZUMAETA CABRERA LUIS MIGUEL</t>
  </si>
  <si>
    <t>AMPLIACION SANTA CRUZ PUNTA HERMOSA  MZ D1 LT 24</t>
  </si>
  <si>
    <t>43685581</t>
  </si>
  <si>
    <t>ZUÑIGA CUENTAS EDWIN JULLYNO</t>
  </si>
  <si>
    <t>AV. IQUITOS 104, LA VINTORIA INTERIOR 111</t>
  </si>
  <si>
    <t>77097310</t>
  </si>
  <si>
    <t>ZUÑIGA LEIVA MAXIMILIANO</t>
  </si>
  <si>
    <t>CALLE PALMERAS MZ A LT 10 HUACHIPA</t>
  </si>
  <si>
    <t>23951890</t>
  </si>
  <si>
    <t>ZUÑIGA MIRANDA NURIA PATRICIA</t>
  </si>
  <si>
    <t>MANZANA F LOTE 19-URB LA FLORIDA-SMP</t>
  </si>
  <si>
    <t>46991728</t>
  </si>
  <si>
    <t>ZUÑIGA ROJAS GALDINO AMANCIO</t>
  </si>
  <si>
    <t>MZB LT2 URB PROG MANZANILLO 1 ETP LOC</t>
  </si>
  <si>
    <t>06940113</t>
  </si>
  <si>
    <t>ZUÑIGA SALGADO CRISTOPHER ALBERTO</t>
  </si>
  <si>
    <t>JR. HUMBOLDT 1669 - GALERIA RENE-GAMARRA 6TO. PISO TDA. 12</t>
  </si>
  <si>
    <t>70972528</t>
  </si>
  <si>
    <t>ZURITA AQUINO LUIS ARTURO</t>
  </si>
  <si>
    <t>AV NUEVO AEROPUERTO MZ E2 LT 14 SANTA ROSA CALLAO</t>
  </si>
  <si>
    <t>46885208</t>
  </si>
  <si>
    <t>GRUPO CORII S.A.C.</t>
  </si>
  <si>
    <t>CAL.C MZA. P LOTE. 1 INT. 14 URB. BARBADILLO (SUBLT 14, ALT. DE COMPLEJO DEP ACOBAMBA) LIMA - LIMA - ATE</t>
  </si>
  <si>
    <t>10501371</t>
  </si>
  <si>
    <t>RIVERA PUCHOC YOLANDA HAYDEE</t>
  </si>
  <si>
    <t>GARDANI INDUSTRIAL S.A.C.</t>
  </si>
  <si>
    <t>CAL.CAL. LOS GLADIOLOS MZA. A LOTE. 39 URB. PROG VIV AERORES. FAUCETT (PROG. VIV. AERORESIDENCIAL FAUCETT) PROV. CONST. DEL CALLAO - PROV. CONST. DEL CALLAO - CALLAO</t>
  </si>
  <si>
    <t>25800357</t>
  </si>
  <si>
    <t xml:space="preserve">	GARCIA MENDEZ EDWIN JACK</t>
  </si>
  <si>
    <t>70578596</t>
  </si>
  <si>
    <t>MS BUSINESS INTELLIGENCE E.I.R.L.</t>
  </si>
  <si>
    <t xml:space="preserve">
CAR.CARRETERA CENTRAL KM. 7.5 LOTE. F DPTO. 304 (C.C. PLAZA VITARTE FRENTE A LA MUNI. ATE) LIMA - LIMA - ATE</t>
  </si>
  <si>
    <t>41034861</t>
  </si>
  <si>
    <t xml:space="preserve">	CISNEROS ESPARTA SHEERLEY MILAGROS</t>
  </si>
  <si>
    <t>13786299</t>
  </si>
  <si>
    <t>PLASTICOS PERU ALFA SOC RESP LTDA</t>
  </si>
  <si>
    <t>AV. LOS CIRUELOS NRO. 571 URB. CANTO GRANDE 1RA ETAPA (ALT 1RA CDRA AV WIESE) LIMA - LIMA - SAN JUAN DE LURIGANCHO</t>
  </si>
  <si>
    <t>10111231</t>
  </si>
  <si>
    <t>ASTOLA PORLLES PILAR PEREGRINA</t>
  </si>
  <si>
    <t>00644366</t>
  </si>
  <si>
    <t>10361043</t>
  </si>
  <si>
    <t>MINAYA REQUENA WILLIAM PEDRO</t>
  </si>
  <si>
    <t>07230439</t>
  </si>
  <si>
    <t>INDUSTRIAL PANDA S.A.C.</t>
  </si>
  <si>
    <t>AV. LOS ROSALES NRO. 298 COO. 27 DE ABRIL LIMA - LIMA - SANTA ANITA</t>
  </si>
  <si>
    <t>29302400</t>
  </si>
  <si>
    <t xml:space="preserve">	ROJAS TITO NELSON</t>
  </si>
  <si>
    <t>00658286</t>
  </si>
  <si>
    <t>FACTORIA LA MILLA S.R.L.</t>
  </si>
  <si>
    <t xml:space="preserve">
CAL.LA MILLA NRO. 202 URB. LA MILLA (ALT.LADRILLERA REX) LIMA - LIMA - SAN MARTIN DE PORRES</t>
  </si>
  <si>
    <t>40000064</t>
  </si>
  <si>
    <t>PEÑA GARAY STALIN</t>
  </si>
  <si>
    <t>11307546</t>
  </si>
  <si>
    <t>NACIMIENTO</t>
  </si>
  <si>
    <t>NACIONALIDAD</t>
  </si>
  <si>
    <t>SEXO</t>
  </si>
  <si>
    <t>PERUANA</t>
  </si>
  <si>
    <t>MASCULINO</t>
  </si>
  <si>
    <t>FEMENINO</t>
  </si>
  <si>
    <t>000996931</t>
  </si>
  <si>
    <t>41476538</t>
  </si>
  <si>
    <t>VELIS SALGUEDO ENRIQUE EDISON</t>
  </si>
  <si>
    <t>NT &amp; TV SAC</t>
  </si>
  <si>
    <t>MZA. F LOTE. 32 URB. ALAMEDA DE LA RIVERA LIMA - LIMA - ATE</t>
  </si>
  <si>
    <t>47044869</t>
  </si>
  <si>
    <t>44431479</t>
  </si>
  <si>
    <t>25744171</t>
  </si>
  <si>
    <t>000026380</t>
  </si>
  <si>
    <t>000722831</t>
  </si>
  <si>
    <t>000745645</t>
  </si>
  <si>
    <t>08273597</t>
  </si>
  <si>
    <t>08775476</t>
  </si>
  <si>
    <t>08775478</t>
  </si>
  <si>
    <t>08798130</t>
  </si>
  <si>
    <t>09151513</t>
  </si>
  <si>
    <t>40153444</t>
  </si>
  <si>
    <t>10319422</t>
  </si>
  <si>
    <t>10001214</t>
  </si>
  <si>
    <t>CORDOVA BENAVIDES JUAN JOSE</t>
  </si>
  <si>
    <t>29607865</t>
  </si>
  <si>
    <t>SALAS TAMAYO JEAN PAUL</t>
  </si>
  <si>
    <t xml:space="preserve">APODERADO	</t>
  </si>
  <si>
    <t>29608999</t>
  </si>
  <si>
    <t>45123169</t>
  </si>
  <si>
    <t>40356407</t>
  </si>
  <si>
    <t>06741120</t>
  </si>
  <si>
    <t>44602754</t>
  </si>
  <si>
    <t>41295462</t>
  </si>
  <si>
    <t>40368798</t>
  </si>
  <si>
    <t>41740328</t>
  </si>
  <si>
    <t>16722436</t>
  </si>
  <si>
    <t>47282146</t>
  </si>
  <si>
    <t>41358893</t>
  </si>
  <si>
    <t>08738028</t>
  </si>
  <si>
    <t>10009050</t>
  </si>
  <si>
    <t>40550887</t>
  </si>
  <si>
    <t>08323136</t>
  </si>
  <si>
    <t>43161371</t>
  </si>
  <si>
    <t>40523851</t>
  </si>
  <si>
    <t>46541180</t>
  </si>
  <si>
    <t>HERRERA FERNANDEZ AMY MELODY</t>
  </si>
  <si>
    <t>07698810</t>
  </si>
  <si>
    <t>10727227</t>
  </si>
  <si>
    <t>44120363</t>
  </si>
  <si>
    <t>46395437</t>
  </si>
  <si>
    <t>25702189</t>
  </si>
  <si>
    <t>06672496</t>
  </si>
  <si>
    <t>74176345</t>
  </si>
  <si>
    <t>43960151</t>
  </si>
  <si>
    <t>40842173</t>
  </si>
  <si>
    <t>08885027</t>
  </si>
  <si>
    <t>07856127</t>
  </si>
  <si>
    <t>10471799</t>
  </si>
  <si>
    <t>ORTIZ EMPSON JOSE ANTONIO</t>
  </si>
  <si>
    <t>000052780</t>
  </si>
  <si>
    <t>25818854</t>
  </si>
  <si>
    <t>07853578</t>
  </si>
  <si>
    <t xml:space="preserve">	MOSCOSO SALAS ALBERTO CESAR</t>
  </si>
  <si>
    <t xml:space="preserve">	BENITES GALBIATI CLAUDIO LIZARDO</t>
  </si>
  <si>
    <t>47256117</t>
  </si>
  <si>
    <t>43921492</t>
  </si>
  <si>
    <t>42440142</t>
  </si>
  <si>
    <t>09277919</t>
  </si>
  <si>
    <t>07278913</t>
  </si>
  <si>
    <t>08202926</t>
  </si>
  <si>
    <t>09178461</t>
  </si>
  <si>
    <t>09301944</t>
  </si>
  <si>
    <t>07964425</t>
  </si>
  <si>
    <t>07284697</t>
  </si>
  <si>
    <t>08089114</t>
  </si>
  <si>
    <t>20608664794</t>
  </si>
  <si>
    <t>10650010</t>
  </si>
  <si>
    <t>07213334</t>
  </si>
  <si>
    <t>09176756</t>
  </si>
  <si>
    <t>10609606</t>
  </si>
  <si>
    <t>09543761</t>
  </si>
  <si>
    <t>44930706</t>
  </si>
  <si>
    <t>SANCHEZ GIRBAU CLAUDIA MIRELLA</t>
  </si>
  <si>
    <t>09646569</t>
  </si>
  <si>
    <t>07198672</t>
  </si>
  <si>
    <t>40584453</t>
  </si>
  <si>
    <t>41113049</t>
  </si>
  <si>
    <t xml:space="preserve">48054748 </t>
  </si>
  <si>
    <t>44122200</t>
  </si>
  <si>
    <t>42483056</t>
  </si>
  <si>
    <t>08597451</t>
  </si>
  <si>
    <t>07089318</t>
  </si>
  <si>
    <t>40101749</t>
  </si>
  <si>
    <t>08445271</t>
  </si>
  <si>
    <t>44736989</t>
  </si>
  <si>
    <t>PEREZ CHINCHAY JULIO CESAR</t>
  </si>
  <si>
    <t>40357413</t>
  </si>
  <si>
    <t>08241675</t>
  </si>
  <si>
    <t>09636326</t>
  </si>
  <si>
    <t>09385605</t>
  </si>
  <si>
    <t>09751862</t>
  </si>
  <si>
    <t>GUEVARA PIÑEYRO ROMMY ALICIA</t>
  </si>
  <si>
    <t xml:space="preserve">000853057	</t>
  </si>
  <si>
    <t>23862772</t>
  </si>
  <si>
    <t>06755276</t>
  </si>
  <si>
    <t>41906711</t>
  </si>
  <si>
    <t>07368768</t>
  </si>
  <si>
    <t>08239705</t>
  </si>
  <si>
    <t>08775673</t>
  </si>
  <si>
    <t xml:space="preserve">	GASTELUMENDI LUKIS EMMA PATRICIA</t>
  </si>
  <si>
    <t>08803018</t>
  </si>
  <si>
    <t>09876822</t>
  </si>
  <si>
    <t xml:space="preserve">	TORREBLANCA FREUNDT CARLOS FRANK</t>
  </si>
  <si>
    <t xml:space="preserve">	GUTIERREZ JAVE JOSE SANTOS</t>
  </si>
  <si>
    <t xml:space="preserve">	QUISPE SAIRE RUTH JANET</t>
  </si>
  <si>
    <t>000883002</t>
  </si>
  <si>
    <t>BASUALDO SANTIAGO MARTIN</t>
  </si>
  <si>
    <t>44118684</t>
  </si>
  <si>
    <t>40130269</t>
  </si>
  <si>
    <t>20041122</t>
  </si>
  <si>
    <t>42125026</t>
  </si>
  <si>
    <t>09098533</t>
  </si>
  <si>
    <t>09098534</t>
  </si>
  <si>
    <t>08773888</t>
  </si>
  <si>
    <t>08774501</t>
  </si>
  <si>
    <t>25455295</t>
  </si>
  <si>
    <t>42681419</t>
  </si>
  <si>
    <t>10219157</t>
  </si>
  <si>
    <t>40648484</t>
  </si>
  <si>
    <t>01276603</t>
  </si>
  <si>
    <t xml:space="preserve"> 7730 - ALQUILER Y ARRENDAMIENTO DE OTROS TIPOS DE MAQUINARIA, EQUIPO Y BIENES TANGIBLES</t>
  </si>
  <si>
    <t>08762440</t>
  </si>
  <si>
    <t>42165729</t>
  </si>
  <si>
    <t>06593150</t>
  </si>
  <si>
    <t>07834726</t>
  </si>
  <si>
    <t>46561852</t>
  </si>
  <si>
    <t>07634423</t>
  </si>
  <si>
    <t>07590145</t>
  </si>
  <si>
    <t>72507057</t>
  </si>
  <si>
    <t xml:space="preserve">43516136 </t>
  </si>
  <si>
    <t>40081829</t>
  </si>
  <si>
    <t>06577695</t>
  </si>
  <si>
    <t xml:space="preserve"> 2710 - FABRICACIÓN DE MOTORES, GENERADORES Y TRANSFORMADORES ELÉCTRICOS Y APARATOS DE DISTRIBUCIÓN Y CONTROL DE LA ENERGÍA ELÉCTRICA</t>
  </si>
  <si>
    <t>09995881</t>
  </si>
  <si>
    <t>09648864</t>
  </si>
  <si>
    <t>03683243</t>
  </si>
  <si>
    <t>09985405</t>
  </si>
  <si>
    <t>42522115</t>
  </si>
  <si>
    <t>42155970</t>
  </si>
  <si>
    <t>2733 - FABRICACIÓN DE DISPOSITIVOS DE CABLEADO</t>
  </si>
  <si>
    <t>000109391</t>
  </si>
  <si>
    <t>08430999</t>
  </si>
  <si>
    <t>40283216</t>
  </si>
  <si>
    <t>10597673</t>
  </si>
  <si>
    <t>46341549</t>
  </si>
  <si>
    <t>08548773</t>
  </si>
  <si>
    <t>08128408</t>
  </si>
  <si>
    <t>09137813</t>
  </si>
  <si>
    <t>07179821</t>
  </si>
  <si>
    <t xml:space="preserve">48221513 </t>
  </si>
  <si>
    <t>07951740</t>
  </si>
  <si>
    <t>04006341</t>
  </si>
  <si>
    <t>07649371</t>
  </si>
  <si>
    <t>07656811</t>
  </si>
  <si>
    <t>07686446</t>
  </si>
  <si>
    <t>06663771</t>
  </si>
  <si>
    <t>09341209</t>
  </si>
  <si>
    <t>08182029</t>
  </si>
  <si>
    <t>08272131</t>
  </si>
  <si>
    <t>09300787</t>
  </si>
  <si>
    <t>ARAMBURU YZAGA MANUEL DIEGO</t>
  </si>
  <si>
    <t>25710635</t>
  </si>
  <si>
    <t>GUERRERO CUBA OSCAR</t>
  </si>
  <si>
    <t>09644619</t>
  </si>
  <si>
    <t>09648000</t>
  </si>
  <si>
    <t>43155255</t>
  </si>
  <si>
    <t>09594542</t>
  </si>
  <si>
    <t>42244619</t>
  </si>
  <si>
    <t xml:space="preserve">08267844	</t>
  </si>
  <si>
    <t>25671289</t>
  </si>
  <si>
    <t>21130375</t>
  </si>
  <si>
    <t>10697321</t>
  </si>
  <si>
    <t>20019137</t>
  </si>
  <si>
    <t>41975415</t>
  </si>
  <si>
    <t>45416238</t>
  </si>
  <si>
    <t>08550689</t>
  </si>
  <si>
    <t>42575904</t>
  </si>
  <si>
    <t>20051123</t>
  </si>
  <si>
    <t>25767196</t>
  </si>
  <si>
    <t>43276219</t>
  </si>
  <si>
    <t>04629666</t>
  </si>
  <si>
    <t>06218054</t>
  </si>
  <si>
    <t>08232268</t>
  </si>
  <si>
    <t>06367673</t>
  </si>
  <si>
    <t>10714296</t>
  </si>
  <si>
    <t>10528764</t>
  </si>
  <si>
    <t>43650580</t>
  </si>
  <si>
    <t>08337161</t>
  </si>
  <si>
    <t>BEJARANO COLCHADO SUSANO</t>
  </si>
  <si>
    <t>45665275</t>
  </si>
  <si>
    <t xml:space="preserve">	QUILLAY CASTILLO FRITZ ERICK</t>
  </si>
  <si>
    <t>44322919</t>
  </si>
  <si>
    <t>07008932</t>
  </si>
  <si>
    <t xml:space="preserve">	TRUJILLO MORENO RUBEN MARCOS</t>
  </si>
  <si>
    <t>ACEVEDO ORIHUELA MARIA DE LOS ANGELES</t>
  </si>
  <si>
    <t>45718210</t>
  </si>
  <si>
    <t>08197305</t>
  </si>
  <si>
    <t>42843676</t>
  </si>
  <si>
    <t>72793963</t>
  </si>
  <si>
    <t>TUYA RAMOS KAROLYNE GABRIELA</t>
  </si>
  <si>
    <t>47228295</t>
  </si>
  <si>
    <t>44306069</t>
  </si>
  <si>
    <t>25529324</t>
  </si>
  <si>
    <t>70065901</t>
  </si>
  <si>
    <t>21247633</t>
  </si>
  <si>
    <t>ARIAS ROJAS TEOFILO</t>
  </si>
  <si>
    <t>43550458</t>
  </si>
  <si>
    <t>07883546</t>
  </si>
  <si>
    <t>PETIT HIGGINSON MICHEL HERNAN</t>
  </si>
  <si>
    <t>09726959</t>
  </si>
  <si>
    <t>DIAZ INGLESI ALFREDO RICARDO SPARTAC</t>
  </si>
  <si>
    <t>10718967</t>
  </si>
  <si>
    <t>GRADOS MITTEENN ANA MARIA</t>
  </si>
  <si>
    <t>RAMOS PALOMINO KATHERINE LISSET</t>
  </si>
  <si>
    <t>43662041</t>
  </si>
  <si>
    <t>DEZA GARCIA KARLA VERONICA</t>
  </si>
  <si>
    <t>44163997</t>
  </si>
  <si>
    <t>HENDE LUCAR JUSSEF ANTONIO</t>
  </si>
  <si>
    <t>45519361</t>
  </si>
  <si>
    <t>TAIRA TAKAYAMA MONICA SOFIA</t>
  </si>
  <si>
    <t>70442232</t>
  </si>
  <si>
    <t>005925266</t>
  </si>
  <si>
    <t>GONZALEZ BECERRIL DANIEL</t>
  </si>
  <si>
    <t>AV. AVIACION NRO. 4928 URB. HIGUERETA LIMA - LIMA - SANTIAGO DE SURCO</t>
  </si>
  <si>
    <t>GRUPO PANA S.A.</t>
  </si>
  <si>
    <t>07300992</t>
  </si>
  <si>
    <t>LAU LIY FELIPE ALFREDO</t>
  </si>
  <si>
    <t>11009027</t>
  </si>
  <si>
    <t>08248038</t>
  </si>
  <si>
    <t>ICHIKAWA SHIMIZU ARMANDO</t>
  </si>
  <si>
    <t>10222640</t>
  </si>
  <si>
    <t>ICHIKAWA OKA ARMANDO GABRIEL</t>
  </si>
  <si>
    <t>10476684</t>
  </si>
  <si>
    <t>KISHIMOTO SHIMABUKURO JAVIER</t>
  </si>
  <si>
    <t>10477491</t>
  </si>
  <si>
    <t>KUNIGAMI YONAMINE PAOLA</t>
  </si>
  <si>
    <t>40971187</t>
  </si>
  <si>
    <t>ROMAN PEREZ LUZ NELLY</t>
  </si>
  <si>
    <t>TUMI CONTRATISTAS MINEROS S.A.C</t>
  </si>
  <si>
    <t>UNIDAD INMOBILIARIA N 1 CON FRENTE AV. PAUL POBLET NRO. S/N EX FUNDO SANTA ROSA (ENTRADA AL ARCO EX FUNDO SANTA ROSA) LIMA - LIMA - LURIN</t>
  </si>
  <si>
    <t>}</t>
  </si>
  <si>
    <t>10304863</t>
  </si>
  <si>
    <t>FRANCIA LUCERO JOSE GABRIEL</t>
  </si>
  <si>
    <t>11054825</t>
  </si>
  <si>
    <t>41783907</t>
  </si>
  <si>
    <t>FABIAN HIDALGO EDUARDO IVAN</t>
  </si>
  <si>
    <t>43590764</t>
  </si>
  <si>
    <t>DELLEPIANE PERATA CARLOS</t>
  </si>
  <si>
    <t>1392353@senati.pe</t>
  </si>
  <si>
    <t xml:space="preserve">MZ.S4 LT-7 ASOC. PROV. PROFAM </t>
  </si>
  <si>
    <t>1325301@senati.pe</t>
  </si>
  <si>
    <t>JHOSEP XAVIER TRUJILLO QUISPE</t>
  </si>
  <si>
    <t>1376898@senati.pe</t>
  </si>
  <si>
    <t>JASMIN YANINA TRUJILLO HUERTA</t>
  </si>
  <si>
    <t xml:space="preserve">Mz G Lt 1 Asoc. y Res. Las Palmas Puente Piedra </t>
  </si>
  <si>
    <t>1360330@senati.pe</t>
  </si>
  <si>
    <t>WILLIAN RAUL ARANA MACAHUACHI</t>
  </si>
  <si>
    <t xml:space="preserve">A.A.H.H LA CRUZ DE CHILLÓN - MZ O LTE 3 - LA ENSENADA </t>
  </si>
  <si>
    <t>1432500@senati.pe</t>
  </si>
  <si>
    <t>EDSON SAMUEL VILLAFUERTE GAMARRA</t>
  </si>
  <si>
    <t>1426985@senati.pe</t>
  </si>
  <si>
    <t>ANA MAYRITH MILLIAN FLORES</t>
  </si>
  <si>
    <t>1448037@senati.pe</t>
  </si>
  <si>
    <t>GRACIELA LEYLA REYES CORTEZ</t>
  </si>
  <si>
    <t>Carabayllo, Urb. Lucyana, Cesar Vallejo 367</t>
  </si>
  <si>
    <t>1397289@senati.pe</t>
  </si>
  <si>
    <t>JEAN PIERE SANTOS PAZ</t>
  </si>
  <si>
    <t xml:space="preserve">Nueva Jerusalén Mz.K - Lote 12 . Carabayllo </t>
  </si>
  <si>
    <t>1422755@senati.pe</t>
  </si>
  <si>
    <t>PIERO JAMIR AGUILAR TORREL</t>
  </si>
  <si>
    <t>Urb. Albino Herrena Mz. O - Lote 2 - 1ra Etapa Callao</t>
  </si>
  <si>
    <t>1440475@senati.pe</t>
  </si>
  <si>
    <t>JOSE DARIO AARON CABRA NATIVIDAD</t>
  </si>
  <si>
    <t>1394880@senati.pe</t>
  </si>
  <si>
    <t>JEAN STEVEN ACOSTA CRUZ</t>
  </si>
  <si>
    <t>Ca San Ignacio F-08 P.V Residencial El Buen Jesus</t>
  </si>
  <si>
    <t>1410160@senati.pe</t>
  </si>
  <si>
    <t>1418781@senati.pe</t>
  </si>
  <si>
    <t>FRED ROLAND JARAMILLO JARAMILLO</t>
  </si>
  <si>
    <t>1397689@senati.pe</t>
  </si>
  <si>
    <t>ESMILA VIRGINIA CCORIZONCCO ABARCA</t>
  </si>
  <si>
    <t>Urb. Brisas del Norte Mz. E- Lote 32</t>
  </si>
  <si>
    <t>1477208@senati.pe</t>
  </si>
  <si>
    <t>ERICK DAVID ACOSTA QUISPE</t>
  </si>
  <si>
    <t>A.H Juan Luis Cipriani Mz.L L.8</t>
  </si>
  <si>
    <t>1480942@senati.pe</t>
  </si>
  <si>
    <t>MARICIELO AVILA DAVILA</t>
  </si>
  <si>
    <t>775470@senati.pe</t>
  </si>
  <si>
    <t>DERECK WALTER TRAVI CARBAJAL</t>
  </si>
  <si>
    <t>Mz e lt 18 - Urb Los Alisos - SMP</t>
  </si>
  <si>
    <t>1486886@senati.pe</t>
  </si>
  <si>
    <t>OMAR TAREK BUSTAMANTE TAYA</t>
  </si>
  <si>
    <t>Av. Periférica Meléndez Loayza ASENT.H. 3 de mayo Mz. J3 LT. 05</t>
  </si>
  <si>
    <t>1476121@senati.pe</t>
  </si>
  <si>
    <t>WILLYAM CARLOS ALIAGA JIMENEZ</t>
  </si>
  <si>
    <t>1440458@senati.pe</t>
  </si>
  <si>
    <t>BRYAN AGUSTIN RAMIREZ CONDORI</t>
  </si>
  <si>
    <t>1436021@senati.pe</t>
  </si>
  <si>
    <t>ISAI CARLOS CASTILLO RODAS</t>
  </si>
  <si>
    <t>Pasaje 8 Mz. P2 - Lote 17 - Los Olivos</t>
  </si>
  <si>
    <t>1473331@senati.pe</t>
  </si>
  <si>
    <t>VICTOR MANUEL INFANTE DELGADO</t>
  </si>
  <si>
    <t>Psje. Mrcal. La Mar Mz. E4 Lote 29 Defensores de la Patria Ventanilla</t>
  </si>
  <si>
    <t>1389358@senati.pe</t>
  </si>
  <si>
    <t>GIANPIEER JHONY MARCELO AGUILAR</t>
  </si>
  <si>
    <t>cl. Los Nardos Mz A 21- Lote 19 - Urb. Primavera</t>
  </si>
  <si>
    <t>1480562@senati.pe</t>
  </si>
  <si>
    <t>BRYAN EDWARD CUARESMA AYALA</t>
  </si>
  <si>
    <t>Ca Francisco de Orellana 636 piso 2 interior A Urb. Panamericana Norte los Olivos</t>
  </si>
  <si>
    <t>1421599@senati.pe</t>
  </si>
  <si>
    <t>JOSELYN ALEJANDRA BAÑOS ALVA</t>
  </si>
  <si>
    <t>1485374@senati.pe</t>
  </si>
  <si>
    <t>RONALDO JOEL RIOS SOLIS</t>
  </si>
  <si>
    <t>1476118@senati.pe</t>
  </si>
  <si>
    <t>BRAYAN DELFOR CHOQUE PEREGRINO</t>
  </si>
  <si>
    <t>1477457@senati.pe</t>
  </si>
  <si>
    <t>GERARDO DAVID VILLALOBOS REVOLLAR</t>
  </si>
  <si>
    <t>Jr. Los Ópalos 1720 - Urb. Las flores 78</t>
  </si>
  <si>
    <t>1473312@senati.pe</t>
  </si>
  <si>
    <t>HOYNER DELGADO HERNANDEZ</t>
  </si>
  <si>
    <t>1477909@senati.pe</t>
  </si>
  <si>
    <t>MARK ALEXIS RODRIGUEZ PEREZ</t>
  </si>
  <si>
    <t>1396313@senati.pe</t>
  </si>
  <si>
    <t>JOSE FERNANDO ROSALES CANO</t>
  </si>
  <si>
    <t>1481719@senati.pe</t>
  </si>
  <si>
    <t>JAIR ANTONI SALAZAR MILLA</t>
  </si>
  <si>
    <t>1408042@senati.pe</t>
  </si>
  <si>
    <t>EDWIN JHOEL PALACIOS PACHERRES</t>
  </si>
  <si>
    <t>1462399@senati.pe</t>
  </si>
  <si>
    <t>SERGIO MARTIN FARRO SOTELO</t>
  </si>
  <si>
    <t>1480581@senati.pe</t>
  </si>
  <si>
    <t>ALONSO BRACAMONTE PONTICEL</t>
  </si>
  <si>
    <t>Calle Manuel Pozo 107 - Urb. Villasol 4 etapa</t>
  </si>
  <si>
    <t>1446406@senati.pe</t>
  </si>
  <si>
    <t>JANALY JASAIRA GALLARDO REGALADO</t>
  </si>
  <si>
    <t>Av La Chalaca Mz B Lote 2</t>
  </si>
  <si>
    <t>1480592@senati.pe</t>
  </si>
  <si>
    <t>LEONARDO FACUNDO LOPEZ GONZALES</t>
  </si>
  <si>
    <t>Av. Lopez Pasos 408 , Carmen de la legua Reynoso</t>
  </si>
  <si>
    <t>1473328@senati.pe</t>
  </si>
  <si>
    <t>ALESSANDRO PIERO FALLA HIDALGO</t>
  </si>
  <si>
    <t>Jr. Bosques de Huallay 110</t>
  </si>
  <si>
    <t>1480001@senati.pe</t>
  </si>
  <si>
    <t>CARMEN ROSA SANCHEZ PONTE</t>
  </si>
  <si>
    <t>Puente Piedra - Mz. A2 - Lote 5 - Urb. Pancha Paula</t>
  </si>
  <si>
    <t>1476805@senati.pe</t>
  </si>
  <si>
    <t>MIGUEL ANTONIO ESPIRITU ARTICA</t>
  </si>
  <si>
    <t>1476125@senati.pe</t>
  </si>
  <si>
    <t>JOSE LEONARDO BUITRON CASTRO</t>
  </si>
  <si>
    <t>1476132@senati.pe</t>
  </si>
  <si>
    <t>CESAR FERNANDO MEDINA PAYAHUA</t>
  </si>
  <si>
    <t>Jr. Cidras 563 - Urb. Las Flores</t>
  </si>
  <si>
    <t>1483128@senati.pe</t>
  </si>
  <si>
    <t>JOSE MANUEL BUSTAMANTE LASTRA</t>
  </si>
  <si>
    <t>1303286@senati.pe</t>
  </si>
  <si>
    <t>ROY FELIX GONZALES VILCA</t>
  </si>
  <si>
    <t xml:space="preserve">Jr. Los lirios 168 - Urb Ermitaño </t>
  </si>
  <si>
    <t>1403456@senati.pe</t>
  </si>
  <si>
    <t>ALEJANDRO JAVIER MARTINEZ FLORES</t>
  </si>
  <si>
    <t>1446886@senati.pe</t>
  </si>
  <si>
    <t>JONATHAN ULISES HUERTAS CONTRERAS</t>
  </si>
  <si>
    <t>URB. VILLA GENOVA MZ. E LT.40</t>
  </si>
  <si>
    <t>1122053@senati.pe</t>
  </si>
  <si>
    <t>LUIS FERNANDO MEZA SUNE</t>
  </si>
  <si>
    <t>1479282@senati.pe</t>
  </si>
  <si>
    <t>JEAN CARLOS SARCCO SANCHEZ</t>
  </si>
  <si>
    <t>Lurigancho chosica-huachipa-cajamarquilla</t>
  </si>
  <si>
    <t>999283@senati.pe</t>
  </si>
  <si>
    <t>MARCK LEYDER RUIZ ARELLANO</t>
  </si>
  <si>
    <t>MZ A Lt.16 San Pedro de Gramadal - Puente Piedra</t>
  </si>
  <si>
    <t>1476127@senati.pe</t>
  </si>
  <si>
    <t>MARTÍN ALDAIR VITOR RAMOS</t>
  </si>
  <si>
    <t>1452280@senati.pe</t>
  </si>
  <si>
    <t>GERARDO REYES VICENTE</t>
  </si>
  <si>
    <t>Jr. Las violetas asent. H. José Olaya Balandra MZ.R1 LT.06</t>
  </si>
  <si>
    <t>1413370@senati.pe</t>
  </si>
  <si>
    <t>HEISON PERCY CHOQUEPUMA GARCIA</t>
  </si>
  <si>
    <t xml:space="preserve">Av. José de la Torre Ugarte 311 </t>
  </si>
  <si>
    <t>1388723@senati.pe</t>
  </si>
  <si>
    <t>URB Alameda del pinar Mz. W Lote 38</t>
  </si>
  <si>
    <t>1366754@senati.pe</t>
  </si>
  <si>
    <t>VICTOR LUIS OSCO VARGAS</t>
  </si>
  <si>
    <t>1440459@senati.pe</t>
  </si>
  <si>
    <t>DANIEL PONCESANTIAGO</t>
  </si>
  <si>
    <t>Asoc viv 25 de Diciembre  Zona 6 José Galvez Mz . A Lote.9</t>
  </si>
  <si>
    <t>1447561@senati.pe</t>
  </si>
  <si>
    <t>OMAR ESTEBAN LUNA HUAMAN</t>
  </si>
  <si>
    <t>1479989@senati.pe</t>
  </si>
  <si>
    <t>AMY ARELY MATA</t>
  </si>
  <si>
    <t>Cantagallo MZ A Lote11</t>
  </si>
  <si>
    <t>1397171@senati.pe</t>
  </si>
  <si>
    <t>LUIS LEONARDO GARCIA ORTIZ</t>
  </si>
  <si>
    <t>1483478@senati.pe</t>
  </si>
  <si>
    <t>JEFFERSON SERGIO AVILA VILLARREAL</t>
  </si>
  <si>
    <t>Av. Daniel Alcides Carrion Mz D1 Lt 16</t>
  </si>
  <si>
    <t>1376858@senati.pe</t>
  </si>
  <si>
    <t>DAMIAN ALBERTO FONSECA DURAN</t>
  </si>
  <si>
    <t>1207536@senati.pe</t>
  </si>
  <si>
    <t>LUIS ADOLFO SALVADOR CARRASCO</t>
  </si>
  <si>
    <t>Independencia, Calle José Pardo 397 Lt. 7 Mz. Z</t>
  </si>
  <si>
    <t>1411850@senati.pe</t>
  </si>
  <si>
    <t>CARLOS ROBERTO CEREZO AYALA</t>
  </si>
  <si>
    <t xml:space="preserve">Jr. las Retamas 121 Mz. K Lote 6 Urb. La Alborada </t>
  </si>
  <si>
    <t>1308070@senati.pe</t>
  </si>
  <si>
    <t>ALEX JESUS ABARCA TARAZONA</t>
  </si>
  <si>
    <t>1430742@senati.pe</t>
  </si>
  <si>
    <t>WILMER RAUL GONZALEZ QUEZADA</t>
  </si>
  <si>
    <t>EDGARD ANGEL ALBERTO MONTALICO REYES</t>
  </si>
  <si>
    <t>PEDRO LUIS PEÑA PEZO</t>
  </si>
  <si>
    <t xml:space="preserve"> Calle Las Viñas 196 - El Hermitaño</t>
  </si>
  <si>
    <t>PASAJE 30 DE AGOSTO - PAYET MZ D. LT 7</t>
  </si>
  <si>
    <t>Calle Huarango Mz. A 08 Lt 40 5ta Etapa Urb.Santa Maria - Carabayllo</t>
  </si>
  <si>
    <t>Mz.D.Lt.53 Los Rosales de Pro</t>
  </si>
  <si>
    <t xml:space="preserve"> Jr Adolfo viera MZA 32 lote 25 Año Nuevo comas</t>
  </si>
  <si>
    <t>Calle Los Geranios 253, Valle Verde R-403</t>
  </si>
  <si>
    <t xml:space="preserve">Manuel Gómez 402 - Año Nuevo </t>
  </si>
  <si>
    <t xml:space="preserve"> Av. Central 1045 P.J. Ollantay </t>
  </si>
  <si>
    <t>Mz D 9 Lote17 Bocanegra Callao</t>
  </si>
  <si>
    <t>Jr. Ramón Cárcamo 661 Cercado</t>
  </si>
  <si>
    <t>Urb. las Flores, carabayllo Mz C - lote19</t>
  </si>
  <si>
    <t>Jr. Jose Gonzales 267 Urb. Santa Luzmila</t>
  </si>
  <si>
    <t xml:space="preserve"> AV. Cesar Vallejo 1203 independencia</t>
  </si>
  <si>
    <t xml:space="preserve">Jr. Los pinos Mz I Lote 4 Luis Felipe de las casas , Ventanilla - </t>
  </si>
  <si>
    <t xml:space="preserve">, Psj. Julio C. Tello 199 Chacarrilla de Otero, </t>
  </si>
  <si>
    <t>Mariscal caceres  MZ E3 LT 23 (Jirón perez de tudela)</t>
  </si>
  <si>
    <t xml:space="preserve">Urbanización el Doral de Torre blanca Mz.43  Lt.1 </t>
  </si>
  <si>
    <t>Av. Micaela Bastidas 15316 MZ. F - Block 6 - Torres del Campo</t>
  </si>
  <si>
    <t xml:space="preserve">Mz A, Lt 28 Las Hormigas </t>
  </si>
  <si>
    <t>MZ A lote 38  Juan Velazco Alvarado</t>
  </si>
  <si>
    <t xml:space="preserve">Laderas de Chillón Mz A' LT 166- PUENTE PIEDRA </t>
  </si>
  <si>
    <t>MZ E  LT 4 Urb San Isidro de carabayllo</t>
  </si>
  <si>
    <t>Pasaje Santa Marina 170 - San Martin de Porres</t>
  </si>
  <si>
    <t xml:space="preserve">Jr.Trujillo 127 - San Felipe  </t>
  </si>
  <si>
    <t>Jr.Huancayo 980 A.H.Jorge Chavez</t>
  </si>
  <si>
    <t xml:space="preserve">Av tupac amaru 1028  A.H. La flor </t>
  </si>
  <si>
    <t>Av. Jorge Chávez 1976  La Balanza</t>
  </si>
  <si>
    <t>LIMNA</t>
  </si>
  <si>
    <t xml:space="preserve">Jr. Rimac 455  Urb.San Martin de Porres </t>
  </si>
  <si>
    <t>Av Carabayllo 1279 Urb Santa Luzmila</t>
  </si>
  <si>
    <t xml:space="preserve"> Jr. Las Toronjas 203  Urb Naranjal</t>
  </si>
  <si>
    <t>BEST SYTEL S.A.C.</t>
  </si>
  <si>
    <t>CAL.7 MZA. B1 LOTE. 31 ASOC VIRGEN DE COPACABANA - I ETAPA LIMA - LIMA - PUENTE PIEDRA</t>
  </si>
  <si>
    <t>42294349</t>
  </si>
  <si>
    <t>GOMEZ BARRETO JULIO ALEXANDER</t>
  </si>
  <si>
    <t>13508740</t>
  </si>
  <si>
    <t> 6201 - PROGRAMACIÓN INFORMÁTICA</t>
  </si>
  <si>
    <t>LEONARDO JARED SALCEDO PEÑA</t>
  </si>
  <si>
    <t>1381749@senati.pe</t>
  </si>
  <si>
    <t>ANDERSON SMITH CERQUERA MORALES</t>
  </si>
  <si>
    <t xml:space="preserve">Mz G Lt 1 TDA 1 Asoc de Vivo el portillo Lurigancho-Chosica </t>
  </si>
  <si>
    <t>1426979@senati.pe</t>
  </si>
  <si>
    <t>STIVEN ROLANDO SALAZAR MEGO</t>
  </si>
  <si>
    <t>Mz F13 LT 17 Bocanegra Callao</t>
  </si>
  <si>
    <t>1419061@senati.pe</t>
  </si>
  <si>
    <t>KEVYN YOEL NEIRA GUEVARA</t>
  </si>
  <si>
    <t>CALLE LAS CARMELITAS MZG2C LOTE6 HUERTOS DE NARANJAL ESPALDA DE TOTUS SAM MARTIN DE PORRES</t>
  </si>
  <si>
    <t>1343861@senati.pe</t>
  </si>
  <si>
    <t>ALVARO MIGUEL PURISACA HIDALGO</t>
  </si>
  <si>
    <t xml:space="preserve">Psj. Juan Espinoza Medrano - Mz 38 Lt9 A.A.H.H Chillón, Los Olivos </t>
  </si>
  <si>
    <t>1381822@senati.pe</t>
  </si>
  <si>
    <t>KATHERINE MILAGROS BORGES MUNDACA</t>
  </si>
  <si>
    <t>1368860@senati.pe</t>
  </si>
  <si>
    <t>RONAL JESUS QUISPE TASAYCO</t>
  </si>
  <si>
    <t>LOS ROSALES MZ C LT 21</t>
  </si>
  <si>
    <t>1453334@senati.pe</t>
  </si>
  <si>
    <t>GLANSTER JHON CLAUDIO NUNEZ</t>
  </si>
  <si>
    <t>M B - L 05 A.H. SANTA ROSA DE PUENTE PIEDRA AMP. SCT. 2 - PUENTE PIEDRA</t>
  </si>
  <si>
    <t>1399145@senati.pe</t>
  </si>
  <si>
    <t>ESTEFANY MILAGROS ARICA MENDOZA</t>
  </si>
  <si>
    <t>1399858@senati.pe</t>
  </si>
  <si>
    <t>JOSE DAVID TREBEJO SOLANO</t>
  </si>
  <si>
    <t>Jr. Las Palmas 275 Mz. B - Lote 3 - Urb. Aldea Campesina</t>
  </si>
  <si>
    <t>1447830@senati.pe</t>
  </si>
  <si>
    <t>YERLY RONALD CAMPOS MEZA</t>
  </si>
  <si>
    <t xml:space="preserve">CAL.7 MZ B1 LT 31 ASOC. VIRGEN DE COPACABANA - I ETAPA </t>
  </si>
  <si>
    <t>1365803@senati.pe</t>
  </si>
  <si>
    <t>GINA MELISA RAMOS ROSALES</t>
  </si>
  <si>
    <t>1410922@senati.pe</t>
  </si>
  <si>
    <t>JUAN CARLOS ASTO MENDOZA</t>
  </si>
  <si>
    <t>1404710@senati.pe</t>
  </si>
  <si>
    <t>DIEGO AXEL SARAVIA LEYVA</t>
  </si>
  <si>
    <t xml:space="preserve">Mz.v.lt.02 coop. Cesar Vallejo </t>
  </si>
  <si>
    <t>1259653@senati.pe</t>
  </si>
  <si>
    <t>CRISTHIAN JAVIER PACHECO PACHO</t>
  </si>
  <si>
    <t>1393237@senati.pe</t>
  </si>
  <si>
    <t>BET SAYDA HINOSTROZA TORRES</t>
  </si>
  <si>
    <t>MZ.H-Lote 20  Villa Maria del Triunfo</t>
  </si>
  <si>
    <t>1491683@senati.pe</t>
  </si>
  <si>
    <t>DEYVID JOHAN DIAZ AZAÑERO</t>
  </si>
  <si>
    <t xml:space="preserve">Calle 13 Mz N Lote 4- Asc Haras de Chillon </t>
  </si>
  <si>
    <t>1436015@senati.pe</t>
  </si>
  <si>
    <t>RUTH SANCHEZ JARA</t>
  </si>
  <si>
    <t xml:space="preserve"> 3 de Mayo MZ C Lt 13 Campoy </t>
  </si>
  <si>
    <t>1422267@senati.pe</t>
  </si>
  <si>
    <t>FABRIZZIO ALBIERI QUISPE VELASQUEZ</t>
  </si>
  <si>
    <t>Jr. Fernando Lopez 348  Santa Luzmila</t>
  </si>
  <si>
    <t>Calle Los Sauces 115</t>
  </si>
  <si>
    <t>Jr. Las Padreras Mz. G Lote 26</t>
  </si>
  <si>
    <t>Agrup. Familiar " Los Olivos " Mz F Lt 02</t>
  </si>
  <si>
    <t>Av. Independiente N° 878  AA.HH. Cerro Independiente</t>
  </si>
  <si>
    <t>Mz D Lt 10 San Amadeo Carabayllo Km 22</t>
  </si>
  <si>
    <t>1372896@senati.pe</t>
  </si>
  <si>
    <t>FIORELLA YHOSELYN GARNICA BETETA</t>
  </si>
  <si>
    <t>1377662@senati.pe</t>
  </si>
  <si>
    <t>MANUEL AMPARATORI SAUNE ACUNA</t>
  </si>
  <si>
    <t>1485459@senati.pe</t>
  </si>
  <si>
    <t>ELIAN JESUS GONZALES ANDRADE</t>
  </si>
  <si>
    <t>1381745@senati.pe</t>
  </si>
  <si>
    <t>FLAVIA ANTONELLA MANERO QUINDE</t>
  </si>
  <si>
    <t>447213@senati.pe</t>
  </si>
  <si>
    <t>JHON BRANDON MURILLO CARRILLO</t>
  </si>
  <si>
    <t>1376892@senati.pe</t>
  </si>
  <si>
    <t>FRESYA DAYANE FLORES HUARACA</t>
  </si>
  <si>
    <t xml:space="preserve">Jr. Gonzales Prada 349 </t>
  </si>
  <si>
    <t>886798@senati.pe</t>
  </si>
  <si>
    <t>ANA LUCIA SUPANTA CABRERA</t>
  </si>
  <si>
    <t>Calle Mariano Angulo 511</t>
  </si>
  <si>
    <t>1359459@senati.pe</t>
  </si>
  <si>
    <t>NICOL BRILLIT MEZA PRINCIPE</t>
  </si>
  <si>
    <t xml:space="preserve">Sector 3 grupo 22A MZ F lote 24 </t>
  </si>
  <si>
    <t>1294851@senati.pe</t>
  </si>
  <si>
    <t>KAREN STEFANY DEL PILAR IPANAQUE PAICO</t>
  </si>
  <si>
    <t>1418782@senati.pe</t>
  </si>
  <si>
    <t>DAYANARA MARIA ELIZA CRUZ MOLINA</t>
  </si>
  <si>
    <t>MZ.K LT.01 ASOC.CIVIL LOS HUERTOS DE PUNCHAUCA</t>
  </si>
  <si>
    <t>1417589@senati.pe</t>
  </si>
  <si>
    <t>HUGO PABLO MENDOZA DE LA CRUZ</t>
  </si>
  <si>
    <t>Zona N 176 B Lote 2 A.H. HUAYCAN</t>
  </si>
  <si>
    <t>MZ. E Lote 23 Pesquero 1 Pachacutec - Ventanilla</t>
  </si>
  <si>
    <t xml:space="preserve">AV. 1ro de mayo # 460 </t>
  </si>
  <si>
    <t>Mz.W Lote Urb La Musa  3 ETAPA</t>
  </si>
  <si>
    <t>Av San Miguel  Bajo Pasaje Casuarinas Lt 2 referencia el mirador Pachacamac</t>
  </si>
  <si>
    <t>AAHH Los Precursores mz C Lt 4</t>
  </si>
  <si>
    <t>Jron Rivera y Dávalos # 957</t>
  </si>
  <si>
    <t>1311497@senati.pe</t>
  </si>
  <si>
    <t>LUIS FERNANDO MEJIA UPAYACU</t>
  </si>
  <si>
    <t xml:space="preserve">MZ F Lote 41 Tungasuca 3 etapa </t>
  </si>
  <si>
    <t>1410117@senati.pe</t>
  </si>
  <si>
    <t>YAEL AARON VILA FIGUEROA</t>
  </si>
  <si>
    <t xml:space="preserve"> Tahuantinsuyo - Jr. Inka Yupanqui # 573</t>
  </si>
  <si>
    <t>1446237@senati.pe</t>
  </si>
  <si>
    <t>SEBASTIAN DANIEL SOTELO ESCRIBA</t>
  </si>
  <si>
    <t>Jr. Puno cuadra 36 Av. Perú SMP</t>
  </si>
  <si>
    <t>1479990@senati.pe</t>
  </si>
  <si>
    <t>FRANKLIN FERNANDEZ TAIRO</t>
  </si>
  <si>
    <t>Calle Rivero Mz. K-5  Lt-5  AA. HH. Esmeralda de los Andes</t>
  </si>
  <si>
    <t>1418780@senati.pe</t>
  </si>
  <si>
    <t>CELESTE GERALDINE BRAVO MARILUZ</t>
  </si>
  <si>
    <t>Av Tomás valle 1710 , cruce con calle Ana Alberto , pasaje 6 Mzr2 lt 13</t>
  </si>
  <si>
    <t>1302441@senati.pe</t>
  </si>
  <si>
    <t>MIGUEL ANGEL VILLANUEVA RETUERTO</t>
  </si>
  <si>
    <t>Pasaje 6 de Julio MZ. H LT. 2</t>
  </si>
  <si>
    <t>1411572@senati.pe</t>
  </si>
  <si>
    <t>MARTIN BERNAHOLA GUTIERREZ</t>
  </si>
  <si>
    <t>1431917@senati.pe</t>
  </si>
  <si>
    <t>MILENE JHARE JIMENEZ YATACO</t>
  </si>
  <si>
    <t>Mz B Lote 21 Saires de Oquendo- Oquendo- -Callao</t>
  </si>
  <si>
    <t>1440468@senati.pe</t>
  </si>
  <si>
    <t>JOSE LUIS YARLEQUE SILVA</t>
  </si>
  <si>
    <t xml:space="preserve">Jr. Javier Prado Mz. O1- Lote 3   Urb. 12 de Octubre </t>
  </si>
  <si>
    <t>1386957@senati.pe</t>
  </si>
  <si>
    <t>FARID FABRIZIO RIVERA TRIVENOS</t>
  </si>
  <si>
    <t>JR EMILIO DE LOS RIOS 5522</t>
  </si>
  <si>
    <t>1379183@senati.pe</t>
  </si>
  <si>
    <t>MICHEL JOEL RODRIGUEZ POMACARHUA</t>
  </si>
  <si>
    <t xml:space="preserve">Mz H Lote 7 Urb. Santa Clarita   </t>
  </si>
  <si>
    <t>1055863@senati.pe</t>
  </si>
  <si>
    <t>ANDRE KENNETH ALDANA GONZALES</t>
  </si>
  <si>
    <t>CL. PISCOBAMBA URB. LOS NARANJOS MZ.P3 LT.18</t>
  </si>
  <si>
    <t>1442774@senati.pe</t>
  </si>
  <si>
    <t>JOSÉ ARMANDO SALAZAR QUISPE</t>
  </si>
  <si>
    <t>Asoc. Santa Maria de Copacabana Mz C Lt 16</t>
  </si>
  <si>
    <t>1062168@senati.pe</t>
  </si>
  <si>
    <t>ANTONI ANGEL VICENTE BENDEZU</t>
  </si>
  <si>
    <t>1303104@senati.pe</t>
  </si>
  <si>
    <t>BRAYAM JESUS JAVIER QUIÑONEZ</t>
  </si>
  <si>
    <t>Av. Libertadores Mz. R1 Lt. 9</t>
  </si>
  <si>
    <t xml:space="preserve"> Comité 68 MZ 114 LT 09 Raúl Porras Barrenechea</t>
  </si>
  <si>
    <t>AV.Proceres de la Independencia - 954 - San Juan de lurigancho</t>
  </si>
  <si>
    <t>1478827@senati.pe</t>
  </si>
  <si>
    <t>LUIS JEAN PIERRE GONZALES CAMPOS</t>
  </si>
  <si>
    <t>Calle San Francisco Mz. D Lote 16-E</t>
  </si>
  <si>
    <t>1303406@senati.pe</t>
  </si>
  <si>
    <t>LUIS ALBERTO FLORES TREJO</t>
  </si>
  <si>
    <t xml:space="preserve">Urb. Filadelfia cuarta etapa Mz D lote 27 SMP </t>
  </si>
  <si>
    <t>1445073@senati.pe</t>
  </si>
  <si>
    <t>NICOLL ARELY PEREZ TICSE</t>
  </si>
  <si>
    <t>Mz S - Lt 18 - Calle Las Fresas - Los olivos de Pro</t>
  </si>
  <si>
    <t>1476131@senati.pe</t>
  </si>
  <si>
    <t>DANIEL ALONSO AGUIRRE SOTO</t>
  </si>
  <si>
    <t xml:space="preserve">Av Tupac Amaru, Mz S-1  Lt 13A Sector Oeste Anexo 8 Jicamarca </t>
  </si>
  <si>
    <t>1480563@senati.pe</t>
  </si>
  <si>
    <t>BRAYAN POLINO SUAREZ</t>
  </si>
  <si>
    <t>Asentamiento Humano - Manzana 9 lote 1</t>
  </si>
  <si>
    <t>1423852@senati.pe</t>
  </si>
  <si>
    <t>VICTORIA ROCIO TARAPAQUI MEDINA</t>
  </si>
  <si>
    <t>MZ A LOTE 13 CASA HUERTA DE COPACABANA - PUENTE PIEDRA</t>
  </si>
  <si>
    <t>1481761@senati.pe</t>
  </si>
  <si>
    <t>NEIVER HUILLCAMISA TITO</t>
  </si>
  <si>
    <t xml:space="preserve">Av. Guadulfo Silva </t>
  </si>
  <si>
    <t>1331591@senati.pe</t>
  </si>
  <si>
    <t>ANTHONY LEONARDO GARCIA AVALOS</t>
  </si>
  <si>
    <t>Asoc. de Viv Las Praderas de Copacabana Mz B Lt 21</t>
  </si>
  <si>
    <t>1407074@senati.pe</t>
  </si>
  <si>
    <t>JOAQUIN ALEXANDER LLACZA ARNAO</t>
  </si>
  <si>
    <t>Calle Guyana 138 Urb. El Parral</t>
  </si>
  <si>
    <t>1299207@senati.pe</t>
  </si>
  <si>
    <t>YUMARI MAYLI MATOS ESTACIO</t>
  </si>
  <si>
    <t>Av. San Carlos 505 - Urb. San Carlos</t>
  </si>
  <si>
    <t>1426368@senati.pe</t>
  </si>
  <si>
    <t>JHAN CARLOS FRANCO MONTALBAN</t>
  </si>
  <si>
    <t xml:space="preserve">JR.Victoria Navarro 505 con JR. República de Cuba </t>
  </si>
  <si>
    <t>1432509@senati.pe</t>
  </si>
  <si>
    <t>FRANK GONZALO CUNYA MELITON</t>
  </si>
  <si>
    <t>Calle Camana 149</t>
  </si>
  <si>
    <t>1432448@senati.pe</t>
  </si>
  <si>
    <t>LEODAN ERICK MERINO DAZA</t>
  </si>
  <si>
    <t>Urb. Sol del Pinar Mz. F4 - Lote 24</t>
  </si>
  <si>
    <t>1442867@senati.pe</t>
  </si>
  <si>
    <t>JUAN CARLOS VILLAFUERTE TUBILLAS</t>
  </si>
  <si>
    <t>Asoc. Santa Rosa de Punchauca Mz B lote 18</t>
  </si>
  <si>
    <t>1343447@senati.pe</t>
  </si>
  <si>
    <t>WILSON DAVID BARRETO PALACIOS</t>
  </si>
  <si>
    <t>1343451@senati.pe</t>
  </si>
  <si>
    <t>LUIS ERNESTO DAZA FIRMA</t>
  </si>
  <si>
    <t>Av Belaunde Este - AAHH Divino Niño Mz "E" Lt "3"</t>
  </si>
  <si>
    <t>1432796@senati.pe</t>
  </si>
  <si>
    <t>SEBASTIAN MATIAS GANOZA MALDONADO</t>
  </si>
  <si>
    <t>1343455@senati.pe</t>
  </si>
  <si>
    <t>CARLOS RAHI OSTIN ROJAS VARGAS</t>
  </si>
  <si>
    <t>SANTA ROSA ANCON ASOCIACIÓN HIJOS DEL GOLF SECTOR 3 MZ Q LOTE 9</t>
  </si>
  <si>
    <t xml:space="preserve">Jr. Pasco 3756 </t>
  </si>
  <si>
    <t xml:space="preserve"> Mz H4 Lote 17 José Carlos Mariategui</t>
  </si>
  <si>
    <t xml:space="preserve">DESARROLLO DE SOFTWARE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</si>
</sst>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280A]d&quot; de &quot;mmmm&quot; de &quot;yyyy;@"/>
    <numFmt numFmtId="165" formatCode="[$-F800]dddd\,\ mmmm\ dd\,\ yyyy"/>
    <numFmt numFmtId="166" formatCode="m/d/yy\ h:mm:ss"/>
    <numFmt numFmtId="167" formatCode="m/d/yyyy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33CC"/>
      <name val="Calibri"/>
      <family val="2"/>
      <scheme val="minor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Aptos"/>
      <family val="2"/>
    </font>
    <font>
      <sz val="8"/>
      <color rgb="FF000000"/>
      <name val="Verdana"/>
      <family val="2"/>
    </font>
    <font>
      <sz val="11"/>
      <color rgb="FF333333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6EE"/>
        <bgColor rgb="FFBDD6EE"/>
      </patternFill>
    </fill>
    <fill>
      <patternFill patternType="solid">
        <fgColor rgb="FFC5E0B3"/>
        <bgColor rgb="FFC5E0B3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4C6E7"/>
        <bgColor rgb="FFB4C6E7"/>
      </patternFill>
    </fill>
    <fill>
      <patternFill patternType="solid">
        <fgColor rgb="FF002060"/>
        <bgColor rgb="FF002060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3" fillId="34" borderId="13" xfId="0" applyFont="1" applyFill="1" applyBorder="1" applyAlignment="1">
      <alignment horizontal="center" vertical="center" wrapText="1"/>
    </xf>
    <xf numFmtId="14" fontId="13" fillId="34" borderId="13" xfId="0" applyNumberFormat="1" applyFont="1" applyFill="1" applyBorder="1" applyAlignment="1">
      <alignment horizontal="center" vertical="center" wrapText="1"/>
    </xf>
    <xf numFmtId="0" fontId="13" fillId="35" borderId="13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3" fillId="36" borderId="14" xfId="0" applyFont="1" applyFill="1" applyBorder="1" applyAlignment="1">
      <alignment horizontal="center" vertical="center"/>
    </xf>
    <xf numFmtId="0" fontId="13" fillId="38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13" fillId="35" borderId="13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8" fillId="40" borderId="13" xfId="0" applyFont="1" applyFill="1" applyBorder="1" applyAlignment="1">
      <alignment horizontal="center" vertical="center"/>
    </xf>
    <xf numFmtId="0" fontId="13" fillId="41" borderId="14" xfId="0" applyFont="1" applyFill="1" applyBorder="1" applyAlignment="1">
      <alignment horizontal="center" vertical="center"/>
    </xf>
    <xf numFmtId="0" fontId="13" fillId="41" borderId="14" xfId="0" applyFont="1" applyFill="1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34" borderId="17" xfId="0" applyFont="1" applyFill="1" applyBorder="1" applyAlignment="1">
      <alignment horizontal="center" vertical="center"/>
    </xf>
    <xf numFmtId="0" fontId="13" fillId="34" borderId="1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3" borderId="22" xfId="0" applyFill="1" applyBorder="1" applyAlignment="1">
      <alignment horizontal="center" vertical="center"/>
    </xf>
    <xf numFmtId="0" fontId="0" fillId="43" borderId="24" xfId="0" applyFill="1" applyBorder="1" applyAlignment="1">
      <alignment horizontal="center" vertical="center"/>
    </xf>
    <xf numFmtId="0" fontId="0" fillId="43" borderId="25" xfId="0" applyFill="1" applyBorder="1" applyAlignment="1">
      <alignment horizontal="center" vertical="center"/>
    </xf>
    <xf numFmtId="0" fontId="0" fillId="44" borderId="22" xfId="0" applyFill="1" applyBorder="1" applyAlignment="1">
      <alignment horizontal="center" vertical="center"/>
    </xf>
    <xf numFmtId="0" fontId="0" fillId="44" borderId="24" xfId="0" applyFill="1" applyBorder="1" applyAlignment="1">
      <alignment horizontal="center" vertical="center"/>
    </xf>
    <xf numFmtId="0" fontId="0" fillId="44" borderId="25" xfId="0" applyFill="1" applyBorder="1" applyAlignment="1">
      <alignment horizontal="center" vertical="center"/>
    </xf>
    <xf numFmtId="0" fontId="13" fillId="34" borderId="26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3" fillId="33" borderId="27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44" borderId="29" xfId="0" applyFill="1" applyBorder="1" applyAlignment="1">
      <alignment horizontal="center" vertical="center"/>
    </xf>
    <xf numFmtId="0" fontId="16" fillId="42" borderId="10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16" fillId="45" borderId="10" xfId="0" applyFont="1" applyFill="1" applyBorder="1" applyAlignment="1">
      <alignment horizontal="center"/>
    </xf>
    <xf numFmtId="0" fontId="0" fillId="45" borderId="10" xfId="0" applyFill="1" applyBorder="1" applyAlignment="1">
      <alignment horizontal="center" vertical="center"/>
    </xf>
    <xf numFmtId="0" fontId="13" fillId="36" borderId="0" xfId="0" applyFont="1" applyFill="1" applyAlignment="1">
      <alignment horizontal="center" vertical="center"/>
    </xf>
    <xf numFmtId="1" fontId="0" fillId="0" borderId="13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3" fillId="35" borderId="0" xfId="0" applyFont="1" applyFill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3" fillId="35" borderId="10" xfId="0" applyFont="1" applyFill="1" applyBorder="1" applyAlignment="1">
      <alignment horizontal="center" vertical="center"/>
    </xf>
    <xf numFmtId="0" fontId="13" fillId="38" borderId="10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13" fillId="37" borderId="16" xfId="0" applyFont="1" applyFill="1" applyBorder="1" applyAlignment="1">
      <alignment horizontal="center" vertical="center"/>
    </xf>
    <xf numFmtId="0" fontId="13" fillId="37" borderId="0" xfId="0" applyFont="1" applyFill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9" fontId="0" fillId="45" borderId="1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6" fillId="0" borderId="0" xfId="0" applyFont="1"/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Protection="1">
      <protection locked="0"/>
    </xf>
    <xf numFmtId="0" fontId="19" fillId="0" borderId="0" xfId="0" applyFont="1" applyProtection="1">
      <protection locked="0"/>
    </xf>
    <xf numFmtId="0" fontId="17" fillId="36" borderId="0" xfId="0" applyFont="1" applyFill="1" applyAlignment="1">
      <alignment horizontal="center" vertical="center"/>
    </xf>
    <xf numFmtId="0" fontId="13" fillId="46" borderId="0" xfId="0" applyFont="1" applyFill="1" applyAlignment="1">
      <alignment horizontal="center" vertical="center"/>
    </xf>
    <xf numFmtId="1" fontId="19" fillId="0" borderId="0" xfId="0" applyNumberFormat="1" applyFont="1" applyProtection="1">
      <protection locked="0"/>
    </xf>
    <xf numFmtId="0" fontId="0" fillId="48" borderId="13" xfId="0" applyFill="1" applyBorder="1" applyAlignment="1">
      <alignment horizontal="center"/>
    </xf>
    <xf numFmtId="0" fontId="24" fillId="0" borderId="13" xfId="42" applyFont="1" applyBorder="1" applyAlignment="1">
      <alignment horizontal="center"/>
    </xf>
    <xf numFmtId="0" fontId="0" fillId="0" borderId="0" xfId="0" applyAlignment="1">
      <alignment vertical="center"/>
    </xf>
    <xf numFmtId="0" fontId="25" fillId="41" borderId="10" xfId="0" applyFont="1" applyFill="1" applyBorder="1" applyAlignment="1">
      <alignment horizontal="center" vertical="center"/>
    </xf>
    <xf numFmtId="0" fontId="26" fillId="47" borderId="37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47" borderId="13" xfId="0" applyFill="1" applyBorder="1" applyAlignment="1">
      <alignment horizontal="center" vertical="center"/>
    </xf>
    <xf numFmtId="0" fontId="0" fillId="49" borderId="22" xfId="0" applyFill="1" applyBorder="1" applyAlignment="1">
      <alignment horizontal="center" vertical="center"/>
    </xf>
    <xf numFmtId="0" fontId="0" fillId="49" borderId="24" xfId="0" applyFill="1" applyBorder="1" applyAlignment="1">
      <alignment horizontal="center" vertical="center"/>
    </xf>
    <xf numFmtId="0" fontId="0" fillId="49" borderId="25" xfId="0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3" fillId="33" borderId="38" xfId="0" applyFont="1" applyFill="1" applyBorder="1" applyAlignment="1">
      <alignment horizontal="center" vertical="center"/>
    </xf>
    <xf numFmtId="0" fontId="0" fillId="43" borderId="42" xfId="0" applyFill="1" applyBorder="1" applyAlignment="1">
      <alignment horizontal="center" vertical="center"/>
    </xf>
    <xf numFmtId="0" fontId="0" fillId="43" borderId="16" xfId="0" applyFill="1" applyBorder="1" applyAlignment="1">
      <alignment horizontal="center" vertical="center"/>
    </xf>
    <xf numFmtId="0" fontId="0" fillId="43" borderId="43" xfId="0" applyFill="1" applyBorder="1" applyAlignment="1">
      <alignment horizontal="center" vertical="center"/>
    </xf>
    <xf numFmtId="0" fontId="0" fillId="44" borderId="42" xfId="0" applyFill="1" applyBorder="1" applyAlignment="1">
      <alignment horizontal="center" vertical="center"/>
    </xf>
    <xf numFmtId="0" fontId="0" fillId="44" borderId="16" xfId="0" applyFill="1" applyBorder="1" applyAlignment="1">
      <alignment horizontal="center" vertical="center"/>
    </xf>
    <xf numFmtId="0" fontId="0" fillId="44" borderId="43" xfId="0" applyFill="1" applyBorder="1" applyAlignment="1">
      <alignment horizontal="center" vertical="center"/>
    </xf>
    <xf numFmtId="0" fontId="0" fillId="44" borderId="19" xfId="0" applyFill="1" applyBorder="1" applyAlignment="1">
      <alignment horizontal="center" vertical="center"/>
    </xf>
    <xf numFmtId="0" fontId="13" fillId="33" borderId="40" xfId="0" applyFont="1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4" fontId="13" fillId="0" borderId="0" xfId="0" applyNumberFormat="1" applyFont="1" applyAlignment="1">
      <alignment vertical="center"/>
    </xf>
    <xf numFmtId="49" fontId="13" fillId="36" borderId="14" xfId="0" applyNumberFormat="1" applyFont="1" applyFill="1" applyBorder="1" applyAlignment="1">
      <alignment horizontal="center" vertical="center"/>
    </xf>
    <xf numFmtId="49" fontId="13" fillId="41" borderId="1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54" borderId="45" xfId="0" applyFont="1" applyFill="1" applyBorder="1" applyAlignment="1">
      <alignment horizontal="center" vertical="center" wrapText="1"/>
    </xf>
    <xf numFmtId="0" fontId="35" fillId="56" borderId="46" xfId="0" applyFont="1" applyFill="1" applyBorder="1" applyAlignment="1">
      <alignment horizontal="center" vertical="center" wrapText="1"/>
    </xf>
    <xf numFmtId="0" fontId="0" fillId="57" borderId="0" xfId="0" applyFill="1"/>
    <xf numFmtId="0" fontId="0" fillId="50" borderId="0" xfId="0" applyFill="1"/>
    <xf numFmtId="0" fontId="23" fillId="0" borderId="46" xfId="42" applyBorder="1"/>
    <xf numFmtId="0" fontId="28" fillId="0" borderId="46" xfId="0" applyFont="1" applyBorder="1" applyAlignment="1">
      <alignment horizontal="center" vertical="center"/>
    </xf>
    <xf numFmtId="0" fontId="34" fillId="0" borderId="46" xfId="0" applyFont="1" applyBorder="1" applyAlignment="1">
      <alignment horizontal="center" vertical="center"/>
    </xf>
    <xf numFmtId="0" fontId="23" fillId="0" borderId="46" xfId="42" applyBorder="1" applyAlignment="1">
      <alignment horizontal="center" vertical="center"/>
    </xf>
    <xf numFmtId="0" fontId="36" fillId="0" borderId="47" xfId="0" applyFont="1" applyBorder="1" applyAlignment="1">
      <alignment horizontal="center" vertical="center"/>
    </xf>
    <xf numFmtId="14" fontId="19" fillId="58" borderId="10" xfId="0" applyNumberFormat="1" applyFont="1" applyFill="1" applyBorder="1" applyAlignment="1">
      <alignment horizontal="center" vertical="center"/>
    </xf>
    <xf numFmtId="0" fontId="28" fillId="0" borderId="49" xfId="0" applyFont="1" applyBorder="1" applyAlignment="1">
      <alignment horizontal="center" vertical="center"/>
    </xf>
    <xf numFmtId="0" fontId="28" fillId="0" borderId="49" xfId="0" applyFont="1" applyBorder="1" applyAlignment="1">
      <alignment horizontal="center" vertical="center" wrapText="1"/>
    </xf>
    <xf numFmtId="0" fontId="33" fillId="0" borderId="49" xfId="0" applyFont="1" applyBorder="1" applyAlignment="1">
      <alignment horizontal="center" vertical="center" wrapText="1"/>
    </xf>
    <xf numFmtId="0" fontId="31" fillId="55" borderId="48" xfId="0" applyFont="1" applyFill="1" applyBorder="1" applyAlignment="1">
      <alignment horizontal="center" vertical="center"/>
    </xf>
    <xf numFmtId="0" fontId="31" fillId="52" borderId="48" xfId="0" applyFont="1" applyFill="1" applyBorder="1" applyAlignment="1">
      <alignment horizontal="center" vertical="center" wrapText="1"/>
    </xf>
    <xf numFmtId="0" fontId="31" fillId="53" borderId="48" xfId="0" applyFont="1" applyFill="1" applyBorder="1" applyAlignment="1">
      <alignment horizontal="center" vertical="center" wrapText="1"/>
    </xf>
    <xf numFmtId="0" fontId="32" fillId="53" borderId="48" xfId="0" applyFont="1" applyFill="1" applyBorder="1" applyAlignment="1">
      <alignment horizontal="center" vertical="center" wrapText="1"/>
    </xf>
    <xf numFmtId="0" fontId="31" fillId="54" borderId="48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4" fontId="13" fillId="38" borderId="0" xfId="0" applyNumberFormat="1" applyFont="1" applyFill="1" applyAlignment="1">
      <alignment horizontal="center" vertical="center"/>
    </xf>
    <xf numFmtId="14" fontId="0" fillId="0" borderId="0" xfId="0" applyNumberFormat="1" applyProtection="1">
      <protection locked="0"/>
    </xf>
    <xf numFmtId="14" fontId="13" fillId="46" borderId="0" xfId="0" applyNumberFormat="1" applyFont="1" applyFill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14" fontId="19" fillId="0" borderId="0" xfId="0" applyNumberFormat="1" applyFont="1" applyProtection="1">
      <protection locked="0"/>
    </xf>
    <xf numFmtId="14" fontId="0" fillId="0" borderId="0" xfId="0" applyNumberFormat="1" applyAlignment="1">
      <alignment horizontal="center"/>
    </xf>
    <xf numFmtId="0" fontId="19" fillId="0" borderId="10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9" fillId="0" borderId="36" xfId="0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19" fillId="0" borderId="27" xfId="0" applyFont="1" applyBorder="1" applyAlignment="1">
      <alignment horizontal="center" vertical="center" wrapText="1"/>
    </xf>
    <xf numFmtId="49" fontId="19" fillId="0" borderId="36" xfId="0" applyNumberFormat="1" applyFont="1" applyBorder="1" applyAlignment="1">
      <alignment horizontal="center" vertical="center"/>
    </xf>
    <xf numFmtId="49" fontId="19" fillId="0" borderId="27" xfId="0" applyNumberFormat="1" applyFon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49" fontId="19" fillId="0" borderId="19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8" fillId="0" borderId="0" xfId="0" applyFont="1"/>
    <xf numFmtId="0" fontId="17" fillId="0" borderId="0" xfId="0" applyFont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0" fontId="0" fillId="0" borderId="0" xfId="0" applyAlignment="1">
      <alignment horizontal="center" vertical="center"/>
    </xf>
    <xf numFmtId="0" fontId="21" fillId="3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22" fillId="39" borderId="0" xfId="0" applyFont="1" applyFill="1" applyAlignment="1">
      <alignment horizontal="center" vertical="center"/>
    </xf>
    <xf numFmtId="0" fontId="22" fillId="35" borderId="0" xfId="0" applyFont="1" applyFill="1" applyAlignment="1">
      <alignment horizontal="center" vertical="center"/>
    </xf>
    <xf numFmtId="0" fontId="21" fillId="38" borderId="11" xfId="0" applyFont="1" applyFill="1" applyBorder="1" applyAlignment="1">
      <alignment horizontal="center" vertical="center"/>
    </xf>
    <xf numFmtId="0" fontId="21" fillId="38" borderId="12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30" fillId="51" borderId="44" xfId="0" applyFont="1" applyFill="1" applyBorder="1" applyAlignment="1">
      <alignment horizontal="center"/>
    </xf>
    <xf numFmtId="0" fontId="30" fillId="52" borderId="44" xfId="0" applyFont="1" applyFill="1" applyBorder="1" applyAlignment="1">
      <alignment horizontal="center"/>
    </xf>
    <xf numFmtId="0" fontId="30" fillId="53" borderId="44" xfId="0" applyFont="1" applyFill="1" applyBorder="1" applyAlignment="1">
      <alignment horizontal="center"/>
    </xf>
    <xf numFmtId="0" fontId="30" fillId="54" borderId="44" xfId="0" applyFont="1" applyFill="1" applyBorder="1" applyAlignment="1">
      <alignment horizontal="center"/>
    </xf>
    <xf numFmtId="0" fontId="0" fillId="0" borderId="0" xfId="0" quotePrefix="1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05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-0.49998474074526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33CC"/>
      <color rgb="FF0A4CE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eg"/><Relationship Id="rId13" Type="http://schemas.openxmlformats.org/officeDocument/2006/relationships/hyperlink" Target="https://drive.google.com/drive/folders/1xVK4qCyeP1Gje5kOgGg3HvRsdum7IGWq?usp=drive_link" TargetMode="External"/><Relationship Id="rId18" Type="http://schemas.openxmlformats.org/officeDocument/2006/relationships/image" Target="../media/image10.jpeg"/><Relationship Id="rId26" Type="http://schemas.openxmlformats.org/officeDocument/2006/relationships/hyperlink" Target="CARTA%20DE%20AGRADECIMIENTO%20-%20ESTUDIANTE.docx" TargetMode="External"/><Relationship Id="rId3" Type="http://schemas.openxmlformats.org/officeDocument/2006/relationships/image" Target="../media/image3.png"/><Relationship Id="rId21" Type="http://schemas.openxmlformats.org/officeDocument/2006/relationships/hyperlink" Target="PEA" TargetMode="External"/><Relationship Id="rId7" Type="http://schemas.openxmlformats.org/officeDocument/2006/relationships/hyperlink" Target="https://senatipe-my.sharepoint.com/:f:/g/personal/188104_senati_pe/ErT9CK9emJdImhEPglS9F_kBIPCqq0y7mR3-M_IJ78yIrA?e=YkLCwH" TargetMode="External"/><Relationship Id="rId12" Type="http://schemas.openxmlformats.org/officeDocument/2006/relationships/image" Target="../media/image7.jpeg"/><Relationship Id="rId17" Type="http://schemas.openxmlformats.org/officeDocument/2006/relationships/hyperlink" Target="https://n9.cl/z6pv2" TargetMode="External"/><Relationship Id="rId25" Type="http://schemas.openxmlformats.org/officeDocument/2006/relationships/hyperlink" Target="CARTA%20DE%20PRESENTACI&#211;N%20SENATI%20A%20LA%20EMPRESA.docx" TargetMode="External"/><Relationship Id="rId2" Type="http://schemas.openxmlformats.org/officeDocument/2006/relationships/image" Target="../media/image2.pn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1" Type="http://schemas.openxmlformats.org/officeDocument/2006/relationships/image" Target="../media/image1.png"/><Relationship Id="rId6" Type="http://schemas.openxmlformats.org/officeDocument/2006/relationships/hyperlink" Target="03.%20AVL%20%20COMPLETO%20-%20CORRESPONDENCIA.docx" TargetMode="External"/><Relationship Id="rId11" Type="http://schemas.openxmlformats.org/officeDocument/2006/relationships/hyperlink" Target="UNIDAD%20DE%20SEGUIMIENTO/DATA%20UNIDAD%20DE%20SEGUIMIENTO.xlsm" TargetMode="External"/><Relationship Id="rId24" Type="http://schemas.openxmlformats.org/officeDocument/2006/relationships/hyperlink" Target="03.%20CAPE%20COMPLETO%20-%20CORRESPONDENCIA.docx" TargetMode="External"/><Relationship Id="rId5" Type="http://schemas.openxmlformats.org/officeDocument/2006/relationships/hyperlink" Target="03.%20CCM%20COMPLETO%20-%20CORRESPONDENCIA.docx" TargetMode="External"/><Relationship Id="rId15" Type="http://schemas.openxmlformats.org/officeDocument/2006/relationships/hyperlink" Target="CUADRO%20DE%20METAS%202024.10.pdf" TargetMode="External"/><Relationship Id="rId23" Type="http://schemas.openxmlformats.org/officeDocument/2006/relationships/hyperlink" Target="04.%20DATOS%20-%20001.xlsx" TargetMode="External"/><Relationship Id="rId10" Type="http://schemas.openxmlformats.org/officeDocument/2006/relationships/image" Target="../media/image6.jpeg"/><Relationship Id="rId19" Type="http://schemas.openxmlformats.org/officeDocument/2006/relationships/hyperlink" Target="https://senatipe-my.sharepoint.com/:f:/g/personal/188104_senati_pe/EjrpwF-u9TNKhsaVO_SASusBq8nulGegvdjJvTE-_uRgZA?e=9yxQxM" TargetMode="External"/><Relationship Id="rId4" Type="http://schemas.openxmlformats.org/officeDocument/2006/relationships/image" Target="../media/image4.jpg"/><Relationship Id="rId9" Type="http://schemas.openxmlformats.org/officeDocument/2006/relationships/hyperlink" Target="https://forms.office.com/Pages/DesignPageV2.aspx?subpage=design&amp;id=RQWktHl3OEuv9x8XOPgIQMMU-7mO6lhCoz_veNqYkKNUOFVUUEZUNkVQWE1WOVNCS043TDQxMTVJUy4u&amp;analysis=true" TargetMode="External"/><Relationship Id="rId14" Type="http://schemas.openxmlformats.org/officeDocument/2006/relationships/image" Target="../media/image8.jpeg"/><Relationship Id="rId22" Type="http://schemas.openxmlformats.org/officeDocument/2006/relationships/hyperlink" Target="DATA%20MONITOR/DATA%20-%20MONITORES.xlsm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2.png"/><Relationship Id="rId7" Type="http://schemas.openxmlformats.org/officeDocument/2006/relationships/hyperlink" Target="https://www.sunarp.gob.pe/bus-personas-juridicas.asp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4.png"/><Relationship Id="rId5" Type="http://schemas.openxmlformats.org/officeDocument/2006/relationships/hyperlink" Target="https://e-consultaruc.sunat.gob.pe/cl-ti-itmrconsruc/FrameCriterioBusquedaWeb.jsp" TargetMode="External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42239</xdr:colOff>
      <xdr:row>0</xdr:row>
      <xdr:rowOff>43704</xdr:rowOff>
    </xdr:from>
    <xdr:to>
      <xdr:col>1</xdr:col>
      <xdr:colOff>1046435</xdr:colOff>
      <xdr:row>1</xdr:row>
      <xdr:rowOff>58726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58" t="21796" r="13933" b="20956"/>
        <a:stretch/>
      </xdr:blipFill>
      <xdr:spPr>
        <a:xfrm>
          <a:off x="42239" y="43704"/>
          <a:ext cx="1351242" cy="367783"/>
        </a:xfrm>
        <a:prstGeom prst="rect">
          <a:avLst/>
        </a:prstGeom>
      </xdr:spPr>
    </xdr:pic>
    <xdr:clientData/>
  </xdr:twoCellAnchor>
  <xdr:twoCellAnchor>
    <xdr:from>
      <xdr:col>1</xdr:col>
      <xdr:colOff>90714</xdr:colOff>
      <xdr:row>0</xdr:row>
      <xdr:rowOff>535214</xdr:rowOff>
    </xdr:from>
    <xdr:to>
      <xdr:col>7</xdr:col>
      <xdr:colOff>21981</xdr:colOff>
      <xdr:row>0</xdr:row>
      <xdr:rowOff>542192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453571" y="535214"/>
          <a:ext cx="7274589" cy="6978"/>
        </a:xfrm>
        <a:prstGeom prst="line">
          <a:avLst/>
        </a:prstGeom>
        <a:ln w="38100">
          <a:solidFill>
            <a:srgbClr val="0A4CE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196453</xdr:colOff>
      <xdr:row>15</xdr:row>
      <xdr:rowOff>1089</xdr:rowOff>
    </xdr:from>
    <xdr:to>
      <xdr:col>5</xdr:col>
      <xdr:colOff>1186773</xdr:colOff>
      <xdr:row>18</xdr:row>
      <xdr:rowOff>103966</xdr:rowOff>
    </xdr:to>
    <xdr:sp macro="[0]!RegistroGeneral" textlink="">
      <xdr:nvSpPr>
        <xdr:cNvPr id="19" name="Flecha: a la derecha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188161" y="2855658"/>
          <a:ext cx="990320" cy="648000"/>
        </a:xfrm>
        <a:prstGeom prst="rightArrow">
          <a:avLst/>
        </a:prstGeom>
        <a:solidFill>
          <a:srgbClr val="7030A0"/>
        </a:solidFill>
        <a:ln>
          <a:solidFill>
            <a:schemeClr val="accent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700" b="1" baseline="0">
              <a:solidFill>
                <a:schemeClr val="bg1"/>
              </a:solidFill>
            </a:rPr>
            <a:t>REGISTRO DE DATOS</a:t>
          </a:r>
        </a:p>
        <a:p>
          <a:pPr algn="ctr"/>
          <a:endParaRPr lang="es-PE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107150</xdr:colOff>
      <xdr:row>14</xdr:row>
      <xdr:rowOff>139655</xdr:rowOff>
    </xdr:from>
    <xdr:to>
      <xdr:col>2</xdr:col>
      <xdr:colOff>646123</xdr:colOff>
      <xdr:row>17</xdr:row>
      <xdr:rowOff>94820</xdr:rowOff>
    </xdr:to>
    <xdr:pic macro="[0]!GuardarRegistroGeneral"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950" y="2812517"/>
          <a:ext cx="538973" cy="513623"/>
        </a:xfrm>
        <a:prstGeom prst="rect">
          <a:avLst/>
        </a:prstGeom>
        <a:effectLst>
          <a:glow rad="139700">
            <a:schemeClr val="accent2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3</xdr:col>
      <xdr:colOff>58572</xdr:colOff>
      <xdr:row>14</xdr:row>
      <xdr:rowOff>139655</xdr:rowOff>
    </xdr:from>
    <xdr:to>
      <xdr:col>4</xdr:col>
      <xdr:colOff>73271</xdr:colOff>
      <xdr:row>17</xdr:row>
      <xdr:rowOff>97200</xdr:rowOff>
    </xdr:to>
    <xdr:pic macro="[0]!LimpiarRegistroGeneral">
      <xdr:nvPicPr>
        <xdr:cNvPr id="17" name="Ima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335" b="618"/>
        <a:stretch/>
      </xdr:blipFill>
      <xdr:spPr>
        <a:xfrm>
          <a:off x="2596618" y="2812517"/>
          <a:ext cx="542237" cy="498858"/>
        </a:xfrm>
        <a:prstGeom prst="flowChartConnector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2</xdr:col>
      <xdr:colOff>46981</xdr:colOff>
      <xdr:row>18</xdr:row>
      <xdr:rowOff>69367</xdr:rowOff>
    </xdr:from>
    <xdr:to>
      <xdr:col>2</xdr:col>
      <xdr:colOff>658981</xdr:colOff>
      <xdr:row>19</xdr:row>
      <xdr:rowOff>22867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94781" y="3469059"/>
          <a:ext cx="612000" cy="135208"/>
        </a:xfrm>
        <a:prstGeom prst="roundRect">
          <a:avLst/>
        </a:prstGeom>
        <a:solidFill>
          <a:schemeClr val="accent2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700" b="1">
              <a:solidFill>
                <a:schemeClr val="bg1"/>
              </a:solidFill>
            </a:rPr>
            <a:t>GUARDAR</a:t>
          </a:r>
        </a:p>
        <a:p>
          <a:pPr algn="l"/>
          <a:endParaRPr lang="es-PE" sz="105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1076504</xdr:colOff>
      <xdr:row>18</xdr:row>
      <xdr:rowOff>69367</xdr:rowOff>
    </xdr:from>
    <xdr:to>
      <xdr:col>4</xdr:col>
      <xdr:colOff>86289</xdr:colOff>
      <xdr:row>19</xdr:row>
      <xdr:rowOff>22867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524304" y="3469059"/>
          <a:ext cx="627570" cy="135208"/>
        </a:xfrm>
        <a:prstGeom prst="roundRect">
          <a:avLst/>
        </a:prstGeom>
        <a:solidFill>
          <a:srgbClr val="0A4CE7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700" b="1">
              <a:solidFill>
                <a:schemeClr val="bg1"/>
              </a:solidFill>
            </a:rPr>
            <a:t>LIMPIAR</a:t>
          </a:r>
          <a:endParaRPr lang="es-PE" sz="800" b="1">
            <a:solidFill>
              <a:schemeClr val="bg1"/>
            </a:solidFill>
          </a:endParaRPr>
        </a:p>
        <a:p>
          <a:pPr algn="l"/>
          <a:endParaRPr lang="es-PE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142175</xdr:colOff>
      <xdr:row>19</xdr:row>
      <xdr:rowOff>119063</xdr:rowOff>
    </xdr:from>
    <xdr:to>
      <xdr:col>16383</xdr:col>
      <xdr:colOff>11907</xdr:colOff>
      <xdr:row>19</xdr:row>
      <xdr:rowOff>126416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142175" y="3792141"/>
          <a:ext cx="6025263" cy="7353"/>
        </a:xfrm>
        <a:prstGeom prst="line">
          <a:avLst/>
        </a:prstGeom>
        <a:ln w="38100">
          <a:solidFill>
            <a:srgbClr val="0A4CE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52550</xdr:colOff>
      <xdr:row>18</xdr:row>
      <xdr:rowOff>69367</xdr:rowOff>
    </xdr:from>
    <xdr:to>
      <xdr:col>1</xdr:col>
      <xdr:colOff>736550</xdr:colOff>
      <xdr:row>19</xdr:row>
      <xdr:rowOff>22867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C7189AC-10F6-42B4-AF3E-EAFADB8B4EFF}"/>
            </a:ext>
          </a:extLst>
        </xdr:cNvPr>
        <xdr:cNvSpPr/>
      </xdr:nvSpPr>
      <xdr:spPr>
        <a:xfrm>
          <a:off x="427688" y="3469059"/>
          <a:ext cx="684000" cy="135208"/>
        </a:xfrm>
        <a:prstGeom prst="round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700" b="1">
              <a:solidFill>
                <a:schemeClr val="bg1"/>
              </a:solidFill>
            </a:rPr>
            <a:t>ESTUDIANTE</a:t>
          </a:r>
        </a:p>
        <a:p>
          <a:pPr algn="ctr"/>
          <a:endParaRPr lang="es-PE" sz="700" b="1">
            <a:solidFill>
              <a:schemeClr val="bg1"/>
            </a:solidFill>
          </a:endParaRPr>
        </a:p>
        <a:p>
          <a:pPr algn="l"/>
          <a:endParaRPr lang="es-PE" sz="10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134358</xdr:colOff>
      <xdr:row>14</xdr:row>
      <xdr:rowOff>139655</xdr:rowOff>
    </xdr:from>
    <xdr:to>
      <xdr:col>1</xdr:col>
      <xdr:colOff>669496</xdr:colOff>
      <xdr:row>17</xdr:row>
      <xdr:rowOff>94820</xdr:rowOff>
    </xdr:to>
    <xdr:pic macro="[0]!Macro1">
      <xdr:nvPicPr>
        <xdr:cNvPr id="10" name="Imagen 9">
          <a:extLst>
            <a:ext uri="{FF2B5EF4-FFF2-40B4-BE49-F238E27FC236}">
              <a16:creationId xmlns:a16="http://schemas.microsoft.com/office/drawing/2014/main" id="{3D8C2D73-F461-E2BC-5DFA-843FB8909F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601" t="16242" r="16851" b="18084"/>
        <a:stretch/>
      </xdr:blipFill>
      <xdr:spPr>
        <a:xfrm>
          <a:off x="509496" y="2812517"/>
          <a:ext cx="542758" cy="513623"/>
        </a:xfrm>
        <a:prstGeom prst="flowChartConnector">
          <a:avLst/>
        </a:prstGeom>
        <a:effectLst>
          <a:glow rad="139700">
            <a:srgbClr val="C00000">
              <a:alpha val="40000"/>
            </a:srgbClr>
          </a:glow>
        </a:effectLst>
      </xdr:spPr>
    </xdr:pic>
    <xdr:clientData/>
  </xdr:twoCellAnchor>
  <xdr:twoCellAnchor>
    <xdr:from>
      <xdr:col>5</xdr:col>
      <xdr:colOff>1864339</xdr:colOff>
      <xdr:row>12</xdr:row>
      <xdr:rowOff>24910</xdr:rowOff>
    </xdr:from>
    <xdr:to>
      <xdr:col>5</xdr:col>
      <xdr:colOff>3160339</xdr:colOff>
      <xdr:row>13</xdr:row>
      <xdr:rowOff>77618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5C0118-125B-40C3-8F6B-C91CD6735FBD}"/>
            </a:ext>
          </a:extLst>
        </xdr:cNvPr>
        <xdr:cNvSpPr/>
      </xdr:nvSpPr>
      <xdr:spPr>
        <a:xfrm>
          <a:off x="5856047" y="2316772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CCM</a:t>
          </a:r>
        </a:p>
      </xdr:txBody>
    </xdr:sp>
    <xdr:clientData/>
  </xdr:twoCellAnchor>
  <xdr:twoCellAnchor>
    <xdr:from>
      <xdr:col>5</xdr:col>
      <xdr:colOff>1864339</xdr:colOff>
      <xdr:row>14</xdr:row>
      <xdr:rowOff>1659</xdr:rowOff>
    </xdr:from>
    <xdr:to>
      <xdr:col>5</xdr:col>
      <xdr:colOff>3160339</xdr:colOff>
      <xdr:row>15</xdr:row>
      <xdr:rowOff>71952</xdr:rowOff>
    </xdr:to>
    <xdr:sp macro="" textlink="">
      <xdr:nvSpPr>
        <xdr:cNvPr id="9" name="Rectángulo: esquinas redondeada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AA0690-3D72-4E28-906D-BC272A3C89BE}"/>
            </a:ext>
          </a:extLst>
        </xdr:cNvPr>
        <xdr:cNvSpPr/>
      </xdr:nvSpPr>
      <xdr:spPr>
        <a:xfrm>
          <a:off x="5856047" y="2674521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AVL</a:t>
          </a:r>
        </a:p>
      </xdr:txBody>
    </xdr:sp>
    <xdr:clientData/>
  </xdr:twoCellAnchor>
  <xdr:twoCellAnchor editAs="oneCell">
    <xdr:from>
      <xdr:col>5</xdr:col>
      <xdr:colOff>21774</xdr:colOff>
      <xdr:row>12</xdr:row>
      <xdr:rowOff>32697</xdr:rowOff>
    </xdr:from>
    <xdr:to>
      <xdr:col>5</xdr:col>
      <xdr:colOff>287109</xdr:colOff>
      <xdr:row>13</xdr:row>
      <xdr:rowOff>20354</xdr:rowOff>
    </xdr:to>
    <xdr:pic>
      <xdr:nvPicPr>
        <xdr:cNvPr id="13" name="Imagen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9966A75-5D3A-401F-DBE1-9B42C3C7064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915" b="8915"/>
        <a:stretch/>
      </xdr:blipFill>
      <xdr:spPr>
        <a:xfrm>
          <a:off x="4072097" y="2324559"/>
          <a:ext cx="261525" cy="177424"/>
        </a:xfrm>
        <a:prstGeom prst="rect">
          <a:avLst/>
        </a:prstGeom>
        <a:ln w="19050" cap="sq">
          <a:solidFill>
            <a:schemeClr val="tx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5479451</xdr:colOff>
      <xdr:row>12</xdr:row>
      <xdr:rowOff>50767</xdr:rowOff>
    </xdr:from>
    <xdr:to>
      <xdr:col>6</xdr:col>
      <xdr:colOff>133829</xdr:colOff>
      <xdr:row>13</xdr:row>
      <xdr:rowOff>24334</xdr:rowOff>
    </xdr:to>
    <xdr:pic>
      <xdr:nvPicPr>
        <xdr:cNvPr id="16" name="Imagen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CD261E0-2A48-9A16-262F-3B13398FB18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1159" y="2342629"/>
          <a:ext cx="246285" cy="172859"/>
        </a:xfrm>
        <a:prstGeom prst="rect">
          <a:avLst/>
        </a:prstGeom>
        <a:ln w="19050" cap="sq">
          <a:solidFill>
            <a:schemeClr val="accent2">
              <a:lumMod val="50000"/>
            </a:schemeClr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5496260</xdr:colOff>
      <xdr:row>18</xdr:row>
      <xdr:rowOff>44906</xdr:rowOff>
    </xdr:from>
    <xdr:to>
      <xdr:col>6</xdr:col>
      <xdr:colOff>154448</xdr:colOff>
      <xdr:row>19</xdr:row>
      <xdr:rowOff>36854</xdr:rowOff>
    </xdr:to>
    <xdr:pic>
      <xdr:nvPicPr>
        <xdr:cNvPr id="22" name="Imagen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48516E9-FEE0-49E7-9492-543CCDF9DAC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7968" y="3444598"/>
          <a:ext cx="250095" cy="173656"/>
        </a:xfrm>
        <a:prstGeom prst="rect">
          <a:avLst/>
        </a:prstGeom>
        <a:ln w="19050" cap="sq">
          <a:solidFill>
            <a:srgbClr val="C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5496260</xdr:colOff>
      <xdr:row>16</xdr:row>
      <xdr:rowOff>32638</xdr:rowOff>
    </xdr:from>
    <xdr:to>
      <xdr:col>6</xdr:col>
      <xdr:colOff>158258</xdr:colOff>
      <xdr:row>17</xdr:row>
      <xdr:rowOff>29274</xdr:rowOff>
    </xdr:to>
    <xdr:pic>
      <xdr:nvPicPr>
        <xdr:cNvPr id="25" name="Imagen 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A244508-93A1-4C4E-91DF-65DAB3F45EB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7968" y="3068915"/>
          <a:ext cx="253905" cy="178344"/>
        </a:xfrm>
        <a:prstGeom prst="rect">
          <a:avLst/>
        </a:prstGeom>
        <a:ln w="1905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32659</xdr:colOff>
      <xdr:row>12</xdr:row>
      <xdr:rowOff>32697</xdr:rowOff>
    </xdr:from>
    <xdr:to>
      <xdr:col>4</xdr:col>
      <xdr:colOff>288469</xdr:colOff>
      <xdr:row>13</xdr:row>
      <xdr:rowOff>19898</xdr:rowOff>
    </xdr:to>
    <xdr:pic>
      <xdr:nvPicPr>
        <xdr:cNvPr id="27" name="Imagen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4F19DF-6B2B-AF1E-789C-2D550484B509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246"/>
        <a:stretch/>
      </xdr:blipFill>
      <xdr:spPr>
        <a:xfrm>
          <a:off x="3098244" y="2324559"/>
          <a:ext cx="252000" cy="182683"/>
        </a:xfrm>
        <a:prstGeom prst="rect">
          <a:avLst/>
        </a:prstGeom>
        <a:ln w="1905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516728</xdr:colOff>
      <xdr:row>12</xdr:row>
      <xdr:rowOff>32697</xdr:rowOff>
    </xdr:from>
    <xdr:to>
      <xdr:col>4</xdr:col>
      <xdr:colOff>778253</xdr:colOff>
      <xdr:row>13</xdr:row>
      <xdr:rowOff>20354</xdr:rowOff>
    </xdr:to>
    <xdr:pic>
      <xdr:nvPicPr>
        <xdr:cNvPr id="29" name="Imagen 2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133DCD4-6133-3BA9-5E60-55DAEC10944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2313" y="2324559"/>
          <a:ext cx="257715" cy="18313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5</xdr:col>
      <xdr:colOff>5496260</xdr:colOff>
      <xdr:row>14</xdr:row>
      <xdr:rowOff>18714</xdr:rowOff>
    </xdr:from>
    <xdr:to>
      <xdr:col>6</xdr:col>
      <xdr:colOff>148733</xdr:colOff>
      <xdr:row>15</xdr:row>
      <xdr:rowOff>17007</xdr:rowOff>
    </xdr:to>
    <xdr:pic>
      <xdr:nvPicPr>
        <xdr:cNvPr id="31" name="Imagen 3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D2925D5-9715-8E52-0A8A-39F687DEEC5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7968" y="2691576"/>
          <a:ext cx="244380" cy="180000"/>
        </a:xfrm>
        <a:prstGeom prst="rect">
          <a:avLst/>
        </a:prstGeom>
        <a:ln w="1905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5</xdr:col>
      <xdr:colOff>3705084</xdr:colOff>
      <xdr:row>12</xdr:row>
      <xdr:rowOff>37024</xdr:rowOff>
    </xdr:from>
    <xdr:to>
      <xdr:col>5</xdr:col>
      <xdr:colOff>5001084</xdr:colOff>
      <xdr:row>13</xdr:row>
      <xdr:rowOff>89732</xdr:rowOff>
    </xdr:to>
    <xdr:sp macro="" textlink="">
      <xdr:nvSpPr>
        <xdr:cNvPr id="12" name="Rectángulo: esquinas redondeadas 1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C3C1F9E-9265-A4A3-7985-1D2BB2A9E3C8}"/>
            </a:ext>
          </a:extLst>
        </xdr:cNvPr>
        <xdr:cNvSpPr/>
      </xdr:nvSpPr>
      <xdr:spPr>
        <a:xfrm>
          <a:off x="7696792" y="2328886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PEA</a:t>
          </a:r>
        </a:p>
      </xdr:txBody>
    </xdr:sp>
    <xdr:clientData/>
  </xdr:twoCellAnchor>
  <xdr:twoCellAnchor>
    <xdr:from>
      <xdr:col>5</xdr:col>
      <xdr:colOff>3710066</xdr:colOff>
      <xdr:row>13</xdr:row>
      <xdr:rowOff>174275</xdr:rowOff>
    </xdr:from>
    <xdr:to>
      <xdr:col>5</xdr:col>
      <xdr:colOff>5006066</xdr:colOff>
      <xdr:row>15</xdr:row>
      <xdr:rowOff>62860</xdr:rowOff>
    </xdr:to>
    <xdr:sp macro="" textlink="">
      <xdr:nvSpPr>
        <xdr:cNvPr id="14" name="Rectángulo: esquinas redondeadas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8D13A35-1221-C4DA-C718-2011CBE93F2F}"/>
            </a:ext>
          </a:extLst>
        </xdr:cNvPr>
        <xdr:cNvSpPr/>
      </xdr:nvSpPr>
      <xdr:spPr>
        <a:xfrm>
          <a:off x="7701774" y="2665429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MONITOR</a:t>
          </a:r>
        </a:p>
      </xdr:txBody>
    </xdr:sp>
    <xdr:clientData/>
  </xdr:twoCellAnchor>
  <xdr:twoCellAnchor>
    <xdr:from>
      <xdr:col>5</xdr:col>
      <xdr:colOff>1864339</xdr:colOff>
      <xdr:row>17</xdr:row>
      <xdr:rowOff>177894</xdr:rowOff>
    </xdr:from>
    <xdr:to>
      <xdr:col>5</xdr:col>
      <xdr:colOff>3160339</xdr:colOff>
      <xdr:row>19</xdr:row>
      <xdr:rowOff>66479</xdr:rowOff>
    </xdr:to>
    <xdr:sp macro="" textlink="">
      <xdr:nvSpPr>
        <xdr:cNvPr id="2" name="Rectángulo: esquinas redondeadas 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CA59171-22DD-A9B8-4B1F-88ECAD0A3F57}"/>
            </a:ext>
          </a:extLst>
        </xdr:cNvPr>
        <xdr:cNvSpPr/>
      </xdr:nvSpPr>
      <xdr:spPr>
        <a:xfrm>
          <a:off x="5856047" y="3395879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FICHA</a:t>
          </a:r>
          <a:r>
            <a:rPr lang="es-PE" sz="1100" b="1" baseline="0"/>
            <a:t> DE DATOS</a:t>
          </a:r>
        </a:p>
        <a:p>
          <a:pPr algn="l"/>
          <a:endParaRPr lang="es-PE" sz="1100" b="1"/>
        </a:p>
        <a:p>
          <a:pPr algn="l"/>
          <a:endParaRPr lang="es-PE" sz="1100" b="1"/>
        </a:p>
      </xdr:txBody>
    </xdr:sp>
    <xdr:clientData/>
  </xdr:twoCellAnchor>
  <xdr:twoCellAnchor>
    <xdr:from>
      <xdr:col>5</xdr:col>
      <xdr:colOff>1864339</xdr:colOff>
      <xdr:row>16</xdr:row>
      <xdr:rowOff>7716</xdr:rowOff>
    </xdr:from>
    <xdr:to>
      <xdr:col>5</xdr:col>
      <xdr:colOff>3160339</xdr:colOff>
      <xdr:row>17</xdr:row>
      <xdr:rowOff>78008</xdr:rowOff>
    </xdr:to>
    <xdr:sp macro="" textlink="">
      <xdr:nvSpPr>
        <xdr:cNvPr id="18" name="Rectángulo: esquinas redondeadas 1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8152E8B-ED1D-A434-5BEE-DB9BB882DCCD}"/>
            </a:ext>
          </a:extLst>
        </xdr:cNvPr>
        <xdr:cNvSpPr/>
      </xdr:nvSpPr>
      <xdr:spPr>
        <a:xfrm>
          <a:off x="5856047" y="3043993"/>
          <a:ext cx="1296000" cy="252000"/>
        </a:xfrm>
        <a:prstGeom prst="roundRect">
          <a:avLst/>
        </a:prstGeom>
        <a:solidFill>
          <a:srgbClr val="C00000"/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CAPE</a:t>
          </a:r>
        </a:p>
      </xdr:txBody>
    </xdr:sp>
    <xdr:clientData/>
  </xdr:twoCellAnchor>
  <xdr:twoCellAnchor>
    <xdr:from>
      <xdr:col>5</xdr:col>
      <xdr:colOff>3698344</xdr:colOff>
      <xdr:row>15</xdr:row>
      <xdr:rowOff>180137</xdr:rowOff>
    </xdr:from>
    <xdr:to>
      <xdr:col>5</xdr:col>
      <xdr:colOff>4994344</xdr:colOff>
      <xdr:row>17</xdr:row>
      <xdr:rowOff>68721</xdr:rowOff>
    </xdr:to>
    <xdr:sp macro="" textlink="">
      <xdr:nvSpPr>
        <xdr:cNvPr id="20" name="Rectángulo: esquinas redondeadas 1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CED7976-2DDE-441E-BBD5-2A9B44DDD75D}"/>
            </a:ext>
          </a:extLst>
        </xdr:cNvPr>
        <xdr:cNvSpPr/>
      </xdr:nvSpPr>
      <xdr:spPr>
        <a:xfrm>
          <a:off x="7690052" y="3034706"/>
          <a:ext cx="1296000" cy="252000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63500">
            <a:schemeClr val="tx1"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ANEXO</a:t>
          </a:r>
          <a:r>
            <a:rPr lang="es-PE" sz="1100" b="1" baseline="0"/>
            <a:t> 01</a:t>
          </a:r>
          <a:endParaRPr lang="es-PE" sz="1100" b="1"/>
        </a:p>
      </xdr:txBody>
    </xdr:sp>
    <xdr:clientData/>
  </xdr:twoCellAnchor>
  <xdr:twoCellAnchor>
    <xdr:from>
      <xdr:col>5</xdr:col>
      <xdr:colOff>3704205</xdr:colOff>
      <xdr:row>17</xdr:row>
      <xdr:rowOff>180136</xdr:rowOff>
    </xdr:from>
    <xdr:to>
      <xdr:col>5</xdr:col>
      <xdr:colOff>5000205</xdr:colOff>
      <xdr:row>19</xdr:row>
      <xdr:rowOff>68721</xdr:rowOff>
    </xdr:to>
    <xdr:sp macro="" textlink="">
      <xdr:nvSpPr>
        <xdr:cNvPr id="21" name="Rectángulo: esquinas redondeadas 20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C6A3F9E-71DE-4876-8C9F-8D687A2E21DB}"/>
            </a:ext>
          </a:extLst>
        </xdr:cNvPr>
        <xdr:cNvSpPr/>
      </xdr:nvSpPr>
      <xdr:spPr>
        <a:xfrm>
          <a:off x="7695913" y="3398121"/>
          <a:ext cx="1296000" cy="252000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63500">
            <a:schemeClr val="tx1"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AGRADECIMIENTO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2200275</xdr:colOff>
      <xdr:row>0</xdr:row>
      <xdr:rowOff>176212</xdr:rowOff>
    </xdr:from>
    <xdr:to>
      <xdr:col>3</xdr:col>
      <xdr:colOff>3172275</xdr:colOff>
      <xdr:row>1</xdr:row>
      <xdr:rowOff>223987</xdr:rowOff>
    </xdr:to>
    <xdr:sp macro="[0]!MACRORU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00525" y="176212"/>
          <a:ext cx="972000" cy="324000"/>
        </a:xfrm>
        <a:prstGeom prst="round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FILTRAR</a:t>
          </a:r>
        </a:p>
      </xdr:txBody>
    </xdr:sp>
    <xdr:clientData/>
  </xdr:twoCellAnchor>
  <xdr:twoCellAnchor>
    <xdr:from>
      <xdr:col>3</xdr:col>
      <xdr:colOff>3743325</xdr:colOff>
      <xdr:row>0</xdr:row>
      <xdr:rowOff>176212</xdr:rowOff>
    </xdr:from>
    <xdr:to>
      <xdr:col>3</xdr:col>
      <xdr:colOff>4715325</xdr:colOff>
      <xdr:row>1</xdr:row>
      <xdr:rowOff>223987</xdr:rowOff>
    </xdr:to>
    <xdr:sp macro="[0]!GuardarMacroRu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43575" y="176212"/>
          <a:ext cx="972000" cy="3240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PROCESAR</a:t>
          </a:r>
        </a:p>
      </xdr:txBody>
    </xdr:sp>
    <xdr:clientData/>
  </xdr:twoCellAnchor>
  <xdr:twoCellAnchor>
    <xdr:from>
      <xdr:col>3</xdr:col>
      <xdr:colOff>657225</xdr:colOff>
      <xdr:row>0</xdr:row>
      <xdr:rowOff>176212</xdr:rowOff>
    </xdr:from>
    <xdr:to>
      <xdr:col>3</xdr:col>
      <xdr:colOff>1629225</xdr:colOff>
      <xdr:row>1</xdr:row>
      <xdr:rowOff>223987</xdr:rowOff>
    </xdr:to>
    <xdr:sp macro="[0]!ActualizarFiltr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FD45E88-005D-B306-A4C3-10F9ED4F175D}"/>
            </a:ext>
          </a:extLst>
        </xdr:cNvPr>
        <xdr:cNvSpPr/>
      </xdr:nvSpPr>
      <xdr:spPr>
        <a:xfrm>
          <a:off x="2657475" y="176212"/>
          <a:ext cx="972000" cy="3240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318558</xdr:colOff>
      <xdr:row>34</xdr:row>
      <xdr:rowOff>75670</xdr:rowOff>
    </xdr:from>
    <xdr:to>
      <xdr:col>5</xdr:col>
      <xdr:colOff>1204383</xdr:colOff>
      <xdr:row>35</xdr:row>
      <xdr:rowOff>86254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954308" y="6986587"/>
          <a:ext cx="885825" cy="201084"/>
        </a:xfrm>
        <a:prstGeom prst="roundRect">
          <a:avLst/>
        </a:prstGeom>
        <a:solidFill>
          <a:schemeClr val="accent2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chemeClr val="bg1"/>
              </a:solidFill>
            </a:rPr>
            <a:t>GUARDAR</a:t>
          </a:r>
        </a:p>
        <a:p>
          <a:pPr algn="l"/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420429</xdr:colOff>
      <xdr:row>30</xdr:row>
      <xdr:rowOff>89429</xdr:rowOff>
    </xdr:from>
    <xdr:to>
      <xdr:col>5</xdr:col>
      <xdr:colOff>1060913</xdr:colOff>
      <xdr:row>33</xdr:row>
      <xdr:rowOff>155129</xdr:rowOff>
    </xdr:to>
    <xdr:pic macro="[0]!GUARDARRUC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6179" y="6238346"/>
          <a:ext cx="640484" cy="6372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4</xdr:col>
      <xdr:colOff>423333</xdr:colOff>
      <xdr:row>30</xdr:row>
      <xdr:rowOff>89969</xdr:rowOff>
    </xdr:from>
    <xdr:to>
      <xdr:col>4</xdr:col>
      <xdr:colOff>1047750</xdr:colOff>
      <xdr:row>33</xdr:row>
      <xdr:rowOff>148166</xdr:rowOff>
    </xdr:to>
    <xdr:pic macro="[0]!LimpiarRuc2"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917" b="1010"/>
        <a:stretch/>
      </xdr:blipFill>
      <xdr:spPr>
        <a:xfrm>
          <a:off x="5863166" y="6143636"/>
          <a:ext cx="624417" cy="629697"/>
        </a:xfrm>
        <a:prstGeom prst="flowChartConnector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4</xdr:col>
      <xdr:colOff>306916</xdr:colOff>
      <xdr:row>34</xdr:row>
      <xdr:rowOff>75670</xdr:rowOff>
    </xdr:from>
    <xdr:to>
      <xdr:col>4</xdr:col>
      <xdr:colOff>1188508</xdr:colOff>
      <xdr:row>35</xdr:row>
      <xdr:rowOff>86254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746749" y="6986587"/>
          <a:ext cx="881592" cy="201084"/>
        </a:xfrm>
        <a:prstGeom prst="roundRect">
          <a:avLst/>
        </a:prstGeom>
        <a:solidFill>
          <a:srgbClr val="0A4CE7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chemeClr val="bg1"/>
              </a:solidFill>
            </a:rPr>
            <a:t>LIMPIAR</a:t>
          </a:r>
        </a:p>
        <a:p>
          <a:pPr algn="l"/>
          <a:endParaRPr lang="es-PE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3197224</xdr:colOff>
      <xdr:row>29</xdr:row>
      <xdr:rowOff>159807</xdr:rowOff>
    </xdr:from>
    <xdr:to>
      <xdr:col>5</xdr:col>
      <xdr:colOff>4444999</xdr:colOff>
      <xdr:row>34</xdr:row>
      <xdr:rowOff>189441</xdr:rowOff>
    </xdr:to>
    <xdr:sp macro="[0]!BaseDeDatos2" textlink="">
      <xdr:nvSpPr>
        <xdr:cNvPr id="7" name="Flecha: a la derech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832974" y="6118224"/>
          <a:ext cx="1247775" cy="982134"/>
        </a:xfrm>
        <a:prstGeom prst="rightArrow">
          <a:avLst/>
        </a:prstGeom>
        <a:solidFill>
          <a:srgbClr val="7030A0"/>
        </a:solidFill>
        <a:ln>
          <a:solidFill>
            <a:srgbClr val="0033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bg1"/>
              </a:solidFill>
            </a:rPr>
            <a:t>IR</a:t>
          </a:r>
          <a:r>
            <a:rPr lang="es-PE" sz="1100" b="1" baseline="0">
              <a:solidFill>
                <a:schemeClr val="bg1"/>
              </a:solidFill>
            </a:rPr>
            <a:t> A HOJA RUC</a:t>
          </a:r>
        </a:p>
        <a:p>
          <a:pPr algn="ctr"/>
          <a:endParaRPr lang="es-PE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1579584</xdr:colOff>
      <xdr:row>36</xdr:row>
      <xdr:rowOff>187686</xdr:rowOff>
    </xdr:from>
    <xdr:to>
      <xdr:col>2</xdr:col>
      <xdr:colOff>2216784</xdr:colOff>
      <xdr:row>40</xdr:row>
      <xdr:rowOff>63944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7834" y="7483836"/>
          <a:ext cx="637200" cy="637200"/>
        </a:xfrm>
        <a:prstGeom prst="rect">
          <a:avLst/>
        </a:prstGeom>
        <a:effectLst>
          <a:glow rad="101600">
            <a:srgbClr val="C00000">
              <a:alpha val="60000"/>
            </a:srgbClr>
          </a:glow>
        </a:effectLst>
      </xdr:spPr>
    </xdr:pic>
    <xdr:clientData/>
  </xdr:twoCellAnchor>
  <xdr:twoCellAnchor editAs="oneCell">
    <xdr:from>
      <xdr:col>2</xdr:col>
      <xdr:colOff>415134</xdr:colOff>
      <xdr:row>36</xdr:row>
      <xdr:rowOff>187686</xdr:rowOff>
    </xdr:from>
    <xdr:to>
      <xdr:col>2</xdr:col>
      <xdr:colOff>1052334</xdr:colOff>
      <xdr:row>40</xdr:row>
      <xdr:rowOff>63944</xdr:rowOff>
    </xdr:to>
    <xdr:pic macro="[0]!GuardarEstudiante">
      <xdr:nvPicPr>
        <xdr:cNvPr id="22" name="Imagen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384" y="7483836"/>
          <a:ext cx="637200" cy="6372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</xdr:col>
      <xdr:colOff>405513</xdr:colOff>
      <xdr:row>36</xdr:row>
      <xdr:rowOff>187686</xdr:rowOff>
    </xdr:from>
    <xdr:to>
      <xdr:col>1</xdr:col>
      <xdr:colOff>1042713</xdr:colOff>
      <xdr:row>40</xdr:row>
      <xdr:rowOff>63944</xdr:rowOff>
    </xdr:to>
    <xdr:pic macro="[0]!LimpiarEstudiante">
      <xdr:nvPicPr>
        <xdr:cNvPr id="23" name="Imagen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338" y="7483836"/>
          <a:ext cx="637200" cy="637200"/>
        </a:xfrm>
        <a:prstGeom prst="rect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2</xdr:col>
      <xdr:colOff>2525183</xdr:colOff>
      <xdr:row>36</xdr:row>
      <xdr:rowOff>102658</xdr:rowOff>
    </xdr:from>
    <xdr:to>
      <xdr:col>2</xdr:col>
      <xdr:colOff>3668183</xdr:colOff>
      <xdr:row>41</xdr:row>
      <xdr:rowOff>60960</xdr:rowOff>
    </xdr:to>
    <xdr:sp macro="[0]!RegistroEstudiante" textlink="">
      <xdr:nvSpPr>
        <xdr:cNvPr id="24" name="Flecha: a la derech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797723" y="6968278"/>
          <a:ext cx="1143000" cy="872702"/>
        </a:xfrm>
        <a:prstGeom prst="rightArrow">
          <a:avLst/>
        </a:prstGeom>
        <a:solidFill>
          <a:schemeClr val="accent6">
            <a:lumMod val="75000"/>
          </a:schemeClr>
        </a:solidFill>
        <a:ln>
          <a:solidFill>
            <a:srgbClr val="0033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 b="1"/>
            <a:t>IR</a:t>
          </a:r>
          <a:r>
            <a:rPr lang="es-PE" sz="1100" b="1" baseline="0"/>
            <a:t> A REGISTRO</a:t>
          </a:r>
          <a:endParaRPr lang="es-PE" sz="1100" b="1"/>
        </a:p>
      </xdr:txBody>
    </xdr:sp>
    <xdr:clientData/>
  </xdr:twoCellAnchor>
  <xdr:twoCellAnchor>
    <xdr:from>
      <xdr:col>2</xdr:col>
      <xdr:colOff>304800</xdr:colOff>
      <xdr:row>40</xdr:row>
      <xdr:rowOff>114300</xdr:rowOff>
    </xdr:from>
    <xdr:to>
      <xdr:col>2</xdr:col>
      <xdr:colOff>1190625</xdr:colOff>
      <xdr:row>41</xdr:row>
      <xdr:rowOff>123826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543050" y="8181975"/>
          <a:ext cx="885825" cy="2000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GUARDAR</a:t>
          </a:r>
        </a:p>
        <a:p>
          <a:pPr algn="l"/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1476375</xdr:colOff>
      <xdr:row>40</xdr:row>
      <xdr:rowOff>114300</xdr:rowOff>
    </xdr:from>
    <xdr:to>
      <xdr:col>2</xdr:col>
      <xdr:colOff>2362200</xdr:colOff>
      <xdr:row>41</xdr:row>
      <xdr:rowOff>123826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714625" y="8181975"/>
          <a:ext cx="885825" cy="2000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ELIMINAR</a:t>
          </a:r>
        </a:p>
        <a:p>
          <a:pPr algn="l"/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228600</xdr:colOff>
      <xdr:row>40</xdr:row>
      <xdr:rowOff>114300</xdr:rowOff>
    </xdr:from>
    <xdr:to>
      <xdr:col>2</xdr:col>
      <xdr:colOff>0</xdr:colOff>
      <xdr:row>41</xdr:row>
      <xdr:rowOff>123826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52425" y="8181975"/>
          <a:ext cx="885825" cy="2000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LIMPIAR</a:t>
          </a:r>
        </a:p>
        <a:p>
          <a:pPr algn="l"/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1576916</xdr:colOff>
      <xdr:row>29</xdr:row>
      <xdr:rowOff>159808</xdr:rowOff>
    </xdr:from>
    <xdr:to>
      <xdr:col>5</xdr:col>
      <xdr:colOff>2826116</xdr:colOff>
      <xdr:row>34</xdr:row>
      <xdr:rowOff>190107</xdr:rowOff>
    </xdr:to>
    <xdr:sp macro="[0]!RegresarARegistro" textlink="">
      <xdr:nvSpPr>
        <xdr:cNvPr id="9" name="Flecha: hacia la izquierda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212666" y="6118225"/>
          <a:ext cx="1249200" cy="982799"/>
        </a:xfrm>
        <a:prstGeom prst="leftArrow">
          <a:avLst/>
        </a:prstGeom>
        <a:solidFill>
          <a:schemeClr val="accent6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 b="1" baseline="0"/>
            <a:t>REGISTRO GENERAL</a:t>
          </a:r>
          <a:endParaRPr lang="es-PE" sz="1050" b="1"/>
        </a:p>
      </xdr:txBody>
    </xdr:sp>
    <xdr:clientData/>
  </xdr:twoCellAnchor>
  <xdr:twoCellAnchor editAs="oneCell">
    <xdr:from>
      <xdr:col>6</xdr:col>
      <xdr:colOff>127411</xdr:colOff>
      <xdr:row>20</xdr:row>
      <xdr:rowOff>52916</xdr:rowOff>
    </xdr:from>
    <xdr:to>
      <xdr:col>6</xdr:col>
      <xdr:colOff>667411</xdr:colOff>
      <xdr:row>22</xdr:row>
      <xdr:rowOff>123892</xdr:rowOff>
    </xdr:to>
    <xdr:pic>
      <xdr:nvPicPr>
        <xdr:cNvPr id="11" name="Imagen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6086A-C62D-2D34-EA59-D1271C91E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6828" y="4095749"/>
          <a:ext cx="540000" cy="473143"/>
        </a:xfrm>
        <a:prstGeom prst="rect">
          <a:avLst/>
        </a:prstGeom>
        <a:ln w="19050">
          <a:solidFill>
            <a:schemeClr val="accent4">
              <a:lumMod val="50000"/>
            </a:schemeClr>
          </a:solidFill>
        </a:ln>
      </xdr:spPr>
    </xdr:pic>
    <xdr:clientData/>
  </xdr:twoCellAnchor>
  <xdr:twoCellAnchor editAs="oneCell">
    <xdr:from>
      <xdr:col>6</xdr:col>
      <xdr:colOff>126589</xdr:colOff>
      <xdr:row>25</xdr:row>
      <xdr:rowOff>101144</xdr:rowOff>
    </xdr:from>
    <xdr:to>
      <xdr:col>6</xdr:col>
      <xdr:colOff>668233</xdr:colOff>
      <xdr:row>27</xdr:row>
      <xdr:rowOff>171634</xdr:rowOff>
    </xdr:to>
    <xdr:pic>
      <xdr:nvPicPr>
        <xdr:cNvPr id="13" name="Imagen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425C61E-CC89-FFB9-4566-A358B4445B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861" t="15657" r="14551" b="14639"/>
        <a:stretch/>
      </xdr:blipFill>
      <xdr:spPr>
        <a:xfrm>
          <a:off x="11546006" y="5149394"/>
          <a:ext cx="541644" cy="468000"/>
        </a:xfrm>
        <a:prstGeom prst="rect">
          <a:avLst/>
        </a:prstGeom>
        <a:ln w="19050">
          <a:solidFill>
            <a:schemeClr val="accent6">
              <a:lumMod val="50000"/>
            </a:schemeClr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1095435</xdr:colOff>
      <xdr:row>3</xdr:row>
      <xdr:rowOff>14685</xdr:rowOff>
    </xdr:from>
    <xdr:to>
      <xdr:col>14</xdr:col>
      <xdr:colOff>402148</xdr:colOff>
      <xdr:row>6</xdr:row>
      <xdr:rowOff>81360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2B8A12E5-6AA9-484B-8E4A-984391A5C4DD}"/>
            </a:ext>
          </a:extLst>
        </xdr:cNvPr>
        <xdr:cNvSpPr/>
      </xdr:nvSpPr>
      <xdr:spPr>
        <a:xfrm rot="16200000">
          <a:off x="17244187" y="1136663"/>
          <a:ext cx="636270" cy="647833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704852</xdr:colOff>
      <xdr:row>3</xdr:row>
      <xdr:rowOff>47624</xdr:rowOff>
    </xdr:from>
    <xdr:to>
      <xdr:col>7</xdr:col>
      <xdr:colOff>1316490</xdr:colOff>
      <xdr:row>6</xdr:row>
      <xdr:rowOff>114299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F4753613-CDEF-475D-B310-1761A223DB9E}"/>
            </a:ext>
          </a:extLst>
        </xdr:cNvPr>
        <xdr:cNvSpPr/>
      </xdr:nvSpPr>
      <xdr:spPr>
        <a:xfrm rot="16200000">
          <a:off x="10890001" y="1185795"/>
          <a:ext cx="636270" cy="611638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E6E8ED-3DC3-48D8-80DB-D0D043E77D6B}" name="CONSULTARUC2" displayName="CONSULTARUC2" ref="B4:N5806" totalsRowShown="0" headerRowDxfId="104" dataDxfId="102" headerRowBorderDxfId="103" tableBorderDxfId="101">
  <tableColumns count="13">
    <tableColumn id="1" xr3:uid="{48B62422-DF1E-4E75-9C64-4545A4EAE31C}" name="ITEM" dataDxfId="100"/>
    <tableColumn id="10" xr3:uid="{4D97698B-CEE3-453D-9D21-6B6A334053F2}" name="RUC" dataDxfId="99"/>
    <tableColumn id="2" xr3:uid="{D0E5CD6F-FC8E-4B6D-9E2F-6D31E5533686}" name="RAZON SOCIAL O NOMBRE DE LA EMPRESA" dataDxfId="98"/>
    <tableColumn id="3" xr3:uid="{D4BAFC9A-5038-41A5-97EB-4C74C5FE9ABE}" name="DIRECCION" dataDxfId="97"/>
    <tableColumn id="4" xr3:uid="{530F67D5-FC3F-46F1-A0FD-9F255F708074}" name="DEPARTAMENTO" dataDxfId="96"/>
    <tableColumn id="5" xr3:uid="{DE641519-D608-467E-9ACC-A36D6C6F61BA}" name="PROVINCIA" dataDxfId="95"/>
    <tableColumn id="6" xr3:uid="{485829C8-7305-4466-9F70-BCC38B478C9B}" name="DISTRITO" dataDxfId="94"/>
    <tableColumn id="7" xr3:uid="{BB1DFB61-2421-4927-BF10-3E38059287AB}" name="ACTIVIDAD PRINCIPAL" dataDxfId="93"/>
    <tableColumn id="14" xr3:uid="{88AB01E5-94DE-4F06-8FAA-4D3248A9CEE0}" name="DNI de RepresentE" dataDxfId="92"/>
    <tableColumn id="8" xr3:uid="{1FA20B0F-B627-49DB-9851-7F2399309E95}" name="Representante legal" dataDxfId="91"/>
    <tableColumn id="13" xr3:uid="{B99784AD-B32A-4E7C-A313-CDD7717E5321}" name="CARGO" dataDxfId="90"/>
    <tableColumn id="11" xr3:uid="{281044AB-572C-4997-9864-B77AEA5FEB0E}" name="SunarP" dataDxfId="89"/>
    <tableColumn id="12" xr3:uid="{6C98B790-FCC7-48C1-9ADF-E578822E5556}" name="Distrito de inscripció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50C8EE-DFBC-4D2D-84E6-7E781B54E74E}" name="Table13" displayName="Table13" ref="A1:T1615" totalsRowShown="0" headerRowDxfId="87" dataDxfId="86">
  <autoFilter ref="A1:T1615" xr:uid="{4D50C8EE-DFBC-4D2D-84E6-7E781B54E74E}"/>
  <tableColumns count="20">
    <tableColumn id="1" xr3:uid="{36FD4A9C-7C70-4609-BF4F-A5B61669B7D5}" name="ITEM" dataDxfId="85"/>
    <tableColumn id="2" xr3:uid="{85AD217B-C2FF-432A-A80E-205D450F8EF1}" name="Hora de inicio" dataDxfId="84"/>
    <tableColumn id="3" xr3:uid="{96DE9DD7-D275-4033-A12A-842270783619}" name="Hora de finalización" dataDxfId="83"/>
    <tableColumn id="4" xr3:uid="{0D44AEB8-0029-454E-92FF-C6E91DECCA8A}" name="Correo electrónico" dataDxfId="82"/>
    <tableColumn id="5" xr3:uid="{3BDB74B1-B121-4794-9F4A-8384E5B9E74D}" name="Nombre" dataDxfId="81"/>
    <tableColumn id="6" xr3:uid="{D94F60AF-1BF5-4F46-B43A-3F8D09707D97}" name="ID" dataDxfId="80"/>
    <tableColumn id="7" xr3:uid="{94E5851A-99B3-482B-9DE7-D41147A92545}" name="CARRERA" dataDxfId="79"/>
    <tableColumn id="8" xr3:uid="{53D7F8A4-F919-41B0-AE78-843952C40953}" name="SEMESTRE" dataDxfId="78"/>
    <tableColumn id="9" xr3:uid="{FC3F0B48-B562-4F1D-AC9B-5C63213969C5}" name="DNI" dataDxfId="77"/>
    <tableColumn id="10" xr3:uid="{763F35CD-5B4A-469F-AB98-ED9CAB91E028}" name="DOMICILIO" dataDxfId="76"/>
    <tableColumn id="11" xr3:uid="{56A45756-E1BC-4DFC-A2D3-30F987E03BD0}" name="REGION" dataDxfId="75"/>
    <tableColumn id="12" xr3:uid="{34415242-8A5B-4F72-B5EB-E29960A4DB32}" name="PROVINCIA" dataDxfId="74"/>
    <tableColumn id="13" xr3:uid="{3A24622B-EE8C-4663-B4CB-AA22DE6E4AEE}" name="DISTRITO" dataDxfId="73"/>
    <tableColumn id="14" xr3:uid="{AD99F198-A43D-420F-83A3-2FD676BD9912}" name="EDAD" dataDxfId="72"/>
    <tableColumn id="15" xr3:uid="{B6FB64B0-9EFB-4889-920B-EEFC14C893C5}" name="CELULAR" dataDxfId="71"/>
    <tableColumn id="16" xr3:uid="{F140A1CE-C79A-4C8C-91D7-B5C745D1C97F}" name="ZONAL LIMA - CALLAO" dataDxfId="70"/>
    <tableColumn id="17" xr3:uid="{04D3DE79-2463-406C-AF50-0FF6674FFAEA}" name="CFP / UFP" dataDxfId="69"/>
    <tableColumn id="18" xr3:uid="{7349EB4E-893D-4BFF-A7CB-1BFBD3357689}" name="NACIMIENTO" dataDxfId="68"/>
    <tableColumn id="19" xr3:uid="{A43BCF2D-8783-4FF9-9364-F79C7EFA7DCA}" name="NACIONALIDAD" dataDxfId="67"/>
    <tableColumn id="20" xr3:uid="{3EC416AB-6084-45EA-B9DB-4E388D7669C3}" name="SEXO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0E49B8-1FAB-4551-9B1A-E40FBCD86418}" name="ALUMNO" displayName="ALUMNO" ref="B2:T4" totalsRowShown="0" headerRowDxfId="65" dataDxfId="64">
  <autoFilter ref="B2:T4" xr:uid="{EF0E49B8-1FAB-4551-9B1A-E40FBCD86418}"/>
  <tableColumns count="19">
    <tableColumn id="1" xr3:uid="{0E3900FF-8A83-46CF-8936-0F0A5D92890F}" name="ITEM" dataDxfId="63"/>
    <tableColumn id="2" xr3:uid="{183D049F-56E2-4CF9-8AD9-38B3A9A82363}" name="ID" dataDxfId="62">
      <calculatedColumnFormula>'REGISTRO GENERAL'!$C$5</calculatedColumnFormula>
    </tableColumn>
    <tableColumn id="3" xr3:uid="{14C3D01C-13F3-4A6F-8A17-EE7C0FB85B3B}" name="ESTUDIANTE" dataDxfId="61">
      <calculatedColumnFormula>_xlfn.XLOOKUP('REGISTRO GENERAL'!$C$5,FORMS!F:F,FORMS!E:E,"NO EXISTE",0)</calculatedColumnFormula>
    </tableColumn>
    <tableColumn id="4" xr3:uid="{0131127E-5B86-4640-AE92-779D764DBF5E}" name="CARRERA" dataDxfId="60">
      <calculatedColumnFormula>_xlfn.XLOOKUP('REGISTRO GENERAL'!$C$5,FORMS!F:F,FORMS!G:G,"NO EXISTE",0)</calculatedColumnFormula>
    </tableColumn>
    <tableColumn id="5" xr3:uid="{A29209B8-0F5A-455E-8F26-F8041B821AB8}" name="SEMESTRE" dataDxfId="59">
      <calculatedColumnFormula>_xlfn.XLOOKUP('REGISTRO GENERAL'!$C$5,FORMS!F:F,FORMS!H:H,"NO EXISTE",0)</calculatedColumnFormula>
    </tableColumn>
    <tableColumn id="6" xr3:uid="{843C907D-B58C-4E9E-828E-7222455F2468}" name="ESPECIALIDAD" dataDxfId="58">
      <calculatedColumnFormula>_xlfn.XLOOKUP(ALUMNO[[#This Row],[CARRERA]],INDICADORES!S:S,INDICADORES!T:T,"NO EXISTE",0)</calculatedColumnFormula>
    </tableColumn>
    <tableColumn id="7" xr3:uid="{F0BDE856-EF94-47EF-9B15-B7C912D197A6}" name="DNI" dataDxfId="57">
      <calculatedColumnFormula>_xlfn.XLOOKUP('REGISTRO GENERAL'!$C$5,FORMS!F:F,FORMS!I:I,"NO EXISTE",0)</calculatedColumnFormula>
    </tableColumn>
    <tableColumn id="8" xr3:uid="{8EEE3E6A-BED1-44E6-92DF-B923E33E8410}" name="DOMICILIO" dataDxfId="56">
      <calculatedColumnFormula>_xlfn.XLOOKUP('REGISTRO GENERAL'!$C$5,FORMS!F:F,FORMS!J:J,"NO EXISTE",0)</calculatedColumnFormula>
    </tableColumn>
    <tableColumn id="9" xr3:uid="{1BEEB226-D895-485A-BE52-A292FDB35513}" name="REGION" dataDxfId="55">
      <calculatedColumnFormula>_xlfn.XLOOKUP('REGISTRO GENERAL'!$C$5,FORMS!F:F,FORMS!K:K,"NO EXISTE",0)</calculatedColumnFormula>
    </tableColumn>
    <tableColumn id="10" xr3:uid="{7D38F853-C8DA-4D01-8860-FEF3C0421CFE}" name="PROVINCIA" dataDxfId="54">
      <calculatedColumnFormula>_xlfn.XLOOKUP('REGISTRO GENERAL'!$C$5,FORMS!F:F,FORMS!L:L,"NO EXISTE",0)</calculatedColumnFormula>
    </tableColumn>
    <tableColumn id="11" xr3:uid="{F5150F9B-CFD7-47D6-BCCD-81143EB65077}" name="DISTRITO" dataDxfId="53">
      <calculatedColumnFormula>_xlfn.XLOOKUP('REGISTRO GENERAL'!$C$5,FORMS!F:F,FORMS!M:M,"NO EXISTE",0)</calculatedColumnFormula>
    </tableColumn>
    <tableColumn id="12" xr3:uid="{ED5FA0D6-ECE9-4BD3-95F7-04C919B3953E}" name="EDAD" dataDxfId="52">
      <calculatedColumnFormula>_xlfn.XLOOKUP('REGISTRO GENERAL'!$C$5,FORMS!F:F,FORMS!N:N,"NO EXISTE",0)</calculatedColumnFormula>
    </tableColumn>
    <tableColumn id="13" xr3:uid="{AE7141CD-F313-4BE3-8F1C-45B0E69136DC}" name="CELULAR" dataDxfId="51">
      <calculatedColumnFormula>_xlfn.XLOOKUP('REGISTRO GENERAL'!$C$5,FORMS!F:F,FORMS!O:O,"NO EXISTE",0)</calculatedColumnFormula>
    </tableColumn>
    <tableColumn id="14" xr3:uid="{12248550-2D84-4C92-930D-B5A65E72F95E}" name="CORREO" dataDxfId="50">
      <calculatedColumnFormula>_xlfn.XLOOKUP('REGISTRO GENERAL'!$C$5,FORMS!F:F,FORMS!D:D,"NO EXISTE",0)</calculatedColumnFormula>
    </tableColumn>
    <tableColumn id="15" xr3:uid="{EFD61230-5B45-4602-AF04-D3BD2E911320}" name="SEDE" dataDxfId="49">
      <calculatedColumnFormula>_xlfn.XLOOKUP('REGISTRO GENERAL'!$C$5,FORMS!F:F,FORMS!P:P,"NO EXISTE",0)</calculatedColumnFormula>
    </tableColumn>
    <tableColumn id="16" xr3:uid="{547462BB-4C7B-402E-807B-117FB767901A}" name="CFP/ UFP" dataDxfId="48">
      <calculatedColumnFormula>_xlfn.XLOOKUP('REGISTRO GENERAL'!$C$5,FORMS!F:F,FORMS!Q:Q,"NO EXISTE",0)</calculatedColumnFormula>
    </tableColumn>
    <tableColumn id="17" xr3:uid="{30F9A3A8-A8EB-4584-9388-92696842B06B}" name="NACIMIENTO" dataDxfId="47">
      <calculatedColumnFormula>_xlfn.XLOOKUP('REGISTRO GENERAL'!$C$5,FORMS!F:F,FORMS!R:R,"NO EXISTE",0)</calculatedColumnFormula>
    </tableColumn>
    <tableColumn id="18" xr3:uid="{56C9219A-6968-48FD-A993-179E002AC4FE}" name="NACIONALIDAD" dataDxfId="46">
      <calculatedColumnFormula>_xlfn.XLOOKUP('REGISTRO GENERAL'!$C$5,FORMS!F:F,FORMS!S:S,"NO EXISTE",0)</calculatedColumnFormula>
    </tableColumn>
    <tableColumn id="19" xr3:uid="{0867030F-E8FA-425C-97A5-69C5D568079B}" name="SEXO" dataDxfId="45">
      <calculatedColumnFormula>_xlfn.XLOOKUP('REGISTRO GENERAL'!$C$5,FORMS!F:F,FORMS!T:T,"NO EXISTE",0)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5E48E5-2F04-4203-B081-EF83E181EDD5}" name="DIA" displayName="DIA" ref="B2:C33" totalsRowShown="0" headerRowDxfId="44" headerRowBorderDxfId="43" tableBorderDxfId="42" totalsRowBorderDxfId="41">
  <autoFilter ref="B2:C33" xr:uid="{5B5E48E5-2F04-4203-B081-EF83E181EDD5}"/>
  <tableColumns count="2">
    <tableColumn id="1" xr3:uid="{AB2D4652-35D8-46B9-A200-65374E600B68}" name="DIA" dataDxfId="40"/>
    <tableColumn id="2" xr3:uid="{78E6DE4D-C5F6-446E-B4AF-99B2F621EC86}" name="Columna1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1E6BAB-471E-4720-9F28-D7BE2E408C5E}" name="MES" displayName="MES" ref="E2:F14" totalsRowShown="0" headerRowDxfId="38" headerRowBorderDxfId="37" tableBorderDxfId="36" totalsRowBorderDxfId="35">
  <autoFilter ref="E2:F14" xr:uid="{631E6BAB-471E-4720-9F28-D7BE2E408C5E}"/>
  <tableColumns count="2">
    <tableColumn id="1" xr3:uid="{3DCC4388-80B1-4E04-9D0A-2AF5A1E2EA75}" name="MES" dataDxfId="34"/>
    <tableColumn id="2" xr3:uid="{6A8EB60B-A0CC-4BAF-95E7-48502CD8C284}" name="Columna1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68F6DD-E178-46EF-BC73-CD88D022B9BA}" name="AÑO" displayName="AÑO" ref="H2:I33" totalsRowShown="0" headerRowDxfId="32" headerRowBorderDxfId="31" tableBorderDxfId="30" totalsRowBorderDxfId="29">
  <autoFilter ref="H2:I33" xr:uid="{6F68F6DD-E178-46EF-BC73-CD88D022B9BA}"/>
  <tableColumns count="2">
    <tableColumn id="1" xr3:uid="{184E9928-8C27-408A-856B-1217CB3C40F1}" name="AÑO" dataDxfId="28"/>
    <tableColumn id="2" xr3:uid="{A430610F-8D44-4860-8152-6DF2A0B809B5}" name="Columna1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9DD2FD-B2D2-4865-9EB4-33465C637A11}" name="SEMESTRE" displayName="SEMESTRE" ref="K2:L10" totalsRowShown="0" headerRowDxfId="26" headerRowBorderDxfId="25" tableBorderDxfId="24" totalsRowBorderDxfId="23">
  <autoFilter ref="K2:L10" xr:uid="{A49DD2FD-B2D2-4865-9EB4-33465C637A11}"/>
  <tableColumns count="2">
    <tableColumn id="1" xr3:uid="{31F0DBD6-948F-4A1D-906B-4D5378544E2D}" name="SEMESTRE" dataDxfId="22"/>
    <tableColumn id="2" xr3:uid="{E7C63D39-63D9-4605-B967-4E912441062D}" name="Columna1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9C227C-3F75-4F18-BE2C-2A945BD58E41}" name="DISTRITOS" displayName="DISTRITOS" ref="N2:P179" totalsRowShown="0" headerRowDxfId="20" tableBorderDxfId="19">
  <autoFilter ref="N2:P179" xr:uid="{309C227C-3F75-4F18-BE2C-2A945BD58E41}"/>
  <tableColumns count="3">
    <tableColumn id="1" xr3:uid="{CBAB35C9-BD9A-42F7-B491-42E04D3B4C2E}" name="DEPARTAMENTO" dataDxfId="18"/>
    <tableColumn id="2" xr3:uid="{178B8186-EB70-42EC-A3A7-30EF2236F541}" name="PROVINCIA" dataDxfId="17"/>
    <tableColumn id="3" xr3:uid="{E19EDF40-1AC8-4BA4-B160-DA7CFD1E34A3}" name="DISTRITO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8CE7CF5-A1B6-4E8B-B09D-4ECDB5FDDDAB}" name="ESPECIALIDAD" displayName="ESPECIALIDAD" ref="R2:T63" totalsRowShown="0" headerRowDxfId="15" dataDxfId="14">
  <autoFilter ref="R2:T63" xr:uid="{A8CE7CF5-A1B6-4E8B-B09D-4ECDB5FDDDAB}"/>
  <tableColumns count="3">
    <tableColumn id="1" xr3:uid="{FC1A0CF3-5144-4B1A-BE4B-5507564DEFB7}" name="SIGLA" dataDxfId="13"/>
    <tableColumn id="2" xr3:uid="{422177BB-FC17-40F6-88A7-436C8656AA03}" name="CARRERA" dataDxfId="12"/>
    <tableColumn id="3" xr3:uid="{D32B2CCC-ADB8-4A69-BFCB-7A75C631DB45}" name="ESPECIALIDAD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E24EF87-F208-41A8-8289-A070325C06C5}" name="TIPOSDECONVENIO" displayName="TIPOSDECONVENIO" ref="V2:W5" totalsRowShown="0" headerRowDxfId="10" dataDxfId="9" tableBorderDxfId="8">
  <autoFilter ref="V2:W5" xr:uid="{7E24EF87-F208-41A8-8289-A070325C06C5}"/>
  <tableColumns count="2">
    <tableColumn id="1" xr3:uid="{D3505ACE-543A-4E87-A4B5-C1FCC0162A7B}" name="TIPO " dataDxfId="7"/>
    <tableColumn id="2" xr3:uid="{1C04470E-3E14-43D0-8C9F-11B66AD99AC6}" name="TIPO DE VINCULACION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B89AD9-66C3-441A-905D-73B25920DC4C}" name="SEDES" displayName="SEDES" ref="Y2:Z18" totalsRowShown="0" headerRowDxfId="5" dataDxfId="3" headerRowBorderDxfId="4" tableBorderDxfId="2">
  <autoFilter ref="Y2:Z18" xr:uid="{6FB89AD9-66C3-441A-905D-73B25920DC4C}"/>
  <tableColumns count="2">
    <tableColumn id="1" xr3:uid="{F97BAB99-AB19-450F-88C9-D3ADF746B5B1}" name="ZONAL" dataDxfId="1"/>
    <tableColumn id="2" xr3:uid="{44F7E7DF-8F87-4AEA-8C03-AE50A71EF8EF}" name="CFP / UF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78794-805D-4F65-94CF-4FA6AF1A94A6}">
  <sheetPr codeName="Hoja1"/>
  <dimension ref="A1:XFC43"/>
  <sheetViews>
    <sheetView showGridLines="0" zoomScale="170" zoomScaleNormal="170" workbookViewId="0">
      <selection activeCell="A6" sqref="A6:G6"/>
    </sheetView>
  </sheetViews>
  <sheetFormatPr baseColWidth="10" defaultColWidth="0" defaultRowHeight="15" zeroHeight="1" x14ac:dyDescent="0.25"/>
  <cols>
    <col min="1" max="1" width="5.42578125" customWidth="1"/>
    <col min="2" max="2" width="15.7109375" customWidth="1"/>
    <col min="3" max="3" width="15" customWidth="1"/>
    <col min="4" max="4" width="7.7109375" customWidth="1"/>
    <col min="5" max="5" width="14.28515625" customWidth="1"/>
    <col min="6" max="6" width="81.5703125" customWidth="1"/>
    <col min="7" max="7" width="9.28515625" customWidth="1"/>
    <col min="8" max="9" width="0" hidden="1" customWidth="1"/>
    <col min="10" max="16383" width="11.42578125" hidden="1"/>
    <col min="16384" max="16384" width="0.28515625" customWidth="1"/>
  </cols>
  <sheetData>
    <row r="1" spans="1:7" ht="28.5" customHeight="1" x14ac:dyDescent="0.25">
      <c r="A1" s="142"/>
      <c r="B1" s="142"/>
      <c r="C1" s="142"/>
      <c r="D1" s="142"/>
      <c r="E1" s="142"/>
      <c r="F1" s="142"/>
      <c r="G1" s="142"/>
    </row>
    <row r="2" spans="1:7" ht="11.25" customHeight="1" x14ac:dyDescent="0.25">
      <c r="A2" s="142"/>
      <c r="B2" s="142"/>
      <c r="C2" s="142"/>
      <c r="D2" s="142"/>
      <c r="E2" s="142"/>
      <c r="F2" s="142"/>
      <c r="G2" s="142"/>
    </row>
    <row r="3" spans="1:7" ht="30" customHeight="1" x14ac:dyDescent="0.25">
      <c r="A3" s="143" t="s">
        <v>1929</v>
      </c>
      <c r="B3" s="143"/>
      <c r="C3" s="143"/>
      <c r="D3" s="143"/>
      <c r="E3" s="143"/>
      <c r="F3" s="143"/>
      <c r="G3" s="143"/>
    </row>
    <row r="4" spans="1:7" ht="10.5" customHeight="1" thickBot="1" x14ac:dyDescent="0.3">
      <c r="A4" s="144"/>
      <c r="B4" s="144"/>
      <c r="C4" s="144"/>
      <c r="D4" s="144"/>
      <c r="E4" s="144"/>
      <c r="F4" s="144"/>
      <c r="G4" s="144"/>
    </row>
    <row r="5" spans="1:7" ht="15.95" customHeight="1" thickBot="1" x14ac:dyDescent="0.3">
      <c r="B5" s="46" t="s">
        <v>18</v>
      </c>
      <c r="C5" s="119">
        <v>1343447</v>
      </c>
      <c r="D5" s="65"/>
      <c r="E5" s="45" t="s">
        <v>19</v>
      </c>
      <c r="F5" s="36" t="str">
        <f>_xlfn.XLOOKUP($C$5,FORMS!F:F,FORMS!E:E,"NO EXISTE",0)</f>
        <v>WILSON DAVID BARRETO PALACIOS</v>
      </c>
      <c r="G5" s="93">
        <f>_xlfn.XLOOKUP($C$5,FORMS!F:F,FORMS!A:A,"NO",0)</f>
        <v>124</v>
      </c>
    </row>
    <row r="6" spans="1:7" ht="9.9499999999999993" customHeight="1" thickBot="1" x14ac:dyDescent="0.3">
      <c r="A6" s="144"/>
      <c r="B6" s="144"/>
      <c r="C6" s="144"/>
      <c r="D6" s="144"/>
      <c r="E6" s="144"/>
      <c r="F6" s="144"/>
      <c r="G6" s="144"/>
    </row>
    <row r="7" spans="1:7" ht="15.95" customHeight="1" thickBot="1" x14ac:dyDescent="0.3">
      <c r="B7" s="46" t="s">
        <v>21</v>
      </c>
      <c r="C7" s="36"/>
      <c r="D7" s="65"/>
      <c r="E7" s="45" t="s">
        <v>829</v>
      </c>
      <c r="F7" s="36">
        <f>_xlfn.XLOOKUP($C$7,RUC!C4:C1048576,RUC!D4:D1048576,"NO EXISTE",0)</f>
        <v>0</v>
      </c>
      <c r="G7" s="93">
        <f>_xlfn.XLOOKUP($C$7,RUC!C4:C1048576,RUC!B4:B1048576,"NO EXISTE",0)</f>
        <v>1</v>
      </c>
    </row>
    <row r="8" spans="1:7" ht="9.9499999999999993" customHeight="1" thickBot="1" x14ac:dyDescent="0.3">
      <c r="A8" s="144"/>
      <c r="B8" s="144"/>
      <c r="C8" s="144"/>
      <c r="D8" s="144"/>
      <c r="E8" s="144"/>
      <c r="F8" s="144"/>
      <c r="G8" s="144"/>
    </row>
    <row r="9" spans="1:7" ht="15.95" customHeight="1" thickBot="1" x14ac:dyDescent="0.3">
      <c r="B9" s="46" t="s">
        <v>1864</v>
      </c>
      <c r="C9" s="47"/>
      <c r="D9" s="65"/>
      <c r="E9" s="45" t="s">
        <v>0</v>
      </c>
      <c r="F9" s="103" t="str">
        <f>_xlfn.XLOOKUP($C$5,FORMS!F:F,FORMS!G:G,"NO EXISTE",0)</f>
        <v>DISEÑO Y DESARROLLO WEB</v>
      </c>
      <c r="G9" s="2"/>
    </row>
    <row r="10" spans="1:7" ht="9.9499999999999993" customHeight="1" thickBot="1" x14ac:dyDescent="0.3">
      <c r="A10" s="144"/>
      <c r="B10" s="144"/>
      <c r="C10" s="144"/>
      <c r="D10" s="144"/>
      <c r="E10" s="144"/>
      <c r="F10" s="144"/>
      <c r="G10" s="144"/>
    </row>
    <row r="11" spans="1:7" ht="15.95" customHeight="1" thickBot="1" x14ac:dyDescent="0.3">
      <c r="B11" s="46" t="s">
        <v>1865</v>
      </c>
      <c r="C11" s="47"/>
      <c r="D11" s="65"/>
      <c r="E11" s="45" t="s">
        <v>20</v>
      </c>
      <c r="F11" s="103" t="str">
        <f>_xlfn.XLOOKUP($C$5,FORMS!F:F,FORMS!H:H,"NO EXISTE",0)</f>
        <v>SEXTO</v>
      </c>
      <c r="G11" s="44"/>
    </row>
    <row r="12" spans="1:7" s="144" customFormat="1" ht="9.9499999999999993" customHeight="1" thickBot="1" x14ac:dyDescent="0.3"/>
    <row r="13" spans="1:7" ht="15.95" customHeight="1" thickBot="1" x14ac:dyDescent="0.3">
      <c r="B13" s="46" t="s">
        <v>1866</v>
      </c>
      <c r="C13" s="36"/>
      <c r="D13" s="145">
        <v>1397289</v>
      </c>
      <c r="E13" s="142"/>
      <c r="F13" s="142"/>
      <c r="G13" s="142"/>
    </row>
    <row r="14" spans="1:7" x14ac:dyDescent="0.25">
      <c r="A14" s="90" t="s">
        <v>7522</v>
      </c>
      <c r="B14" s="90"/>
      <c r="C14" s="90"/>
      <c r="D14" s="90"/>
      <c r="E14" s="90"/>
      <c r="F14" s="90"/>
      <c r="G14" s="90"/>
    </row>
    <row r="15" spans="1:7" x14ac:dyDescent="0.25">
      <c r="A15" s="90"/>
      <c r="B15" s="90"/>
      <c r="C15" s="90"/>
      <c r="D15" s="90"/>
      <c r="E15" s="90"/>
      <c r="F15" s="90"/>
      <c r="G15" s="90"/>
    </row>
    <row r="16" spans="1:7" x14ac:dyDescent="0.25">
      <c r="A16" s="90"/>
      <c r="B16" s="90"/>
      <c r="C16" s="90"/>
      <c r="D16" s="90"/>
      <c r="E16" s="90"/>
      <c r="F16" s="90"/>
      <c r="G16" s="90"/>
    </row>
    <row r="17" spans="1:7" x14ac:dyDescent="0.25">
      <c r="A17" s="90"/>
      <c r="B17" s="90"/>
      <c r="C17" s="90"/>
      <c r="D17" s="90"/>
      <c r="E17" s="90"/>
      <c r="F17" s="90"/>
      <c r="G17" s="90"/>
    </row>
    <row r="18" spans="1:7" x14ac:dyDescent="0.25">
      <c r="A18" s="90"/>
      <c r="B18" s="90"/>
      <c r="C18" s="90"/>
      <c r="D18" s="90"/>
      <c r="E18" s="90"/>
      <c r="F18" s="90"/>
      <c r="G18" s="90"/>
    </row>
    <row r="19" spans="1:7" x14ac:dyDescent="0.25">
      <c r="A19" s="90"/>
      <c r="B19" s="90"/>
      <c r="C19" s="90"/>
      <c r="D19" s="90"/>
      <c r="E19" s="90"/>
      <c r="F19" s="90"/>
      <c r="G19" s="90"/>
    </row>
    <row r="20" spans="1:7" ht="15" customHeight="1" x14ac:dyDescent="0.25">
      <c r="A20" s="90"/>
      <c r="B20" s="90"/>
      <c r="C20" s="90"/>
      <c r="D20" s="90"/>
      <c r="E20" s="90"/>
      <c r="F20" s="90"/>
      <c r="G20" s="90"/>
    </row>
    <row r="21" spans="1:7" ht="15" customHeight="1" x14ac:dyDescent="0.25">
      <c r="A21" s="90"/>
      <c r="B21" s="90"/>
      <c r="C21" s="90"/>
      <c r="D21" s="90"/>
      <c r="E21" s="90"/>
      <c r="F21" s="90"/>
      <c r="G21" s="90"/>
    </row>
    <row r="22" spans="1:7" ht="15" hidden="1" customHeight="1" x14ac:dyDescent="0.25">
      <c r="F22" s="68"/>
    </row>
    <row r="23" spans="1:7" ht="15" hidden="1" customHeight="1" x14ac:dyDescent="0.25"/>
    <row r="24" spans="1:7" ht="15" hidden="1" customHeight="1" x14ac:dyDescent="0.25"/>
    <row r="25" spans="1:7" ht="15" hidden="1" customHeight="1" x14ac:dyDescent="0.25"/>
    <row r="26" spans="1:7" ht="15" hidden="1" customHeight="1" x14ac:dyDescent="0.25"/>
    <row r="27" spans="1:7" ht="15" hidden="1" customHeight="1" x14ac:dyDescent="0.25"/>
    <row r="28" spans="1:7" ht="15" hidden="1" customHeight="1" x14ac:dyDescent="0.25"/>
    <row r="29" spans="1:7" ht="15" hidden="1" customHeight="1" x14ac:dyDescent="0.25"/>
    <row r="30" spans="1:7" ht="15" hidden="1" customHeight="1" x14ac:dyDescent="0.25"/>
    <row r="31" spans="1:7" ht="15" hidden="1" customHeight="1" x14ac:dyDescent="0.25"/>
    <row r="32" spans="1:7" ht="15" hidden="1" customHeight="1" x14ac:dyDescent="0.25"/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</sheetData>
  <mergeCells count="8">
    <mergeCell ref="A1:G2"/>
    <mergeCell ref="A3:G3"/>
    <mergeCell ref="A6:G6"/>
    <mergeCell ref="A8:G8"/>
    <mergeCell ref="D13:G13"/>
    <mergeCell ref="A10:G10"/>
    <mergeCell ref="A12:XFD12"/>
    <mergeCell ref="A4:G4"/>
  </mergeCells>
  <pageMargins left="0.7" right="0.7" top="0.75" bottom="0.75" header="0.3" footer="0.3"/>
  <pageSetup orientation="portrait" horizontalDpi="4294967293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AC1CDD-DB2C-48A7-A011-181A596B79D6}">
          <x14:formula1>
            <xm:f>INDICADORES!$V$3:$V$5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A7611-28B8-4E22-86AE-C631C26CB989}">
  <sheetPr codeName="Hoja8" filterMode="1">
    <tabColor theme="9" tint="-0.249977111117893"/>
  </sheetPr>
  <dimension ref="A1:N5823"/>
  <sheetViews>
    <sheetView showGridLines="0" zoomScaleNormal="100" workbookViewId="0">
      <selection activeCell="C6" sqref="C6:N1048576"/>
    </sheetView>
  </sheetViews>
  <sheetFormatPr baseColWidth="10" defaultColWidth="11.42578125" defaultRowHeight="15" x14ac:dyDescent="0.25"/>
  <cols>
    <col min="1" max="1" width="10.28515625" style="1" customWidth="1"/>
    <col min="2" max="2" width="11.85546875" style="1" customWidth="1"/>
    <col min="3" max="3" width="16.140625" style="1" customWidth="1"/>
    <col min="4" max="4" width="93.5703125" style="10" customWidth="1"/>
    <col min="5" max="5" width="135.42578125" style="10" customWidth="1"/>
    <col min="6" max="6" width="17" style="1" customWidth="1"/>
    <col min="7" max="7" width="15.28515625" style="1" customWidth="1"/>
    <col min="8" max="8" width="26" style="1" customWidth="1"/>
    <col min="9" max="9" width="133.28515625" style="10" customWidth="1"/>
    <col min="10" max="10" width="18.42578125" style="1" customWidth="1"/>
    <col min="11" max="11" width="47.28515625" style="1" customWidth="1"/>
    <col min="12" max="12" width="35.7109375" style="1" customWidth="1"/>
    <col min="13" max="13" width="13.28515625" style="1" customWidth="1"/>
    <col min="14" max="14" width="18.85546875" style="1" customWidth="1"/>
    <col min="15" max="16384" width="11.42578125" style="1"/>
  </cols>
  <sheetData>
    <row r="1" spans="2:14" ht="21.95" customHeight="1" thickBot="1" x14ac:dyDescent="0.3">
      <c r="C1" s="66" t="s">
        <v>21</v>
      </c>
      <c r="D1" s="142"/>
      <c r="E1" s="142"/>
      <c r="F1" s="142"/>
      <c r="G1" s="142"/>
      <c r="H1" s="142"/>
      <c r="I1" s="142"/>
    </row>
    <row r="2" spans="2:14" ht="21.95" customHeight="1" thickBot="1" x14ac:dyDescent="0.3">
      <c r="C2" s="67">
        <f>'REGISTRO GENERAL'!$C$7</f>
        <v>0</v>
      </c>
      <c r="D2" s="142"/>
      <c r="E2" s="142"/>
      <c r="F2" s="142"/>
      <c r="G2" s="142"/>
      <c r="H2" s="142"/>
      <c r="I2" s="142"/>
    </row>
    <row r="3" spans="2:14" x14ac:dyDescent="0.25">
      <c r="D3" s="142"/>
      <c r="E3" s="142"/>
      <c r="F3" s="142"/>
      <c r="G3" s="142"/>
      <c r="H3" s="142"/>
      <c r="I3" s="142"/>
    </row>
    <row r="4" spans="2:14" x14ac:dyDescent="0.25">
      <c r="B4" s="7" t="s">
        <v>857</v>
      </c>
      <c r="C4" s="15" t="s">
        <v>21</v>
      </c>
      <c r="D4" s="16" t="s">
        <v>714</v>
      </c>
      <c r="E4" s="16" t="s">
        <v>23</v>
      </c>
      <c r="F4" s="15" t="s">
        <v>26</v>
      </c>
      <c r="G4" s="15" t="s">
        <v>28</v>
      </c>
      <c r="H4" s="15" t="s">
        <v>27</v>
      </c>
      <c r="I4" s="16" t="s">
        <v>729</v>
      </c>
      <c r="J4" s="91" t="s">
        <v>734</v>
      </c>
      <c r="K4" s="7" t="s">
        <v>715</v>
      </c>
      <c r="L4" s="7" t="s">
        <v>25</v>
      </c>
      <c r="M4" s="92" t="s">
        <v>716</v>
      </c>
      <c r="N4" s="15" t="s">
        <v>717</v>
      </c>
    </row>
    <row r="5" spans="2:14" s="9" customFormat="1" hidden="1" x14ac:dyDescent="0.25">
      <c r="B5" s="120">
        <v>1</v>
      </c>
      <c r="C5" s="122"/>
      <c r="D5" s="125"/>
      <c r="E5" s="125"/>
      <c r="F5" s="122"/>
      <c r="G5" s="122"/>
      <c r="H5" s="122"/>
      <c r="I5" s="125"/>
      <c r="J5" s="129"/>
      <c r="K5" s="122"/>
      <c r="L5" s="122"/>
      <c r="M5" s="133"/>
      <c r="N5" s="122"/>
    </row>
    <row r="6" spans="2:14" s="9" customFormat="1" x14ac:dyDescent="0.25">
      <c r="B6" s="120">
        <v>2</v>
      </c>
      <c r="C6" s="122">
        <v>20600769341</v>
      </c>
      <c r="D6" s="125" t="s">
        <v>20995</v>
      </c>
      <c r="E6" s="125" t="s">
        <v>20996</v>
      </c>
      <c r="F6" s="122" t="s">
        <v>1530</v>
      </c>
      <c r="G6" s="122" t="s">
        <v>30</v>
      </c>
      <c r="H6" s="122" t="s">
        <v>75</v>
      </c>
      <c r="I6" s="125" t="s">
        <v>21000</v>
      </c>
      <c r="J6" s="129" t="s">
        <v>20997</v>
      </c>
      <c r="K6" s="122" t="s">
        <v>20998</v>
      </c>
      <c r="L6" s="122" t="s">
        <v>42</v>
      </c>
      <c r="M6" s="133" t="s">
        <v>20999</v>
      </c>
      <c r="N6" s="122" t="s">
        <v>30</v>
      </c>
    </row>
    <row r="7" spans="2:14" s="9" customFormat="1" hidden="1" x14ac:dyDescent="0.25">
      <c r="B7" s="120">
        <v>4</v>
      </c>
      <c r="C7" s="122">
        <v>20418650916</v>
      </c>
      <c r="D7" s="125" t="s">
        <v>20793</v>
      </c>
      <c r="E7" s="125" t="s">
        <v>20794</v>
      </c>
      <c r="F7" s="122" t="s">
        <v>30</v>
      </c>
      <c r="G7" s="122" t="s">
        <v>30</v>
      </c>
      <c r="H7" s="122" t="s">
        <v>34</v>
      </c>
      <c r="I7" s="125" t="s">
        <v>1377</v>
      </c>
      <c r="J7" s="129" t="s">
        <v>20801</v>
      </c>
      <c r="K7" s="122" t="s">
        <v>20802</v>
      </c>
      <c r="L7" s="122" t="s">
        <v>42</v>
      </c>
      <c r="M7" s="133" t="s">
        <v>20798</v>
      </c>
      <c r="N7" s="122" t="s">
        <v>30</v>
      </c>
    </row>
    <row r="8" spans="2:14" s="9" customFormat="1" hidden="1" x14ac:dyDescent="0.25">
      <c r="B8" s="120">
        <v>5</v>
      </c>
      <c r="C8" s="122">
        <v>20418650916</v>
      </c>
      <c r="D8" s="125" t="s">
        <v>20793</v>
      </c>
      <c r="E8" s="125" t="s">
        <v>20794</v>
      </c>
      <c r="F8" s="122" t="s">
        <v>30</v>
      </c>
      <c r="G8" s="122" t="s">
        <v>30</v>
      </c>
      <c r="H8" s="122" t="s">
        <v>34</v>
      </c>
      <c r="I8" s="125" t="s">
        <v>1377</v>
      </c>
      <c r="J8" s="129" t="s">
        <v>20799</v>
      </c>
      <c r="K8" s="122" t="s">
        <v>20800</v>
      </c>
      <c r="L8" s="122" t="s">
        <v>76</v>
      </c>
      <c r="M8" s="133" t="s">
        <v>20798</v>
      </c>
      <c r="N8" s="122" t="s">
        <v>30</v>
      </c>
    </row>
    <row r="9" spans="2:14" s="9" customFormat="1" hidden="1" x14ac:dyDescent="0.25">
      <c r="B9" s="120">
        <v>6</v>
      </c>
      <c r="C9" s="122">
        <v>20418650916</v>
      </c>
      <c r="D9" s="125" t="s">
        <v>20793</v>
      </c>
      <c r="E9" s="125" t="s">
        <v>20794</v>
      </c>
      <c r="F9" s="122" t="s">
        <v>30</v>
      </c>
      <c r="G9" s="122" t="s">
        <v>30</v>
      </c>
      <c r="H9" s="122" t="s">
        <v>34</v>
      </c>
      <c r="I9" s="125" t="s">
        <v>1377</v>
      </c>
      <c r="J9" s="129" t="s">
        <v>20796</v>
      </c>
      <c r="K9" s="122" t="s">
        <v>20797</v>
      </c>
      <c r="L9" s="122" t="s">
        <v>209</v>
      </c>
      <c r="M9" s="133" t="s">
        <v>20798</v>
      </c>
      <c r="N9" s="122" t="s">
        <v>30</v>
      </c>
    </row>
    <row r="10" spans="2:14" s="9" customFormat="1" hidden="1" x14ac:dyDescent="0.25">
      <c r="B10" s="120">
        <v>7</v>
      </c>
      <c r="C10" s="122">
        <v>20100144922</v>
      </c>
      <c r="D10" s="125" t="s">
        <v>20779</v>
      </c>
      <c r="E10" s="125" t="s">
        <v>20778</v>
      </c>
      <c r="F10" s="122" t="s">
        <v>30</v>
      </c>
      <c r="G10" s="122" t="s">
        <v>30</v>
      </c>
      <c r="H10" s="122" t="s">
        <v>35</v>
      </c>
      <c r="I10" s="125" t="s">
        <v>1403</v>
      </c>
      <c r="J10" s="129" t="s">
        <v>20791</v>
      </c>
      <c r="K10" s="122" t="s">
        <v>20792</v>
      </c>
      <c r="L10" s="122" t="s">
        <v>209</v>
      </c>
      <c r="M10" s="133" t="s">
        <v>20782</v>
      </c>
      <c r="N10" s="122" t="s">
        <v>30</v>
      </c>
    </row>
    <row r="11" spans="2:14" s="9" customFormat="1" hidden="1" x14ac:dyDescent="0.25">
      <c r="B11" s="120">
        <v>8</v>
      </c>
      <c r="C11" s="122">
        <v>20100144922</v>
      </c>
      <c r="D11" s="125" t="s">
        <v>20779</v>
      </c>
      <c r="E11" s="125" t="s">
        <v>20778</v>
      </c>
      <c r="F11" s="122" t="s">
        <v>30</v>
      </c>
      <c r="G11" s="122" t="s">
        <v>30</v>
      </c>
      <c r="H11" s="122" t="s">
        <v>35</v>
      </c>
      <c r="I11" s="125" t="s">
        <v>1403</v>
      </c>
      <c r="J11" s="129" t="s">
        <v>20789</v>
      </c>
      <c r="K11" s="122" t="s">
        <v>20790</v>
      </c>
      <c r="L11" s="122" t="s">
        <v>209</v>
      </c>
      <c r="M11" s="133" t="s">
        <v>20782</v>
      </c>
      <c r="N11" s="122" t="s">
        <v>30</v>
      </c>
    </row>
    <row r="12" spans="2:14" s="9" customFormat="1" hidden="1" x14ac:dyDescent="0.25">
      <c r="B12" s="120">
        <v>9</v>
      </c>
      <c r="C12" s="122">
        <v>20100144922</v>
      </c>
      <c r="D12" s="125" t="s">
        <v>20779</v>
      </c>
      <c r="E12" s="125" t="s">
        <v>20778</v>
      </c>
      <c r="F12" s="122" t="s">
        <v>30</v>
      </c>
      <c r="G12" s="122" t="s">
        <v>30</v>
      </c>
      <c r="H12" s="122" t="s">
        <v>35</v>
      </c>
      <c r="I12" s="125" t="s">
        <v>1403</v>
      </c>
      <c r="J12" s="129" t="s">
        <v>20787</v>
      </c>
      <c r="K12" s="122" t="s">
        <v>20788</v>
      </c>
      <c r="L12" s="122" t="s">
        <v>209</v>
      </c>
      <c r="M12" s="133" t="s">
        <v>20782</v>
      </c>
      <c r="N12" s="122" t="s">
        <v>30</v>
      </c>
    </row>
    <row r="13" spans="2:14" s="9" customFormat="1" hidden="1" x14ac:dyDescent="0.25">
      <c r="B13" s="120">
        <v>10</v>
      </c>
      <c r="C13" s="122">
        <v>20100144922</v>
      </c>
      <c r="D13" s="125" t="s">
        <v>20779</v>
      </c>
      <c r="E13" s="125" t="s">
        <v>20778</v>
      </c>
      <c r="F13" s="122" t="s">
        <v>30</v>
      </c>
      <c r="G13" s="122" t="s">
        <v>30</v>
      </c>
      <c r="H13" s="122" t="s">
        <v>35</v>
      </c>
      <c r="I13" s="125" t="s">
        <v>1403</v>
      </c>
      <c r="J13" s="129" t="s">
        <v>20785</v>
      </c>
      <c r="K13" s="122" t="s">
        <v>20786</v>
      </c>
      <c r="L13" s="122" t="s">
        <v>42</v>
      </c>
      <c r="M13" s="133" t="s">
        <v>20782</v>
      </c>
      <c r="N13" s="122" t="s">
        <v>30</v>
      </c>
    </row>
    <row r="14" spans="2:14" s="9" customFormat="1" hidden="1" x14ac:dyDescent="0.25">
      <c r="B14" s="120">
        <v>11</v>
      </c>
      <c r="C14" s="122">
        <v>20100144922</v>
      </c>
      <c r="D14" s="125" t="s">
        <v>20779</v>
      </c>
      <c r="E14" s="125" t="s">
        <v>20778</v>
      </c>
      <c r="F14" s="122" t="s">
        <v>30</v>
      </c>
      <c r="G14" s="122" t="s">
        <v>30</v>
      </c>
      <c r="H14" s="122" t="s">
        <v>35</v>
      </c>
      <c r="I14" s="125" t="s">
        <v>1403</v>
      </c>
      <c r="J14" s="129" t="s">
        <v>20783</v>
      </c>
      <c r="K14" s="122" t="s">
        <v>20784</v>
      </c>
      <c r="L14" s="122" t="s">
        <v>209</v>
      </c>
      <c r="M14" s="133" t="s">
        <v>20782</v>
      </c>
      <c r="N14" s="122" t="s">
        <v>30</v>
      </c>
    </row>
    <row r="15" spans="2:14" s="9" customFormat="1" hidden="1" x14ac:dyDescent="0.25">
      <c r="B15" s="120">
        <v>12</v>
      </c>
      <c r="C15" s="121">
        <v>20100144922</v>
      </c>
      <c r="D15" s="124" t="s">
        <v>20779</v>
      </c>
      <c r="E15" s="124" t="s">
        <v>20778</v>
      </c>
      <c r="F15" s="121" t="s">
        <v>30</v>
      </c>
      <c r="G15" s="121" t="s">
        <v>30</v>
      </c>
      <c r="H15" s="121" t="s">
        <v>35</v>
      </c>
      <c r="I15" s="124" t="s">
        <v>1403</v>
      </c>
      <c r="J15" s="128" t="s">
        <v>20780</v>
      </c>
      <c r="K15" s="121" t="s">
        <v>20781</v>
      </c>
      <c r="L15" s="121" t="s">
        <v>209</v>
      </c>
      <c r="M15" s="132" t="s">
        <v>20782</v>
      </c>
      <c r="N15" s="121" t="s">
        <v>30</v>
      </c>
    </row>
    <row r="16" spans="2:14" s="9" customFormat="1" hidden="1" x14ac:dyDescent="0.25">
      <c r="B16" s="120">
        <v>13</v>
      </c>
      <c r="C16" s="122">
        <v>20516385902</v>
      </c>
      <c r="D16" s="125" t="s">
        <v>20552</v>
      </c>
      <c r="E16" s="125" t="s">
        <v>20553</v>
      </c>
      <c r="F16" s="122" t="s">
        <v>30</v>
      </c>
      <c r="G16" s="122" t="s">
        <v>30</v>
      </c>
      <c r="H16" s="122" t="s">
        <v>51</v>
      </c>
      <c r="I16" s="125" t="s">
        <v>1384</v>
      </c>
      <c r="J16" s="129" t="s">
        <v>20550</v>
      </c>
      <c r="K16" s="122" t="s">
        <v>20551</v>
      </c>
      <c r="L16" s="122" t="s">
        <v>42</v>
      </c>
      <c r="M16" s="133" t="s">
        <v>845</v>
      </c>
      <c r="N16" s="122" t="s">
        <v>845</v>
      </c>
    </row>
    <row r="17" spans="2:14" s="9" customFormat="1" hidden="1" x14ac:dyDescent="0.25">
      <c r="B17" s="120">
        <v>14</v>
      </c>
      <c r="C17" s="122">
        <v>20508511176</v>
      </c>
      <c r="D17" s="125" t="s">
        <v>20538</v>
      </c>
      <c r="E17" s="125" t="s">
        <v>20539</v>
      </c>
      <c r="F17" s="122" t="s">
        <v>30</v>
      </c>
      <c r="G17" s="122" t="s">
        <v>30</v>
      </c>
      <c r="H17" s="122" t="s">
        <v>72</v>
      </c>
      <c r="I17" s="125" t="s">
        <v>1424</v>
      </c>
      <c r="J17" s="129" t="s">
        <v>20540</v>
      </c>
      <c r="K17" s="122" t="s">
        <v>20541</v>
      </c>
      <c r="L17" s="122" t="s">
        <v>731</v>
      </c>
      <c r="M17" s="133" t="s">
        <v>20542</v>
      </c>
      <c r="N17" s="122" t="s">
        <v>30</v>
      </c>
    </row>
    <row r="18" spans="2:14" s="9" customFormat="1" hidden="1" x14ac:dyDescent="0.25">
      <c r="B18" s="120">
        <v>15</v>
      </c>
      <c r="C18" s="122">
        <v>20102310781</v>
      </c>
      <c r="D18" s="125" t="s">
        <v>20533</v>
      </c>
      <c r="E18" s="125" t="s">
        <v>20534</v>
      </c>
      <c r="F18" s="122" t="s">
        <v>30</v>
      </c>
      <c r="G18" s="122" t="s">
        <v>30</v>
      </c>
      <c r="H18" s="122" t="s">
        <v>52</v>
      </c>
      <c r="I18" s="125" t="s">
        <v>2489</v>
      </c>
      <c r="J18" s="129" t="s">
        <v>20535</v>
      </c>
      <c r="K18" s="122" t="s">
        <v>20536</v>
      </c>
      <c r="L18" s="122" t="s">
        <v>42</v>
      </c>
      <c r="M18" s="133" t="s">
        <v>20537</v>
      </c>
      <c r="N18" s="122" t="s">
        <v>30</v>
      </c>
    </row>
    <row r="19" spans="2:14" s="9" customFormat="1" hidden="1" x14ac:dyDescent="0.25">
      <c r="B19" s="120">
        <v>16</v>
      </c>
      <c r="C19" s="122">
        <v>20112231413</v>
      </c>
      <c r="D19" s="125" t="s">
        <v>20525</v>
      </c>
      <c r="E19" s="125" t="s">
        <v>20526</v>
      </c>
      <c r="F19" s="122" t="s">
        <v>30</v>
      </c>
      <c r="G19" s="122" t="s">
        <v>30</v>
      </c>
      <c r="H19" s="122" t="s">
        <v>43</v>
      </c>
      <c r="I19" s="125" t="s">
        <v>1755</v>
      </c>
      <c r="J19" s="129" t="s">
        <v>20530</v>
      </c>
      <c r="K19" s="122" t="s">
        <v>20531</v>
      </c>
      <c r="L19" s="122" t="s">
        <v>7981</v>
      </c>
      <c r="M19" s="133" t="s">
        <v>20529</v>
      </c>
      <c r="N19" s="122" t="s">
        <v>30</v>
      </c>
    </row>
    <row r="20" spans="2:14" s="9" customFormat="1" hidden="1" x14ac:dyDescent="0.25">
      <c r="B20" s="120">
        <v>17</v>
      </c>
      <c r="C20" s="122">
        <v>20112231413</v>
      </c>
      <c r="D20" s="125" t="s">
        <v>20525</v>
      </c>
      <c r="E20" s="125" t="s">
        <v>20526</v>
      </c>
      <c r="F20" s="122" t="s">
        <v>30</v>
      </c>
      <c r="G20" s="122" t="s">
        <v>30</v>
      </c>
      <c r="H20" s="122" t="s">
        <v>43</v>
      </c>
      <c r="I20" s="125" t="s">
        <v>1755</v>
      </c>
      <c r="J20" s="129" t="s">
        <v>20527</v>
      </c>
      <c r="K20" s="122" t="s">
        <v>20528</v>
      </c>
      <c r="L20" s="122" t="s">
        <v>2469</v>
      </c>
      <c r="M20" s="133" t="s">
        <v>20529</v>
      </c>
      <c r="N20" s="122" t="s">
        <v>30</v>
      </c>
    </row>
    <row r="21" spans="2:14" s="9" customFormat="1" hidden="1" x14ac:dyDescent="0.25">
      <c r="B21" s="120">
        <v>18</v>
      </c>
      <c r="C21" s="122">
        <v>20601744164</v>
      </c>
      <c r="D21" s="125" t="s">
        <v>20520</v>
      </c>
      <c r="E21" s="125" t="s">
        <v>20521</v>
      </c>
      <c r="F21" s="122" t="s">
        <v>30</v>
      </c>
      <c r="G21" s="122" t="s">
        <v>30</v>
      </c>
      <c r="H21" s="122" t="s">
        <v>51</v>
      </c>
      <c r="I21" s="125" t="s">
        <v>1694</v>
      </c>
      <c r="J21" s="129" t="s">
        <v>20522</v>
      </c>
      <c r="K21" s="122" t="s">
        <v>20523</v>
      </c>
      <c r="L21" s="122" t="s">
        <v>1577</v>
      </c>
      <c r="M21" s="133" t="s">
        <v>20524</v>
      </c>
      <c r="N21" s="122" t="s">
        <v>30</v>
      </c>
    </row>
    <row r="22" spans="2:14" s="9" customFormat="1" hidden="1" x14ac:dyDescent="0.25">
      <c r="B22" s="120">
        <v>19</v>
      </c>
      <c r="C22" s="122">
        <v>20600127731</v>
      </c>
      <c r="D22" s="125" t="s">
        <v>20515</v>
      </c>
      <c r="E22" s="125" t="s">
        <v>20516</v>
      </c>
      <c r="F22" s="122" t="s">
        <v>67</v>
      </c>
      <c r="G22" s="122" t="s">
        <v>67</v>
      </c>
      <c r="H22" s="122" t="s">
        <v>67</v>
      </c>
      <c r="I22" s="125" t="s">
        <v>2460</v>
      </c>
      <c r="J22" s="129" t="s">
        <v>20517</v>
      </c>
      <c r="K22" s="122" t="s">
        <v>20518</v>
      </c>
      <c r="L22" s="122" t="s">
        <v>731</v>
      </c>
      <c r="M22" s="133" t="s">
        <v>20519</v>
      </c>
      <c r="N22" s="122" t="s">
        <v>67</v>
      </c>
    </row>
    <row r="23" spans="2:14" s="9" customFormat="1" hidden="1" x14ac:dyDescent="0.25">
      <c r="B23" s="120">
        <v>20</v>
      </c>
      <c r="C23" s="122">
        <v>20511702021</v>
      </c>
      <c r="D23" s="125" t="s">
        <v>20511</v>
      </c>
      <c r="E23" s="125" t="s">
        <v>20512</v>
      </c>
      <c r="F23" s="122" t="s">
        <v>30</v>
      </c>
      <c r="G23" s="122" t="s">
        <v>30</v>
      </c>
      <c r="H23" s="122" t="s">
        <v>51</v>
      </c>
      <c r="I23" s="125" t="s">
        <v>1655</v>
      </c>
      <c r="J23" s="129" t="s">
        <v>20513</v>
      </c>
      <c r="K23" s="122" t="s">
        <v>20514</v>
      </c>
      <c r="L23" s="122" t="s">
        <v>42</v>
      </c>
      <c r="M23" s="133" t="s">
        <v>845</v>
      </c>
      <c r="N23" s="122" t="s">
        <v>845</v>
      </c>
    </row>
    <row r="24" spans="2:14" s="9" customFormat="1" hidden="1" x14ac:dyDescent="0.25">
      <c r="B24" s="120">
        <v>21</v>
      </c>
      <c r="C24" s="122">
        <v>20534454890</v>
      </c>
      <c r="D24" s="125" t="s">
        <v>8618</v>
      </c>
      <c r="E24" s="125" t="s">
        <v>8619</v>
      </c>
      <c r="F24" s="122" t="s">
        <v>30</v>
      </c>
      <c r="G24" s="122" t="s">
        <v>30</v>
      </c>
      <c r="H24" s="122" t="s">
        <v>40</v>
      </c>
      <c r="I24" s="125" t="s">
        <v>1398</v>
      </c>
      <c r="J24" s="129" t="s">
        <v>8620</v>
      </c>
      <c r="K24" s="122" t="s">
        <v>8621</v>
      </c>
      <c r="L24" s="122" t="s">
        <v>731</v>
      </c>
      <c r="M24" s="133" t="s">
        <v>8622</v>
      </c>
      <c r="N24" s="122" t="s">
        <v>30</v>
      </c>
    </row>
    <row r="25" spans="2:14" s="9" customFormat="1" hidden="1" x14ac:dyDescent="0.25">
      <c r="B25" s="120">
        <v>22</v>
      </c>
      <c r="C25" s="122">
        <v>20497219940</v>
      </c>
      <c r="D25" s="125" t="s">
        <v>8613</v>
      </c>
      <c r="E25" s="125" t="s">
        <v>8614</v>
      </c>
      <c r="F25" s="122" t="s">
        <v>99</v>
      </c>
      <c r="G25" s="122" t="s">
        <v>99</v>
      </c>
      <c r="H25" s="122" t="s">
        <v>99</v>
      </c>
      <c r="I25" s="125" t="s">
        <v>1365</v>
      </c>
      <c r="J25" s="129" t="s">
        <v>8615</v>
      </c>
      <c r="K25" s="122" t="s">
        <v>8616</v>
      </c>
      <c r="L25" s="122" t="s">
        <v>36</v>
      </c>
      <c r="M25" s="133" t="s">
        <v>8617</v>
      </c>
      <c r="N25" s="122" t="s">
        <v>99</v>
      </c>
    </row>
    <row r="26" spans="2:14" s="9" customFormat="1" hidden="1" x14ac:dyDescent="0.25">
      <c r="B26" s="120">
        <v>23</v>
      </c>
      <c r="C26" s="122">
        <v>20549950834</v>
      </c>
      <c r="D26" s="125" t="s">
        <v>8608</v>
      </c>
      <c r="E26" s="125" t="s">
        <v>8609</v>
      </c>
      <c r="F26" s="122" t="s">
        <v>30</v>
      </c>
      <c r="G26" s="122" t="s">
        <v>30</v>
      </c>
      <c r="H26" s="122" t="s">
        <v>38</v>
      </c>
      <c r="I26" s="125" t="s">
        <v>2460</v>
      </c>
      <c r="J26" s="129" t="s">
        <v>8610</v>
      </c>
      <c r="K26" s="122" t="s">
        <v>8611</v>
      </c>
      <c r="L26" s="122" t="s">
        <v>42</v>
      </c>
      <c r="M26" s="133" t="s">
        <v>8612</v>
      </c>
      <c r="N26" s="122" t="s">
        <v>30</v>
      </c>
    </row>
    <row r="27" spans="2:14" s="9" customFormat="1" hidden="1" x14ac:dyDescent="0.25">
      <c r="B27" s="120">
        <v>24</v>
      </c>
      <c r="C27" s="122">
        <v>20601755522</v>
      </c>
      <c r="D27" s="125" t="s">
        <v>8603</v>
      </c>
      <c r="E27" s="125" t="s">
        <v>8604</v>
      </c>
      <c r="F27" s="122" t="s">
        <v>30</v>
      </c>
      <c r="G27" s="122" t="s">
        <v>30</v>
      </c>
      <c r="H27" s="122" t="s">
        <v>43</v>
      </c>
      <c r="I27" s="125" t="s">
        <v>1377</v>
      </c>
      <c r="J27" s="129" t="s">
        <v>8605</v>
      </c>
      <c r="K27" s="122" t="s">
        <v>8606</v>
      </c>
      <c r="L27" s="122" t="s">
        <v>42</v>
      </c>
      <c r="M27" s="133" t="s">
        <v>8607</v>
      </c>
      <c r="N27" s="122" t="s">
        <v>30</v>
      </c>
    </row>
    <row r="28" spans="2:14" s="9" customFormat="1" hidden="1" x14ac:dyDescent="0.25">
      <c r="B28" s="120">
        <v>25</v>
      </c>
      <c r="C28" s="122">
        <v>20603223137</v>
      </c>
      <c r="D28" s="125" t="s">
        <v>8598</v>
      </c>
      <c r="E28" s="125" t="s">
        <v>8599</v>
      </c>
      <c r="F28" s="122" t="s">
        <v>30</v>
      </c>
      <c r="G28" s="122" t="s">
        <v>30</v>
      </c>
      <c r="H28" s="122" t="s">
        <v>51</v>
      </c>
      <c r="I28" s="125" t="s">
        <v>1424</v>
      </c>
      <c r="J28" s="129" t="s">
        <v>8600</v>
      </c>
      <c r="K28" s="122" t="s">
        <v>8601</v>
      </c>
      <c r="L28" s="122" t="s">
        <v>42</v>
      </c>
      <c r="M28" s="133" t="s">
        <v>8602</v>
      </c>
      <c r="N28" s="122" t="s">
        <v>30</v>
      </c>
    </row>
    <row r="29" spans="2:14" s="9" customFormat="1" hidden="1" x14ac:dyDescent="0.25">
      <c r="B29" s="120">
        <v>26</v>
      </c>
      <c r="C29" s="122">
        <v>20608893246</v>
      </c>
      <c r="D29" s="125" t="s">
        <v>8594</v>
      </c>
      <c r="E29" s="125" t="s">
        <v>8595</v>
      </c>
      <c r="F29" s="122" t="s">
        <v>30</v>
      </c>
      <c r="G29" s="122" t="s">
        <v>30</v>
      </c>
      <c r="H29" s="122" t="s">
        <v>30</v>
      </c>
      <c r="I29" s="125" t="s">
        <v>1424</v>
      </c>
      <c r="J29" s="129" t="s">
        <v>8596</v>
      </c>
      <c r="K29" s="122" t="s">
        <v>8597</v>
      </c>
      <c r="L29" s="122" t="s">
        <v>1577</v>
      </c>
      <c r="M29" s="133" t="s">
        <v>845</v>
      </c>
      <c r="N29" s="122" t="s">
        <v>845</v>
      </c>
    </row>
    <row r="30" spans="2:14" s="9" customFormat="1" hidden="1" x14ac:dyDescent="0.25">
      <c r="B30" s="120">
        <v>27</v>
      </c>
      <c r="C30" s="122">
        <v>20603068085</v>
      </c>
      <c r="D30" s="125" t="s">
        <v>8589</v>
      </c>
      <c r="E30" s="125" t="s">
        <v>8590</v>
      </c>
      <c r="F30" s="122" t="s">
        <v>30</v>
      </c>
      <c r="G30" s="122" t="s">
        <v>30</v>
      </c>
      <c r="H30" s="122" t="s">
        <v>88</v>
      </c>
      <c r="I30" s="125" t="s">
        <v>1447</v>
      </c>
      <c r="J30" s="129" t="s">
        <v>8591</v>
      </c>
      <c r="K30" s="122" t="s">
        <v>8592</v>
      </c>
      <c r="L30" s="122" t="s">
        <v>42</v>
      </c>
      <c r="M30" s="133" t="s">
        <v>8593</v>
      </c>
      <c r="N30" s="122" t="s">
        <v>30</v>
      </c>
    </row>
    <row r="31" spans="2:14" s="9" customFormat="1" hidden="1" x14ac:dyDescent="0.25">
      <c r="B31" s="120">
        <v>28</v>
      </c>
      <c r="C31" s="122">
        <v>20611295210</v>
      </c>
      <c r="D31" s="125" t="s">
        <v>8586</v>
      </c>
      <c r="E31" s="125" t="s">
        <v>8587</v>
      </c>
      <c r="F31" s="122" t="s">
        <v>30</v>
      </c>
      <c r="G31" s="122" t="s">
        <v>30</v>
      </c>
      <c r="H31" s="122" t="s">
        <v>60</v>
      </c>
      <c r="I31" s="125" t="s">
        <v>1394</v>
      </c>
      <c r="J31" s="129" t="s">
        <v>5682</v>
      </c>
      <c r="K31" s="122" t="s">
        <v>1975</v>
      </c>
      <c r="L31" s="122" t="s">
        <v>57</v>
      </c>
      <c r="M31" s="133" t="s">
        <v>8588</v>
      </c>
      <c r="N31" s="122" t="s">
        <v>30</v>
      </c>
    </row>
    <row r="32" spans="2:14" s="9" customFormat="1" hidden="1" x14ac:dyDescent="0.25">
      <c r="B32" s="120">
        <v>29</v>
      </c>
      <c r="C32" s="122">
        <v>20603427841</v>
      </c>
      <c r="D32" s="125" t="s">
        <v>8583</v>
      </c>
      <c r="E32" s="125" t="s">
        <v>8584</v>
      </c>
      <c r="F32" s="122" t="s">
        <v>30</v>
      </c>
      <c r="G32" s="122" t="s">
        <v>30</v>
      </c>
      <c r="H32" s="122" t="s">
        <v>38</v>
      </c>
      <c r="I32" s="125" t="s">
        <v>1964</v>
      </c>
      <c r="J32" s="129" t="s">
        <v>6550</v>
      </c>
      <c r="K32" s="122" t="s">
        <v>6551</v>
      </c>
      <c r="L32" s="122" t="s">
        <v>1577</v>
      </c>
      <c r="M32" s="133" t="s">
        <v>8585</v>
      </c>
      <c r="N32" s="122" t="s">
        <v>30</v>
      </c>
    </row>
    <row r="33" spans="1:14" s="9" customFormat="1" hidden="1" x14ac:dyDescent="0.25">
      <c r="B33" s="120">
        <v>30</v>
      </c>
      <c r="C33" s="122">
        <v>20604072361</v>
      </c>
      <c r="D33" s="125" t="s">
        <v>8578</v>
      </c>
      <c r="E33" s="125" t="s">
        <v>8579</v>
      </c>
      <c r="F33" s="122" t="s">
        <v>30</v>
      </c>
      <c r="G33" s="122" t="s">
        <v>30</v>
      </c>
      <c r="H33" s="122" t="s">
        <v>51</v>
      </c>
      <c r="I33" s="125" t="s">
        <v>1962</v>
      </c>
      <c r="J33" s="129" t="s">
        <v>8580</v>
      </c>
      <c r="K33" s="122" t="s">
        <v>8581</v>
      </c>
      <c r="L33" s="122" t="s">
        <v>731</v>
      </c>
      <c r="M33" s="133" t="s">
        <v>8582</v>
      </c>
      <c r="N33" s="122" t="s">
        <v>30</v>
      </c>
    </row>
    <row r="34" spans="1:14" s="9" customFormat="1" hidden="1" x14ac:dyDescent="0.25">
      <c r="A34" s="138"/>
      <c r="B34" s="120">
        <v>31</v>
      </c>
      <c r="C34" s="122">
        <v>20545895065</v>
      </c>
      <c r="D34" s="125" t="s">
        <v>8571</v>
      </c>
      <c r="E34" s="125" t="s">
        <v>8572</v>
      </c>
      <c r="F34" s="122" t="s">
        <v>30</v>
      </c>
      <c r="G34" s="122" t="s">
        <v>30</v>
      </c>
      <c r="H34" s="122" t="s">
        <v>72</v>
      </c>
      <c r="I34" s="125" t="s">
        <v>1961</v>
      </c>
      <c r="J34" s="129" t="s">
        <v>8576</v>
      </c>
      <c r="K34" s="122" t="s">
        <v>8577</v>
      </c>
      <c r="L34" s="122" t="s">
        <v>731</v>
      </c>
      <c r="M34" s="133" t="s">
        <v>8575</v>
      </c>
      <c r="N34" s="122" t="s">
        <v>30</v>
      </c>
    </row>
    <row r="35" spans="1:14" s="9" customFormat="1" hidden="1" x14ac:dyDescent="0.25">
      <c r="A35" s="138"/>
      <c r="B35" s="120">
        <v>32</v>
      </c>
      <c r="C35" s="122">
        <v>20545895065</v>
      </c>
      <c r="D35" s="125" t="s">
        <v>8571</v>
      </c>
      <c r="E35" s="125" t="s">
        <v>8572</v>
      </c>
      <c r="F35" s="122" t="s">
        <v>30</v>
      </c>
      <c r="G35" s="122" t="s">
        <v>30</v>
      </c>
      <c r="H35" s="122" t="s">
        <v>72</v>
      </c>
      <c r="I35" s="125" t="s">
        <v>1961</v>
      </c>
      <c r="J35" s="129" t="s">
        <v>8573</v>
      </c>
      <c r="K35" s="122" t="s">
        <v>8574</v>
      </c>
      <c r="L35" s="122" t="s">
        <v>1558</v>
      </c>
      <c r="M35" s="133" t="s">
        <v>8575</v>
      </c>
      <c r="N35" s="122" t="s">
        <v>30</v>
      </c>
    </row>
    <row r="36" spans="1:14" s="9" customFormat="1" hidden="1" x14ac:dyDescent="0.25">
      <c r="B36" s="120">
        <v>33</v>
      </c>
      <c r="C36" s="122">
        <v>20505705760</v>
      </c>
      <c r="D36" s="125" t="s">
        <v>8566</v>
      </c>
      <c r="E36" s="125" t="s">
        <v>8567</v>
      </c>
      <c r="F36" s="122" t="s">
        <v>30</v>
      </c>
      <c r="G36" s="122" t="s">
        <v>30</v>
      </c>
      <c r="H36" s="122" t="s">
        <v>30</v>
      </c>
      <c r="I36" s="125" t="s">
        <v>1365</v>
      </c>
      <c r="J36" s="129" t="s">
        <v>8568</v>
      </c>
      <c r="K36" s="122" t="s">
        <v>8569</v>
      </c>
      <c r="L36" s="122" t="s">
        <v>42</v>
      </c>
      <c r="M36" s="133" t="s">
        <v>8570</v>
      </c>
      <c r="N36" s="122" t="s">
        <v>30</v>
      </c>
    </row>
    <row r="37" spans="1:14" s="9" customFormat="1" hidden="1" x14ac:dyDescent="0.25">
      <c r="B37" s="120">
        <v>34</v>
      </c>
      <c r="C37" s="122">
        <v>20611611596</v>
      </c>
      <c r="D37" s="125" t="s">
        <v>8470</v>
      </c>
      <c r="E37" s="125" t="s">
        <v>8471</v>
      </c>
      <c r="F37" s="122" t="s">
        <v>30</v>
      </c>
      <c r="G37" s="122" t="s">
        <v>30</v>
      </c>
      <c r="H37" s="122" t="s">
        <v>30</v>
      </c>
      <c r="I37" s="125" t="s">
        <v>1365</v>
      </c>
      <c r="J37" s="129" t="s">
        <v>8472</v>
      </c>
      <c r="K37" s="122" t="s">
        <v>8473</v>
      </c>
      <c r="L37" s="122" t="s">
        <v>731</v>
      </c>
      <c r="M37" s="133" t="s">
        <v>845</v>
      </c>
      <c r="N37" s="122" t="s">
        <v>845</v>
      </c>
    </row>
    <row r="38" spans="1:14" s="9" customFormat="1" hidden="1" x14ac:dyDescent="0.25">
      <c r="B38" s="120">
        <v>35</v>
      </c>
      <c r="C38" s="122">
        <v>20609525861</v>
      </c>
      <c r="D38" s="125" t="s">
        <v>4607</v>
      </c>
      <c r="E38" s="125" t="s">
        <v>4608</v>
      </c>
      <c r="F38" s="122" t="s">
        <v>30</v>
      </c>
      <c r="G38" s="122" t="s">
        <v>48</v>
      </c>
      <c r="H38" s="122" t="s">
        <v>705</v>
      </c>
      <c r="I38" s="125" t="s">
        <v>1398</v>
      </c>
      <c r="J38" s="129" t="s">
        <v>8467</v>
      </c>
      <c r="K38" s="122" t="s">
        <v>8468</v>
      </c>
      <c r="L38" s="122" t="s">
        <v>731</v>
      </c>
      <c r="M38" s="133" t="s">
        <v>8469</v>
      </c>
      <c r="N38" s="122" t="s">
        <v>30</v>
      </c>
    </row>
    <row r="39" spans="1:14" s="9" customFormat="1" hidden="1" x14ac:dyDescent="0.25">
      <c r="B39" s="120">
        <v>36</v>
      </c>
      <c r="C39" s="122">
        <v>10724401002</v>
      </c>
      <c r="D39" s="125" t="s">
        <v>8464</v>
      </c>
      <c r="E39" s="125" t="s">
        <v>8466</v>
      </c>
      <c r="F39" s="122" t="s">
        <v>67</v>
      </c>
      <c r="G39" s="122" t="s">
        <v>67</v>
      </c>
      <c r="H39" s="122" t="s">
        <v>94</v>
      </c>
      <c r="I39" s="125" t="s">
        <v>1424</v>
      </c>
      <c r="J39" s="129" t="s">
        <v>8465</v>
      </c>
      <c r="K39" s="122" t="s">
        <v>8464</v>
      </c>
      <c r="L39" s="122" t="s">
        <v>100</v>
      </c>
      <c r="M39" s="133" t="s">
        <v>845</v>
      </c>
      <c r="N39" s="122" t="s">
        <v>845</v>
      </c>
    </row>
    <row r="40" spans="1:14" s="9" customFormat="1" hidden="1" x14ac:dyDescent="0.25">
      <c r="B40" s="120">
        <v>37</v>
      </c>
      <c r="C40" s="122">
        <v>20478734957</v>
      </c>
      <c r="D40" s="125" t="s">
        <v>5294</v>
      </c>
      <c r="E40" s="125" t="s">
        <v>8460</v>
      </c>
      <c r="F40" s="122" t="s">
        <v>30</v>
      </c>
      <c r="G40" s="122" t="s">
        <v>30</v>
      </c>
      <c r="H40" s="122" t="s">
        <v>50</v>
      </c>
      <c r="I40" s="125" t="s">
        <v>1841</v>
      </c>
      <c r="J40" s="129" t="s">
        <v>8461</v>
      </c>
      <c r="K40" s="122" t="s">
        <v>8462</v>
      </c>
      <c r="L40" s="122" t="s">
        <v>42</v>
      </c>
      <c r="M40" s="133" t="s">
        <v>8463</v>
      </c>
      <c r="N40" s="122" t="s">
        <v>30</v>
      </c>
    </row>
    <row r="41" spans="1:14" s="9" customFormat="1" hidden="1" x14ac:dyDescent="0.25">
      <c r="B41" s="120">
        <v>38</v>
      </c>
      <c r="C41" s="122">
        <v>20609267381</v>
      </c>
      <c r="D41" s="125" t="s">
        <v>8455</v>
      </c>
      <c r="E41" s="125" t="s">
        <v>8456</v>
      </c>
      <c r="F41" s="122" t="s">
        <v>30</v>
      </c>
      <c r="G41" s="122" t="s">
        <v>30</v>
      </c>
      <c r="H41" s="122" t="s">
        <v>60</v>
      </c>
      <c r="I41" s="125" t="s">
        <v>2446</v>
      </c>
      <c r="J41" s="129" t="s">
        <v>8457</v>
      </c>
      <c r="K41" s="122" t="s">
        <v>8458</v>
      </c>
      <c r="L41" s="122" t="s">
        <v>42</v>
      </c>
      <c r="M41" s="133" t="s">
        <v>8459</v>
      </c>
      <c r="N41" s="122" t="s">
        <v>30</v>
      </c>
    </row>
    <row r="42" spans="1:14" s="9" customFormat="1" hidden="1" x14ac:dyDescent="0.25">
      <c r="B42" s="120">
        <v>39</v>
      </c>
      <c r="C42" s="122">
        <v>20557428471</v>
      </c>
      <c r="D42" s="125" t="s">
        <v>8450</v>
      </c>
      <c r="E42" s="125" t="s">
        <v>8451</v>
      </c>
      <c r="F42" s="122" t="s">
        <v>30</v>
      </c>
      <c r="G42" s="122" t="s">
        <v>30</v>
      </c>
      <c r="H42" s="122" t="s">
        <v>58</v>
      </c>
      <c r="I42" s="125" t="s">
        <v>1384</v>
      </c>
      <c r="J42" s="129" t="s">
        <v>8452</v>
      </c>
      <c r="K42" s="122" t="s">
        <v>8453</v>
      </c>
      <c r="L42" s="122" t="s">
        <v>57</v>
      </c>
      <c r="M42" s="133" t="s">
        <v>8454</v>
      </c>
      <c r="N42" s="122" t="s">
        <v>30</v>
      </c>
    </row>
    <row r="43" spans="1:14" s="9" customFormat="1" hidden="1" x14ac:dyDescent="0.25">
      <c r="B43" s="120">
        <v>40</v>
      </c>
      <c r="C43" s="122">
        <v>20603363231</v>
      </c>
      <c r="D43" s="125" t="s">
        <v>8445</v>
      </c>
      <c r="E43" s="125" t="s">
        <v>8446</v>
      </c>
      <c r="F43" s="122" t="s">
        <v>30</v>
      </c>
      <c r="G43" s="122" t="s">
        <v>30</v>
      </c>
      <c r="H43" s="122" t="s">
        <v>45</v>
      </c>
      <c r="I43" s="125" t="s">
        <v>1377</v>
      </c>
      <c r="J43" s="129" t="s">
        <v>8447</v>
      </c>
      <c r="K43" s="122" t="s">
        <v>8448</v>
      </c>
      <c r="L43" s="122" t="s">
        <v>57</v>
      </c>
      <c r="M43" s="133" t="s">
        <v>8449</v>
      </c>
      <c r="N43" s="122" t="s">
        <v>30</v>
      </c>
    </row>
    <row r="44" spans="1:14" s="9" customFormat="1" hidden="1" x14ac:dyDescent="0.25">
      <c r="B44" s="120">
        <v>41</v>
      </c>
      <c r="C44" s="122">
        <v>20603257121</v>
      </c>
      <c r="D44" s="125" t="s">
        <v>8440</v>
      </c>
      <c r="E44" s="125" t="s">
        <v>8441</v>
      </c>
      <c r="F44" s="122" t="s">
        <v>30</v>
      </c>
      <c r="G44" s="122" t="s">
        <v>30</v>
      </c>
      <c r="H44" s="122" t="s">
        <v>35</v>
      </c>
      <c r="I44" s="125" t="s">
        <v>1450</v>
      </c>
      <c r="J44" s="129" t="s">
        <v>8442</v>
      </c>
      <c r="K44" s="122" t="s">
        <v>8443</v>
      </c>
      <c r="L44" s="122" t="s">
        <v>42</v>
      </c>
      <c r="M44" s="133" t="s">
        <v>8444</v>
      </c>
      <c r="N44" s="122" t="s">
        <v>30</v>
      </c>
    </row>
    <row r="45" spans="1:14" s="9" customFormat="1" hidden="1" x14ac:dyDescent="0.25">
      <c r="B45" s="120">
        <v>42</v>
      </c>
      <c r="C45" s="122">
        <v>20607677833</v>
      </c>
      <c r="D45" s="125" t="s">
        <v>8435</v>
      </c>
      <c r="E45" s="125" t="s">
        <v>8436</v>
      </c>
      <c r="F45" s="122" t="s">
        <v>30</v>
      </c>
      <c r="G45" s="122" t="s">
        <v>30</v>
      </c>
      <c r="H45" s="122" t="s">
        <v>30</v>
      </c>
      <c r="I45" s="125" t="s">
        <v>1384</v>
      </c>
      <c r="J45" s="129" t="s">
        <v>8437</v>
      </c>
      <c r="K45" s="122" t="s">
        <v>8438</v>
      </c>
      <c r="L45" s="122" t="s">
        <v>731</v>
      </c>
      <c r="M45" s="133" t="s">
        <v>8439</v>
      </c>
      <c r="N45" s="122" t="s">
        <v>30</v>
      </c>
    </row>
    <row r="46" spans="1:14" s="9" customFormat="1" hidden="1" x14ac:dyDescent="0.25">
      <c r="B46" s="120">
        <v>43</v>
      </c>
      <c r="C46" s="122">
        <v>20557164554</v>
      </c>
      <c r="D46" s="125" t="s">
        <v>8430</v>
      </c>
      <c r="E46" s="125" t="s">
        <v>8431</v>
      </c>
      <c r="F46" s="122" t="s">
        <v>30</v>
      </c>
      <c r="G46" s="122" t="s">
        <v>30</v>
      </c>
      <c r="H46" s="122" t="s">
        <v>40</v>
      </c>
      <c r="I46" s="125" t="s">
        <v>1931</v>
      </c>
      <c r="J46" s="129" t="s">
        <v>8432</v>
      </c>
      <c r="K46" s="122" t="s">
        <v>8433</v>
      </c>
      <c r="L46" s="122" t="s">
        <v>42</v>
      </c>
      <c r="M46" s="133" t="s">
        <v>8434</v>
      </c>
      <c r="N46" s="122" t="s">
        <v>30</v>
      </c>
    </row>
    <row r="47" spans="1:14" s="9" customFormat="1" hidden="1" x14ac:dyDescent="0.25">
      <c r="B47" s="120">
        <v>44</v>
      </c>
      <c r="C47" s="122">
        <v>20611773103</v>
      </c>
      <c r="D47" s="125" t="s">
        <v>8426</v>
      </c>
      <c r="E47" s="125" t="s">
        <v>8427</v>
      </c>
      <c r="F47" s="122" t="s">
        <v>30</v>
      </c>
      <c r="G47" s="122" t="s">
        <v>30</v>
      </c>
      <c r="H47" s="122" t="s">
        <v>80</v>
      </c>
      <c r="I47" s="125" t="s">
        <v>1447</v>
      </c>
      <c r="J47" s="129" t="s">
        <v>2675</v>
      </c>
      <c r="K47" s="122" t="s">
        <v>8428</v>
      </c>
      <c r="L47" s="122" t="s">
        <v>731</v>
      </c>
      <c r="M47" s="133" t="s">
        <v>8429</v>
      </c>
      <c r="N47" s="122" t="s">
        <v>30</v>
      </c>
    </row>
    <row r="48" spans="1:14" s="9" customFormat="1" hidden="1" x14ac:dyDescent="0.25">
      <c r="B48" s="120">
        <v>45</v>
      </c>
      <c r="C48" s="122">
        <v>20607120359</v>
      </c>
      <c r="D48" s="125" t="s">
        <v>8420</v>
      </c>
      <c r="E48" s="125" t="s">
        <v>8421</v>
      </c>
      <c r="F48" s="122" t="s">
        <v>30</v>
      </c>
      <c r="G48" s="122" t="s">
        <v>30</v>
      </c>
      <c r="H48" s="122" t="s">
        <v>43</v>
      </c>
      <c r="I48" s="125" t="s">
        <v>8422</v>
      </c>
      <c r="J48" s="129" t="s">
        <v>8423</v>
      </c>
      <c r="K48" s="122" t="s">
        <v>8424</v>
      </c>
      <c r="L48" s="122" t="s">
        <v>1577</v>
      </c>
      <c r="M48" s="133" t="s">
        <v>8425</v>
      </c>
      <c r="N48" s="122" t="s">
        <v>30</v>
      </c>
    </row>
    <row r="49" spans="2:14" s="9" customFormat="1" hidden="1" x14ac:dyDescent="0.25">
      <c r="B49" s="120">
        <v>46</v>
      </c>
      <c r="C49" s="122">
        <v>20609950570</v>
      </c>
      <c r="D49" s="125" t="s">
        <v>8415</v>
      </c>
      <c r="E49" s="125" t="s">
        <v>8416</v>
      </c>
      <c r="F49" s="122" t="s">
        <v>30</v>
      </c>
      <c r="G49" s="122" t="s">
        <v>30</v>
      </c>
      <c r="H49" s="122" t="s">
        <v>30</v>
      </c>
      <c r="I49" s="125" t="s">
        <v>1965</v>
      </c>
      <c r="J49" s="129" t="s">
        <v>8417</v>
      </c>
      <c r="K49" s="122" t="s">
        <v>8418</v>
      </c>
      <c r="L49" s="122" t="s">
        <v>42</v>
      </c>
      <c r="M49" s="133" t="s">
        <v>8419</v>
      </c>
      <c r="N49" s="122" t="s">
        <v>30</v>
      </c>
    </row>
    <row r="50" spans="2:14" s="9" customFormat="1" hidden="1" x14ac:dyDescent="0.25">
      <c r="B50" s="120">
        <v>47</v>
      </c>
      <c r="C50" s="122">
        <v>20602381162</v>
      </c>
      <c r="D50" s="125" t="s">
        <v>8410</v>
      </c>
      <c r="E50" s="125" t="s">
        <v>8411</v>
      </c>
      <c r="F50" s="122" t="s">
        <v>30</v>
      </c>
      <c r="G50" s="122" t="s">
        <v>30</v>
      </c>
      <c r="H50" s="122" t="s">
        <v>30</v>
      </c>
      <c r="I50" s="125" t="s">
        <v>1377</v>
      </c>
      <c r="J50" s="129" t="s">
        <v>8412</v>
      </c>
      <c r="K50" s="122" t="s">
        <v>8413</v>
      </c>
      <c r="L50" s="122" t="s">
        <v>42</v>
      </c>
      <c r="M50" s="133" t="s">
        <v>8414</v>
      </c>
      <c r="N50" s="122" t="s">
        <v>30</v>
      </c>
    </row>
    <row r="51" spans="2:14" s="9" customFormat="1" hidden="1" x14ac:dyDescent="0.25">
      <c r="B51" s="120">
        <v>48</v>
      </c>
      <c r="C51" s="122">
        <v>10721405902</v>
      </c>
      <c r="D51" s="125" t="s">
        <v>5165</v>
      </c>
      <c r="E51" s="125" t="s">
        <v>8409</v>
      </c>
      <c r="F51" s="122" t="s">
        <v>30</v>
      </c>
      <c r="G51" s="122" t="s">
        <v>30</v>
      </c>
      <c r="H51" s="122" t="s">
        <v>58</v>
      </c>
      <c r="I51" s="125" t="s">
        <v>1507</v>
      </c>
      <c r="J51" s="129" t="s">
        <v>8408</v>
      </c>
      <c r="K51" s="122" t="s">
        <v>5165</v>
      </c>
      <c r="L51" s="122" t="s">
        <v>100</v>
      </c>
      <c r="M51" s="133" t="s">
        <v>845</v>
      </c>
      <c r="N51" s="122" t="s">
        <v>845</v>
      </c>
    </row>
    <row r="52" spans="2:14" s="9" customFormat="1" hidden="1" x14ac:dyDescent="0.25">
      <c r="B52" s="120">
        <v>49</v>
      </c>
      <c r="C52" s="122">
        <v>20566373468</v>
      </c>
      <c r="D52" s="125" t="s">
        <v>8403</v>
      </c>
      <c r="E52" s="125" t="s">
        <v>8404</v>
      </c>
      <c r="F52" s="122" t="s">
        <v>30</v>
      </c>
      <c r="G52" s="122" t="s">
        <v>30</v>
      </c>
      <c r="H52" s="122" t="s">
        <v>72</v>
      </c>
      <c r="I52" s="125" t="s">
        <v>1941</v>
      </c>
      <c r="J52" s="129" t="s">
        <v>8405</v>
      </c>
      <c r="K52" s="122" t="s">
        <v>8406</v>
      </c>
      <c r="L52" s="122" t="s">
        <v>57</v>
      </c>
      <c r="M52" s="133" t="s">
        <v>8407</v>
      </c>
      <c r="N52" s="122" t="s">
        <v>30</v>
      </c>
    </row>
    <row r="53" spans="2:14" s="9" customFormat="1" hidden="1" x14ac:dyDescent="0.25">
      <c r="B53" s="120">
        <v>50</v>
      </c>
      <c r="C53" s="122">
        <v>20250122323</v>
      </c>
      <c r="D53" s="125" t="s">
        <v>8394</v>
      </c>
      <c r="E53" s="125" t="s">
        <v>8395</v>
      </c>
      <c r="F53" s="122" t="s">
        <v>30</v>
      </c>
      <c r="G53" s="122" t="s">
        <v>30</v>
      </c>
      <c r="H53" s="122" t="s">
        <v>135</v>
      </c>
      <c r="I53" s="125" t="s">
        <v>1957</v>
      </c>
      <c r="J53" s="129" t="s">
        <v>8401</v>
      </c>
      <c r="K53" s="122" t="s">
        <v>8402</v>
      </c>
      <c r="L53" s="122" t="s">
        <v>209</v>
      </c>
      <c r="M53" s="133" t="s">
        <v>8398</v>
      </c>
      <c r="N53" s="122" t="s">
        <v>30</v>
      </c>
    </row>
    <row r="54" spans="2:14" s="9" customFormat="1" hidden="1" x14ac:dyDescent="0.25">
      <c r="B54" s="120">
        <v>51</v>
      </c>
      <c r="C54" s="122">
        <v>20250122323</v>
      </c>
      <c r="D54" s="125" t="s">
        <v>8394</v>
      </c>
      <c r="E54" s="125" t="s">
        <v>8395</v>
      </c>
      <c r="F54" s="122" t="s">
        <v>30</v>
      </c>
      <c r="G54" s="122" t="s">
        <v>30</v>
      </c>
      <c r="H54" s="122" t="s">
        <v>135</v>
      </c>
      <c r="I54" s="125" t="s">
        <v>1957</v>
      </c>
      <c r="J54" s="129" t="s">
        <v>8399</v>
      </c>
      <c r="K54" s="122" t="s">
        <v>8400</v>
      </c>
      <c r="L54" s="122" t="s">
        <v>731</v>
      </c>
      <c r="M54" s="133" t="s">
        <v>8398</v>
      </c>
      <c r="N54" s="122" t="s">
        <v>30</v>
      </c>
    </row>
    <row r="55" spans="2:14" s="9" customFormat="1" hidden="1" x14ac:dyDescent="0.25">
      <c r="B55" s="120">
        <v>52</v>
      </c>
      <c r="C55" s="122">
        <v>20250122323</v>
      </c>
      <c r="D55" s="125" t="s">
        <v>8394</v>
      </c>
      <c r="E55" s="125" t="s">
        <v>8395</v>
      </c>
      <c r="F55" s="122" t="s">
        <v>30</v>
      </c>
      <c r="G55" s="122" t="s">
        <v>30</v>
      </c>
      <c r="H55" s="122" t="s">
        <v>135</v>
      </c>
      <c r="I55" s="125" t="s">
        <v>1957</v>
      </c>
      <c r="J55" s="129" t="s">
        <v>8396</v>
      </c>
      <c r="K55" s="122" t="s">
        <v>8397</v>
      </c>
      <c r="L55" s="122" t="s">
        <v>1803</v>
      </c>
      <c r="M55" s="133" t="s">
        <v>8398</v>
      </c>
      <c r="N55" s="122" t="s">
        <v>30</v>
      </c>
    </row>
    <row r="56" spans="2:14" s="9" customFormat="1" hidden="1" x14ac:dyDescent="0.25">
      <c r="B56" s="120">
        <v>53</v>
      </c>
      <c r="C56" s="122">
        <v>20607113573</v>
      </c>
      <c r="D56" s="125" t="s">
        <v>3440</v>
      </c>
      <c r="E56" s="125" t="s">
        <v>8390</v>
      </c>
      <c r="F56" s="122" t="s">
        <v>67</v>
      </c>
      <c r="G56" s="122" t="s">
        <v>67</v>
      </c>
      <c r="H56" s="122" t="s">
        <v>81</v>
      </c>
      <c r="I56" s="125" t="s">
        <v>1394</v>
      </c>
      <c r="J56" s="129" t="s">
        <v>3441</v>
      </c>
      <c r="K56" s="122" t="s">
        <v>8391</v>
      </c>
      <c r="L56" s="122" t="s">
        <v>731</v>
      </c>
      <c r="M56" s="133" t="s">
        <v>3442</v>
      </c>
      <c r="N56" s="122" t="s">
        <v>286</v>
      </c>
    </row>
    <row r="57" spans="2:14" s="9" customFormat="1" hidden="1" x14ac:dyDescent="0.25">
      <c r="B57" s="120">
        <v>54</v>
      </c>
      <c r="C57" s="122">
        <v>20609429594</v>
      </c>
      <c r="D57" s="125" t="s">
        <v>8385</v>
      </c>
      <c r="E57" s="125" t="s">
        <v>8386</v>
      </c>
      <c r="F57" s="122" t="s">
        <v>30</v>
      </c>
      <c r="G57" s="122" t="s">
        <v>30</v>
      </c>
      <c r="H57" s="122" t="s">
        <v>51</v>
      </c>
      <c r="I57" s="125" t="s">
        <v>1377</v>
      </c>
      <c r="J57" s="129" t="s">
        <v>8387</v>
      </c>
      <c r="K57" s="122" t="s">
        <v>8388</v>
      </c>
      <c r="L57" s="122" t="s">
        <v>42</v>
      </c>
      <c r="M57" s="133" t="s">
        <v>8389</v>
      </c>
      <c r="N57" s="122" t="s">
        <v>30</v>
      </c>
    </row>
    <row r="58" spans="2:14" s="9" customFormat="1" hidden="1" x14ac:dyDescent="0.25">
      <c r="B58" s="120">
        <v>55</v>
      </c>
      <c r="C58" s="122">
        <v>20602227589</v>
      </c>
      <c r="D58" s="125" t="s">
        <v>8380</v>
      </c>
      <c r="E58" s="125" t="s">
        <v>8381</v>
      </c>
      <c r="F58" s="122" t="s">
        <v>30</v>
      </c>
      <c r="G58" s="122" t="s">
        <v>30</v>
      </c>
      <c r="H58" s="122" t="s">
        <v>152</v>
      </c>
      <c r="I58" s="125" t="s">
        <v>1394</v>
      </c>
      <c r="J58" s="129" t="s">
        <v>8382</v>
      </c>
      <c r="K58" s="122" t="s">
        <v>8383</v>
      </c>
      <c r="L58" s="122" t="s">
        <v>42</v>
      </c>
      <c r="M58" s="133" t="s">
        <v>8384</v>
      </c>
      <c r="N58" s="122" t="s">
        <v>30</v>
      </c>
    </row>
    <row r="59" spans="2:14" s="9" customFormat="1" hidden="1" x14ac:dyDescent="0.25">
      <c r="B59" s="120">
        <v>56</v>
      </c>
      <c r="C59" s="122">
        <v>20610853766</v>
      </c>
      <c r="D59" s="125" t="s">
        <v>8375</v>
      </c>
      <c r="E59" s="125" t="s">
        <v>8376</v>
      </c>
      <c r="F59" s="122" t="s">
        <v>67</v>
      </c>
      <c r="G59" s="122" t="s">
        <v>67</v>
      </c>
      <c r="H59" s="122" t="s">
        <v>67</v>
      </c>
      <c r="I59" s="125" t="s">
        <v>1412</v>
      </c>
      <c r="J59" s="129" t="s">
        <v>8377</v>
      </c>
      <c r="K59" s="122" t="s">
        <v>8378</v>
      </c>
      <c r="L59" s="122" t="s">
        <v>42</v>
      </c>
      <c r="M59" s="133" t="s">
        <v>8379</v>
      </c>
      <c r="N59" s="122" t="s">
        <v>67</v>
      </c>
    </row>
    <row r="60" spans="2:14" s="9" customFormat="1" hidden="1" x14ac:dyDescent="0.25">
      <c r="B60" s="120">
        <v>57</v>
      </c>
      <c r="C60" s="122">
        <v>20556771155</v>
      </c>
      <c r="D60" s="125" t="s">
        <v>8370</v>
      </c>
      <c r="E60" s="125" t="s">
        <v>8371</v>
      </c>
      <c r="F60" s="122" t="s">
        <v>30</v>
      </c>
      <c r="G60" s="122" t="s">
        <v>30</v>
      </c>
      <c r="H60" s="122" t="s">
        <v>40</v>
      </c>
      <c r="I60" s="125" t="s">
        <v>1706</v>
      </c>
      <c r="J60" s="129" t="s">
        <v>8372</v>
      </c>
      <c r="K60" s="122" t="s">
        <v>8373</v>
      </c>
      <c r="L60" s="122" t="s">
        <v>1577</v>
      </c>
      <c r="M60" s="133" t="s">
        <v>8374</v>
      </c>
      <c r="N60" s="122" t="s">
        <v>30</v>
      </c>
    </row>
    <row r="61" spans="2:14" s="9" customFormat="1" hidden="1" x14ac:dyDescent="0.25">
      <c r="B61" s="120">
        <v>58</v>
      </c>
      <c r="C61" s="122">
        <v>20601284261</v>
      </c>
      <c r="D61" s="125" t="s">
        <v>6231</v>
      </c>
      <c r="E61" s="125" t="s">
        <v>6232</v>
      </c>
      <c r="F61" s="122" t="s">
        <v>30</v>
      </c>
      <c r="G61" s="122" t="s">
        <v>30</v>
      </c>
      <c r="H61" s="122" t="s">
        <v>40</v>
      </c>
      <c r="I61" s="125" t="s">
        <v>1595</v>
      </c>
      <c r="J61" s="129" t="s">
        <v>8367</v>
      </c>
      <c r="K61" s="122" t="s">
        <v>8368</v>
      </c>
      <c r="L61" s="122" t="s">
        <v>1577</v>
      </c>
      <c r="M61" s="133" t="s">
        <v>8369</v>
      </c>
      <c r="N61" s="122" t="s">
        <v>30</v>
      </c>
    </row>
    <row r="62" spans="2:14" s="9" customFormat="1" hidden="1" x14ac:dyDescent="0.25">
      <c r="B62" s="120">
        <v>59</v>
      </c>
      <c r="C62" s="122">
        <v>20512906584</v>
      </c>
      <c r="D62" s="125" t="s">
        <v>8358</v>
      </c>
      <c r="E62" s="125" t="s">
        <v>8359</v>
      </c>
      <c r="F62" s="122" t="s">
        <v>30</v>
      </c>
      <c r="G62" s="122" t="s">
        <v>30</v>
      </c>
      <c r="H62" s="122" t="s">
        <v>65</v>
      </c>
      <c r="I62" s="125" t="s">
        <v>5572</v>
      </c>
      <c r="J62" s="129" t="s">
        <v>8363</v>
      </c>
      <c r="K62" s="122" t="s">
        <v>8364</v>
      </c>
      <c r="L62" s="122" t="s">
        <v>76</v>
      </c>
      <c r="M62" s="133" t="s">
        <v>8362</v>
      </c>
      <c r="N62" s="122" t="s">
        <v>30</v>
      </c>
    </row>
    <row r="63" spans="2:14" s="9" customFormat="1" hidden="1" x14ac:dyDescent="0.25">
      <c r="B63" s="120">
        <v>60</v>
      </c>
      <c r="C63" s="122">
        <v>20512906584</v>
      </c>
      <c r="D63" s="125" t="s">
        <v>8358</v>
      </c>
      <c r="E63" s="125" t="s">
        <v>8359</v>
      </c>
      <c r="F63" s="122" t="s">
        <v>30</v>
      </c>
      <c r="G63" s="122" t="s">
        <v>30</v>
      </c>
      <c r="H63" s="122" t="s">
        <v>65</v>
      </c>
      <c r="I63" s="125" t="s">
        <v>5572</v>
      </c>
      <c r="J63" s="129" t="s">
        <v>8360</v>
      </c>
      <c r="K63" s="122" t="s">
        <v>8361</v>
      </c>
      <c r="L63" s="122" t="s">
        <v>42</v>
      </c>
      <c r="M63" s="133" t="s">
        <v>8362</v>
      </c>
      <c r="N63" s="122" t="s">
        <v>30</v>
      </c>
    </row>
    <row r="64" spans="2:14" s="9" customFormat="1" hidden="1" x14ac:dyDescent="0.25">
      <c r="B64" s="120">
        <v>61</v>
      </c>
      <c r="C64" s="122">
        <v>20606047941</v>
      </c>
      <c r="D64" s="125" t="s">
        <v>8353</v>
      </c>
      <c r="E64" s="125" t="s">
        <v>8354</v>
      </c>
      <c r="F64" s="122" t="s">
        <v>30</v>
      </c>
      <c r="G64" s="122" t="s">
        <v>30</v>
      </c>
      <c r="H64" s="122" t="s">
        <v>30</v>
      </c>
      <c r="I64" s="125" t="s">
        <v>1384</v>
      </c>
      <c r="J64" s="129" t="s">
        <v>8355</v>
      </c>
      <c r="K64" s="122" t="s">
        <v>8356</v>
      </c>
      <c r="L64" s="122" t="s">
        <v>57</v>
      </c>
      <c r="M64" s="133" t="s">
        <v>8357</v>
      </c>
      <c r="N64" s="122" t="s">
        <v>30</v>
      </c>
    </row>
    <row r="65" spans="2:14" s="9" customFormat="1" hidden="1" x14ac:dyDescent="0.25">
      <c r="B65" s="120">
        <v>62</v>
      </c>
      <c r="C65" s="122">
        <v>20521607581</v>
      </c>
      <c r="D65" s="125" t="s">
        <v>8346</v>
      </c>
      <c r="E65" s="125" t="s">
        <v>8347</v>
      </c>
      <c r="F65" s="122" t="s">
        <v>30</v>
      </c>
      <c r="G65" s="122" t="s">
        <v>30</v>
      </c>
      <c r="H65" s="122" t="s">
        <v>30</v>
      </c>
      <c r="I65" s="125" t="s">
        <v>1953</v>
      </c>
      <c r="J65" s="129" t="s">
        <v>8350</v>
      </c>
      <c r="K65" s="122" t="s">
        <v>8351</v>
      </c>
      <c r="L65" s="122" t="s">
        <v>209</v>
      </c>
      <c r="M65" s="133" t="s">
        <v>8352</v>
      </c>
      <c r="N65" s="122" t="s">
        <v>30</v>
      </c>
    </row>
    <row r="66" spans="2:14" s="9" customFormat="1" hidden="1" x14ac:dyDescent="0.25">
      <c r="B66" s="120">
        <v>63</v>
      </c>
      <c r="C66" s="122">
        <v>20521607581</v>
      </c>
      <c r="D66" s="125" t="s">
        <v>8346</v>
      </c>
      <c r="E66" s="125" t="s">
        <v>8347</v>
      </c>
      <c r="F66" s="122" t="s">
        <v>30</v>
      </c>
      <c r="G66" s="122" t="s">
        <v>30</v>
      </c>
      <c r="H66" s="122" t="s">
        <v>30</v>
      </c>
      <c r="I66" s="125" t="s">
        <v>1953</v>
      </c>
      <c r="J66" s="129" t="s">
        <v>8348</v>
      </c>
      <c r="K66" s="122" t="s">
        <v>8349</v>
      </c>
      <c r="L66" s="122" t="s">
        <v>42</v>
      </c>
      <c r="M66" s="133" t="s">
        <v>8352</v>
      </c>
      <c r="N66" s="122" t="s">
        <v>30</v>
      </c>
    </row>
    <row r="67" spans="2:14" s="9" customFormat="1" hidden="1" x14ac:dyDescent="0.25">
      <c r="B67" s="120">
        <v>64</v>
      </c>
      <c r="C67" s="122">
        <v>20546614876</v>
      </c>
      <c r="D67" s="125" t="s">
        <v>1099</v>
      </c>
      <c r="E67" s="125" t="s">
        <v>8343</v>
      </c>
      <c r="F67" s="122" t="s">
        <v>30</v>
      </c>
      <c r="G67" s="122" t="s">
        <v>30</v>
      </c>
      <c r="H67" s="122" t="s">
        <v>30</v>
      </c>
      <c r="I67" s="125" t="s">
        <v>1377</v>
      </c>
      <c r="J67" s="129" t="s">
        <v>8344</v>
      </c>
      <c r="K67" s="122" t="s">
        <v>8345</v>
      </c>
      <c r="L67" s="122" t="s">
        <v>57</v>
      </c>
      <c r="M67" s="133" t="s">
        <v>845</v>
      </c>
      <c r="N67" s="122" t="s">
        <v>845</v>
      </c>
    </row>
    <row r="68" spans="2:14" s="9" customFormat="1" hidden="1" x14ac:dyDescent="0.25">
      <c r="B68" s="120">
        <v>65</v>
      </c>
      <c r="C68" s="122">
        <v>20509571792</v>
      </c>
      <c r="D68" s="125" t="s">
        <v>8339</v>
      </c>
      <c r="E68" s="125" t="s">
        <v>8340</v>
      </c>
      <c r="F68" s="122" t="s">
        <v>30</v>
      </c>
      <c r="G68" s="122" t="s">
        <v>30</v>
      </c>
      <c r="H68" s="122" t="s">
        <v>72</v>
      </c>
      <c r="I68" s="125" t="s">
        <v>1441</v>
      </c>
      <c r="J68" s="129" t="s">
        <v>8341</v>
      </c>
      <c r="K68" s="122" t="s">
        <v>8342</v>
      </c>
      <c r="L68" s="122" t="s">
        <v>42</v>
      </c>
      <c r="M68" s="133" t="s">
        <v>845</v>
      </c>
      <c r="N68" s="122" t="s">
        <v>845</v>
      </c>
    </row>
    <row r="69" spans="2:14" s="9" customFormat="1" hidden="1" x14ac:dyDescent="0.25">
      <c r="B69" s="120">
        <v>66</v>
      </c>
      <c r="C69" s="122">
        <v>20601818079</v>
      </c>
      <c r="D69" s="125" t="s">
        <v>8334</v>
      </c>
      <c r="E69" s="125" t="s">
        <v>8335</v>
      </c>
      <c r="F69" s="122" t="s">
        <v>30</v>
      </c>
      <c r="G69" s="122" t="s">
        <v>30</v>
      </c>
      <c r="H69" s="122" t="s">
        <v>40</v>
      </c>
      <c r="I69" s="125" t="s">
        <v>1551</v>
      </c>
      <c r="J69" s="129" t="s">
        <v>8336</v>
      </c>
      <c r="K69" s="122" t="s">
        <v>8337</v>
      </c>
      <c r="L69" s="122" t="s">
        <v>42</v>
      </c>
      <c r="M69" s="133" t="s">
        <v>8338</v>
      </c>
      <c r="N69" s="122" t="s">
        <v>30</v>
      </c>
    </row>
    <row r="70" spans="2:14" s="9" customFormat="1" hidden="1" x14ac:dyDescent="0.25">
      <c r="B70" s="120">
        <v>67</v>
      </c>
      <c r="C70" s="122">
        <v>10077526710</v>
      </c>
      <c r="D70" s="125" t="s">
        <v>8277</v>
      </c>
      <c r="E70" s="125" t="s">
        <v>8276</v>
      </c>
      <c r="F70" s="122" t="s">
        <v>30</v>
      </c>
      <c r="G70" s="122" t="s">
        <v>30</v>
      </c>
      <c r="H70" s="122" t="s">
        <v>64</v>
      </c>
      <c r="I70" s="125" t="s">
        <v>1949</v>
      </c>
      <c r="J70" s="129" t="s">
        <v>8274</v>
      </c>
      <c r="K70" s="122" t="s">
        <v>8275</v>
      </c>
      <c r="L70" s="122" t="s">
        <v>100</v>
      </c>
      <c r="M70" s="133" t="s">
        <v>845</v>
      </c>
      <c r="N70" s="122" t="s">
        <v>845</v>
      </c>
    </row>
    <row r="71" spans="2:14" s="9" customFormat="1" hidden="1" x14ac:dyDescent="0.25">
      <c r="B71" s="120">
        <v>68</v>
      </c>
      <c r="C71" s="122">
        <v>20607124281</v>
      </c>
      <c r="D71" s="125" t="s">
        <v>8148</v>
      </c>
      <c r="E71" s="125" t="s">
        <v>8149</v>
      </c>
      <c r="F71" s="122" t="s">
        <v>30</v>
      </c>
      <c r="G71" s="122" t="s">
        <v>30</v>
      </c>
      <c r="H71" s="122" t="s">
        <v>127</v>
      </c>
      <c r="I71" s="125" t="s">
        <v>1938</v>
      </c>
      <c r="J71" s="129" t="s">
        <v>8150</v>
      </c>
      <c r="K71" s="122" t="s">
        <v>8151</v>
      </c>
      <c r="L71" s="122" t="s">
        <v>42</v>
      </c>
      <c r="M71" s="133" t="s">
        <v>845</v>
      </c>
      <c r="N71" s="122" t="s">
        <v>845</v>
      </c>
    </row>
    <row r="72" spans="2:14" s="9" customFormat="1" hidden="1" x14ac:dyDescent="0.25">
      <c r="B72" s="120">
        <v>69</v>
      </c>
      <c r="C72" s="122">
        <v>20600786181</v>
      </c>
      <c r="D72" s="125" t="s">
        <v>8143</v>
      </c>
      <c r="E72" s="125" t="s">
        <v>8144</v>
      </c>
      <c r="F72" s="122" t="s">
        <v>30</v>
      </c>
      <c r="G72" s="122" t="s">
        <v>30</v>
      </c>
      <c r="H72" s="122" t="s">
        <v>35</v>
      </c>
      <c r="I72" s="125" t="s">
        <v>1424</v>
      </c>
      <c r="J72" s="129" t="s">
        <v>8145</v>
      </c>
      <c r="K72" s="122" t="s">
        <v>8146</v>
      </c>
      <c r="L72" s="122" t="s">
        <v>57</v>
      </c>
      <c r="M72" s="133" t="s">
        <v>8147</v>
      </c>
      <c r="N72" s="122" t="s">
        <v>30</v>
      </c>
    </row>
    <row r="73" spans="2:14" s="9" customFormat="1" hidden="1" x14ac:dyDescent="0.25">
      <c r="B73" s="120">
        <v>70</v>
      </c>
      <c r="C73" s="122">
        <v>20420900181</v>
      </c>
      <c r="D73" s="125" t="s">
        <v>8135</v>
      </c>
      <c r="E73" s="125" t="s">
        <v>8136</v>
      </c>
      <c r="F73" s="122" t="s">
        <v>30</v>
      </c>
      <c r="G73" s="122" t="s">
        <v>30</v>
      </c>
      <c r="H73" s="122" t="s">
        <v>30</v>
      </c>
      <c r="I73" s="125" t="s">
        <v>1441</v>
      </c>
      <c r="J73" s="129" t="s">
        <v>8141</v>
      </c>
      <c r="K73" s="122" t="s">
        <v>8142</v>
      </c>
      <c r="L73" s="122" t="s">
        <v>42</v>
      </c>
      <c r="M73" s="133" t="s">
        <v>8140</v>
      </c>
      <c r="N73" s="122" t="s">
        <v>30</v>
      </c>
    </row>
    <row r="74" spans="2:14" s="9" customFormat="1" hidden="1" x14ac:dyDescent="0.25">
      <c r="B74" s="120">
        <v>71</v>
      </c>
      <c r="C74" s="122">
        <v>20420900181</v>
      </c>
      <c r="D74" s="125" t="s">
        <v>8135</v>
      </c>
      <c r="E74" s="125" t="s">
        <v>8136</v>
      </c>
      <c r="F74" s="122" t="s">
        <v>30</v>
      </c>
      <c r="G74" s="122" t="s">
        <v>30</v>
      </c>
      <c r="H74" s="122" t="s">
        <v>30</v>
      </c>
      <c r="I74" s="125" t="s">
        <v>1441</v>
      </c>
      <c r="J74" s="129" t="s">
        <v>8137</v>
      </c>
      <c r="K74" s="122" t="s">
        <v>8138</v>
      </c>
      <c r="L74" s="122" t="s">
        <v>8139</v>
      </c>
      <c r="M74" s="133" t="s">
        <v>8140</v>
      </c>
      <c r="N74" s="122" t="s">
        <v>30</v>
      </c>
    </row>
    <row r="75" spans="2:14" s="9" customFormat="1" hidden="1" x14ac:dyDescent="0.25">
      <c r="B75" s="120">
        <v>72</v>
      </c>
      <c r="C75" s="122">
        <v>20256998743</v>
      </c>
      <c r="D75" s="125" t="s">
        <v>4732</v>
      </c>
      <c r="E75" s="125" t="s">
        <v>8134</v>
      </c>
      <c r="F75" s="122" t="s">
        <v>30</v>
      </c>
      <c r="G75" s="122" t="s">
        <v>30</v>
      </c>
      <c r="H75" s="122" t="s">
        <v>51</v>
      </c>
      <c r="I75" s="125" t="s">
        <v>1395</v>
      </c>
      <c r="J75" s="129" t="s">
        <v>4733</v>
      </c>
      <c r="K75" s="122" t="s">
        <v>4734</v>
      </c>
      <c r="L75" s="122" t="s">
        <v>42</v>
      </c>
      <c r="M75" s="133" t="s">
        <v>4735</v>
      </c>
      <c r="N75" s="122" t="s">
        <v>30</v>
      </c>
    </row>
    <row r="76" spans="2:14" s="9" customFormat="1" hidden="1" x14ac:dyDescent="0.25">
      <c r="B76" s="120">
        <v>73</v>
      </c>
      <c r="C76" s="122">
        <v>20573844093</v>
      </c>
      <c r="D76" s="125" t="s">
        <v>8129</v>
      </c>
      <c r="E76" s="125" t="s">
        <v>8130</v>
      </c>
      <c r="F76" s="122" t="s">
        <v>93</v>
      </c>
      <c r="G76" s="122" t="s">
        <v>160</v>
      </c>
      <c r="H76" s="122" t="s">
        <v>160</v>
      </c>
      <c r="I76" s="125" t="s">
        <v>2460</v>
      </c>
      <c r="J76" s="129" t="s">
        <v>8131</v>
      </c>
      <c r="K76" s="122" t="s">
        <v>8132</v>
      </c>
      <c r="L76" s="122" t="s">
        <v>42</v>
      </c>
      <c r="M76" s="133" t="s">
        <v>8133</v>
      </c>
      <c r="N76" s="122" t="s">
        <v>160</v>
      </c>
    </row>
    <row r="77" spans="2:14" s="9" customFormat="1" hidden="1" x14ac:dyDescent="0.25">
      <c r="B77" s="120">
        <v>74</v>
      </c>
      <c r="C77" s="122">
        <v>20556401650</v>
      </c>
      <c r="D77" s="125" t="s">
        <v>8117</v>
      </c>
      <c r="E77" s="125" t="s">
        <v>8118</v>
      </c>
      <c r="F77" s="122" t="s">
        <v>30</v>
      </c>
      <c r="G77" s="122" t="s">
        <v>30</v>
      </c>
      <c r="H77" s="122" t="s">
        <v>64</v>
      </c>
      <c r="I77" s="125" t="s">
        <v>1377</v>
      </c>
      <c r="J77" s="129" t="s">
        <v>3223</v>
      </c>
      <c r="K77" s="122" t="s">
        <v>8122</v>
      </c>
      <c r="L77" s="131" t="s">
        <v>209</v>
      </c>
      <c r="M77" s="133" t="s">
        <v>8121</v>
      </c>
      <c r="N77" s="122" t="s">
        <v>30</v>
      </c>
    </row>
    <row r="78" spans="2:14" s="9" customFormat="1" hidden="1" x14ac:dyDescent="0.25">
      <c r="B78" s="120">
        <v>75</v>
      </c>
      <c r="C78" s="122">
        <v>20556401650</v>
      </c>
      <c r="D78" s="125" t="s">
        <v>8117</v>
      </c>
      <c r="E78" s="125" t="s">
        <v>8118</v>
      </c>
      <c r="F78" s="122" t="s">
        <v>30</v>
      </c>
      <c r="G78" s="122" t="s">
        <v>30</v>
      </c>
      <c r="H78" s="122" t="s">
        <v>64</v>
      </c>
      <c r="I78" s="125" t="s">
        <v>1377</v>
      </c>
      <c r="J78" s="129" t="s">
        <v>8119</v>
      </c>
      <c r="K78" s="122" t="s">
        <v>8120</v>
      </c>
      <c r="L78" s="122" t="s">
        <v>42</v>
      </c>
      <c r="M78" s="133" t="s">
        <v>8121</v>
      </c>
      <c r="N78" s="122" t="s">
        <v>30</v>
      </c>
    </row>
    <row r="79" spans="2:14" s="9" customFormat="1" hidden="1" x14ac:dyDescent="0.25">
      <c r="B79" s="120">
        <v>76</v>
      </c>
      <c r="C79" s="122">
        <v>20601175631</v>
      </c>
      <c r="D79" s="125" t="s">
        <v>8113</v>
      </c>
      <c r="E79" s="125" t="s">
        <v>8114</v>
      </c>
      <c r="F79" s="122" t="s">
        <v>30</v>
      </c>
      <c r="G79" s="122" t="s">
        <v>30</v>
      </c>
      <c r="H79" s="122" t="s">
        <v>45</v>
      </c>
      <c r="I79" s="125" t="s">
        <v>1943</v>
      </c>
      <c r="J79" s="129" t="s">
        <v>8115</v>
      </c>
      <c r="K79" s="122" t="s">
        <v>8116</v>
      </c>
      <c r="L79" s="122" t="s">
        <v>42</v>
      </c>
      <c r="M79" s="133" t="s">
        <v>845</v>
      </c>
      <c r="N79" s="122" t="s">
        <v>845</v>
      </c>
    </row>
    <row r="80" spans="2:14" s="9" customFormat="1" hidden="1" x14ac:dyDescent="0.25">
      <c r="B80" s="120">
        <v>77</v>
      </c>
      <c r="C80" s="122">
        <v>20544231368</v>
      </c>
      <c r="D80" s="125" t="s">
        <v>8108</v>
      </c>
      <c r="E80" s="125" t="s">
        <v>8109</v>
      </c>
      <c r="F80" s="122" t="s">
        <v>30</v>
      </c>
      <c r="G80" s="122" t="s">
        <v>30</v>
      </c>
      <c r="H80" s="122" t="s">
        <v>72</v>
      </c>
      <c r="I80" s="125" t="s">
        <v>1384</v>
      </c>
      <c r="J80" s="129" t="s">
        <v>8110</v>
      </c>
      <c r="K80" s="122" t="s">
        <v>8111</v>
      </c>
      <c r="L80" s="122" t="s">
        <v>42</v>
      </c>
      <c r="M80" s="133" t="s">
        <v>8112</v>
      </c>
      <c r="N80" s="122" t="s">
        <v>30</v>
      </c>
    </row>
    <row r="81" spans="2:14" s="9" customFormat="1" hidden="1" x14ac:dyDescent="0.25">
      <c r="B81" s="120">
        <v>78</v>
      </c>
      <c r="C81" s="122">
        <v>20607865877</v>
      </c>
      <c r="D81" s="125" t="s">
        <v>8103</v>
      </c>
      <c r="E81" s="125" t="s">
        <v>8104</v>
      </c>
      <c r="F81" s="122" t="s">
        <v>30</v>
      </c>
      <c r="G81" s="122" t="s">
        <v>30</v>
      </c>
      <c r="H81" s="122" t="s">
        <v>30</v>
      </c>
      <c r="I81" s="125" t="s">
        <v>1374</v>
      </c>
      <c r="J81" s="129" t="s">
        <v>8105</v>
      </c>
      <c r="K81" s="122" t="s">
        <v>8106</v>
      </c>
      <c r="L81" s="122" t="s">
        <v>57</v>
      </c>
      <c r="M81" s="133" t="s">
        <v>8107</v>
      </c>
      <c r="N81" s="122" t="s">
        <v>30</v>
      </c>
    </row>
    <row r="82" spans="2:14" s="9" customFormat="1" hidden="1" x14ac:dyDescent="0.25">
      <c r="B82" s="120">
        <v>79</v>
      </c>
      <c r="C82" s="122">
        <v>20607502758</v>
      </c>
      <c r="D82" s="125" t="s">
        <v>4748</v>
      </c>
      <c r="E82" s="125" t="s">
        <v>8077</v>
      </c>
      <c r="F82" s="122" t="s">
        <v>30</v>
      </c>
      <c r="G82" s="122" t="s">
        <v>30</v>
      </c>
      <c r="H82" s="122" t="s">
        <v>51</v>
      </c>
      <c r="I82" s="125" t="s">
        <v>1374</v>
      </c>
      <c r="J82" s="129" t="s">
        <v>8078</v>
      </c>
      <c r="K82" s="122" t="s">
        <v>8079</v>
      </c>
      <c r="L82" s="122" t="s">
        <v>42</v>
      </c>
      <c r="M82" s="133" t="s">
        <v>845</v>
      </c>
      <c r="N82" s="122" t="s">
        <v>845</v>
      </c>
    </row>
    <row r="83" spans="2:14" s="9" customFormat="1" hidden="1" x14ac:dyDescent="0.25">
      <c r="B83" s="120">
        <v>80</v>
      </c>
      <c r="C83" s="122">
        <v>20554285652</v>
      </c>
      <c r="D83" s="125" t="s">
        <v>8072</v>
      </c>
      <c r="E83" s="125" t="s">
        <v>8073</v>
      </c>
      <c r="F83" s="122" t="s">
        <v>30</v>
      </c>
      <c r="G83" s="122" t="s">
        <v>30</v>
      </c>
      <c r="H83" s="122" t="s">
        <v>45</v>
      </c>
      <c r="I83" s="125" t="s">
        <v>1450</v>
      </c>
      <c r="J83" s="129" t="s">
        <v>8074</v>
      </c>
      <c r="K83" s="122" t="s">
        <v>8075</v>
      </c>
      <c r="L83" s="122" t="s">
        <v>42</v>
      </c>
      <c r="M83" s="133" t="s">
        <v>8076</v>
      </c>
      <c r="N83" s="122" t="s">
        <v>30</v>
      </c>
    </row>
    <row r="84" spans="2:14" s="9" customFormat="1" hidden="1" x14ac:dyDescent="0.25">
      <c r="B84" s="120">
        <v>81</v>
      </c>
      <c r="C84" s="122">
        <v>20601893216</v>
      </c>
      <c r="D84" s="125" t="s">
        <v>8050</v>
      </c>
      <c r="E84" s="125" t="s">
        <v>8051</v>
      </c>
      <c r="F84" s="122" t="s">
        <v>30</v>
      </c>
      <c r="G84" s="122" t="s">
        <v>30</v>
      </c>
      <c r="H84" s="122" t="s">
        <v>58</v>
      </c>
      <c r="I84" s="125" t="s">
        <v>1394</v>
      </c>
      <c r="J84" s="129" t="s">
        <v>8052</v>
      </c>
      <c r="K84" s="122" t="s">
        <v>8053</v>
      </c>
      <c r="L84" s="122" t="s">
        <v>42</v>
      </c>
      <c r="M84" s="133" t="s">
        <v>8054</v>
      </c>
      <c r="N84" s="122" t="s">
        <v>30</v>
      </c>
    </row>
    <row r="85" spans="2:14" s="9" customFormat="1" hidden="1" x14ac:dyDescent="0.25">
      <c r="B85" s="120">
        <v>82</v>
      </c>
      <c r="C85" s="122">
        <v>20514553123</v>
      </c>
      <c r="D85" s="125" t="s">
        <v>8035</v>
      </c>
      <c r="E85" s="125" t="s">
        <v>8036</v>
      </c>
      <c r="F85" s="122" t="s">
        <v>30</v>
      </c>
      <c r="G85" s="122" t="s">
        <v>30</v>
      </c>
      <c r="H85" s="122" t="s">
        <v>39</v>
      </c>
      <c r="I85" s="125" t="s">
        <v>1447</v>
      </c>
      <c r="J85" s="129" t="s">
        <v>8037</v>
      </c>
      <c r="K85" s="122" t="s">
        <v>8038</v>
      </c>
      <c r="L85" s="122" t="s">
        <v>36</v>
      </c>
      <c r="M85" s="133" t="s">
        <v>8039</v>
      </c>
      <c r="N85" s="122" t="s">
        <v>30</v>
      </c>
    </row>
    <row r="86" spans="2:14" s="9" customFormat="1" hidden="1" x14ac:dyDescent="0.25">
      <c r="B86" s="120">
        <v>83</v>
      </c>
      <c r="C86" s="122">
        <v>20506357757</v>
      </c>
      <c r="D86" s="125" t="s">
        <v>7999</v>
      </c>
      <c r="E86" s="125" t="s">
        <v>8000</v>
      </c>
      <c r="F86" s="122" t="s">
        <v>30</v>
      </c>
      <c r="G86" s="122" t="s">
        <v>30</v>
      </c>
      <c r="H86" s="122" t="s">
        <v>152</v>
      </c>
      <c r="I86" s="125" t="s">
        <v>1365</v>
      </c>
      <c r="J86" s="129" t="s">
        <v>8004</v>
      </c>
      <c r="K86" s="122" t="s">
        <v>8005</v>
      </c>
      <c r="L86" s="122" t="s">
        <v>42</v>
      </c>
      <c r="M86" s="133" t="s">
        <v>8003</v>
      </c>
      <c r="N86" s="122" t="s">
        <v>30</v>
      </c>
    </row>
    <row r="87" spans="2:14" s="9" customFormat="1" hidden="1" x14ac:dyDescent="0.25">
      <c r="B87" s="120">
        <v>84</v>
      </c>
      <c r="C87" s="122">
        <v>20506357757</v>
      </c>
      <c r="D87" s="125" t="s">
        <v>7999</v>
      </c>
      <c r="E87" s="125" t="s">
        <v>8000</v>
      </c>
      <c r="F87" s="122" t="s">
        <v>30</v>
      </c>
      <c r="G87" s="122" t="s">
        <v>30</v>
      </c>
      <c r="H87" s="122" t="s">
        <v>152</v>
      </c>
      <c r="I87" s="125" t="s">
        <v>1365</v>
      </c>
      <c r="J87" s="129" t="s">
        <v>8001</v>
      </c>
      <c r="K87" s="122" t="s">
        <v>8002</v>
      </c>
      <c r="L87" s="122" t="s">
        <v>76</v>
      </c>
      <c r="M87" s="133" t="s">
        <v>8003</v>
      </c>
      <c r="N87" s="122" t="s">
        <v>30</v>
      </c>
    </row>
    <row r="88" spans="2:14" s="9" customFormat="1" hidden="1" x14ac:dyDescent="0.25">
      <c r="B88" s="120">
        <v>85</v>
      </c>
      <c r="C88" s="122">
        <v>20554851356</v>
      </c>
      <c r="D88" s="125" t="s">
        <v>3547</v>
      </c>
      <c r="E88" s="125" t="s">
        <v>7995</v>
      </c>
      <c r="F88" s="122" t="s">
        <v>30</v>
      </c>
      <c r="G88" s="122" t="s">
        <v>30</v>
      </c>
      <c r="H88" s="122" t="s">
        <v>40</v>
      </c>
      <c r="I88" s="125" t="s">
        <v>1980</v>
      </c>
      <c r="J88" s="129" t="s">
        <v>7996</v>
      </c>
      <c r="K88" s="122" t="s">
        <v>7997</v>
      </c>
      <c r="L88" s="122" t="s">
        <v>42</v>
      </c>
      <c r="M88" s="133" t="s">
        <v>7998</v>
      </c>
      <c r="N88" s="122" t="s">
        <v>30</v>
      </c>
    </row>
    <row r="89" spans="2:14" s="9" customFormat="1" hidden="1" x14ac:dyDescent="0.25">
      <c r="B89" s="120">
        <v>86</v>
      </c>
      <c r="C89" s="122">
        <v>20539310225</v>
      </c>
      <c r="D89" s="125" t="s">
        <v>7928</v>
      </c>
      <c r="E89" s="125" t="s">
        <v>7929</v>
      </c>
      <c r="F89" s="122" t="s">
        <v>99</v>
      </c>
      <c r="G89" s="122" t="s">
        <v>99</v>
      </c>
      <c r="H89" s="122" t="s">
        <v>5373</v>
      </c>
      <c r="I89" s="125" t="s">
        <v>1962</v>
      </c>
      <c r="J89" s="129" t="s">
        <v>7930</v>
      </c>
      <c r="K89" s="122" t="s">
        <v>7931</v>
      </c>
      <c r="L89" s="122" t="s">
        <v>42</v>
      </c>
      <c r="M89" s="133" t="s">
        <v>7932</v>
      </c>
      <c r="N89" s="122" t="s">
        <v>99</v>
      </c>
    </row>
    <row r="90" spans="2:14" s="9" customFormat="1" hidden="1" x14ac:dyDescent="0.25">
      <c r="B90" s="120">
        <v>87</v>
      </c>
      <c r="C90" s="122">
        <v>20381736262</v>
      </c>
      <c r="D90" s="125" t="s">
        <v>7924</v>
      </c>
      <c r="E90" s="125" t="s">
        <v>7925</v>
      </c>
      <c r="F90" s="122" t="s">
        <v>30</v>
      </c>
      <c r="G90" s="122" t="s">
        <v>30</v>
      </c>
      <c r="H90" s="122" t="s">
        <v>43</v>
      </c>
      <c r="I90" s="125" t="s">
        <v>2123</v>
      </c>
      <c r="J90" s="129" t="s">
        <v>7926</v>
      </c>
      <c r="K90" s="122" t="s">
        <v>7927</v>
      </c>
      <c r="L90" s="122" t="s">
        <v>42</v>
      </c>
      <c r="M90" s="133" t="s">
        <v>845</v>
      </c>
      <c r="N90" s="122" t="s">
        <v>845</v>
      </c>
    </row>
    <row r="91" spans="2:14" s="9" customFormat="1" hidden="1" x14ac:dyDescent="0.25">
      <c r="B91" s="120">
        <v>88</v>
      </c>
      <c r="C91" s="122">
        <v>20563206366</v>
      </c>
      <c r="D91" s="125" t="s">
        <v>7919</v>
      </c>
      <c r="E91" s="125" t="s">
        <v>7920</v>
      </c>
      <c r="F91" s="122" t="s">
        <v>30</v>
      </c>
      <c r="G91" s="122" t="s">
        <v>30</v>
      </c>
      <c r="H91" s="122" t="s">
        <v>86</v>
      </c>
      <c r="I91" s="125" t="s">
        <v>1957</v>
      </c>
      <c r="J91" s="129" t="s">
        <v>7921</v>
      </c>
      <c r="K91" s="122" t="s">
        <v>7922</v>
      </c>
      <c r="L91" s="122" t="s">
        <v>42</v>
      </c>
      <c r="M91" s="133" t="s">
        <v>7923</v>
      </c>
      <c r="N91" s="122" t="s">
        <v>30</v>
      </c>
    </row>
    <row r="92" spans="2:14" s="9" customFormat="1" hidden="1" x14ac:dyDescent="0.25">
      <c r="B92" s="120">
        <v>89</v>
      </c>
      <c r="C92" s="122">
        <v>20603749121</v>
      </c>
      <c r="D92" s="125" t="s">
        <v>7914</v>
      </c>
      <c r="E92" s="125" t="s">
        <v>7915</v>
      </c>
      <c r="F92" s="122" t="s">
        <v>67</v>
      </c>
      <c r="G92" s="122" t="s">
        <v>67</v>
      </c>
      <c r="H92" s="122" t="s">
        <v>67</v>
      </c>
      <c r="I92" s="125" t="s">
        <v>1595</v>
      </c>
      <c r="J92" s="129" t="s">
        <v>7916</v>
      </c>
      <c r="K92" s="122" t="s">
        <v>7917</v>
      </c>
      <c r="L92" s="122" t="s">
        <v>42</v>
      </c>
      <c r="M92" s="133" t="s">
        <v>7918</v>
      </c>
      <c r="N92" s="122" t="s">
        <v>67</v>
      </c>
    </row>
    <row r="93" spans="2:14" s="9" customFormat="1" hidden="1" x14ac:dyDescent="0.25">
      <c r="B93" s="120">
        <v>90</v>
      </c>
      <c r="C93" s="122">
        <v>20563317869</v>
      </c>
      <c r="D93" s="125" t="s">
        <v>7909</v>
      </c>
      <c r="E93" s="125" t="s">
        <v>7910</v>
      </c>
      <c r="F93" s="122" t="s">
        <v>30</v>
      </c>
      <c r="G93" s="122" t="s">
        <v>30</v>
      </c>
      <c r="H93" s="122" t="s">
        <v>37</v>
      </c>
      <c r="I93" s="125" t="s">
        <v>4199</v>
      </c>
      <c r="J93" s="129" t="s">
        <v>7911</v>
      </c>
      <c r="K93" s="122" t="s">
        <v>7912</v>
      </c>
      <c r="L93" s="122" t="s">
        <v>42</v>
      </c>
      <c r="M93" s="133" t="s">
        <v>7913</v>
      </c>
      <c r="N93" s="122" t="s">
        <v>30</v>
      </c>
    </row>
    <row r="94" spans="2:14" s="9" customFormat="1" hidden="1" x14ac:dyDescent="0.25">
      <c r="B94" s="120">
        <v>91</v>
      </c>
      <c r="C94" s="122">
        <v>20610398066</v>
      </c>
      <c r="D94" s="125" t="s">
        <v>7904</v>
      </c>
      <c r="E94" s="125" t="s">
        <v>7905</v>
      </c>
      <c r="F94" s="122" t="s">
        <v>30</v>
      </c>
      <c r="G94" s="122" t="s">
        <v>30</v>
      </c>
      <c r="H94" s="122" t="s">
        <v>75</v>
      </c>
      <c r="I94" s="125" t="s">
        <v>1398</v>
      </c>
      <c r="J94" s="129" t="s">
        <v>7907</v>
      </c>
      <c r="K94" s="122" t="s">
        <v>7908</v>
      </c>
      <c r="L94" s="122" t="s">
        <v>4438</v>
      </c>
      <c r="M94" s="133" t="s">
        <v>7906</v>
      </c>
      <c r="N94" s="122" t="s">
        <v>30</v>
      </c>
    </row>
    <row r="95" spans="2:14" s="9" customFormat="1" hidden="1" x14ac:dyDescent="0.25">
      <c r="B95" s="120">
        <v>92</v>
      </c>
      <c r="C95" s="122">
        <v>20610398066</v>
      </c>
      <c r="D95" s="125" t="s">
        <v>7904</v>
      </c>
      <c r="E95" s="125" t="s">
        <v>7905</v>
      </c>
      <c r="F95" s="122" t="s">
        <v>30</v>
      </c>
      <c r="G95" s="122" t="s">
        <v>30</v>
      </c>
      <c r="H95" s="122" t="s">
        <v>75</v>
      </c>
      <c r="I95" s="125" t="s">
        <v>1398</v>
      </c>
      <c r="J95" s="122" t="s">
        <v>5801</v>
      </c>
      <c r="K95" s="122" t="s">
        <v>5802</v>
      </c>
      <c r="L95" s="122" t="s">
        <v>42</v>
      </c>
      <c r="M95" s="120" t="s">
        <v>7906</v>
      </c>
      <c r="N95" s="122" t="s">
        <v>30</v>
      </c>
    </row>
    <row r="96" spans="2:14" s="9" customFormat="1" hidden="1" x14ac:dyDescent="0.25">
      <c r="B96" s="120">
        <v>93</v>
      </c>
      <c r="C96" s="122">
        <v>10431581600</v>
      </c>
      <c r="D96" s="125" t="s">
        <v>1101</v>
      </c>
      <c r="E96" s="125" t="s">
        <v>7718</v>
      </c>
      <c r="F96" s="122" t="s">
        <v>30</v>
      </c>
      <c r="G96" s="122" t="s">
        <v>30</v>
      </c>
      <c r="H96" s="122" t="s">
        <v>51</v>
      </c>
      <c r="I96" s="125" t="s">
        <v>1701</v>
      </c>
      <c r="J96" s="129" t="s">
        <v>7717</v>
      </c>
      <c r="K96" s="122" t="s">
        <v>1101</v>
      </c>
      <c r="L96" s="122" t="s">
        <v>100</v>
      </c>
      <c r="M96" s="133" t="s">
        <v>845</v>
      </c>
      <c r="N96" s="122" t="s">
        <v>845</v>
      </c>
    </row>
    <row r="97" spans="2:14" s="9" customFormat="1" hidden="1" x14ac:dyDescent="0.25">
      <c r="B97" s="120">
        <v>94</v>
      </c>
      <c r="C97" s="122">
        <v>20565824440</v>
      </c>
      <c r="D97" s="125" t="s">
        <v>7713</v>
      </c>
      <c r="E97" s="125" t="s">
        <v>7714</v>
      </c>
      <c r="F97" s="122" t="s">
        <v>30</v>
      </c>
      <c r="G97" s="122" t="s">
        <v>30</v>
      </c>
      <c r="H97" s="122" t="s">
        <v>72</v>
      </c>
      <c r="I97" s="125" t="s">
        <v>1447</v>
      </c>
      <c r="J97" s="129" t="s">
        <v>7715</v>
      </c>
      <c r="K97" s="122" t="s">
        <v>7716</v>
      </c>
      <c r="L97" s="122" t="s">
        <v>42</v>
      </c>
      <c r="M97" s="133" t="s">
        <v>845</v>
      </c>
      <c r="N97" s="122" t="s">
        <v>845</v>
      </c>
    </row>
    <row r="98" spans="2:14" s="9" customFormat="1" hidden="1" x14ac:dyDescent="0.25">
      <c r="B98" s="120">
        <v>95</v>
      </c>
      <c r="C98" s="122">
        <v>20607712949</v>
      </c>
      <c r="D98" s="125" t="s">
        <v>7708</v>
      </c>
      <c r="E98" s="125" t="s">
        <v>7709</v>
      </c>
      <c r="F98" s="122" t="s">
        <v>30</v>
      </c>
      <c r="G98" s="122" t="s">
        <v>30</v>
      </c>
      <c r="H98" s="122" t="s">
        <v>43</v>
      </c>
      <c r="I98" s="125" t="s">
        <v>1371</v>
      </c>
      <c r="J98" s="129" t="s">
        <v>7710</v>
      </c>
      <c r="K98" s="122" t="s">
        <v>7711</v>
      </c>
      <c r="L98" s="122" t="s">
        <v>42</v>
      </c>
      <c r="M98" s="133" t="s">
        <v>7712</v>
      </c>
      <c r="N98" s="122" t="s">
        <v>30</v>
      </c>
    </row>
    <row r="99" spans="2:14" s="9" customFormat="1" hidden="1" x14ac:dyDescent="0.25">
      <c r="B99" s="120">
        <v>96</v>
      </c>
      <c r="C99" s="122">
        <v>20600515102</v>
      </c>
      <c r="D99" s="125" t="s">
        <v>7702</v>
      </c>
      <c r="E99" s="125" t="s">
        <v>7703</v>
      </c>
      <c r="F99" s="122" t="s">
        <v>30</v>
      </c>
      <c r="G99" s="122" t="s">
        <v>30</v>
      </c>
      <c r="H99" s="122" t="s">
        <v>75</v>
      </c>
      <c r="I99" s="125" t="s">
        <v>1694</v>
      </c>
      <c r="J99" s="129" t="s">
        <v>7704</v>
      </c>
      <c r="K99" s="122" t="s">
        <v>7705</v>
      </c>
      <c r="L99" s="122" t="s">
        <v>42</v>
      </c>
      <c r="M99" s="133" t="s">
        <v>7706</v>
      </c>
      <c r="N99" s="122" t="s">
        <v>30</v>
      </c>
    </row>
    <row r="100" spans="2:14" s="9" customFormat="1" hidden="1" x14ac:dyDescent="0.25">
      <c r="B100" s="120">
        <v>97</v>
      </c>
      <c r="C100" s="122">
        <v>20553407657</v>
      </c>
      <c r="D100" s="125" t="s">
        <v>3603</v>
      </c>
      <c r="E100" s="125" t="s">
        <v>7694</v>
      </c>
      <c r="F100" s="122" t="s">
        <v>30</v>
      </c>
      <c r="G100" s="122" t="s">
        <v>30</v>
      </c>
      <c r="H100" s="122" t="s">
        <v>80</v>
      </c>
      <c r="I100" s="125" t="s">
        <v>1384</v>
      </c>
      <c r="J100" s="129" t="s">
        <v>7695</v>
      </c>
      <c r="K100" s="122" t="s">
        <v>7696</v>
      </c>
      <c r="L100" s="122" t="s">
        <v>42</v>
      </c>
      <c r="M100" s="133" t="s">
        <v>7697</v>
      </c>
      <c r="N100" s="122" t="s">
        <v>30</v>
      </c>
    </row>
    <row r="101" spans="2:14" s="9" customFormat="1" hidden="1" x14ac:dyDescent="0.25">
      <c r="B101" s="120">
        <v>98</v>
      </c>
      <c r="C101" s="122">
        <v>20602080774</v>
      </c>
      <c r="D101" s="125" t="s">
        <v>4867</v>
      </c>
      <c r="E101" s="125" t="s">
        <v>4868</v>
      </c>
      <c r="F101" s="122" t="s">
        <v>67</v>
      </c>
      <c r="G101" s="122" t="s">
        <v>67</v>
      </c>
      <c r="H101" s="122" t="s">
        <v>67</v>
      </c>
      <c r="I101" s="125" t="s">
        <v>1450</v>
      </c>
      <c r="J101" s="129" t="s">
        <v>7691</v>
      </c>
      <c r="K101" s="122" t="s">
        <v>7692</v>
      </c>
      <c r="L101" s="122" t="s">
        <v>76</v>
      </c>
      <c r="M101" s="133" t="s">
        <v>7690</v>
      </c>
      <c r="N101" s="122" t="s">
        <v>67</v>
      </c>
    </row>
    <row r="102" spans="2:14" s="9" customFormat="1" hidden="1" x14ac:dyDescent="0.25">
      <c r="B102" s="120">
        <v>99</v>
      </c>
      <c r="C102" s="122">
        <v>20602080774</v>
      </c>
      <c r="D102" s="125" t="s">
        <v>4867</v>
      </c>
      <c r="E102" s="125" t="s">
        <v>4868</v>
      </c>
      <c r="F102" s="122" t="s">
        <v>67</v>
      </c>
      <c r="G102" s="122" t="s">
        <v>67</v>
      </c>
      <c r="H102" s="122" t="s">
        <v>67</v>
      </c>
      <c r="I102" s="125" t="s">
        <v>1450</v>
      </c>
      <c r="J102" s="129" t="s">
        <v>7688</v>
      </c>
      <c r="K102" s="122" t="s">
        <v>7689</v>
      </c>
      <c r="L102" s="122" t="s">
        <v>42</v>
      </c>
      <c r="M102" s="133" t="s">
        <v>7690</v>
      </c>
      <c r="N102" s="122" t="s">
        <v>67</v>
      </c>
    </row>
    <row r="103" spans="2:14" s="9" customFormat="1" hidden="1" x14ac:dyDescent="0.25">
      <c r="B103" s="120">
        <v>100</v>
      </c>
      <c r="C103" s="122">
        <v>20601079268</v>
      </c>
      <c r="D103" s="125" t="s">
        <v>437</v>
      </c>
      <c r="E103" s="125" t="s">
        <v>7685</v>
      </c>
      <c r="F103" s="122" t="s">
        <v>30</v>
      </c>
      <c r="G103" s="122" t="s">
        <v>30</v>
      </c>
      <c r="H103" s="122" t="s">
        <v>110</v>
      </c>
      <c r="I103" s="125" t="s">
        <v>1499</v>
      </c>
      <c r="J103" s="129" t="s">
        <v>3023</v>
      </c>
      <c r="K103" s="122" t="s">
        <v>7686</v>
      </c>
      <c r="L103" s="122" t="s">
        <v>42</v>
      </c>
      <c r="M103" s="133" t="s">
        <v>7687</v>
      </c>
      <c r="N103" s="122" t="s">
        <v>30</v>
      </c>
    </row>
    <row r="104" spans="2:14" s="9" customFormat="1" hidden="1" x14ac:dyDescent="0.25">
      <c r="B104" s="120">
        <v>101</v>
      </c>
      <c r="C104" s="122">
        <v>20429533008</v>
      </c>
      <c r="D104" s="125" t="s">
        <v>1126</v>
      </c>
      <c r="E104" s="125" t="s">
        <v>7682</v>
      </c>
      <c r="F104" s="122" t="s">
        <v>30</v>
      </c>
      <c r="G104" s="122" t="s">
        <v>30</v>
      </c>
      <c r="H104" s="122" t="s">
        <v>43</v>
      </c>
      <c r="I104" s="125" t="s">
        <v>1412</v>
      </c>
      <c r="J104" s="129" t="s">
        <v>7720</v>
      </c>
      <c r="K104" s="122" t="s">
        <v>7683</v>
      </c>
      <c r="L104" s="122" t="s">
        <v>731</v>
      </c>
      <c r="M104" s="133" t="s">
        <v>7684</v>
      </c>
      <c r="N104" s="122" t="s">
        <v>30</v>
      </c>
    </row>
    <row r="105" spans="2:14" s="9" customFormat="1" hidden="1" x14ac:dyDescent="0.25">
      <c r="B105" s="120">
        <v>102</v>
      </c>
      <c r="C105" s="122">
        <v>20601145546</v>
      </c>
      <c r="D105" s="125" t="s">
        <v>7677</v>
      </c>
      <c r="E105" s="125" t="s">
        <v>7678</v>
      </c>
      <c r="F105" s="122" t="s">
        <v>30</v>
      </c>
      <c r="G105" s="122" t="s">
        <v>30</v>
      </c>
      <c r="H105" s="122" t="s">
        <v>43</v>
      </c>
      <c r="I105" s="125" t="s">
        <v>1450</v>
      </c>
      <c r="J105" s="129" t="s">
        <v>7679</v>
      </c>
      <c r="K105" s="122" t="s">
        <v>7680</v>
      </c>
      <c r="L105" s="122" t="s">
        <v>42</v>
      </c>
      <c r="M105" s="133" t="s">
        <v>7681</v>
      </c>
      <c r="N105" s="122" t="s">
        <v>30</v>
      </c>
    </row>
    <row r="106" spans="2:14" s="9" customFormat="1" hidden="1" x14ac:dyDescent="0.25">
      <c r="B106" s="120">
        <v>103</v>
      </c>
      <c r="C106" s="122">
        <v>10417765374</v>
      </c>
      <c r="D106" s="125" t="s">
        <v>7675</v>
      </c>
      <c r="E106" s="125" t="s">
        <v>7676</v>
      </c>
      <c r="F106" s="122" t="s">
        <v>30</v>
      </c>
      <c r="G106" s="122" t="s">
        <v>54</v>
      </c>
      <c r="H106" s="122" t="s">
        <v>55</v>
      </c>
      <c r="I106" s="125" t="s">
        <v>1941</v>
      </c>
      <c r="J106" s="129" t="s">
        <v>7721</v>
      </c>
      <c r="K106" s="122" t="s">
        <v>7675</v>
      </c>
      <c r="L106" s="122" t="s">
        <v>100</v>
      </c>
      <c r="M106" s="133" t="s">
        <v>845</v>
      </c>
      <c r="N106" s="122" t="s">
        <v>845</v>
      </c>
    </row>
    <row r="107" spans="2:14" s="9" customFormat="1" hidden="1" x14ac:dyDescent="0.25">
      <c r="B107" s="120">
        <v>104</v>
      </c>
      <c r="C107" s="122">
        <v>20606961261</v>
      </c>
      <c r="D107" s="125" t="s">
        <v>203</v>
      </c>
      <c r="E107" s="125" t="s">
        <v>7671</v>
      </c>
      <c r="F107" s="122" t="s">
        <v>30</v>
      </c>
      <c r="G107" s="122" t="s">
        <v>30</v>
      </c>
      <c r="H107" s="122" t="s">
        <v>41</v>
      </c>
      <c r="I107" s="125" t="s">
        <v>1450</v>
      </c>
      <c r="J107" s="129" t="s">
        <v>7672</v>
      </c>
      <c r="K107" s="122" t="s">
        <v>7673</v>
      </c>
      <c r="L107" s="122" t="s">
        <v>1577</v>
      </c>
      <c r="M107" s="133" t="s">
        <v>7674</v>
      </c>
      <c r="N107" s="122" t="s">
        <v>30</v>
      </c>
    </row>
    <row r="108" spans="2:14" s="9" customFormat="1" hidden="1" x14ac:dyDescent="0.25">
      <c r="B108" s="120">
        <v>105</v>
      </c>
      <c r="C108" s="122">
        <v>10101794381</v>
      </c>
      <c r="D108" s="125" t="s">
        <v>7669</v>
      </c>
      <c r="E108" s="125" t="s">
        <v>7670</v>
      </c>
      <c r="F108" s="122" t="s">
        <v>30</v>
      </c>
      <c r="G108" s="122" t="s">
        <v>30</v>
      </c>
      <c r="H108" s="122" t="s">
        <v>40</v>
      </c>
      <c r="I108" s="125" t="s">
        <v>1643</v>
      </c>
      <c r="J108" s="129" t="s">
        <v>7722</v>
      </c>
      <c r="K108" s="122" t="s">
        <v>7668</v>
      </c>
      <c r="L108" s="122" t="s">
        <v>100</v>
      </c>
      <c r="M108" s="133" t="s">
        <v>845</v>
      </c>
      <c r="N108" s="122" t="s">
        <v>845</v>
      </c>
    </row>
    <row r="109" spans="2:14" s="9" customFormat="1" hidden="1" x14ac:dyDescent="0.25">
      <c r="B109" s="120">
        <v>106</v>
      </c>
      <c r="C109" s="122">
        <v>20603338040</v>
      </c>
      <c r="D109" s="125" t="s">
        <v>7663</v>
      </c>
      <c r="E109" s="125" t="s">
        <v>7664</v>
      </c>
      <c r="F109" s="122" t="s">
        <v>30</v>
      </c>
      <c r="G109" s="122" t="s">
        <v>30</v>
      </c>
      <c r="H109" s="122" t="s">
        <v>58</v>
      </c>
      <c r="I109" s="125" t="s">
        <v>1533</v>
      </c>
      <c r="J109" s="129" t="s">
        <v>7665</v>
      </c>
      <c r="K109" s="122" t="s">
        <v>7666</v>
      </c>
      <c r="L109" s="122" t="s">
        <v>42</v>
      </c>
      <c r="M109" s="133" t="s">
        <v>7667</v>
      </c>
      <c r="N109" s="122" t="s">
        <v>30</v>
      </c>
    </row>
    <row r="110" spans="2:14" s="9" customFormat="1" hidden="1" x14ac:dyDescent="0.25">
      <c r="B110" s="120">
        <v>107</v>
      </c>
      <c r="C110" s="122">
        <v>20603108061</v>
      </c>
      <c r="D110" s="125" t="s">
        <v>7658</v>
      </c>
      <c r="E110" s="125" t="s">
        <v>7659</v>
      </c>
      <c r="F110" s="122" t="s">
        <v>67</v>
      </c>
      <c r="G110" s="122" t="s">
        <v>67</v>
      </c>
      <c r="H110" s="122" t="s">
        <v>67</v>
      </c>
      <c r="I110" s="125" t="s">
        <v>1931</v>
      </c>
      <c r="J110" s="129" t="s">
        <v>7660</v>
      </c>
      <c r="K110" s="122" t="s">
        <v>7661</v>
      </c>
      <c r="L110" s="122" t="s">
        <v>42</v>
      </c>
      <c r="M110" s="133" t="s">
        <v>7662</v>
      </c>
      <c r="N110" s="122" t="s">
        <v>30</v>
      </c>
    </row>
    <row r="111" spans="2:14" s="9" customFormat="1" hidden="1" x14ac:dyDescent="0.25">
      <c r="B111" s="120">
        <v>108</v>
      </c>
      <c r="C111" s="122">
        <v>20506392234</v>
      </c>
      <c r="D111" s="125" t="s">
        <v>109</v>
      </c>
      <c r="E111" s="125" t="s">
        <v>7652</v>
      </c>
      <c r="F111" s="122" t="s">
        <v>67</v>
      </c>
      <c r="G111" s="122" t="s">
        <v>67</v>
      </c>
      <c r="H111" s="122" t="s">
        <v>67</v>
      </c>
      <c r="I111" s="125" t="s">
        <v>1966</v>
      </c>
      <c r="J111" s="129" t="s">
        <v>7656</v>
      </c>
      <c r="K111" s="122" t="s">
        <v>7657</v>
      </c>
      <c r="L111" s="122" t="s">
        <v>42</v>
      </c>
      <c r="M111" s="133" t="s">
        <v>7655</v>
      </c>
      <c r="N111" s="122" t="s">
        <v>30</v>
      </c>
    </row>
    <row r="112" spans="2:14" s="9" customFormat="1" hidden="1" x14ac:dyDescent="0.25">
      <c r="B112" s="120">
        <v>109</v>
      </c>
      <c r="C112" s="122">
        <v>20506392234</v>
      </c>
      <c r="D112" s="125" t="s">
        <v>109</v>
      </c>
      <c r="E112" s="125" t="s">
        <v>7652</v>
      </c>
      <c r="F112" s="122" t="s">
        <v>67</v>
      </c>
      <c r="G112" s="122" t="s">
        <v>67</v>
      </c>
      <c r="H112" s="122" t="s">
        <v>67</v>
      </c>
      <c r="I112" s="125" t="s">
        <v>1966</v>
      </c>
      <c r="J112" s="129" t="s">
        <v>7653</v>
      </c>
      <c r="K112" s="122" t="s">
        <v>7654</v>
      </c>
      <c r="L112" s="122" t="s">
        <v>4322</v>
      </c>
      <c r="M112" s="133" t="s">
        <v>7655</v>
      </c>
      <c r="N112" s="122" t="s">
        <v>30</v>
      </c>
    </row>
    <row r="113" spans="2:14" s="9" customFormat="1" hidden="1" x14ac:dyDescent="0.25">
      <c r="B113" s="120">
        <v>110</v>
      </c>
      <c r="C113" s="122">
        <v>20547828373</v>
      </c>
      <c r="D113" s="125" t="s">
        <v>1098</v>
      </c>
      <c r="E113" s="125" t="s">
        <v>7646</v>
      </c>
      <c r="F113" s="122" t="s">
        <v>30</v>
      </c>
      <c r="G113" s="122" t="s">
        <v>30</v>
      </c>
      <c r="H113" s="122" t="s">
        <v>74</v>
      </c>
      <c r="I113" s="125" t="s">
        <v>1365</v>
      </c>
      <c r="J113" s="129" t="s">
        <v>7650</v>
      </c>
      <c r="K113" s="122" t="s">
        <v>7651</v>
      </c>
      <c r="L113" s="122" t="s">
        <v>731</v>
      </c>
      <c r="M113" s="133" t="s">
        <v>7649</v>
      </c>
      <c r="N113" s="122" t="s">
        <v>30</v>
      </c>
    </row>
    <row r="114" spans="2:14" s="9" customFormat="1" hidden="1" x14ac:dyDescent="0.25">
      <c r="B114" s="120">
        <v>111</v>
      </c>
      <c r="C114" s="122">
        <v>20547828373</v>
      </c>
      <c r="D114" s="125" t="s">
        <v>1098</v>
      </c>
      <c r="E114" s="125" t="s">
        <v>7646</v>
      </c>
      <c r="F114" s="122" t="s">
        <v>30</v>
      </c>
      <c r="G114" s="122" t="s">
        <v>30</v>
      </c>
      <c r="H114" s="122" t="s">
        <v>74</v>
      </c>
      <c r="I114" s="125" t="s">
        <v>1365</v>
      </c>
      <c r="J114" s="129" t="s">
        <v>7647</v>
      </c>
      <c r="K114" s="122" t="s">
        <v>7648</v>
      </c>
      <c r="L114" s="122" t="s">
        <v>1712</v>
      </c>
      <c r="M114" s="133" t="s">
        <v>7649</v>
      </c>
      <c r="N114" s="122" t="s">
        <v>30</v>
      </c>
    </row>
    <row r="115" spans="2:14" s="9" customFormat="1" hidden="1" x14ac:dyDescent="0.25">
      <c r="B115" s="120">
        <v>112</v>
      </c>
      <c r="C115" s="122">
        <v>20603995598</v>
      </c>
      <c r="D115" s="125" t="s">
        <v>7640</v>
      </c>
      <c r="E115" s="125" t="s">
        <v>7641</v>
      </c>
      <c r="F115" s="122" t="s">
        <v>270</v>
      </c>
      <c r="G115" s="122" t="s">
        <v>270</v>
      </c>
      <c r="H115" s="122" t="s">
        <v>269</v>
      </c>
      <c r="I115" s="125" t="s">
        <v>7642</v>
      </c>
      <c r="J115" s="129" t="s">
        <v>7644</v>
      </c>
      <c r="K115" s="122" t="s">
        <v>7645</v>
      </c>
      <c r="L115" s="122" t="s">
        <v>42</v>
      </c>
      <c r="M115" s="133" t="s">
        <v>7643</v>
      </c>
      <c r="N115" s="122" t="s">
        <v>270</v>
      </c>
    </row>
    <row r="116" spans="2:14" s="9" customFormat="1" hidden="1" x14ac:dyDescent="0.25">
      <c r="B116" s="120">
        <v>113</v>
      </c>
      <c r="C116" s="122">
        <v>20101500609</v>
      </c>
      <c r="D116" s="125" t="s">
        <v>702</v>
      </c>
      <c r="E116" s="125" t="s">
        <v>7630</v>
      </c>
      <c r="F116" s="122" t="s">
        <v>30</v>
      </c>
      <c r="G116" s="122" t="s">
        <v>30</v>
      </c>
      <c r="H116" s="122" t="s">
        <v>30</v>
      </c>
      <c r="I116" s="125" t="s">
        <v>1755</v>
      </c>
      <c r="J116" s="129" t="s">
        <v>7636</v>
      </c>
      <c r="K116" s="122" t="s">
        <v>7637</v>
      </c>
      <c r="L116" s="122" t="s">
        <v>119</v>
      </c>
      <c r="M116" s="133" t="s">
        <v>7633</v>
      </c>
      <c r="N116" s="122" t="s">
        <v>30</v>
      </c>
    </row>
    <row r="117" spans="2:14" s="9" customFormat="1" hidden="1" x14ac:dyDescent="0.25">
      <c r="B117" s="120">
        <v>114</v>
      </c>
      <c r="C117" s="122">
        <v>20101500609</v>
      </c>
      <c r="D117" s="125" t="s">
        <v>702</v>
      </c>
      <c r="E117" s="125" t="s">
        <v>7630</v>
      </c>
      <c r="F117" s="122" t="s">
        <v>30</v>
      </c>
      <c r="G117" s="122" t="s">
        <v>30</v>
      </c>
      <c r="H117" s="122" t="s">
        <v>30</v>
      </c>
      <c r="I117" s="125" t="s">
        <v>1755</v>
      </c>
      <c r="J117" s="129" t="s">
        <v>7634</v>
      </c>
      <c r="K117" s="122" t="s">
        <v>7635</v>
      </c>
      <c r="L117" s="122" t="s">
        <v>119</v>
      </c>
      <c r="M117" s="133" t="s">
        <v>7633</v>
      </c>
      <c r="N117" s="122" t="s">
        <v>30</v>
      </c>
    </row>
    <row r="118" spans="2:14" s="9" customFormat="1" hidden="1" x14ac:dyDescent="0.25">
      <c r="B118" s="120">
        <v>115</v>
      </c>
      <c r="C118" s="122">
        <v>20101500609</v>
      </c>
      <c r="D118" s="125" t="s">
        <v>702</v>
      </c>
      <c r="E118" s="125" t="s">
        <v>7630</v>
      </c>
      <c r="F118" s="122" t="s">
        <v>30</v>
      </c>
      <c r="G118" s="122" t="s">
        <v>30</v>
      </c>
      <c r="H118" s="122" t="s">
        <v>30</v>
      </c>
      <c r="I118" s="125" t="s">
        <v>1755</v>
      </c>
      <c r="J118" s="129" t="s">
        <v>7631</v>
      </c>
      <c r="K118" s="122" t="s">
        <v>7632</v>
      </c>
      <c r="L118" s="122" t="s">
        <v>42</v>
      </c>
      <c r="M118" s="133" t="s">
        <v>7633</v>
      </c>
      <c r="N118" s="122" t="s">
        <v>30</v>
      </c>
    </row>
    <row r="119" spans="2:14" s="9" customFormat="1" hidden="1" x14ac:dyDescent="0.25">
      <c r="B119" s="120">
        <v>116</v>
      </c>
      <c r="C119" s="122">
        <v>20563381958</v>
      </c>
      <c r="D119" s="125" t="s">
        <v>6229</v>
      </c>
      <c r="E119" s="125" t="s">
        <v>6230</v>
      </c>
      <c r="F119" s="122" t="s">
        <v>30</v>
      </c>
      <c r="G119" s="122" t="s">
        <v>30</v>
      </c>
      <c r="H119" s="122" t="s">
        <v>45</v>
      </c>
      <c r="I119" s="125" t="s">
        <v>1377</v>
      </c>
      <c r="J119" s="129" t="s">
        <v>7627</v>
      </c>
      <c r="K119" s="122" t="s">
        <v>7628</v>
      </c>
      <c r="L119" s="122" t="s">
        <v>731</v>
      </c>
      <c r="M119" s="133" t="s">
        <v>7629</v>
      </c>
      <c r="N119" s="122" t="s">
        <v>30</v>
      </c>
    </row>
    <row r="120" spans="2:14" s="9" customFormat="1" hidden="1" x14ac:dyDescent="0.25">
      <c r="B120" s="120">
        <v>117</v>
      </c>
      <c r="C120" s="122">
        <v>20172318551</v>
      </c>
      <c r="D120" s="125" t="s">
        <v>3546</v>
      </c>
      <c r="E120" s="125" t="s">
        <v>7624</v>
      </c>
      <c r="F120" s="122" t="s">
        <v>30</v>
      </c>
      <c r="G120" s="122" t="s">
        <v>170</v>
      </c>
      <c r="H120" s="122" t="s">
        <v>174</v>
      </c>
      <c r="I120" s="125" t="s">
        <v>7620</v>
      </c>
      <c r="J120" s="129" t="s">
        <v>7625</v>
      </c>
      <c r="K120" s="122" t="s">
        <v>7626</v>
      </c>
      <c r="L120" s="122" t="s">
        <v>7623</v>
      </c>
      <c r="M120" s="133" t="s">
        <v>845</v>
      </c>
      <c r="N120" s="122" t="s">
        <v>845</v>
      </c>
    </row>
    <row r="121" spans="2:14" s="9" customFormat="1" hidden="1" x14ac:dyDescent="0.25">
      <c r="B121" s="120">
        <v>118</v>
      </c>
      <c r="C121" s="122">
        <v>20162290089</v>
      </c>
      <c r="D121" s="125" t="s">
        <v>3589</v>
      </c>
      <c r="E121" s="125" t="s">
        <v>7619</v>
      </c>
      <c r="F121" s="122" t="s">
        <v>30</v>
      </c>
      <c r="G121" s="122" t="s">
        <v>31</v>
      </c>
      <c r="H121" s="122" t="s">
        <v>139</v>
      </c>
      <c r="I121" s="125" t="s">
        <v>7620</v>
      </c>
      <c r="J121" s="129" t="s">
        <v>7621</v>
      </c>
      <c r="K121" s="122" t="s">
        <v>7622</v>
      </c>
      <c r="L121" s="122" t="s">
        <v>7623</v>
      </c>
      <c r="M121" s="133" t="s">
        <v>845</v>
      </c>
      <c r="N121" s="122" t="s">
        <v>845</v>
      </c>
    </row>
    <row r="122" spans="2:14" s="9" customFormat="1" hidden="1" x14ac:dyDescent="0.25">
      <c r="B122" s="120">
        <v>119</v>
      </c>
      <c r="C122" s="122">
        <v>20161729109</v>
      </c>
      <c r="D122" s="125" t="s">
        <v>7615</v>
      </c>
      <c r="E122" s="125" t="s">
        <v>7616</v>
      </c>
      <c r="F122" s="122" t="s">
        <v>30</v>
      </c>
      <c r="G122" s="122" t="s">
        <v>30</v>
      </c>
      <c r="H122" s="122" t="s">
        <v>68</v>
      </c>
      <c r="I122" s="125" t="s">
        <v>1943</v>
      </c>
      <c r="J122" s="129" t="s">
        <v>7617</v>
      </c>
      <c r="K122" s="122" t="s">
        <v>7618</v>
      </c>
      <c r="L122" s="122" t="s">
        <v>36</v>
      </c>
      <c r="M122" s="133" t="s">
        <v>845</v>
      </c>
      <c r="N122" s="122" t="s">
        <v>845</v>
      </c>
    </row>
    <row r="123" spans="2:14" s="9" customFormat="1" hidden="1" x14ac:dyDescent="0.25">
      <c r="B123" s="120">
        <v>120</v>
      </c>
      <c r="C123" s="122">
        <v>20155123771</v>
      </c>
      <c r="D123" s="125" t="s">
        <v>7610</v>
      </c>
      <c r="E123" s="125" t="s">
        <v>7611</v>
      </c>
      <c r="F123" s="122" t="s">
        <v>67</v>
      </c>
      <c r="G123" s="122" t="s">
        <v>67</v>
      </c>
      <c r="H123" s="122" t="s">
        <v>94</v>
      </c>
      <c r="I123" s="125" t="s">
        <v>1424</v>
      </c>
      <c r="J123" s="129" t="s">
        <v>7612</v>
      </c>
      <c r="K123" s="122" t="s">
        <v>7613</v>
      </c>
      <c r="L123" s="122" t="s">
        <v>36</v>
      </c>
      <c r="M123" s="133" t="s">
        <v>7614</v>
      </c>
      <c r="N123" s="122" t="s">
        <v>67</v>
      </c>
    </row>
    <row r="124" spans="2:14" s="9" customFormat="1" hidden="1" x14ac:dyDescent="0.25">
      <c r="B124" s="120">
        <v>121</v>
      </c>
      <c r="C124" s="122">
        <v>20144109458</v>
      </c>
      <c r="D124" s="125" t="s">
        <v>7599</v>
      </c>
      <c r="E124" s="125" t="s">
        <v>7600</v>
      </c>
      <c r="F124" s="122" t="s">
        <v>30</v>
      </c>
      <c r="G124" s="122" t="s">
        <v>30</v>
      </c>
      <c r="H124" s="122" t="s">
        <v>34</v>
      </c>
      <c r="I124" s="125" t="s">
        <v>1365</v>
      </c>
      <c r="J124" s="129" t="s">
        <v>7608</v>
      </c>
      <c r="K124" s="122" t="s">
        <v>7609</v>
      </c>
      <c r="L124" s="122" t="s">
        <v>209</v>
      </c>
      <c r="M124" s="133" t="s">
        <v>7603</v>
      </c>
      <c r="N124" s="122" t="s">
        <v>30</v>
      </c>
    </row>
    <row r="125" spans="2:14" s="9" customFormat="1" hidden="1" x14ac:dyDescent="0.25">
      <c r="B125" s="120">
        <v>122</v>
      </c>
      <c r="C125" s="122">
        <v>20144109458</v>
      </c>
      <c r="D125" s="125" t="s">
        <v>7599</v>
      </c>
      <c r="E125" s="125" t="s">
        <v>7600</v>
      </c>
      <c r="F125" s="122" t="s">
        <v>30</v>
      </c>
      <c r="G125" s="122" t="s">
        <v>30</v>
      </c>
      <c r="H125" s="122" t="s">
        <v>34</v>
      </c>
      <c r="I125" s="125" t="s">
        <v>1365</v>
      </c>
      <c r="J125" s="129" t="s">
        <v>7606</v>
      </c>
      <c r="K125" s="122" t="s">
        <v>7607</v>
      </c>
      <c r="L125" s="122" t="s">
        <v>209</v>
      </c>
      <c r="M125" s="133" t="s">
        <v>7603</v>
      </c>
      <c r="N125" s="122" t="s">
        <v>30</v>
      </c>
    </row>
    <row r="126" spans="2:14" s="9" customFormat="1" hidden="1" x14ac:dyDescent="0.25">
      <c r="B126" s="120">
        <v>123</v>
      </c>
      <c r="C126" s="122">
        <v>20144109458</v>
      </c>
      <c r="D126" s="125" t="s">
        <v>7599</v>
      </c>
      <c r="E126" s="125" t="s">
        <v>7600</v>
      </c>
      <c r="F126" s="122" t="s">
        <v>30</v>
      </c>
      <c r="G126" s="122" t="s">
        <v>30</v>
      </c>
      <c r="H126" s="122" t="s">
        <v>34</v>
      </c>
      <c r="I126" s="125" t="s">
        <v>1365</v>
      </c>
      <c r="J126" s="129" t="s">
        <v>7604</v>
      </c>
      <c r="K126" s="122" t="s">
        <v>7605</v>
      </c>
      <c r="L126" s="122" t="s">
        <v>42</v>
      </c>
      <c r="M126" s="133" t="s">
        <v>7603</v>
      </c>
      <c r="N126" s="122" t="s">
        <v>30</v>
      </c>
    </row>
    <row r="127" spans="2:14" s="9" customFormat="1" hidden="1" x14ac:dyDescent="0.25">
      <c r="B127" s="120">
        <v>124</v>
      </c>
      <c r="C127" s="122">
        <v>20144109458</v>
      </c>
      <c r="D127" s="125" t="s">
        <v>7599</v>
      </c>
      <c r="E127" s="125" t="s">
        <v>7600</v>
      </c>
      <c r="F127" s="122" t="s">
        <v>30</v>
      </c>
      <c r="G127" s="122" t="s">
        <v>30</v>
      </c>
      <c r="H127" s="122" t="s">
        <v>34</v>
      </c>
      <c r="I127" s="125" t="s">
        <v>1365</v>
      </c>
      <c r="J127" s="129" t="s">
        <v>7601</v>
      </c>
      <c r="K127" s="122" t="s">
        <v>7602</v>
      </c>
      <c r="L127" s="122" t="s">
        <v>209</v>
      </c>
      <c r="M127" s="133" t="s">
        <v>7603</v>
      </c>
      <c r="N127" s="122" t="s">
        <v>30</v>
      </c>
    </row>
    <row r="128" spans="2:14" s="9" customFormat="1" hidden="1" x14ac:dyDescent="0.25">
      <c r="B128" s="120">
        <v>125</v>
      </c>
      <c r="C128" s="122">
        <v>20142773237</v>
      </c>
      <c r="D128" s="125" t="s">
        <v>4869</v>
      </c>
      <c r="E128" s="125" t="s">
        <v>4870</v>
      </c>
      <c r="F128" s="122" t="s">
        <v>67</v>
      </c>
      <c r="G128" s="122" t="s">
        <v>67</v>
      </c>
      <c r="H128" s="122" t="s">
        <v>94</v>
      </c>
      <c r="I128" s="125" t="s">
        <v>1706</v>
      </c>
      <c r="J128" s="129" t="s">
        <v>7596</v>
      </c>
      <c r="K128" s="122" t="s">
        <v>7597</v>
      </c>
      <c r="L128" s="122" t="s">
        <v>42</v>
      </c>
      <c r="M128" s="133" t="s">
        <v>7598</v>
      </c>
      <c r="N128" s="122" t="s">
        <v>67</v>
      </c>
    </row>
    <row r="129" spans="2:14" s="9" customFormat="1" hidden="1" x14ac:dyDescent="0.25">
      <c r="B129" s="120">
        <v>126</v>
      </c>
      <c r="C129" s="122">
        <v>20138251064</v>
      </c>
      <c r="D129" s="125" t="s">
        <v>281</v>
      </c>
      <c r="E129" s="125" t="s">
        <v>7591</v>
      </c>
      <c r="F129" s="122" t="s">
        <v>30</v>
      </c>
      <c r="G129" s="122" t="s">
        <v>30</v>
      </c>
      <c r="H129" s="122" t="s">
        <v>60</v>
      </c>
      <c r="I129" s="125" t="s">
        <v>7592</v>
      </c>
      <c r="J129" s="129" t="s">
        <v>7593</v>
      </c>
      <c r="K129" s="122" t="s">
        <v>7594</v>
      </c>
      <c r="L129" s="122" t="s">
        <v>42</v>
      </c>
      <c r="M129" s="133" t="s">
        <v>7595</v>
      </c>
      <c r="N129" s="122" t="s">
        <v>30</v>
      </c>
    </row>
    <row r="130" spans="2:14" s="9" customFormat="1" hidden="1" x14ac:dyDescent="0.25">
      <c r="B130" s="120">
        <v>127</v>
      </c>
      <c r="C130" s="122">
        <v>20137117712</v>
      </c>
      <c r="D130" s="125" t="s">
        <v>3605</v>
      </c>
      <c r="E130" s="125" t="s">
        <v>7575</v>
      </c>
      <c r="F130" s="122" t="s">
        <v>30</v>
      </c>
      <c r="G130" s="122" t="s">
        <v>30</v>
      </c>
      <c r="H130" s="122" t="s">
        <v>51</v>
      </c>
      <c r="I130" s="125" t="s">
        <v>2895</v>
      </c>
      <c r="J130" s="129" t="s">
        <v>7589</v>
      </c>
      <c r="K130" s="122" t="s">
        <v>7590</v>
      </c>
      <c r="L130" s="122" t="s">
        <v>36</v>
      </c>
      <c r="M130" s="133" t="s">
        <v>7578</v>
      </c>
      <c r="N130" s="122" t="s">
        <v>30</v>
      </c>
    </row>
    <row r="131" spans="2:14" s="9" customFormat="1" hidden="1" x14ac:dyDescent="0.25">
      <c r="B131" s="120">
        <v>128</v>
      </c>
      <c r="C131" s="122">
        <v>20137117712</v>
      </c>
      <c r="D131" s="125" t="s">
        <v>3605</v>
      </c>
      <c r="E131" s="125" t="s">
        <v>7575</v>
      </c>
      <c r="F131" s="122" t="s">
        <v>30</v>
      </c>
      <c r="G131" s="122" t="s">
        <v>30</v>
      </c>
      <c r="H131" s="122" t="s">
        <v>51</v>
      </c>
      <c r="I131" s="125" t="s">
        <v>2895</v>
      </c>
      <c r="J131" s="129" t="s">
        <v>7587</v>
      </c>
      <c r="K131" s="122" t="s">
        <v>7588</v>
      </c>
      <c r="L131" s="122" t="s">
        <v>42</v>
      </c>
      <c r="M131" s="133" t="s">
        <v>7578</v>
      </c>
      <c r="N131" s="122" t="s">
        <v>30</v>
      </c>
    </row>
    <row r="132" spans="2:14" s="9" customFormat="1" hidden="1" x14ac:dyDescent="0.25">
      <c r="B132" s="120">
        <v>129</v>
      </c>
      <c r="C132" s="122">
        <v>20137117712</v>
      </c>
      <c r="D132" s="125" t="s">
        <v>3605</v>
      </c>
      <c r="E132" s="125" t="s">
        <v>7575</v>
      </c>
      <c r="F132" s="122" t="s">
        <v>30</v>
      </c>
      <c r="G132" s="122" t="s">
        <v>30</v>
      </c>
      <c r="H132" s="122" t="s">
        <v>51</v>
      </c>
      <c r="I132" s="125" t="s">
        <v>2895</v>
      </c>
      <c r="J132" s="129" t="s">
        <v>7585</v>
      </c>
      <c r="K132" s="122" t="s">
        <v>7586</v>
      </c>
      <c r="L132" s="122" t="s">
        <v>209</v>
      </c>
      <c r="M132" s="133" t="s">
        <v>7578</v>
      </c>
      <c r="N132" s="122" t="s">
        <v>30</v>
      </c>
    </row>
    <row r="133" spans="2:14" s="9" customFormat="1" hidden="1" x14ac:dyDescent="0.25">
      <c r="B133" s="120">
        <v>130</v>
      </c>
      <c r="C133" s="122">
        <v>20137117712</v>
      </c>
      <c r="D133" s="125" t="s">
        <v>3605</v>
      </c>
      <c r="E133" s="125" t="s">
        <v>7575</v>
      </c>
      <c r="F133" s="122" t="s">
        <v>30</v>
      </c>
      <c r="G133" s="122" t="s">
        <v>30</v>
      </c>
      <c r="H133" s="122" t="s">
        <v>51</v>
      </c>
      <c r="I133" s="125" t="s">
        <v>2895</v>
      </c>
      <c r="J133" s="129" t="s">
        <v>7583</v>
      </c>
      <c r="K133" s="122" t="s">
        <v>7584</v>
      </c>
      <c r="L133" s="122" t="s">
        <v>209</v>
      </c>
      <c r="M133" s="133" t="s">
        <v>7578</v>
      </c>
      <c r="N133" s="122" t="s">
        <v>30</v>
      </c>
    </row>
    <row r="134" spans="2:14" s="9" customFormat="1" hidden="1" x14ac:dyDescent="0.25">
      <c r="B134" s="120">
        <v>131</v>
      </c>
      <c r="C134" s="122">
        <v>20137117712</v>
      </c>
      <c r="D134" s="125" t="s">
        <v>3605</v>
      </c>
      <c r="E134" s="125" t="s">
        <v>7575</v>
      </c>
      <c r="F134" s="122" t="s">
        <v>30</v>
      </c>
      <c r="G134" s="122" t="s">
        <v>30</v>
      </c>
      <c r="H134" s="122" t="s">
        <v>51</v>
      </c>
      <c r="I134" s="125" t="s">
        <v>2895</v>
      </c>
      <c r="J134" s="129" t="s">
        <v>7581</v>
      </c>
      <c r="K134" s="122" t="s">
        <v>7582</v>
      </c>
      <c r="L134" s="122" t="s">
        <v>119</v>
      </c>
      <c r="M134" s="133" t="s">
        <v>7578</v>
      </c>
      <c r="N134" s="122" t="s">
        <v>30</v>
      </c>
    </row>
    <row r="135" spans="2:14" s="9" customFormat="1" hidden="1" x14ac:dyDescent="0.25">
      <c r="B135" s="120">
        <v>132</v>
      </c>
      <c r="C135" s="122">
        <v>20137117712</v>
      </c>
      <c r="D135" s="125" t="s">
        <v>3605</v>
      </c>
      <c r="E135" s="125" t="s">
        <v>7575</v>
      </c>
      <c r="F135" s="122" t="s">
        <v>30</v>
      </c>
      <c r="G135" s="122" t="s">
        <v>30</v>
      </c>
      <c r="H135" s="122" t="s">
        <v>51</v>
      </c>
      <c r="I135" s="125" t="s">
        <v>2895</v>
      </c>
      <c r="J135" s="129" t="s">
        <v>7579</v>
      </c>
      <c r="K135" s="122" t="s">
        <v>7580</v>
      </c>
      <c r="L135" s="122" t="s">
        <v>209</v>
      </c>
      <c r="M135" s="133" t="s">
        <v>7578</v>
      </c>
      <c r="N135" s="122" t="s">
        <v>30</v>
      </c>
    </row>
    <row r="136" spans="2:14" s="9" customFormat="1" hidden="1" x14ac:dyDescent="0.25">
      <c r="B136" s="120">
        <v>133</v>
      </c>
      <c r="C136" s="122">
        <v>20137117712</v>
      </c>
      <c r="D136" s="125" t="s">
        <v>3605</v>
      </c>
      <c r="E136" s="125" t="s">
        <v>7575</v>
      </c>
      <c r="F136" s="122" t="s">
        <v>30</v>
      </c>
      <c r="G136" s="122" t="s">
        <v>30</v>
      </c>
      <c r="H136" s="122" t="s">
        <v>51</v>
      </c>
      <c r="I136" s="125" t="s">
        <v>2895</v>
      </c>
      <c r="J136" s="129" t="s">
        <v>7576</v>
      </c>
      <c r="K136" s="122" t="s">
        <v>7577</v>
      </c>
      <c r="L136" s="122" t="s">
        <v>209</v>
      </c>
      <c r="M136" s="133" t="s">
        <v>7578</v>
      </c>
      <c r="N136" s="122" t="s">
        <v>30</v>
      </c>
    </row>
    <row r="137" spans="2:14" s="9" customFormat="1" hidden="1" x14ac:dyDescent="0.25">
      <c r="B137" s="120">
        <v>134</v>
      </c>
      <c r="C137" s="122">
        <v>20136437331</v>
      </c>
      <c r="D137" s="125" t="s">
        <v>192</v>
      </c>
      <c r="E137" s="125" t="s">
        <v>7568</v>
      </c>
      <c r="F137" s="122" t="s">
        <v>30</v>
      </c>
      <c r="G137" s="122" t="s">
        <v>30</v>
      </c>
      <c r="H137" s="122" t="s">
        <v>64</v>
      </c>
      <c r="I137" s="125" t="s">
        <v>7569</v>
      </c>
      <c r="J137" s="129" t="s">
        <v>7573</v>
      </c>
      <c r="K137" s="122" t="s">
        <v>7574</v>
      </c>
      <c r="L137" s="122" t="s">
        <v>36</v>
      </c>
      <c r="M137" s="133" t="s">
        <v>7572</v>
      </c>
      <c r="N137" s="122" t="s">
        <v>30</v>
      </c>
    </row>
    <row r="138" spans="2:14" s="9" customFormat="1" hidden="1" x14ac:dyDescent="0.25">
      <c r="B138" s="120">
        <v>135</v>
      </c>
      <c r="C138" s="122">
        <v>20136437331</v>
      </c>
      <c r="D138" s="125" t="s">
        <v>192</v>
      </c>
      <c r="E138" s="125" t="s">
        <v>7568</v>
      </c>
      <c r="F138" s="122" t="s">
        <v>30</v>
      </c>
      <c r="G138" s="122" t="s">
        <v>30</v>
      </c>
      <c r="H138" s="122" t="s">
        <v>64</v>
      </c>
      <c r="I138" s="125" t="s">
        <v>7569</v>
      </c>
      <c r="J138" s="129" t="s">
        <v>7570</v>
      </c>
      <c r="K138" s="122" t="s">
        <v>7571</v>
      </c>
      <c r="L138" s="122" t="s">
        <v>42</v>
      </c>
      <c r="M138" s="133" t="s">
        <v>7572</v>
      </c>
      <c r="N138" s="122" t="s">
        <v>30</v>
      </c>
    </row>
    <row r="139" spans="2:14" s="9" customFormat="1" hidden="1" x14ac:dyDescent="0.25">
      <c r="B139" s="120">
        <v>136</v>
      </c>
      <c r="C139" s="122">
        <v>20131379863</v>
      </c>
      <c r="D139" s="125" t="s">
        <v>3507</v>
      </c>
      <c r="E139" s="125" t="s">
        <v>7564</v>
      </c>
      <c r="F139" s="122" t="s">
        <v>30</v>
      </c>
      <c r="G139" s="122" t="s">
        <v>30</v>
      </c>
      <c r="H139" s="122" t="s">
        <v>80</v>
      </c>
      <c r="I139" s="125" t="s">
        <v>7565</v>
      </c>
      <c r="J139" s="129" t="s">
        <v>7566</v>
      </c>
      <c r="K139" s="122" t="s">
        <v>7567</v>
      </c>
      <c r="L139" s="122" t="s">
        <v>73</v>
      </c>
      <c r="M139" s="133" t="s">
        <v>845</v>
      </c>
      <c r="N139" s="122" t="s">
        <v>845</v>
      </c>
    </row>
    <row r="140" spans="2:14" s="9" customFormat="1" hidden="1" x14ac:dyDescent="0.25">
      <c r="B140" s="120">
        <v>137</v>
      </c>
      <c r="C140" s="122">
        <v>20131369124</v>
      </c>
      <c r="D140" s="125" t="s">
        <v>444</v>
      </c>
      <c r="E140" s="125" t="s">
        <v>7558</v>
      </c>
      <c r="F140" s="122" t="s">
        <v>30</v>
      </c>
      <c r="G140" s="122" t="s">
        <v>30</v>
      </c>
      <c r="H140" s="122" t="s">
        <v>80</v>
      </c>
      <c r="I140" s="125" t="s">
        <v>7559</v>
      </c>
      <c r="J140" s="129" t="s">
        <v>7562</v>
      </c>
      <c r="K140" s="122" t="s">
        <v>7563</v>
      </c>
      <c r="L140" s="122" t="s">
        <v>209</v>
      </c>
      <c r="M140" s="133" t="s">
        <v>845</v>
      </c>
      <c r="N140" s="122" t="s">
        <v>845</v>
      </c>
    </row>
    <row r="141" spans="2:14" s="9" customFormat="1" hidden="1" x14ac:dyDescent="0.25">
      <c r="B141" s="120">
        <v>138</v>
      </c>
      <c r="C141" s="122">
        <v>20131369124</v>
      </c>
      <c r="D141" s="125" t="s">
        <v>444</v>
      </c>
      <c r="E141" s="125" t="s">
        <v>7558</v>
      </c>
      <c r="F141" s="122" t="s">
        <v>30</v>
      </c>
      <c r="G141" s="122" t="s">
        <v>30</v>
      </c>
      <c r="H141" s="122" t="s">
        <v>80</v>
      </c>
      <c r="I141" s="125" t="s">
        <v>7559</v>
      </c>
      <c r="J141" s="129" t="s">
        <v>7560</v>
      </c>
      <c r="K141" s="122" t="s">
        <v>7561</v>
      </c>
      <c r="L141" s="122" t="s">
        <v>209</v>
      </c>
      <c r="M141" s="133" t="s">
        <v>845</v>
      </c>
      <c r="N141" s="122" t="s">
        <v>845</v>
      </c>
    </row>
    <row r="142" spans="2:14" s="9" customFormat="1" hidden="1" x14ac:dyDescent="0.25">
      <c r="B142" s="120">
        <v>139</v>
      </c>
      <c r="C142" s="122">
        <v>20123344279</v>
      </c>
      <c r="D142" s="125" t="s">
        <v>7553</v>
      </c>
      <c r="E142" s="125" t="s">
        <v>7554</v>
      </c>
      <c r="F142" s="122" t="s">
        <v>67</v>
      </c>
      <c r="G142" s="122" t="s">
        <v>67</v>
      </c>
      <c r="H142" s="122" t="s">
        <v>67</v>
      </c>
      <c r="I142" s="125" t="s">
        <v>1387</v>
      </c>
      <c r="J142" s="129" t="s">
        <v>7555</v>
      </c>
      <c r="K142" s="122" t="s">
        <v>7556</v>
      </c>
      <c r="L142" s="122" t="s">
        <v>36</v>
      </c>
      <c r="M142" s="133" t="s">
        <v>7557</v>
      </c>
      <c r="N142" s="122" t="s">
        <v>67</v>
      </c>
    </row>
    <row r="143" spans="2:14" s="9" customFormat="1" hidden="1" x14ac:dyDescent="0.25">
      <c r="B143" s="120">
        <v>140</v>
      </c>
      <c r="C143" s="122">
        <v>10084011865</v>
      </c>
      <c r="D143" s="125" t="s">
        <v>7550</v>
      </c>
      <c r="E143" s="125" t="s">
        <v>7552</v>
      </c>
      <c r="F143" s="122" t="s">
        <v>30</v>
      </c>
      <c r="G143" s="122" t="s">
        <v>30</v>
      </c>
      <c r="H143" s="122" t="s">
        <v>38</v>
      </c>
      <c r="I143" s="125" t="s">
        <v>1365</v>
      </c>
      <c r="J143" s="129" t="s">
        <v>7551</v>
      </c>
      <c r="K143" s="122" t="s">
        <v>7550</v>
      </c>
      <c r="L143" s="122" t="s">
        <v>100</v>
      </c>
      <c r="M143" s="133" t="s">
        <v>845</v>
      </c>
      <c r="N143" s="122" t="s">
        <v>845</v>
      </c>
    </row>
    <row r="144" spans="2:14" s="9" customFormat="1" hidden="1" x14ac:dyDescent="0.25">
      <c r="B144" s="120">
        <v>141</v>
      </c>
      <c r="C144" s="122">
        <v>20606120860</v>
      </c>
      <c r="D144" s="125" t="s">
        <v>7545</v>
      </c>
      <c r="E144" s="125" t="s">
        <v>7546</v>
      </c>
      <c r="F144" s="122" t="s">
        <v>67</v>
      </c>
      <c r="G144" s="122" t="s">
        <v>67</v>
      </c>
      <c r="H144" s="122" t="s">
        <v>81</v>
      </c>
      <c r="I144" s="125" t="s">
        <v>1377</v>
      </c>
      <c r="J144" s="129" t="s">
        <v>7547</v>
      </c>
      <c r="K144" s="122" t="s">
        <v>7548</v>
      </c>
      <c r="L144" s="122" t="s">
        <v>42</v>
      </c>
      <c r="M144" s="133" t="s">
        <v>7549</v>
      </c>
      <c r="N144" s="122" t="s">
        <v>67</v>
      </c>
    </row>
    <row r="145" spans="2:14" s="9" customFormat="1" hidden="1" x14ac:dyDescent="0.25">
      <c r="B145" s="120">
        <v>142</v>
      </c>
      <c r="C145" s="122">
        <v>20333653657</v>
      </c>
      <c r="D145" s="125" t="s">
        <v>7540</v>
      </c>
      <c r="E145" s="125" t="s">
        <v>7541</v>
      </c>
      <c r="F145" s="122" t="s">
        <v>30</v>
      </c>
      <c r="G145" s="122" t="s">
        <v>30</v>
      </c>
      <c r="H145" s="122" t="s">
        <v>50</v>
      </c>
      <c r="I145" s="125" t="s">
        <v>1955</v>
      </c>
      <c r="J145" s="129" t="s">
        <v>7542</v>
      </c>
      <c r="K145" s="122" t="s">
        <v>7543</v>
      </c>
      <c r="L145" s="122" t="s">
        <v>731</v>
      </c>
      <c r="M145" s="133" t="s">
        <v>7544</v>
      </c>
      <c r="N145" s="122" t="s">
        <v>30</v>
      </c>
    </row>
    <row r="146" spans="2:14" s="9" customFormat="1" hidden="1" x14ac:dyDescent="0.25">
      <c r="B146" s="120">
        <v>143</v>
      </c>
      <c r="C146" s="122">
        <v>20513919779</v>
      </c>
      <c r="D146" s="125" t="s">
        <v>7535</v>
      </c>
      <c r="E146" s="125" t="s">
        <v>7536</v>
      </c>
      <c r="F146" s="122" t="s">
        <v>30</v>
      </c>
      <c r="G146" s="122" t="s">
        <v>30</v>
      </c>
      <c r="H146" s="122" t="s">
        <v>30</v>
      </c>
      <c r="I146" s="125" t="s">
        <v>1365</v>
      </c>
      <c r="J146" s="129" t="s">
        <v>7537</v>
      </c>
      <c r="K146" s="122" t="s">
        <v>7538</v>
      </c>
      <c r="L146" s="122" t="s">
        <v>42</v>
      </c>
      <c r="M146" s="133" t="s">
        <v>7539</v>
      </c>
      <c r="N146" s="122" t="s">
        <v>30</v>
      </c>
    </row>
    <row r="147" spans="2:14" s="9" customFormat="1" hidden="1" x14ac:dyDescent="0.25">
      <c r="B147" s="120">
        <v>144</v>
      </c>
      <c r="C147" s="122">
        <v>20554342044</v>
      </c>
      <c r="D147" s="125" t="s">
        <v>7530</v>
      </c>
      <c r="E147" s="125" t="s">
        <v>7531</v>
      </c>
      <c r="F147" s="122" t="s">
        <v>30</v>
      </c>
      <c r="G147" s="122" t="s">
        <v>48</v>
      </c>
      <c r="H147" s="122" t="s">
        <v>155</v>
      </c>
      <c r="I147" s="125" t="s">
        <v>1387</v>
      </c>
      <c r="J147" s="129" t="s">
        <v>7532</v>
      </c>
      <c r="K147" s="122" t="s">
        <v>7533</v>
      </c>
      <c r="L147" s="122" t="s">
        <v>731</v>
      </c>
      <c r="M147" s="133" t="s">
        <v>7534</v>
      </c>
      <c r="N147" s="122" t="s">
        <v>30</v>
      </c>
    </row>
    <row r="148" spans="2:14" s="9" customFormat="1" hidden="1" x14ac:dyDescent="0.25">
      <c r="B148" s="120">
        <v>145</v>
      </c>
      <c r="C148" s="122">
        <v>20571568722</v>
      </c>
      <c r="D148" s="125" t="s">
        <v>7524</v>
      </c>
      <c r="E148" s="125" t="s">
        <v>7525</v>
      </c>
      <c r="F148" s="122" t="s">
        <v>30</v>
      </c>
      <c r="G148" s="122" t="s">
        <v>54</v>
      </c>
      <c r="H148" s="122" t="s">
        <v>54</v>
      </c>
      <c r="I148" s="125" t="s">
        <v>1938</v>
      </c>
      <c r="J148" s="129" t="s">
        <v>7526</v>
      </c>
      <c r="K148" s="122" t="s">
        <v>7527</v>
      </c>
      <c r="L148" s="122" t="s">
        <v>731</v>
      </c>
      <c r="M148" s="133" t="s">
        <v>7528</v>
      </c>
      <c r="N148" s="122" t="s">
        <v>54</v>
      </c>
    </row>
    <row r="149" spans="2:14" s="9" customFormat="1" hidden="1" x14ac:dyDescent="0.25">
      <c r="B149" s="120">
        <v>146</v>
      </c>
      <c r="C149" s="122">
        <v>20600658469</v>
      </c>
      <c r="D149" s="125" t="s">
        <v>1538</v>
      </c>
      <c r="E149" s="125" t="s">
        <v>1539</v>
      </c>
      <c r="F149" s="122" t="s">
        <v>30</v>
      </c>
      <c r="G149" s="122" t="s">
        <v>30</v>
      </c>
      <c r="H149" s="122" t="s">
        <v>51</v>
      </c>
      <c r="I149" s="125" t="s">
        <v>1424</v>
      </c>
      <c r="J149" s="129" t="s">
        <v>1541</v>
      </c>
      <c r="K149" s="122" t="s">
        <v>1542</v>
      </c>
      <c r="L149" s="122" t="s">
        <v>42</v>
      </c>
      <c r="M149" s="133" t="s">
        <v>845</v>
      </c>
      <c r="N149" s="122" t="s">
        <v>845</v>
      </c>
    </row>
    <row r="150" spans="2:14" s="9" customFormat="1" hidden="1" x14ac:dyDescent="0.25">
      <c r="B150" s="120">
        <v>147</v>
      </c>
      <c r="C150" s="122">
        <v>20600658469</v>
      </c>
      <c r="D150" s="125" t="s">
        <v>1538</v>
      </c>
      <c r="E150" s="125" t="s">
        <v>1539</v>
      </c>
      <c r="F150" s="122" t="s">
        <v>30</v>
      </c>
      <c r="G150" s="122" t="s">
        <v>30</v>
      </c>
      <c r="H150" s="122" t="s">
        <v>51</v>
      </c>
      <c r="I150" s="125" t="s">
        <v>1424</v>
      </c>
      <c r="J150" s="129" t="s">
        <v>1540</v>
      </c>
      <c r="K150" s="122" t="s">
        <v>7523</v>
      </c>
      <c r="L150" s="122" t="s">
        <v>1558</v>
      </c>
      <c r="M150" s="133" t="s">
        <v>845</v>
      </c>
      <c r="N150" s="122" t="s">
        <v>845</v>
      </c>
    </row>
    <row r="151" spans="2:14" s="9" customFormat="1" hidden="1" x14ac:dyDescent="0.25">
      <c r="B151" s="120">
        <v>148</v>
      </c>
      <c r="C151" s="122">
        <v>20601933404</v>
      </c>
      <c r="D151" s="125" t="s">
        <v>7517</v>
      </c>
      <c r="E151" s="125" t="s">
        <v>7518</v>
      </c>
      <c r="F151" s="122" t="s">
        <v>30</v>
      </c>
      <c r="G151" s="122" t="s">
        <v>30</v>
      </c>
      <c r="H151" s="122" t="s">
        <v>40</v>
      </c>
      <c r="I151" s="125" t="s">
        <v>1394</v>
      </c>
      <c r="J151" s="129" t="s">
        <v>7519</v>
      </c>
      <c r="K151" s="122" t="s">
        <v>7520</v>
      </c>
      <c r="L151" s="122" t="s">
        <v>42</v>
      </c>
      <c r="M151" s="133" t="s">
        <v>7521</v>
      </c>
      <c r="N151" s="122" t="s">
        <v>30</v>
      </c>
    </row>
    <row r="152" spans="2:14" s="9" customFormat="1" hidden="1" x14ac:dyDescent="0.25">
      <c r="B152" s="120">
        <v>149</v>
      </c>
      <c r="C152" s="122">
        <v>20600853121</v>
      </c>
      <c r="D152" s="125" t="s">
        <v>7512</v>
      </c>
      <c r="E152" s="125" t="s">
        <v>7513</v>
      </c>
      <c r="F152" s="122" t="s">
        <v>30</v>
      </c>
      <c r="G152" s="122" t="s">
        <v>30</v>
      </c>
      <c r="H152" s="122" t="s">
        <v>30</v>
      </c>
      <c r="I152" s="125" t="s">
        <v>1805</v>
      </c>
      <c r="J152" s="129" t="s">
        <v>7514</v>
      </c>
      <c r="K152" s="122" t="s">
        <v>7515</v>
      </c>
      <c r="L152" s="122" t="s">
        <v>42</v>
      </c>
      <c r="M152" s="133" t="s">
        <v>7516</v>
      </c>
      <c r="N152" s="122" t="s">
        <v>30</v>
      </c>
    </row>
    <row r="153" spans="2:14" s="9" customFormat="1" hidden="1" x14ac:dyDescent="0.25">
      <c r="B153" s="120">
        <v>150</v>
      </c>
      <c r="C153" s="122">
        <v>20100154308</v>
      </c>
      <c r="D153" s="125" t="s">
        <v>211</v>
      </c>
      <c r="E153" s="125" t="s">
        <v>7481</v>
      </c>
      <c r="F153" s="122" t="s">
        <v>30</v>
      </c>
      <c r="G153" s="122" t="s">
        <v>30</v>
      </c>
      <c r="H153" s="122" t="s">
        <v>39</v>
      </c>
      <c r="I153" s="125" t="s">
        <v>7482</v>
      </c>
      <c r="J153" s="129" t="s">
        <v>7506</v>
      </c>
      <c r="K153" s="122" t="s">
        <v>7507</v>
      </c>
      <c r="L153" s="122" t="s">
        <v>2943</v>
      </c>
      <c r="M153" s="133" t="s">
        <v>7485</v>
      </c>
      <c r="N153" s="122" t="s">
        <v>30</v>
      </c>
    </row>
    <row r="154" spans="2:14" s="9" customFormat="1" hidden="1" x14ac:dyDescent="0.25">
      <c r="B154" s="120">
        <v>151</v>
      </c>
      <c r="C154" s="122">
        <v>20100154308</v>
      </c>
      <c r="D154" s="125" t="s">
        <v>211</v>
      </c>
      <c r="E154" s="125" t="s">
        <v>7481</v>
      </c>
      <c r="F154" s="122" t="s">
        <v>30</v>
      </c>
      <c r="G154" s="122" t="s">
        <v>30</v>
      </c>
      <c r="H154" s="122" t="s">
        <v>39</v>
      </c>
      <c r="I154" s="125" t="s">
        <v>7482</v>
      </c>
      <c r="J154" s="129" t="s">
        <v>7504</v>
      </c>
      <c r="K154" s="122" t="s">
        <v>7505</v>
      </c>
      <c r="L154" s="122" t="s">
        <v>209</v>
      </c>
      <c r="M154" s="133" t="s">
        <v>7485</v>
      </c>
      <c r="N154" s="122" t="s">
        <v>30</v>
      </c>
    </row>
    <row r="155" spans="2:14" s="9" customFormat="1" hidden="1" x14ac:dyDescent="0.25">
      <c r="B155" s="120">
        <v>152</v>
      </c>
      <c r="C155" s="122">
        <v>20100154308</v>
      </c>
      <c r="D155" s="125" t="s">
        <v>211</v>
      </c>
      <c r="E155" s="125" t="s">
        <v>7481</v>
      </c>
      <c r="F155" s="122" t="s">
        <v>30</v>
      </c>
      <c r="G155" s="122" t="s">
        <v>30</v>
      </c>
      <c r="H155" s="122" t="s">
        <v>39</v>
      </c>
      <c r="I155" s="125" t="s">
        <v>7482</v>
      </c>
      <c r="J155" s="129" t="s">
        <v>7502</v>
      </c>
      <c r="K155" s="122" t="s">
        <v>7503</v>
      </c>
      <c r="L155" s="122" t="s">
        <v>209</v>
      </c>
      <c r="M155" s="133" t="s">
        <v>7485</v>
      </c>
      <c r="N155" s="122" t="s">
        <v>30</v>
      </c>
    </row>
    <row r="156" spans="2:14" s="9" customFormat="1" hidden="1" x14ac:dyDescent="0.25">
      <c r="B156" s="120">
        <v>153</v>
      </c>
      <c r="C156" s="122">
        <v>20100154308</v>
      </c>
      <c r="D156" s="125" t="s">
        <v>211</v>
      </c>
      <c r="E156" s="125" t="s">
        <v>7481</v>
      </c>
      <c r="F156" s="122" t="s">
        <v>30</v>
      </c>
      <c r="G156" s="122" t="s">
        <v>30</v>
      </c>
      <c r="H156" s="122" t="s">
        <v>39</v>
      </c>
      <c r="I156" s="125" t="s">
        <v>7482</v>
      </c>
      <c r="J156" s="129" t="s">
        <v>7500</v>
      </c>
      <c r="K156" s="122" t="s">
        <v>7501</v>
      </c>
      <c r="L156" s="122" t="s">
        <v>36</v>
      </c>
      <c r="M156" s="133" t="s">
        <v>7485</v>
      </c>
      <c r="N156" s="122" t="s">
        <v>30</v>
      </c>
    </row>
    <row r="157" spans="2:14" s="9" customFormat="1" hidden="1" x14ac:dyDescent="0.25">
      <c r="B157" s="120">
        <v>154</v>
      </c>
      <c r="C157" s="122">
        <v>20100154308</v>
      </c>
      <c r="D157" s="125" t="s">
        <v>211</v>
      </c>
      <c r="E157" s="125" t="s">
        <v>7481</v>
      </c>
      <c r="F157" s="122" t="s">
        <v>30</v>
      </c>
      <c r="G157" s="122" t="s">
        <v>30</v>
      </c>
      <c r="H157" s="122" t="s">
        <v>39</v>
      </c>
      <c r="I157" s="125" t="s">
        <v>7482</v>
      </c>
      <c r="J157" s="129" t="s">
        <v>7498</v>
      </c>
      <c r="K157" s="122" t="s">
        <v>7499</v>
      </c>
      <c r="L157" s="122" t="s">
        <v>42</v>
      </c>
      <c r="M157" s="133" t="s">
        <v>7485</v>
      </c>
      <c r="N157" s="122" t="s">
        <v>30</v>
      </c>
    </row>
    <row r="158" spans="2:14" s="9" customFormat="1" hidden="1" x14ac:dyDescent="0.25">
      <c r="B158" s="120">
        <v>155</v>
      </c>
      <c r="C158" s="122">
        <v>20100154308</v>
      </c>
      <c r="D158" s="125" t="s">
        <v>211</v>
      </c>
      <c r="E158" s="125" t="s">
        <v>7481</v>
      </c>
      <c r="F158" s="122" t="s">
        <v>30</v>
      </c>
      <c r="G158" s="122" t="s">
        <v>30</v>
      </c>
      <c r="H158" s="122" t="s">
        <v>39</v>
      </c>
      <c r="I158" s="125" t="s">
        <v>7482</v>
      </c>
      <c r="J158" s="129" t="s">
        <v>7496</v>
      </c>
      <c r="K158" s="122" t="s">
        <v>7497</v>
      </c>
      <c r="L158" s="122" t="s">
        <v>36</v>
      </c>
      <c r="M158" s="133" t="s">
        <v>7485</v>
      </c>
      <c r="N158" s="122" t="s">
        <v>30</v>
      </c>
    </row>
    <row r="159" spans="2:14" s="9" customFormat="1" hidden="1" x14ac:dyDescent="0.25">
      <c r="B159" s="120">
        <v>156</v>
      </c>
      <c r="C159" s="122">
        <v>20100154308</v>
      </c>
      <c r="D159" s="125" t="s">
        <v>211</v>
      </c>
      <c r="E159" s="125" t="s">
        <v>7481</v>
      </c>
      <c r="F159" s="122" t="s">
        <v>30</v>
      </c>
      <c r="G159" s="122" t="s">
        <v>30</v>
      </c>
      <c r="H159" s="122" t="s">
        <v>39</v>
      </c>
      <c r="I159" s="125" t="s">
        <v>7482</v>
      </c>
      <c r="J159" s="129" t="s">
        <v>7494</v>
      </c>
      <c r="K159" s="122" t="s">
        <v>7495</v>
      </c>
      <c r="L159" s="122" t="s">
        <v>209</v>
      </c>
      <c r="M159" s="133" t="s">
        <v>7485</v>
      </c>
      <c r="N159" s="122" t="s">
        <v>30</v>
      </c>
    </row>
    <row r="160" spans="2:14" s="9" customFormat="1" hidden="1" x14ac:dyDescent="0.25">
      <c r="B160" s="120">
        <v>157</v>
      </c>
      <c r="C160" s="122">
        <v>20100154308</v>
      </c>
      <c r="D160" s="125" t="s">
        <v>211</v>
      </c>
      <c r="E160" s="125" t="s">
        <v>7481</v>
      </c>
      <c r="F160" s="122" t="s">
        <v>30</v>
      </c>
      <c r="G160" s="122" t="s">
        <v>30</v>
      </c>
      <c r="H160" s="122" t="s">
        <v>39</v>
      </c>
      <c r="I160" s="125" t="s">
        <v>7482</v>
      </c>
      <c r="J160" s="129" t="s">
        <v>7492</v>
      </c>
      <c r="K160" s="122" t="s">
        <v>7493</v>
      </c>
      <c r="L160" s="122" t="s">
        <v>209</v>
      </c>
      <c r="M160" s="133" t="s">
        <v>7485</v>
      </c>
      <c r="N160" s="122" t="s">
        <v>30</v>
      </c>
    </row>
    <row r="161" spans="2:14" s="9" customFormat="1" hidden="1" x14ac:dyDescent="0.25">
      <c r="B161" s="120">
        <v>158</v>
      </c>
      <c r="C161" s="122">
        <v>20100154308</v>
      </c>
      <c r="D161" s="125" t="s">
        <v>211</v>
      </c>
      <c r="E161" s="125" t="s">
        <v>7481</v>
      </c>
      <c r="F161" s="122" t="s">
        <v>30</v>
      </c>
      <c r="G161" s="122" t="s">
        <v>30</v>
      </c>
      <c r="H161" s="122" t="s">
        <v>39</v>
      </c>
      <c r="I161" s="125" t="s">
        <v>7482</v>
      </c>
      <c r="J161" s="129" t="s">
        <v>7490</v>
      </c>
      <c r="K161" s="122" t="s">
        <v>7491</v>
      </c>
      <c r="L161" s="122" t="s">
        <v>209</v>
      </c>
      <c r="M161" s="133" t="s">
        <v>7485</v>
      </c>
      <c r="N161" s="122" t="s">
        <v>30</v>
      </c>
    </row>
    <row r="162" spans="2:14" s="9" customFormat="1" hidden="1" x14ac:dyDescent="0.25">
      <c r="B162" s="120">
        <v>159</v>
      </c>
      <c r="C162" s="122">
        <v>20100154308</v>
      </c>
      <c r="D162" s="125" t="s">
        <v>211</v>
      </c>
      <c r="E162" s="125" t="s">
        <v>7481</v>
      </c>
      <c r="F162" s="122" t="s">
        <v>30</v>
      </c>
      <c r="G162" s="122" t="s">
        <v>30</v>
      </c>
      <c r="H162" s="122" t="s">
        <v>39</v>
      </c>
      <c r="I162" s="125" t="s">
        <v>7482</v>
      </c>
      <c r="J162" s="129" t="s">
        <v>7488</v>
      </c>
      <c r="K162" s="122" t="s">
        <v>7489</v>
      </c>
      <c r="L162" s="122" t="s">
        <v>4322</v>
      </c>
      <c r="M162" s="133" t="s">
        <v>7485</v>
      </c>
      <c r="N162" s="122" t="s">
        <v>30</v>
      </c>
    </row>
    <row r="163" spans="2:14" s="9" customFormat="1" hidden="1" x14ac:dyDescent="0.25">
      <c r="B163" s="120">
        <v>160</v>
      </c>
      <c r="C163" s="122">
        <v>20100154308</v>
      </c>
      <c r="D163" s="125" t="s">
        <v>211</v>
      </c>
      <c r="E163" s="125" t="s">
        <v>7481</v>
      </c>
      <c r="F163" s="122" t="s">
        <v>30</v>
      </c>
      <c r="G163" s="122" t="s">
        <v>30</v>
      </c>
      <c r="H163" s="122" t="s">
        <v>39</v>
      </c>
      <c r="I163" s="125" t="s">
        <v>7482</v>
      </c>
      <c r="J163" s="129" t="s">
        <v>7486</v>
      </c>
      <c r="K163" s="122" t="s">
        <v>7487</v>
      </c>
      <c r="L163" s="122" t="s">
        <v>36</v>
      </c>
      <c r="M163" s="133" t="s">
        <v>7485</v>
      </c>
      <c r="N163" s="122" t="s">
        <v>30</v>
      </c>
    </row>
    <row r="164" spans="2:14" s="9" customFormat="1" hidden="1" x14ac:dyDescent="0.25">
      <c r="B164" s="120">
        <v>161</v>
      </c>
      <c r="C164" s="122">
        <v>20100154308</v>
      </c>
      <c r="D164" s="125" t="s">
        <v>211</v>
      </c>
      <c r="E164" s="125" t="s">
        <v>7481</v>
      </c>
      <c r="F164" s="122" t="s">
        <v>30</v>
      </c>
      <c r="G164" s="122" t="s">
        <v>30</v>
      </c>
      <c r="H164" s="122" t="s">
        <v>39</v>
      </c>
      <c r="I164" s="125" t="s">
        <v>7482</v>
      </c>
      <c r="J164" s="129" t="s">
        <v>7483</v>
      </c>
      <c r="K164" s="122" t="s">
        <v>7484</v>
      </c>
      <c r="L164" s="122" t="s">
        <v>36</v>
      </c>
      <c r="M164" s="133" t="s">
        <v>7485</v>
      </c>
      <c r="N164" s="122" t="s">
        <v>30</v>
      </c>
    </row>
    <row r="165" spans="2:14" s="9" customFormat="1" ht="16.899999999999999" hidden="1" customHeight="1" x14ac:dyDescent="0.25">
      <c r="B165" s="120">
        <v>162</v>
      </c>
      <c r="C165" s="122">
        <v>20537120020</v>
      </c>
      <c r="D165" s="125" t="s">
        <v>7476</v>
      </c>
      <c r="E165" s="125" t="s">
        <v>7477</v>
      </c>
      <c r="F165" s="122" t="s">
        <v>30</v>
      </c>
      <c r="G165" s="122" t="s">
        <v>30</v>
      </c>
      <c r="H165" s="122" t="s">
        <v>50</v>
      </c>
      <c r="I165" s="125" t="s">
        <v>1961</v>
      </c>
      <c r="J165" s="129" t="s">
        <v>7478</v>
      </c>
      <c r="K165" s="122" t="s">
        <v>7479</v>
      </c>
      <c r="L165" s="122" t="s">
        <v>731</v>
      </c>
      <c r="M165" s="133" t="s">
        <v>7480</v>
      </c>
      <c r="N165" s="122" t="s">
        <v>30</v>
      </c>
    </row>
    <row r="166" spans="2:14" s="9" customFormat="1" hidden="1" x14ac:dyDescent="0.25">
      <c r="B166" s="120">
        <v>163</v>
      </c>
      <c r="C166" s="122">
        <v>20537220245</v>
      </c>
      <c r="D166" s="125" t="s">
        <v>7471</v>
      </c>
      <c r="E166" s="125" t="s">
        <v>7472</v>
      </c>
      <c r="F166" s="122" t="s">
        <v>30</v>
      </c>
      <c r="G166" s="122" t="s">
        <v>30</v>
      </c>
      <c r="H166" s="122" t="s">
        <v>30</v>
      </c>
      <c r="I166" s="125" t="s">
        <v>1394</v>
      </c>
      <c r="J166" s="129" t="s">
        <v>7473</v>
      </c>
      <c r="K166" s="122" t="s">
        <v>7474</v>
      </c>
      <c r="L166" s="122" t="s">
        <v>42</v>
      </c>
      <c r="M166" s="133" t="s">
        <v>7475</v>
      </c>
      <c r="N166" s="122" t="s">
        <v>30</v>
      </c>
    </row>
    <row r="167" spans="2:14" s="9" customFormat="1" hidden="1" x14ac:dyDescent="0.25">
      <c r="B167" s="120">
        <v>164</v>
      </c>
      <c r="C167" s="122">
        <v>20117330347</v>
      </c>
      <c r="D167" s="125" t="s">
        <v>293</v>
      </c>
      <c r="E167" s="125" t="s">
        <v>7467</v>
      </c>
      <c r="F167" s="122" t="s">
        <v>30</v>
      </c>
      <c r="G167" s="122" t="s">
        <v>30</v>
      </c>
      <c r="H167" s="122" t="s">
        <v>85</v>
      </c>
      <c r="I167" s="125" t="s">
        <v>2002</v>
      </c>
      <c r="J167" s="129" t="s">
        <v>7468</v>
      </c>
      <c r="K167" s="122" t="s">
        <v>7469</v>
      </c>
      <c r="L167" s="122" t="s">
        <v>731</v>
      </c>
      <c r="M167" s="133" t="s">
        <v>7470</v>
      </c>
      <c r="N167" s="122" t="s">
        <v>30</v>
      </c>
    </row>
    <row r="168" spans="2:14" s="9" customFormat="1" hidden="1" x14ac:dyDescent="0.25">
      <c r="B168" s="120">
        <v>165</v>
      </c>
      <c r="C168" s="122">
        <v>20112280201</v>
      </c>
      <c r="D168" s="125" t="s">
        <v>3643</v>
      </c>
      <c r="E168" s="125" t="s">
        <v>7461</v>
      </c>
      <c r="F168" s="122" t="s">
        <v>30</v>
      </c>
      <c r="G168" s="122" t="s">
        <v>30</v>
      </c>
      <c r="H168" s="122" t="s">
        <v>135</v>
      </c>
      <c r="I168" s="125" t="s">
        <v>1954</v>
      </c>
      <c r="J168" s="129" t="s">
        <v>7465</v>
      </c>
      <c r="K168" s="122" t="s">
        <v>7466</v>
      </c>
      <c r="L168" s="131" t="s">
        <v>1558</v>
      </c>
      <c r="M168" s="133" t="s">
        <v>7462</v>
      </c>
      <c r="N168" s="122" t="s">
        <v>30</v>
      </c>
    </row>
    <row r="169" spans="2:14" s="9" customFormat="1" hidden="1" x14ac:dyDescent="0.25">
      <c r="B169" s="120">
        <v>166</v>
      </c>
      <c r="C169" s="122">
        <v>20112280201</v>
      </c>
      <c r="D169" s="125" t="s">
        <v>3643</v>
      </c>
      <c r="E169" s="125" t="s">
        <v>7461</v>
      </c>
      <c r="F169" s="122" t="s">
        <v>30</v>
      </c>
      <c r="G169" s="122" t="s">
        <v>30</v>
      </c>
      <c r="H169" s="122" t="s">
        <v>135</v>
      </c>
      <c r="I169" s="125" t="s">
        <v>1954</v>
      </c>
      <c r="J169" s="129" t="s">
        <v>7464</v>
      </c>
      <c r="K169" s="122" t="s">
        <v>7463</v>
      </c>
      <c r="L169" s="122" t="s">
        <v>42</v>
      </c>
      <c r="M169" s="133" t="s">
        <v>7462</v>
      </c>
      <c r="N169" s="122" t="s">
        <v>30</v>
      </c>
    </row>
    <row r="170" spans="2:14" s="9" customFormat="1" hidden="1" x14ac:dyDescent="0.25">
      <c r="B170" s="120">
        <v>167</v>
      </c>
      <c r="C170" s="122">
        <v>20111821781</v>
      </c>
      <c r="D170" s="125" t="s">
        <v>3640</v>
      </c>
      <c r="E170" s="125" t="s">
        <v>7458</v>
      </c>
      <c r="F170" s="122" t="s">
        <v>30</v>
      </c>
      <c r="G170" s="122" t="s">
        <v>30</v>
      </c>
      <c r="H170" s="122" t="s">
        <v>68</v>
      </c>
      <c r="I170" s="125" t="s">
        <v>1937</v>
      </c>
      <c r="J170" s="129" t="s">
        <v>7459</v>
      </c>
      <c r="K170" s="122" t="s">
        <v>7460</v>
      </c>
      <c r="L170" s="122" t="s">
        <v>731</v>
      </c>
      <c r="M170" s="133" t="s">
        <v>845</v>
      </c>
      <c r="N170" s="122" t="s">
        <v>845</v>
      </c>
    </row>
    <row r="171" spans="2:14" s="9" customFormat="1" hidden="1" x14ac:dyDescent="0.25">
      <c r="B171" s="120">
        <v>168</v>
      </c>
      <c r="C171" s="122">
        <v>20110154098</v>
      </c>
      <c r="D171" s="125" t="s">
        <v>6233</v>
      </c>
      <c r="E171" s="125" t="s">
        <v>6234</v>
      </c>
      <c r="F171" s="122" t="s">
        <v>67</v>
      </c>
      <c r="G171" s="122" t="s">
        <v>67</v>
      </c>
      <c r="H171" s="122" t="s">
        <v>67</v>
      </c>
      <c r="I171" s="125" t="s">
        <v>2294</v>
      </c>
      <c r="J171" s="129" t="s">
        <v>7456</v>
      </c>
      <c r="K171" s="122" t="s">
        <v>7457</v>
      </c>
      <c r="L171" s="122" t="s">
        <v>209</v>
      </c>
      <c r="M171" s="133" t="s">
        <v>845</v>
      </c>
      <c r="N171" s="122" t="s">
        <v>845</v>
      </c>
    </row>
    <row r="172" spans="2:14" s="9" customFormat="1" hidden="1" x14ac:dyDescent="0.25">
      <c r="B172" s="120">
        <v>169</v>
      </c>
      <c r="C172" s="122">
        <v>20110154098</v>
      </c>
      <c r="D172" s="125" t="s">
        <v>6233</v>
      </c>
      <c r="E172" s="125" t="s">
        <v>6234</v>
      </c>
      <c r="F172" s="122" t="s">
        <v>67</v>
      </c>
      <c r="G172" s="122" t="s">
        <v>67</v>
      </c>
      <c r="H172" s="122" t="s">
        <v>67</v>
      </c>
      <c r="I172" s="125" t="s">
        <v>2294</v>
      </c>
      <c r="J172" s="129" t="s">
        <v>7454</v>
      </c>
      <c r="K172" s="122" t="s">
        <v>7455</v>
      </c>
      <c r="L172" s="122" t="s">
        <v>209</v>
      </c>
      <c r="M172" s="133" t="s">
        <v>845</v>
      </c>
      <c r="N172" s="122" t="s">
        <v>845</v>
      </c>
    </row>
    <row r="173" spans="2:14" s="9" customFormat="1" hidden="1" x14ac:dyDescent="0.25">
      <c r="B173" s="120">
        <v>170</v>
      </c>
      <c r="C173" s="122">
        <v>20110154098</v>
      </c>
      <c r="D173" s="125" t="s">
        <v>6233</v>
      </c>
      <c r="E173" s="125" t="s">
        <v>6234</v>
      </c>
      <c r="F173" s="122" t="s">
        <v>67</v>
      </c>
      <c r="G173" s="122" t="s">
        <v>67</v>
      </c>
      <c r="H173" s="122" t="s">
        <v>67</v>
      </c>
      <c r="I173" s="125" t="s">
        <v>2294</v>
      </c>
      <c r="J173" s="129" t="s">
        <v>7452</v>
      </c>
      <c r="K173" s="122" t="s">
        <v>7453</v>
      </c>
      <c r="L173" s="122" t="s">
        <v>209</v>
      </c>
      <c r="M173" s="133" t="s">
        <v>845</v>
      </c>
      <c r="N173" s="122" t="s">
        <v>845</v>
      </c>
    </row>
    <row r="174" spans="2:14" s="9" customFormat="1" hidden="1" x14ac:dyDescent="0.25">
      <c r="B174" s="120">
        <v>171</v>
      </c>
      <c r="C174" s="122">
        <v>20109464849</v>
      </c>
      <c r="D174" s="125" t="s">
        <v>7445</v>
      </c>
      <c r="E174" s="125" t="s">
        <v>7446</v>
      </c>
      <c r="F174" s="122" t="s">
        <v>30</v>
      </c>
      <c r="G174" s="122" t="s">
        <v>30</v>
      </c>
      <c r="H174" s="122" t="s">
        <v>80</v>
      </c>
      <c r="I174" s="125" t="s">
        <v>1947</v>
      </c>
      <c r="J174" s="129" t="s">
        <v>7450</v>
      </c>
      <c r="K174" s="122" t="s">
        <v>7451</v>
      </c>
      <c r="L174" s="122" t="s">
        <v>209</v>
      </c>
      <c r="M174" s="133" t="s">
        <v>7449</v>
      </c>
      <c r="N174" s="122" t="s">
        <v>30</v>
      </c>
    </row>
    <row r="175" spans="2:14" s="9" customFormat="1" hidden="1" x14ac:dyDescent="0.25">
      <c r="B175" s="120">
        <v>172</v>
      </c>
      <c r="C175" s="122">
        <v>20109464849</v>
      </c>
      <c r="D175" s="125" t="s">
        <v>7445</v>
      </c>
      <c r="E175" s="125" t="s">
        <v>7446</v>
      </c>
      <c r="F175" s="122" t="s">
        <v>30</v>
      </c>
      <c r="G175" s="122" t="s">
        <v>30</v>
      </c>
      <c r="H175" s="122" t="s">
        <v>80</v>
      </c>
      <c r="I175" s="125" t="s">
        <v>1947</v>
      </c>
      <c r="J175" s="129" t="s">
        <v>7447</v>
      </c>
      <c r="K175" s="122" t="s">
        <v>7448</v>
      </c>
      <c r="L175" s="122" t="s">
        <v>731</v>
      </c>
      <c r="M175" s="133" t="s">
        <v>7449</v>
      </c>
      <c r="N175" s="122" t="s">
        <v>30</v>
      </c>
    </row>
    <row r="176" spans="2:14" s="9" customFormat="1" hidden="1" x14ac:dyDescent="0.25">
      <c r="B176" s="120">
        <v>173</v>
      </c>
      <c r="C176" s="122">
        <v>20109463524</v>
      </c>
      <c r="D176" s="125" t="s">
        <v>7436</v>
      </c>
      <c r="E176" s="125" t="s">
        <v>7437</v>
      </c>
      <c r="F176" s="122" t="s">
        <v>30</v>
      </c>
      <c r="G176" s="122" t="s">
        <v>30</v>
      </c>
      <c r="H176" s="122" t="s">
        <v>37</v>
      </c>
      <c r="I176" s="125" t="s">
        <v>1619</v>
      </c>
      <c r="J176" s="129" t="s">
        <v>7443</v>
      </c>
      <c r="K176" s="122" t="s">
        <v>7444</v>
      </c>
      <c r="L176" s="122" t="s">
        <v>1558</v>
      </c>
      <c r="M176" s="133" t="s">
        <v>7440</v>
      </c>
      <c r="N176" s="122" t="s">
        <v>31</v>
      </c>
    </row>
    <row r="177" spans="2:14" s="9" customFormat="1" hidden="1" x14ac:dyDescent="0.25">
      <c r="B177" s="120">
        <v>174</v>
      </c>
      <c r="C177" s="122">
        <v>20109463524</v>
      </c>
      <c r="D177" s="125" t="s">
        <v>7436</v>
      </c>
      <c r="E177" s="125" t="s">
        <v>7437</v>
      </c>
      <c r="F177" s="122" t="s">
        <v>30</v>
      </c>
      <c r="G177" s="122" t="s">
        <v>30</v>
      </c>
      <c r="H177" s="122" t="s">
        <v>37</v>
      </c>
      <c r="I177" s="125" t="s">
        <v>1619</v>
      </c>
      <c r="J177" s="129" t="s">
        <v>7441</v>
      </c>
      <c r="K177" s="122" t="s">
        <v>7442</v>
      </c>
      <c r="L177" s="122" t="s">
        <v>1558</v>
      </c>
      <c r="M177" s="133" t="s">
        <v>7440</v>
      </c>
      <c r="N177" s="122" t="s">
        <v>31</v>
      </c>
    </row>
    <row r="178" spans="2:14" s="9" customFormat="1" hidden="1" x14ac:dyDescent="0.25">
      <c r="B178" s="120">
        <v>175</v>
      </c>
      <c r="C178" s="122">
        <v>20109463524</v>
      </c>
      <c r="D178" s="125" t="s">
        <v>7436</v>
      </c>
      <c r="E178" s="125" t="s">
        <v>7437</v>
      </c>
      <c r="F178" s="122" t="s">
        <v>30</v>
      </c>
      <c r="G178" s="122" t="s">
        <v>30</v>
      </c>
      <c r="H178" s="122" t="s">
        <v>37</v>
      </c>
      <c r="I178" s="125" t="s">
        <v>1619</v>
      </c>
      <c r="J178" s="129" t="s">
        <v>7438</v>
      </c>
      <c r="K178" s="122" t="s">
        <v>7439</v>
      </c>
      <c r="L178" s="122" t="s">
        <v>42</v>
      </c>
      <c r="M178" s="133" t="s">
        <v>7440</v>
      </c>
      <c r="N178" s="122" t="s">
        <v>31</v>
      </c>
    </row>
    <row r="179" spans="2:14" s="9" customFormat="1" hidden="1" x14ac:dyDescent="0.25">
      <c r="B179" s="120">
        <v>176</v>
      </c>
      <c r="C179" s="122">
        <v>20109022668</v>
      </c>
      <c r="D179" s="125" t="s">
        <v>82</v>
      </c>
      <c r="E179" s="125" t="s">
        <v>7425</v>
      </c>
      <c r="F179" s="122" t="s">
        <v>30</v>
      </c>
      <c r="G179" s="122" t="s">
        <v>30</v>
      </c>
      <c r="H179" s="122" t="s">
        <v>38</v>
      </c>
      <c r="I179" s="125" t="s">
        <v>1979</v>
      </c>
      <c r="J179" s="129" t="s">
        <v>7433</v>
      </c>
      <c r="K179" s="122" t="s">
        <v>7434</v>
      </c>
      <c r="L179" s="122" t="s">
        <v>7435</v>
      </c>
      <c r="M179" s="133" t="s">
        <v>7429</v>
      </c>
      <c r="N179" s="122" t="s">
        <v>30</v>
      </c>
    </row>
    <row r="180" spans="2:14" s="9" customFormat="1" hidden="1" x14ac:dyDescent="0.25">
      <c r="B180" s="120">
        <v>177</v>
      </c>
      <c r="C180" s="122">
        <v>20109022668</v>
      </c>
      <c r="D180" s="125" t="s">
        <v>82</v>
      </c>
      <c r="E180" s="125" t="s">
        <v>7425</v>
      </c>
      <c r="F180" s="122" t="s">
        <v>30</v>
      </c>
      <c r="G180" s="122" t="s">
        <v>30</v>
      </c>
      <c r="H180" s="122" t="s">
        <v>38</v>
      </c>
      <c r="I180" s="125" t="s">
        <v>1979</v>
      </c>
      <c r="J180" s="129" t="s">
        <v>7430</v>
      </c>
      <c r="K180" s="122" t="s">
        <v>7431</v>
      </c>
      <c r="L180" s="122" t="s">
        <v>7432</v>
      </c>
      <c r="M180" s="133" t="s">
        <v>7429</v>
      </c>
      <c r="N180" s="122" t="s">
        <v>30</v>
      </c>
    </row>
    <row r="181" spans="2:14" s="9" customFormat="1" hidden="1" x14ac:dyDescent="0.25">
      <c r="B181" s="120">
        <v>178</v>
      </c>
      <c r="C181" s="122">
        <v>20109022668</v>
      </c>
      <c r="D181" s="125" t="s">
        <v>82</v>
      </c>
      <c r="E181" s="125" t="s">
        <v>7425</v>
      </c>
      <c r="F181" s="122" t="s">
        <v>30</v>
      </c>
      <c r="G181" s="122" t="s">
        <v>30</v>
      </c>
      <c r="H181" s="122" t="s">
        <v>38</v>
      </c>
      <c r="I181" s="125" t="s">
        <v>1979</v>
      </c>
      <c r="J181" s="129" t="s">
        <v>7426</v>
      </c>
      <c r="K181" s="122" t="s">
        <v>7427</v>
      </c>
      <c r="L181" s="122" t="s">
        <v>7428</v>
      </c>
      <c r="M181" s="133" t="s">
        <v>7429</v>
      </c>
      <c r="N181" s="122" t="s">
        <v>30</v>
      </c>
    </row>
    <row r="182" spans="2:14" s="9" customFormat="1" hidden="1" x14ac:dyDescent="0.25">
      <c r="B182" s="120">
        <v>179</v>
      </c>
      <c r="C182" s="122">
        <v>20108555786</v>
      </c>
      <c r="D182" s="125" t="s">
        <v>7419</v>
      </c>
      <c r="E182" s="125" t="s">
        <v>7420</v>
      </c>
      <c r="F182" s="122" t="s">
        <v>30</v>
      </c>
      <c r="G182" s="122" t="s">
        <v>30</v>
      </c>
      <c r="H182" s="122" t="s">
        <v>113</v>
      </c>
      <c r="I182" s="125" t="s">
        <v>7421</v>
      </c>
      <c r="J182" s="129" t="s">
        <v>7422</v>
      </c>
      <c r="K182" s="122" t="s">
        <v>7423</v>
      </c>
      <c r="L182" s="122" t="s">
        <v>42</v>
      </c>
      <c r="M182" s="133" t="s">
        <v>7424</v>
      </c>
      <c r="N182" s="122" t="s">
        <v>30</v>
      </c>
    </row>
    <row r="183" spans="2:14" s="9" customFormat="1" hidden="1" x14ac:dyDescent="0.25">
      <c r="B183" s="120">
        <v>180</v>
      </c>
      <c r="C183" s="122">
        <v>20102299443</v>
      </c>
      <c r="D183" s="125" t="s">
        <v>7414</v>
      </c>
      <c r="E183" s="125" t="s">
        <v>7415</v>
      </c>
      <c r="F183" s="122" t="s">
        <v>30</v>
      </c>
      <c r="G183" s="122" t="s">
        <v>30</v>
      </c>
      <c r="H183" s="122" t="s">
        <v>45</v>
      </c>
      <c r="I183" s="125" t="s">
        <v>1387</v>
      </c>
      <c r="J183" s="129" t="s">
        <v>7416</v>
      </c>
      <c r="K183" s="122" t="s">
        <v>7417</v>
      </c>
      <c r="L183" s="122" t="s">
        <v>42</v>
      </c>
      <c r="M183" s="133" t="s">
        <v>7418</v>
      </c>
      <c r="N183" s="122" t="s">
        <v>30</v>
      </c>
    </row>
    <row r="184" spans="2:14" s="9" customFormat="1" hidden="1" x14ac:dyDescent="0.25">
      <c r="B184" s="120">
        <v>181</v>
      </c>
      <c r="C184" s="122">
        <v>20102089635</v>
      </c>
      <c r="D184" s="125" t="s">
        <v>276</v>
      </c>
      <c r="E184" s="125" t="s">
        <v>7406</v>
      </c>
      <c r="F184" s="122" t="s">
        <v>30</v>
      </c>
      <c r="G184" s="122" t="s">
        <v>30</v>
      </c>
      <c r="H184" s="122" t="s">
        <v>113</v>
      </c>
      <c r="I184" s="125" t="s">
        <v>1737</v>
      </c>
      <c r="J184" s="129" t="s">
        <v>7412</v>
      </c>
      <c r="K184" s="122" t="s">
        <v>7413</v>
      </c>
      <c r="L184" s="122" t="s">
        <v>119</v>
      </c>
      <c r="M184" s="133" t="s">
        <v>7409</v>
      </c>
      <c r="N184" s="122" t="s">
        <v>30</v>
      </c>
    </row>
    <row r="185" spans="2:14" s="9" customFormat="1" hidden="1" x14ac:dyDescent="0.25">
      <c r="B185" s="120">
        <v>182</v>
      </c>
      <c r="C185" s="122">
        <v>20102089635</v>
      </c>
      <c r="D185" s="125" t="s">
        <v>276</v>
      </c>
      <c r="E185" s="125" t="s">
        <v>7406</v>
      </c>
      <c r="F185" s="122" t="s">
        <v>30</v>
      </c>
      <c r="G185" s="122" t="s">
        <v>30</v>
      </c>
      <c r="H185" s="122" t="s">
        <v>113</v>
      </c>
      <c r="I185" s="125" t="s">
        <v>1737</v>
      </c>
      <c r="J185" s="129" t="s">
        <v>7410</v>
      </c>
      <c r="K185" s="122" t="s">
        <v>7411</v>
      </c>
      <c r="L185" s="122" t="s">
        <v>42</v>
      </c>
      <c r="M185" s="133" t="s">
        <v>7409</v>
      </c>
      <c r="N185" s="122" t="s">
        <v>30</v>
      </c>
    </row>
    <row r="186" spans="2:14" s="9" customFormat="1" hidden="1" x14ac:dyDescent="0.25">
      <c r="B186" s="120">
        <v>183</v>
      </c>
      <c r="C186" s="122">
        <v>20102089635</v>
      </c>
      <c r="D186" s="125" t="s">
        <v>276</v>
      </c>
      <c r="E186" s="125" t="s">
        <v>7406</v>
      </c>
      <c r="F186" s="122" t="s">
        <v>30</v>
      </c>
      <c r="G186" s="122" t="s">
        <v>30</v>
      </c>
      <c r="H186" s="122" t="s">
        <v>113</v>
      </c>
      <c r="I186" s="125" t="s">
        <v>1737</v>
      </c>
      <c r="J186" s="129" t="s">
        <v>7407</v>
      </c>
      <c r="K186" s="122" t="s">
        <v>7408</v>
      </c>
      <c r="L186" s="122" t="s">
        <v>2022</v>
      </c>
      <c r="M186" s="133" t="s">
        <v>7409</v>
      </c>
      <c r="N186" s="122" t="s">
        <v>30</v>
      </c>
    </row>
    <row r="187" spans="2:14" s="9" customFormat="1" hidden="1" x14ac:dyDescent="0.25">
      <c r="B187" s="120">
        <v>184</v>
      </c>
      <c r="C187" s="122">
        <v>20102032951</v>
      </c>
      <c r="D187" s="125" t="s">
        <v>1061</v>
      </c>
      <c r="E187" s="125" t="s">
        <v>7399</v>
      </c>
      <c r="F187" s="122" t="s">
        <v>30</v>
      </c>
      <c r="G187" s="122" t="s">
        <v>30</v>
      </c>
      <c r="H187" s="122" t="s">
        <v>86</v>
      </c>
      <c r="I187" s="125" t="s">
        <v>1478</v>
      </c>
      <c r="J187" s="129" t="s">
        <v>7404</v>
      </c>
      <c r="K187" s="122" t="s">
        <v>7405</v>
      </c>
      <c r="L187" s="122" t="s">
        <v>3266</v>
      </c>
      <c r="M187" s="133" t="s">
        <v>845</v>
      </c>
      <c r="N187" s="122" t="s">
        <v>845</v>
      </c>
    </row>
    <row r="188" spans="2:14" s="9" customFormat="1" hidden="1" x14ac:dyDescent="0.25">
      <c r="B188" s="120">
        <v>185</v>
      </c>
      <c r="C188" s="122">
        <v>20102032951</v>
      </c>
      <c r="D188" s="125" t="s">
        <v>1061</v>
      </c>
      <c r="E188" s="125" t="s">
        <v>7399</v>
      </c>
      <c r="F188" s="122" t="s">
        <v>30</v>
      </c>
      <c r="G188" s="122" t="s">
        <v>30</v>
      </c>
      <c r="H188" s="122" t="s">
        <v>86</v>
      </c>
      <c r="I188" s="125" t="s">
        <v>1478</v>
      </c>
      <c r="J188" s="129" t="s">
        <v>7402</v>
      </c>
      <c r="K188" s="122" t="s">
        <v>7403</v>
      </c>
      <c r="L188" s="122" t="s">
        <v>731</v>
      </c>
      <c r="M188" s="133" t="s">
        <v>845</v>
      </c>
      <c r="N188" s="122" t="s">
        <v>845</v>
      </c>
    </row>
    <row r="189" spans="2:14" s="9" customFormat="1" hidden="1" x14ac:dyDescent="0.25">
      <c r="B189" s="120">
        <v>186</v>
      </c>
      <c r="C189" s="122">
        <v>20102032951</v>
      </c>
      <c r="D189" s="125" t="s">
        <v>1061</v>
      </c>
      <c r="E189" s="125" t="s">
        <v>7399</v>
      </c>
      <c r="F189" s="122" t="s">
        <v>30</v>
      </c>
      <c r="G189" s="122" t="s">
        <v>30</v>
      </c>
      <c r="H189" s="122" t="s">
        <v>86</v>
      </c>
      <c r="I189" s="125" t="s">
        <v>1478</v>
      </c>
      <c r="J189" s="129" t="s">
        <v>7400</v>
      </c>
      <c r="K189" s="122" t="s">
        <v>7401</v>
      </c>
      <c r="L189" s="122" t="s">
        <v>3266</v>
      </c>
      <c r="M189" s="133" t="s">
        <v>845</v>
      </c>
      <c r="N189" s="122" t="s">
        <v>845</v>
      </c>
    </row>
    <row r="190" spans="2:14" s="9" customFormat="1" hidden="1" x14ac:dyDescent="0.25">
      <c r="B190" s="120">
        <v>187</v>
      </c>
      <c r="C190" s="122">
        <v>20101759416</v>
      </c>
      <c r="D190" s="125" t="s">
        <v>5256</v>
      </c>
      <c r="E190" s="125" t="s">
        <v>7388</v>
      </c>
      <c r="F190" s="122" t="s">
        <v>30</v>
      </c>
      <c r="G190" s="122" t="s">
        <v>30</v>
      </c>
      <c r="H190" s="122" t="s">
        <v>52</v>
      </c>
      <c r="I190" s="125" t="s">
        <v>1655</v>
      </c>
      <c r="J190" s="129" t="s">
        <v>7396</v>
      </c>
      <c r="K190" s="122" t="s">
        <v>7397</v>
      </c>
      <c r="L190" s="122" t="s">
        <v>1712</v>
      </c>
      <c r="M190" s="133" t="s">
        <v>7391</v>
      </c>
      <c r="N190" s="122" t="s">
        <v>30</v>
      </c>
    </row>
    <row r="191" spans="2:14" s="9" customFormat="1" hidden="1" x14ac:dyDescent="0.25">
      <c r="B191" s="120">
        <v>188</v>
      </c>
      <c r="C191" s="122">
        <v>20101759416</v>
      </c>
      <c r="D191" s="125" t="s">
        <v>5256</v>
      </c>
      <c r="E191" s="125" t="s">
        <v>7388</v>
      </c>
      <c r="F191" s="122" t="s">
        <v>30</v>
      </c>
      <c r="G191" s="122" t="s">
        <v>30</v>
      </c>
      <c r="H191" s="122" t="s">
        <v>52</v>
      </c>
      <c r="I191" s="125" t="s">
        <v>1655</v>
      </c>
      <c r="J191" s="129" t="s">
        <v>7394</v>
      </c>
      <c r="K191" s="122" t="s">
        <v>7395</v>
      </c>
      <c r="L191" s="122" t="s">
        <v>1712</v>
      </c>
      <c r="M191" s="133" t="s">
        <v>7391</v>
      </c>
      <c r="N191" s="122" t="s">
        <v>30</v>
      </c>
    </row>
    <row r="192" spans="2:14" s="9" customFormat="1" hidden="1" x14ac:dyDescent="0.25">
      <c r="B192" s="120">
        <v>189</v>
      </c>
      <c r="C192" s="122">
        <v>20101759416</v>
      </c>
      <c r="D192" s="125" t="s">
        <v>5256</v>
      </c>
      <c r="E192" s="125" t="s">
        <v>7388</v>
      </c>
      <c r="F192" s="122" t="s">
        <v>30</v>
      </c>
      <c r="G192" s="122" t="s">
        <v>30</v>
      </c>
      <c r="H192" s="122" t="s">
        <v>52</v>
      </c>
      <c r="I192" s="125" t="s">
        <v>1655</v>
      </c>
      <c r="J192" s="129" t="s">
        <v>7392</v>
      </c>
      <c r="K192" s="122" t="s">
        <v>7393</v>
      </c>
      <c r="L192" s="122" t="s">
        <v>1712</v>
      </c>
      <c r="M192" s="133" t="s">
        <v>7391</v>
      </c>
      <c r="N192" s="122" t="s">
        <v>30</v>
      </c>
    </row>
    <row r="193" spans="2:14" s="9" customFormat="1" hidden="1" x14ac:dyDescent="0.25">
      <c r="B193" s="120">
        <v>190</v>
      </c>
      <c r="C193" s="122">
        <v>20101759416</v>
      </c>
      <c r="D193" s="125" t="s">
        <v>5256</v>
      </c>
      <c r="E193" s="125" t="s">
        <v>7388</v>
      </c>
      <c r="F193" s="122" t="s">
        <v>30</v>
      </c>
      <c r="G193" s="122" t="s">
        <v>30</v>
      </c>
      <c r="H193" s="122" t="s">
        <v>52</v>
      </c>
      <c r="I193" s="125" t="s">
        <v>1655</v>
      </c>
      <c r="J193" s="129" t="s">
        <v>7389</v>
      </c>
      <c r="K193" s="122" t="s">
        <v>7390</v>
      </c>
      <c r="L193" s="122" t="s">
        <v>1712</v>
      </c>
      <c r="M193" s="133" t="s">
        <v>7391</v>
      </c>
      <c r="N193" s="122" t="s">
        <v>30</v>
      </c>
    </row>
    <row r="194" spans="2:14" s="9" customFormat="1" hidden="1" x14ac:dyDescent="0.25">
      <c r="B194" s="120">
        <v>191</v>
      </c>
      <c r="C194" s="122">
        <v>20101606342</v>
      </c>
      <c r="D194" s="125" t="s">
        <v>3604</v>
      </c>
      <c r="E194" s="125" t="s">
        <v>7384</v>
      </c>
      <c r="F194" s="122" t="s">
        <v>30</v>
      </c>
      <c r="G194" s="122" t="s">
        <v>30</v>
      </c>
      <c r="H194" s="122" t="s">
        <v>51</v>
      </c>
      <c r="I194" s="125" t="s">
        <v>1384</v>
      </c>
      <c r="J194" s="129" t="s">
        <v>7385</v>
      </c>
      <c r="K194" s="122" t="s">
        <v>7386</v>
      </c>
      <c r="L194" s="122" t="s">
        <v>1712</v>
      </c>
      <c r="M194" s="133" t="s">
        <v>7387</v>
      </c>
      <c r="N194" s="122" t="s">
        <v>30</v>
      </c>
    </row>
    <row r="195" spans="2:14" s="9" customFormat="1" hidden="1" x14ac:dyDescent="0.25">
      <c r="B195" s="120">
        <v>192</v>
      </c>
      <c r="C195" s="122">
        <v>20101364152</v>
      </c>
      <c r="D195" s="125" t="s">
        <v>7378</v>
      </c>
      <c r="E195" s="125" t="s">
        <v>7379</v>
      </c>
      <c r="F195" s="122" t="s">
        <v>30</v>
      </c>
      <c r="G195" s="122" t="s">
        <v>30</v>
      </c>
      <c r="H195" s="122" t="s">
        <v>37</v>
      </c>
      <c r="I195" s="125" t="s">
        <v>2299</v>
      </c>
      <c r="J195" s="129" t="s">
        <v>7382</v>
      </c>
      <c r="K195" s="122" t="s">
        <v>7383</v>
      </c>
      <c r="L195" s="122" t="s">
        <v>1712</v>
      </c>
      <c r="M195" s="133" t="s">
        <v>845</v>
      </c>
      <c r="N195" s="122" t="s">
        <v>845</v>
      </c>
    </row>
    <row r="196" spans="2:14" s="9" customFormat="1" hidden="1" x14ac:dyDescent="0.25">
      <c r="B196" s="120">
        <v>193</v>
      </c>
      <c r="C196" s="122">
        <v>20101364152</v>
      </c>
      <c r="D196" s="125" t="s">
        <v>7378</v>
      </c>
      <c r="E196" s="125" t="s">
        <v>7379</v>
      </c>
      <c r="F196" s="122" t="s">
        <v>30</v>
      </c>
      <c r="G196" s="122" t="s">
        <v>30</v>
      </c>
      <c r="H196" s="122" t="s">
        <v>37</v>
      </c>
      <c r="I196" s="125" t="s">
        <v>2299</v>
      </c>
      <c r="J196" s="129" t="s">
        <v>7380</v>
      </c>
      <c r="K196" s="122" t="s">
        <v>7381</v>
      </c>
      <c r="L196" s="122" t="s">
        <v>731</v>
      </c>
      <c r="M196" s="133" t="s">
        <v>845</v>
      </c>
      <c r="N196" s="122" t="s">
        <v>845</v>
      </c>
    </row>
    <row r="197" spans="2:14" s="9" customFormat="1" hidden="1" x14ac:dyDescent="0.25">
      <c r="B197" s="120">
        <v>194</v>
      </c>
      <c r="C197" s="122">
        <v>20101312608</v>
      </c>
      <c r="D197" s="125" t="s">
        <v>7371</v>
      </c>
      <c r="E197" s="125" t="s">
        <v>7372</v>
      </c>
      <c r="F197" s="122" t="s">
        <v>30</v>
      </c>
      <c r="G197" s="122" t="s">
        <v>30</v>
      </c>
      <c r="H197" s="122" t="s">
        <v>34</v>
      </c>
      <c r="I197" s="125" t="s">
        <v>1365</v>
      </c>
      <c r="J197" s="129" t="s">
        <v>7376</v>
      </c>
      <c r="K197" s="122" t="s">
        <v>7377</v>
      </c>
      <c r="L197" s="122" t="s">
        <v>1558</v>
      </c>
      <c r="M197" s="133" t="s">
        <v>7375</v>
      </c>
      <c r="N197" s="122" t="s">
        <v>30</v>
      </c>
    </row>
    <row r="198" spans="2:14" s="9" customFormat="1" hidden="1" x14ac:dyDescent="0.25">
      <c r="B198" s="120">
        <v>195</v>
      </c>
      <c r="C198" s="122">
        <v>20101312608</v>
      </c>
      <c r="D198" s="125" t="s">
        <v>7371</v>
      </c>
      <c r="E198" s="125" t="s">
        <v>7372</v>
      </c>
      <c r="F198" s="122" t="s">
        <v>30</v>
      </c>
      <c r="G198" s="122" t="s">
        <v>30</v>
      </c>
      <c r="H198" s="122" t="s">
        <v>34</v>
      </c>
      <c r="I198" s="125" t="s">
        <v>1365</v>
      </c>
      <c r="J198" s="129" t="s">
        <v>7373</v>
      </c>
      <c r="K198" s="122" t="s">
        <v>7374</v>
      </c>
      <c r="L198" s="122" t="s">
        <v>731</v>
      </c>
      <c r="M198" s="133" t="s">
        <v>7375</v>
      </c>
      <c r="N198" s="122" t="s">
        <v>30</v>
      </c>
    </row>
    <row r="199" spans="2:14" s="9" customFormat="1" hidden="1" x14ac:dyDescent="0.25">
      <c r="B199" s="120">
        <v>196</v>
      </c>
      <c r="C199" s="122">
        <v>20101024645</v>
      </c>
      <c r="D199" s="125" t="s">
        <v>7340</v>
      </c>
      <c r="E199" s="125" t="s">
        <v>7341</v>
      </c>
      <c r="F199" s="122" t="s">
        <v>30</v>
      </c>
      <c r="G199" s="122" t="s">
        <v>30</v>
      </c>
      <c r="H199" s="122" t="s">
        <v>43</v>
      </c>
      <c r="I199" s="125" t="s">
        <v>4199</v>
      </c>
      <c r="J199" s="129" t="s">
        <v>7369</v>
      </c>
      <c r="K199" s="122" t="s">
        <v>7370</v>
      </c>
      <c r="L199" s="122" t="s">
        <v>2943</v>
      </c>
      <c r="M199" s="133" t="s">
        <v>7344</v>
      </c>
      <c r="N199" s="122" t="s">
        <v>30</v>
      </c>
    </row>
    <row r="200" spans="2:14" s="9" customFormat="1" hidden="1" x14ac:dyDescent="0.25">
      <c r="B200" s="120">
        <v>197</v>
      </c>
      <c r="C200" s="122">
        <v>20101024645</v>
      </c>
      <c r="D200" s="125" t="s">
        <v>7340</v>
      </c>
      <c r="E200" s="125" t="s">
        <v>7341</v>
      </c>
      <c r="F200" s="122" t="s">
        <v>30</v>
      </c>
      <c r="G200" s="122" t="s">
        <v>30</v>
      </c>
      <c r="H200" s="122" t="s">
        <v>43</v>
      </c>
      <c r="I200" s="125" t="s">
        <v>4199</v>
      </c>
      <c r="J200" s="129" t="s">
        <v>7367</v>
      </c>
      <c r="K200" s="122" t="s">
        <v>7368</v>
      </c>
      <c r="L200" s="122" t="s">
        <v>731</v>
      </c>
      <c r="M200" s="133" t="s">
        <v>7344</v>
      </c>
      <c r="N200" s="122" t="s">
        <v>30</v>
      </c>
    </row>
    <row r="201" spans="2:14" s="9" customFormat="1" hidden="1" x14ac:dyDescent="0.25">
      <c r="B201" s="120">
        <v>198</v>
      </c>
      <c r="C201" s="122">
        <v>20101024645</v>
      </c>
      <c r="D201" s="125" t="s">
        <v>7340</v>
      </c>
      <c r="E201" s="125" t="s">
        <v>7341</v>
      </c>
      <c r="F201" s="122" t="s">
        <v>30</v>
      </c>
      <c r="G201" s="122" t="s">
        <v>30</v>
      </c>
      <c r="H201" s="122" t="s">
        <v>43</v>
      </c>
      <c r="I201" s="125" t="s">
        <v>4199</v>
      </c>
      <c r="J201" s="129" t="s">
        <v>7365</v>
      </c>
      <c r="K201" s="122" t="s">
        <v>7366</v>
      </c>
      <c r="L201" s="122" t="s">
        <v>1558</v>
      </c>
      <c r="M201" s="133" t="s">
        <v>7344</v>
      </c>
      <c r="N201" s="122" t="s">
        <v>30</v>
      </c>
    </row>
    <row r="202" spans="2:14" s="9" customFormat="1" hidden="1" x14ac:dyDescent="0.25">
      <c r="B202" s="120">
        <v>199</v>
      </c>
      <c r="C202" s="122">
        <v>20101024645</v>
      </c>
      <c r="D202" s="125" t="s">
        <v>7340</v>
      </c>
      <c r="E202" s="125" t="s">
        <v>7341</v>
      </c>
      <c r="F202" s="122" t="s">
        <v>30</v>
      </c>
      <c r="G202" s="122" t="s">
        <v>30</v>
      </c>
      <c r="H202" s="122" t="s">
        <v>43</v>
      </c>
      <c r="I202" s="125" t="s">
        <v>4199</v>
      </c>
      <c r="J202" s="129" t="s">
        <v>7363</v>
      </c>
      <c r="K202" s="122" t="s">
        <v>7364</v>
      </c>
      <c r="L202" s="122" t="s">
        <v>1558</v>
      </c>
      <c r="M202" s="133" t="s">
        <v>7344</v>
      </c>
      <c r="N202" s="122" t="s">
        <v>30</v>
      </c>
    </row>
    <row r="203" spans="2:14" s="9" customFormat="1" hidden="1" x14ac:dyDescent="0.25">
      <c r="B203" s="120">
        <v>200</v>
      </c>
      <c r="C203" s="122">
        <v>20101024645</v>
      </c>
      <c r="D203" s="125" t="s">
        <v>7340</v>
      </c>
      <c r="E203" s="125" t="s">
        <v>7341</v>
      </c>
      <c r="F203" s="122" t="s">
        <v>30</v>
      </c>
      <c r="G203" s="122" t="s">
        <v>30</v>
      </c>
      <c r="H203" s="122" t="s">
        <v>43</v>
      </c>
      <c r="I203" s="125" t="s">
        <v>4199</v>
      </c>
      <c r="J203" s="129" t="s">
        <v>7361</v>
      </c>
      <c r="K203" s="122" t="s">
        <v>7362</v>
      </c>
      <c r="L203" s="122" t="s">
        <v>1558</v>
      </c>
      <c r="M203" s="133" t="s">
        <v>7344</v>
      </c>
      <c r="N203" s="122" t="s">
        <v>30</v>
      </c>
    </row>
    <row r="204" spans="2:14" s="9" customFormat="1" hidden="1" x14ac:dyDescent="0.25">
      <c r="B204" s="120">
        <v>201</v>
      </c>
      <c r="C204" s="122">
        <v>20101024645</v>
      </c>
      <c r="D204" s="125" t="s">
        <v>7340</v>
      </c>
      <c r="E204" s="125" t="s">
        <v>7341</v>
      </c>
      <c r="F204" s="122" t="s">
        <v>30</v>
      </c>
      <c r="G204" s="122" t="s">
        <v>30</v>
      </c>
      <c r="H204" s="122" t="s">
        <v>43</v>
      </c>
      <c r="I204" s="125" t="s">
        <v>4199</v>
      </c>
      <c r="J204" s="129" t="s">
        <v>7359</v>
      </c>
      <c r="K204" s="122" t="s">
        <v>7360</v>
      </c>
      <c r="L204" s="122" t="s">
        <v>7017</v>
      </c>
      <c r="M204" s="133" t="s">
        <v>7344</v>
      </c>
      <c r="N204" s="122" t="s">
        <v>30</v>
      </c>
    </row>
    <row r="205" spans="2:14" s="9" customFormat="1" hidden="1" x14ac:dyDescent="0.25">
      <c r="B205" s="120">
        <v>202</v>
      </c>
      <c r="C205" s="122">
        <v>20101024645</v>
      </c>
      <c r="D205" s="125" t="s">
        <v>7340</v>
      </c>
      <c r="E205" s="125" t="s">
        <v>7341</v>
      </c>
      <c r="F205" s="122" t="s">
        <v>30</v>
      </c>
      <c r="G205" s="122" t="s">
        <v>30</v>
      </c>
      <c r="H205" s="122" t="s">
        <v>43</v>
      </c>
      <c r="I205" s="125" t="s">
        <v>4199</v>
      </c>
      <c r="J205" s="129" t="s">
        <v>7357</v>
      </c>
      <c r="K205" s="122" t="s">
        <v>7358</v>
      </c>
      <c r="L205" s="122" t="s">
        <v>1558</v>
      </c>
      <c r="M205" s="133" t="s">
        <v>7344</v>
      </c>
      <c r="N205" s="122" t="s">
        <v>30</v>
      </c>
    </row>
    <row r="206" spans="2:14" s="9" customFormat="1" hidden="1" x14ac:dyDescent="0.25">
      <c r="B206" s="120">
        <v>203</v>
      </c>
      <c r="C206" s="122">
        <v>20101024645</v>
      </c>
      <c r="D206" s="125" t="s">
        <v>7340</v>
      </c>
      <c r="E206" s="125" t="s">
        <v>7341</v>
      </c>
      <c r="F206" s="122" t="s">
        <v>30</v>
      </c>
      <c r="G206" s="122" t="s">
        <v>30</v>
      </c>
      <c r="H206" s="122" t="s">
        <v>43</v>
      </c>
      <c r="I206" s="125" t="s">
        <v>4199</v>
      </c>
      <c r="J206" s="129" t="s">
        <v>7355</v>
      </c>
      <c r="K206" s="122" t="s">
        <v>7356</v>
      </c>
      <c r="L206" s="122" t="s">
        <v>1558</v>
      </c>
      <c r="M206" s="133" t="s">
        <v>7344</v>
      </c>
      <c r="N206" s="122" t="s">
        <v>30</v>
      </c>
    </row>
    <row r="207" spans="2:14" s="9" customFormat="1" hidden="1" x14ac:dyDescent="0.25">
      <c r="B207" s="120">
        <v>204</v>
      </c>
      <c r="C207" s="122">
        <v>20101024645</v>
      </c>
      <c r="D207" s="125" t="s">
        <v>7340</v>
      </c>
      <c r="E207" s="125" t="s">
        <v>7341</v>
      </c>
      <c r="F207" s="122" t="s">
        <v>30</v>
      </c>
      <c r="G207" s="122" t="s">
        <v>30</v>
      </c>
      <c r="H207" s="122" t="s">
        <v>43</v>
      </c>
      <c r="I207" s="125" t="s">
        <v>4199</v>
      </c>
      <c r="J207" s="129" t="s">
        <v>7353</v>
      </c>
      <c r="K207" s="122" t="s">
        <v>7354</v>
      </c>
      <c r="L207" s="122" t="s">
        <v>1558</v>
      </c>
      <c r="M207" s="133" t="s">
        <v>7344</v>
      </c>
      <c r="N207" s="122" t="s">
        <v>30</v>
      </c>
    </row>
    <row r="208" spans="2:14" s="9" customFormat="1" hidden="1" x14ac:dyDescent="0.25">
      <c r="B208" s="120">
        <v>205</v>
      </c>
      <c r="C208" s="122">
        <v>20101024645</v>
      </c>
      <c r="D208" s="125" t="s">
        <v>7340</v>
      </c>
      <c r="E208" s="125" t="s">
        <v>7341</v>
      </c>
      <c r="F208" s="122" t="s">
        <v>30</v>
      </c>
      <c r="G208" s="122" t="s">
        <v>30</v>
      </c>
      <c r="H208" s="122" t="s">
        <v>43</v>
      </c>
      <c r="I208" s="125" t="s">
        <v>4199</v>
      </c>
      <c r="J208" s="129" t="s">
        <v>7351</v>
      </c>
      <c r="K208" s="122" t="s">
        <v>7352</v>
      </c>
      <c r="L208" s="122" t="s">
        <v>1558</v>
      </c>
      <c r="M208" s="133" t="s">
        <v>7344</v>
      </c>
      <c r="N208" s="122" t="s">
        <v>30</v>
      </c>
    </row>
    <row r="209" spans="2:14" s="9" customFormat="1" hidden="1" x14ac:dyDescent="0.25">
      <c r="B209" s="120">
        <v>206</v>
      </c>
      <c r="C209" s="122">
        <v>20101024645</v>
      </c>
      <c r="D209" s="125" t="s">
        <v>7340</v>
      </c>
      <c r="E209" s="125" t="s">
        <v>7341</v>
      </c>
      <c r="F209" s="122" t="s">
        <v>30</v>
      </c>
      <c r="G209" s="122" t="s">
        <v>30</v>
      </c>
      <c r="H209" s="122" t="s">
        <v>43</v>
      </c>
      <c r="I209" s="125" t="s">
        <v>4199</v>
      </c>
      <c r="J209" s="129" t="s">
        <v>7349</v>
      </c>
      <c r="K209" s="122" t="s">
        <v>7350</v>
      </c>
      <c r="L209" s="122" t="s">
        <v>36</v>
      </c>
      <c r="M209" s="133" t="s">
        <v>7344</v>
      </c>
      <c r="N209" s="122" t="s">
        <v>30</v>
      </c>
    </row>
    <row r="210" spans="2:14" s="9" customFormat="1" hidden="1" x14ac:dyDescent="0.25">
      <c r="B210" s="120">
        <v>207</v>
      </c>
      <c r="C210" s="122">
        <v>20101024645</v>
      </c>
      <c r="D210" s="125" t="s">
        <v>7340</v>
      </c>
      <c r="E210" s="125" t="s">
        <v>7341</v>
      </c>
      <c r="F210" s="122" t="s">
        <v>30</v>
      </c>
      <c r="G210" s="122" t="s">
        <v>30</v>
      </c>
      <c r="H210" s="122" t="s">
        <v>43</v>
      </c>
      <c r="I210" s="125" t="s">
        <v>4199</v>
      </c>
      <c r="J210" s="129" t="s">
        <v>7347</v>
      </c>
      <c r="K210" s="122" t="s">
        <v>7348</v>
      </c>
      <c r="L210" s="122" t="s">
        <v>36</v>
      </c>
      <c r="M210" s="133" t="s">
        <v>7344</v>
      </c>
      <c r="N210" s="122" t="s">
        <v>30</v>
      </c>
    </row>
    <row r="211" spans="2:14" s="9" customFormat="1" hidden="1" x14ac:dyDescent="0.25">
      <c r="B211" s="120">
        <v>208</v>
      </c>
      <c r="C211" s="122">
        <v>20101024645</v>
      </c>
      <c r="D211" s="125" t="s">
        <v>7340</v>
      </c>
      <c r="E211" s="125" t="s">
        <v>7341</v>
      </c>
      <c r="F211" s="122" t="s">
        <v>30</v>
      </c>
      <c r="G211" s="122" t="s">
        <v>30</v>
      </c>
      <c r="H211" s="122" t="s">
        <v>43</v>
      </c>
      <c r="I211" s="125" t="s">
        <v>4199</v>
      </c>
      <c r="J211" s="129" t="s">
        <v>7345</v>
      </c>
      <c r="K211" s="122" t="s">
        <v>7346</v>
      </c>
      <c r="L211" s="122" t="s">
        <v>1558</v>
      </c>
      <c r="M211" s="133" t="s">
        <v>7344</v>
      </c>
      <c r="N211" s="122" t="s">
        <v>30</v>
      </c>
    </row>
    <row r="212" spans="2:14" s="9" customFormat="1" hidden="1" x14ac:dyDescent="0.25">
      <c r="B212" s="120">
        <v>209</v>
      </c>
      <c r="C212" s="122">
        <v>20101024645</v>
      </c>
      <c r="D212" s="125" t="s">
        <v>7340</v>
      </c>
      <c r="E212" s="125" t="s">
        <v>7341</v>
      </c>
      <c r="F212" s="122" t="s">
        <v>30</v>
      </c>
      <c r="G212" s="122" t="s">
        <v>30</v>
      </c>
      <c r="H212" s="122" t="s">
        <v>43</v>
      </c>
      <c r="I212" s="125" t="s">
        <v>4199</v>
      </c>
      <c r="J212" s="129" t="s">
        <v>7342</v>
      </c>
      <c r="K212" s="122" t="s">
        <v>7343</v>
      </c>
      <c r="L212" s="122" t="s">
        <v>36</v>
      </c>
      <c r="M212" s="133" t="s">
        <v>7344</v>
      </c>
      <c r="N212" s="122" t="s">
        <v>30</v>
      </c>
    </row>
    <row r="213" spans="2:14" s="9" customFormat="1" hidden="1" x14ac:dyDescent="0.25">
      <c r="B213" s="120">
        <v>210</v>
      </c>
      <c r="C213" s="122">
        <v>20100971772</v>
      </c>
      <c r="D213" s="125" t="s">
        <v>3482</v>
      </c>
      <c r="E213" s="125" t="s">
        <v>7318</v>
      </c>
      <c r="F213" s="122" t="s">
        <v>30</v>
      </c>
      <c r="G213" s="122" t="s">
        <v>30</v>
      </c>
      <c r="H213" s="122" t="s">
        <v>80</v>
      </c>
      <c r="I213" s="125" t="s">
        <v>1732</v>
      </c>
      <c r="J213" s="129" t="s">
        <v>7338</v>
      </c>
      <c r="K213" s="122" t="s">
        <v>7339</v>
      </c>
      <c r="L213" s="122" t="s">
        <v>1712</v>
      </c>
      <c r="M213" s="133" t="s">
        <v>7321</v>
      </c>
      <c r="N213" s="122" t="s">
        <v>30</v>
      </c>
    </row>
    <row r="214" spans="2:14" s="9" customFormat="1" hidden="1" x14ac:dyDescent="0.25">
      <c r="B214" s="120">
        <v>211</v>
      </c>
      <c r="C214" s="122">
        <v>20100971772</v>
      </c>
      <c r="D214" s="125" t="s">
        <v>3482</v>
      </c>
      <c r="E214" s="125" t="s">
        <v>7318</v>
      </c>
      <c r="F214" s="122" t="s">
        <v>30</v>
      </c>
      <c r="G214" s="122" t="s">
        <v>30</v>
      </c>
      <c r="H214" s="122" t="s">
        <v>80</v>
      </c>
      <c r="I214" s="125" t="s">
        <v>1732</v>
      </c>
      <c r="J214" s="129" t="s">
        <v>7336</v>
      </c>
      <c r="K214" s="122" t="s">
        <v>7337</v>
      </c>
      <c r="L214" s="122" t="s">
        <v>1712</v>
      </c>
      <c r="M214" s="133" t="s">
        <v>7321</v>
      </c>
      <c r="N214" s="122" t="s">
        <v>30</v>
      </c>
    </row>
    <row r="215" spans="2:14" s="9" customFormat="1" hidden="1" x14ac:dyDescent="0.25">
      <c r="B215" s="120">
        <v>212</v>
      </c>
      <c r="C215" s="122">
        <v>20100971772</v>
      </c>
      <c r="D215" s="125" t="s">
        <v>3482</v>
      </c>
      <c r="E215" s="125" t="s">
        <v>7318</v>
      </c>
      <c r="F215" s="122" t="s">
        <v>30</v>
      </c>
      <c r="G215" s="122" t="s">
        <v>30</v>
      </c>
      <c r="H215" s="122" t="s">
        <v>80</v>
      </c>
      <c r="I215" s="125" t="s">
        <v>1732</v>
      </c>
      <c r="J215" s="129" t="s">
        <v>7334</v>
      </c>
      <c r="K215" s="122" t="s">
        <v>7335</v>
      </c>
      <c r="L215" s="122" t="s">
        <v>1558</v>
      </c>
      <c r="M215" s="133" t="s">
        <v>7321</v>
      </c>
      <c r="N215" s="122" t="s">
        <v>30</v>
      </c>
    </row>
    <row r="216" spans="2:14" s="9" customFormat="1" hidden="1" x14ac:dyDescent="0.25">
      <c r="B216" s="120">
        <v>213</v>
      </c>
      <c r="C216" s="122">
        <v>20100971772</v>
      </c>
      <c r="D216" s="125" t="s">
        <v>3482</v>
      </c>
      <c r="E216" s="125" t="s">
        <v>7318</v>
      </c>
      <c r="F216" s="122" t="s">
        <v>30</v>
      </c>
      <c r="G216" s="122" t="s">
        <v>30</v>
      </c>
      <c r="H216" s="122" t="s">
        <v>80</v>
      </c>
      <c r="I216" s="125" t="s">
        <v>1732</v>
      </c>
      <c r="J216" s="129" t="s">
        <v>7332</v>
      </c>
      <c r="K216" s="122" t="s">
        <v>7333</v>
      </c>
      <c r="L216" s="122" t="s">
        <v>1712</v>
      </c>
      <c r="M216" s="133" t="s">
        <v>7321</v>
      </c>
      <c r="N216" s="122" t="s">
        <v>30</v>
      </c>
    </row>
    <row r="217" spans="2:14" s="9" customFormat="1" hidden="1" x14ac:dyDescent="0.25">
      <c r="B217" s="120">
        <v>214</v>
      </c>
      <c r="C217" s="122">
        <v>20100971772</v>
      </c>
      <c r="D217" s="125" t="s">
        <v>3482</v>
      </c>
      <c r="E217" s="125" t="s">
        <v>7318</v>
      </c>
      <c r="F217" s="122" t="s">
        <v>30</v>
      </c>
      <c r="G217" s="122" t="s">
        <v>30</v>
      </c>
      <c r="H217" s="122" t="s">
        <v>80</v>
      </c>
      <c r="I217" s="125" t="s">
        <v>1732</v>
      </c>
      <c r="J217" s="129" t="s">
        <v>7330</v>
      </c>
      <c r="K217" s="122" t="s">
        <v>7331</v>
      </c>
      <c r="L217" s="122" t="s">
        <v>209</v>
      </c>
      <c r="M217" s="133" t="s">
        <v>7321</v>
      </c>
      <c r="N217" s="122" t="s">
        <v>30</v>
      </c>
    </row>
    <row r="218" spans="2:14" s="9" customFormat="1" hidden="1" x14ac:dyDescent="0.25">
      <c r="B218" s="120">
        <v>215</v>
      </c>
      <c r="C218" s="122">
        <v>20100971772</v>
      </c>
      <c r="D218" s="125" t="s">
        <v>3482</v>
      </c>
      <c r="E218" s="125" t="s">
        <v>7318</v>
      </c>
      <c r="F218" s="122" t="s">
        <v>30</v>
      </c>
      <c r="G218" s="122" t="s">
        <v>30</v>
      </c>
      <c r="H218" s="122" t="s">
        <v>80</v>
      </c>
      <c r="I218" s="125" t="s">
        <v>1732</v>
      </c>
      <c r="J218" s="129" t="s">
        <v>7328</v>
      </c>
      <c r="K218" s="122" t="s">
        <v>7329</v>
      </c>
      <c r="L218" s="122" t="s">
        <v>1712</v>
      </c>
      <c r="M218" s="133" t="s">
        <v>7321</v>
      </c>
      <c r="N218" s="122" t="s">
        <v>30</v>
      </c>
    </row>
    <row r="219" spans="2:14" s="9" customFormat="1" hidden="1" x14ac:dyDescent="0.25">
      <c r="B219" s="120">
        <v>216</v>
      </c>
      <c r="C219" s="122">
        <v>20100971772</v>
      </c>
      <c r="D219" s="125" t="s">
        <v>3482</v>
      </c>
      <c r="E219" s="125" t="s">
        <v>7318</v>
      </c>
      <c r="F219" s="122" t="s">
        <v>30</v>
      </c>
      <c r="G219" s="122" t="s">
        <v>30</v>
      </c>
      <c r="H219" s="122" t="s">
        <v>80</v>
      </c>
      <c r="I219" s="125" t="s">
        <v>1732</v>
      </c>
      <c r="J219" s="129" t="s">
        <v>7326</v>
      </c>
      <c r="K219" s="122" t="s">
        <v>7327</v>
      </c>
      <c r="L219" s="122" t="s">
        <v>1712</v>
      </c>
      <c r="M219" s="133" t="s">
        <v>7321</v>
      </c>
      <c r="N219" s="122" t="s">
        <v>30</v>
      </c>
    </row>
    <row r="220" spans="2:14" s="9" customFormat="1" hidden="1" x14ac:dyDescent="0.25">
      <c r="B220" s="120">
        <v>217</v>
      </c>
      <c r="C220" s="122">
        <v>20100971772</v>
      </c>
      <c r="D220" s="125" t="s">
        <v>3482</v>
      </c>
      <c r="E220" s="125" t="s">
        <v>7318</v>
      </c>
      <c r="F220" s="122" t="s">
        <v>30</v>
      </c>
      <c r="G220" s="122" t="s">
        <v>30</v>
      </c>
      <c r="H220" s="122" t="s">
        <v>80</v>
      </c>
      <c r="I220" s="125" t="s">
        <v>1732</v>
      </c>
      <c r="J220" s="129" t="s">
        <v>7324</v>
      </c>
      <c r="K220" s="122" t="s">
        <v>7325</v>
      </c>
      <c r="L220" s="122" t="s">
        <v>731</v>
      </c>
      <c r="M220" s="133" t="s">
        <v>7321</v>
      </c>
      <c r="N220" s="122" t="s">
        <v>30</v>
      </c>
    </row>
    <row r="221" spans="2:14" s="9" customFormat="1" hidden="1" x14ac:dyDescent="0.25">
      <c r="B221" s="120">
        <v>218</v>
      </c>
      <c r="C221" s="122">
        <v>20100971772</v>
      </c>
      <c r="D221" s="125" t="s">
        <v>3482</v>
      </c>
      <c r="E221" s="125" t="s">
        <v>7318</v>
      </c>
      <c r="F221" s="122" t="s">
        <v>30</v>
      </c>
      <c r="G221" s="122" t="s">
        <v>30</v>
      </c>
      <c r="H221" s="122" t="s">
        <v>80</v>
      </c>
      <c r="I221" s="125" t="s">
        <v>1732</v>
      </c>
      <c r="J221" s="129" t="s">
        <v>7322</v>
      </c>
      <c r="K221" s="122" t="s">
        <v>7323</v>
      </c>
      <c r="L221" s="122" t="s">
        <v>1558</v>
      </c>
      <c r="M221" s="133" t="s">
        <v>7321</v>
      </c>
      <c r="N221" s="122" t="s">
        <v>30</v>
      </c>
    </row>
    <row r="222" spans="2:14" s="9" customFormat="1" hidden="1" x14ac:dyDescent="0.25">
      <c r="B222" s="120">
        <v>219</v>
      </c>
      <c r="C222" s="122">
        <v>20100971772</v>
      </c>
      <c r="D222" s="125" t="s">
        <v>3482</v>
      </c>
      <c r="E222" s="125" t="s">
        <v>7318</v>
      </c>
      <c r="F222" s="122" t="s">
        <v>30</v>
      </c>
      <c r="G222" s="122" t="s">
        <v>30</v>
      </c>
      <c r="H222" s="122" t="s">
        <v>80</v>
      </c>
      <c r="I222" s="125" t="s">
        <v>1732</v>
      </c>
      <c r="J222" s="129" t="s">
        <v>7319</v>
      </c>
      <c r="K222" s="122" t="s">
        <v>7320</v>
      </c>
      <c r="L222" s="122" t="s">
        <v>1712</v>
      </c>
      <c r="M222" s="133" t="s">
        <v>7321</v>
      </c>
      <c r="N222" s="122" t="s">
        <v>30</v>
      </c>
    </row>
    <row r="223" spans="2:14" s="9" customFormat="1" hidden="1" x14ac:dyDescent="0.25">
      <c r="B223" s="120">
        <v>220</v>
      </c>
      <c r="C223" s="122">
        <v>20100814324</v>
      </c>
      <c r="D223" s="125" t="s">
        <v>395</v>
      </c>
      <c r="E223" s="125" t="s">
        <v>7315</v>
      </c>
      <c r="F223" s="122" t="s">
        <v>30</v>
      </c>
      <c r="G223" s="122" t="s">
        <v>30</v>
      </c>
      <c r="H223" s="122" t="s">
        <v>75</v>
      </c>
      <c r="I223" s="125" t="s">
        <v>1655</v>
      </c>
      <c r="J223" s="129" t="s">
        <v>7316</v>
      </c>
      <c r="K223" s="122" t="s">
        <v>7317</v>
      </c>
      <c r="L223" s="122" t="s">
        <v>36</v>
      </c>
      <c r="M223" s="133" t="s">
        <v>845</v>
      </c>
      <c r="N223" s="122" t="s">
        <v>845</v>
      </c>
    </row>
    <row r="224" spans="2:14" s="9" customFormat="1" hidden="1" x14ac:dyDescent="0.25">
      <c r="B224" s="120">
        <v>221</v>
      </c>
      <c r="C224" s="122">
        <v>20100276322</v>
      </c>
      <c r="D224" s="125" t="s">
        <v>200</v>
      </c>
      <c r="E224" s="125" t="s">
        <v>7303</v>
      </c>
      <c r="F224" s="122" t="s">
        <v>30</v>
      </c>
      <c r="G224" s="122" t="s">
        <v>30</v>
      </c>
      <c r="H224" s="122" t="s">
        <v>34</v>
      </c>
      <c r="I224" s="125" t="s">
        <v>1488</v>
      </c>
      <c r="J224" s="129" t="s">
        <v>7313</v>
      </c>
      <c r="K224" s="122" t="s">
        <v>7314</v>
      </c>
      <c r="L224" s="122" t="s">
        <v>1558</v>
      </c>
      <c r="M224" s="133" t="s">
        <v>7306</v>
      </c>
      <c r="N224" s="122" t="s">
        <v>30</v>
      </c>
    </row>
    <row r="225" spans="2:14" s="9" customFormat="1" hidden="1" x14ac:dyDescent="0.25">
      <c r="B225" s="120">
        <v>222</v>
      </c>
      <c r="C225" s="122">
        <v>20100276322</v>
      </c>
      <c r="D225" s="125" t="s">
        <v>200</v>
      </c>
      <c r="E225" s="125" t="s">
        <v>7303</v>
      </c>
      <c r="F225" s="122" t="s">
        <v>30</v>
      </c>
      <c r="G225" s="122" t="s">
        <v>30</v>
      </c>
      <c r="H225" s="122" t="s">
        <v>34</v>
      </c>
      <c r="I225" s="125" t="s">
        <v>1488</v>
      </c>
      <c r="J225" s="129" t="s">
        <v>7311</v>
      </c>
      <c r="K225" s="122" t="s">
        <v>7312</v>
      </c>
      <c r="L225" s="122" t="s">
        <v>2030</v>
      </c>
      <c r="M225" s="133" t="s">
        <v>7306</v>
      </c>
      <c r="N225" s="122" t="s">
        <v>30</v>
      </c>
    </row>
    <row r="226" spans="2:14" s="9" customFormat="1" hidden="1" x14ac:dyDescent="0.25">
      <c r="B226" s="120">
        <v>223</v>
      </c>
      <c r="C226" s="122">
        <v>20100276322</v>
      </c>
      <c r="D226" s="125" t="s">
        <v>200</v>
      </c>
      <c r="E226" s="125" t="s">
        <v>7303</v>
      </c>
      <c r="F226" s="122" t="s">
        <v>30</v>
      </c>
      <c r="G226" s="122" t="s">
        <v>30</v>
      </c>
      <c r="H226" s="122" t="s">
        <v>34</v>
      </c>
      <c r="I226" s="125" t="s">
        <v>1488</v>
      </c>
      <c r="J226" s="129" t="s">
        <v>7309</v>
      </c>
      <c r="K226" s="122" t="s">
        <v>7310</v>
      </c>
      <c r="L226" s="122" t="s">
        <v>42</v>
      </c>
      <c r="M226" s="133" t="s">
        <v>7306</v>
      </c>
      <c r="N226" s="122" t="s">
        <v>30</v>
      </c>
    </row>
    <row r="227" spans="2:14" s="9" customFormat="1" hidden="1" x14ac:dyDescent="0.25">
      <c r="B227" s="120">
        <v>224</v>
      </c>
      <c r="C227" s="122">
        <v>20100276322</v>
      </c>
      <c r="D227" s="125" t="s">
        <v>200</v>
      </c>
      <c r="E227" s="125" t="s">
        <v>7303</v>
      </c>
      <c r="F227" s="122" t="s">
        <v>30</v>
      </c>
      <c r="G227" s="122" t="s">
        <v>30</v>
      </c>
      <c r="H227" s="122" t="s">
        <v>34</v>
      </c>
      <c r="I227" s="125" t="s">
        <v>1488</v>
      </c>
      <c r="J227" s="129" t="s">
        <v>7307</v>
      </c>
      <c r="K227" s="122" t="s">
        <v>7308</v>
      </c>
      <c r="L227" s="122" t="s">
        <v>1558</v>
      </c>
      <c r="M227" s="133" t="s">
        <v>7306</v>
      </c>
      <c r="N227" s="122" t="s">
        <v>30</v>
      </c>
    </row>
    <row r="228" spans="2:14" s="9" customFormat="1" hidden="1" x14ac:dyDescent="0.25">
      <c r="B228" s="120">
        <v>225</v>
      </c>
      <c r="C228" s="122">
        <v>20100276322</v>
      </c>
      <c r="D228" s="125" t="s">
        <v>200</v>
      </c>
      <c r="E228" s="125" t="s">
        <v>7303</v>
      </c>
      <c r="F228" s="122" t="s">
        <v>30</v>
      </c>
      <c r="G228" s="122" t="s">
        <v>30</v>
      </c>
      <c r="H228" s="122" t="s">
        <v>34</v>
      </c>
      <c r="I228" s="125" t="s">
        <v>1488</v>
      </c>
      <c r="J228" s="129" t="s">
        <v>7304</v>
      </c>
      <c r="K228" s="122" t="s">
        <v>7305</v>
      </c>
      <c r="L228" s="122" t="s">
        <v>1558</v>
      </c>
      <c r="M228" s="133" t="s">
        <v>7306</v>
      </c>
      <c r="N228" s="122" t="s">
        <v>30</v>
      </c>
    </row>
    <row r="229" spans="2:14" s="9" customFormat="1" hidden="1" x14ac:dyDescent="0.25">
      <c r="B229" s="120">
        <v>226</v>
      </c>
      <c r="C229" s="122">
        <v>20100175569</v>
      </c>
      <c r="D229" s="125" t="s">
        <v>212</v>
      </c>
      <c r="E229" s="125" t="s">
        <v>7285</v>
      </c>
      <c r="F229" s="122" t="s">
        <v>30</v>
      </c>
      <c r="G229" s="122" t="s">
        <v>30</v>
      </c>
      <c r="H229" s="122" t="s">
        <v>34</v>
      </c>
      <c r="I229" s="125" t="s">
        <v>1755</v>
      </c>
      <c r="J229" s="129" t="s">
        <v>7301</v>
      </c>
      <c r="K229" s="122" t="s">
        <v>7302</v>
      </c>
      <c r="L229" s="122" t="s">
        <v>3829</v>
      </c>
      <c r="M229" s="133" t="s">
        <v>7288</v>
      </c>
      <c r="N229" s="122" t="s">
        <v>160</v>
      </c>
    </row>
    <row r="230" spans="2:14" s="9" customFormat="1" hidden="1" x14ac:dyDescent="0.25">
      <c r="B230" s="120">
        <v>227</v>
      </c>
      <c r="C230" s="122">
        <v>20100175569</v>
      </c>
      <c r="D230" s="125" t="s">
        <v>212</v>
      </c>
      <c r="E230" s="125" t="s">
        <v>7285</v>
      </c>
      <c r="F230" s="122" t="s">
        <v>30</v>
      </c>
      <c r="G230" s="122" t="s">
        <v>30</v>
      </c>
      <c r="H230" s="122" t="s">
        <v>34</v>
      </c>
      <c r="I230" s="125" t="s">
        <v>1755</v>
      </c>
      <c r="J230" s="129" t="s">
        <v>7299</v>
      </c>
      <c r="K230" s="122" t="s">
        <v>7300</v>
      </c>
      <c r="L230" s="122" t="s">
        <v>1591</v>
      </c>
      <c r="M230" s="133" t="s">
        <v>7288</v>
      </c>
      <c r="N230" s="122" t="s">
        <v>160</v>
      </c>
    </row>
    <row r="231" spans="2:14" s="9" customFormat="1" hidden="1" x14ac:dyDescent="0.25">
      <c r="B231" s="120">
        <v>228</v>
      </c>
      <c r="C231" s="122">
        <v>20100175569</v>
      </c>
      <c r="D231" s="125" t="s">
        <v>212</v>
      </c>
      <c r="E231" s="125" t="s">
        <v>7285</v>
      </c>
      <c r="F231" s="122" t="s">
        <v>30</v>
      </c>
      <c r="G231" s="122" t="s">
        <v>30</v>
      </c>
      <c r="H231" s="122" t="s">
        <v>34</v>
      </c>
      <c r="I231" s="125" t="s">
        <v>1755</v>
      </c>
      <c r="J231" s="129" t="s">
        <v>7297</v>
      </c>
      <c r="K231" s="122" t="s">
        <v>7298</v>
      </c>
      <c r="L231" s="122" t="s">
        <v>2943</v>
      </c>
      <c r="M231" s="133" t="s">
        <v>7288</v>
      </c>
      <c r="N231" s="122" t="s">
        <v>160</v>
      </c>
    </row>
    <row r="232" spans="2:14" s="9" customFormat="1" hidden="1" x14ac:dyDescent="0.25">
      <c r="B232" s="120">
        <v>229</v>
      </c>
      <c r="C232" s="122">
        <v>20100175569</v>
      </c>
      <c r="D232" s="125" t="s">
        <v>212</v>
      </c>
      <c r="E232" s="125" t="s">
        <v>7285</v>
      </c>
      <c r="F232" s="122" t="s">
        <v>30</v>
      </c>
      <c r="G232" s="122" t="s">
        <v>30</v>
      </c>
      <c r="H232" s="122" t="s">
        <v>34</v>
      </c>
      <c r="I232" s="125" t="s">
        <v>1755</v>
      </c>
      <c r="J232" s="129" t="s">
        <v>7295</v>
      </c>
      <c r="K232" s="122" t="s">
        <v>7296</v>
      </c>
      <c r="L232" s="122" t="s">
        <v>1712</v>
      </c>
      <c r="M232" s="133" t="s">
        <v>7288</v>
      </c>
      <c r="N232" s="122" t="s">
        <v>160</v>
      </c>
    </row>
    <row r="233" spans="2:14" s="9" customFormat="1" hidden="1" x14ac:dyDescent="0.25">
      <c r="B233" s="120">
        <v>230</v>
      </c>
      <c r="C233" s="122">
        <v>20100175569</v>
      </c>
      <c r="D233" s="125" t="s">
        <v>212</v>
      </c>
      <c r="E233" s="125" t="s">
        <v>7285</v>
      </c>
      <c r="F233" s="122" t="s">
        <v>30</v>
      </c>
      <c r="G233" s="122" t="s">
        <v>30</v>
      </c>
      <c r="H233" s="122" t="s">
        <v>34</v>
      </c>
      <c r="I233" s="125" t="s">
        <v>1755</v>
      </c>
      <c r="J233" s="129" t="s">
        <v>7293</v>
      </c>
      <c r="K233" s="122" t="s">
        <v>7294</v>
      </c>
      <c r="L233" s="122" t="s">
        <v>1712</v>
      </c>
      <c r="M233" s="133" t="s">
        <v>7288</v>
      </c>
      <c r="N233" s="122" t="s">
        <v>160</v>
      </c>
    </row>
    <row r="234" spans="2:14" s="9" customFormat="1" hidden="1" x14ac:dyDescent="0.25">
      <c r="B234" s="120">
        <v>231</v>
      </c>
      <c r="C234" s="122">
        <v>20100175569</v>
      </c>
      <c r="D234" s="125" t="s">
        <v>212</v>
      </c>
      <c r="E234" s="125" t="s">
        <v>7285</v>
      </c>
      <c r="F234" s="122" t="s">
        <v>30</v>
      </c>
      <c r="G234" s="122" t="s">
        <v>30</v>
      </c>
      <c r="H234" s="122" t="s">
        <v>34</v>
      </c>
      <c r="I234" s="125" t="s">
        <v>1755</v>
      </c>
      <c r="J234" s="129" t="s">
        <v>7291</v>
      </c>
      <c r="K234" s="122" t="s">
        <v>7292</v>
      </c>
      <c r="L234" s="122" t="s">
        <v>1712</v>
      </c>
      <c r="M234" s="133" t="s">
        <v>7288</v>
      </c>
      <c r="N234" s="122" t="s">
        <v>160</v>
      </c>
    </row>
    <row r="235" spans="2:14" s="9" customFormat="1" hidden="1" x14ac:dyDescent="0.25">
      <c r="B235" s="120">
        <v>232</v>
      </c>
      <c r="C235" s="122">
        <v>20100175569</v>
      </c>
      <c r="D235" s="125" t="s">
        <v>212</v>
      </c>
      <c r="E235" s="125" t="s">
        <v>7285</v>
      </c>
      <c r="F235" s="122" t="s">
        <v>30</v>
      </c>
      <c r="G235" s="122" t="s">
        <v>30</v>
      </c>
      <c r="H235" s="122" t="s">
        <v>34</v>
      </c>
      <c r="I235" s="125" t="s">
        <v>1755</v>
      </c>
      <c r="J235" s="129" t="s">
        <v>7289</v>
      </c>
      <c r="K235" s="122" t="s">
        <v>7290</v>
      </c>
      <c r="L235" s="122" t="s">
        <v>1712</v>
      </c>
      <c r="M235" s="133" t="s">
        <v>7288</v>
      </c>
      <c r="N235" s="122" t="s">
        <v>160</v>
      </c>
    </row>
    <row r="236" spans="2:14" s="9" customFormat="1" hidden="1" x14ac:dyDescent="0.25">
      <c r="B236" s="120">
        <v>233</v>
      </c>
      <c r="C236" s="122">
        <v>20100175569</v>
      </c>
      <c r="D236" s="125" t="s">
        <v>212</v>
      </c>
      <c r="E236" s="125" t="s">
        <v>7285</v>
      </c>
      <c r="F236" s="122" t="s">
        <v>30</v>
      </c>
      <c r="G236" s="122" t="s">
        <v>30</v>
      </c>
      <c r="H236" s="122" t="s">
        <v>34</v>
      </c>
      <c r="I236" s="125" t="s">
        <v>1755</v>
      </c>
      <c r="J236" s="129" t="s">
        <v>7286</v>
      </c>
      <c r="K236" s="122" t="s">
        <v>7287</v>
      </c>
      <c r="L236" s="122" t="s">
        <v>1558</v>
      </c>
      <c r="M236" s="133" t="s">
        <v>7288</v>
      </c>
      <c r="N236" s="122" t="s">
        <v>160</v>
      </c>
    </row>
    <row r="237" spans="2:14" s="9" customFormat="1" hidden="1" x14ac:dyDescent="0.25">
      <c r="B237" s="120">
        <v>234</v>
      </c>
      <c r="C237" s="122">
        <v>20100172543</v>
      </c>
      <c r="D237" s="125" t="s">
        <v>1110</v>
      </c>
      <c r="E237" s="125" t="s">
        <v>7276</v>
      </c>
      <c r="F237" s="122" t="s">
        <v>30</v>
      </c>
      <c r="G237" s="122" t="s">
        <v>30</v>
      </c>
      <c r="H237" s="122" t="s">
        <v>86</v>
      </c>
      <c r="I237" s="125" t="s">
        <v>1374</v>
      </c>
      <c r="J237" s="129" t="s">
        <v>7283</v>
      </c>
      <c r="K237" s="122" t="s">
        <v>7284</v>
      </c>
      <c r="L237" s="122" t="s">
        <v>36</v>
      </c>
      <c r="M237" s="133" t="s">
        <v>7280</v>
      </c>
      <c r="N237" s="122" t="s">
        <v>30</v>
      </c>
    </row>
    <row r="238" spans="2:14" s="9" customFormat="1" hidden="1" x14ac:dyDescent="0.25">
      <c r="B238" s="120">
        <v>235</v>
      </c>
      <c r="C238" s="122">
        <v>20100172543</v>
      </c>
      <c r="D238" s="125" t="s">
        <v>1110</v>
      </c>
      <c r="E238" s="125" t="s">
        <v>7276</v>
      </c>
      <c r="F238" s="122" t="s">
        <v>30</v>
      </c>
      <c r="G238" s="122" t="s">
        <v>30</v>
      </c>
      <c r="H238" s="122" t="s">
        <v>86</v>
      </c>
      <c r="I238" s="125" t="s">
        <v>1374</v>
      </c>
      <c r="J238" s="129" t="s">
        <v>7281</v>
      </c>
      <c r="K238" s="122" t="s">
        <v>7282</v>
      </c>
      <c r="L238" s="122" t="s">
        <v>42</v>
      </c>
      <c r="M238" s="133" t="s">
        <v>7280</v>
      </c>
      <c r="N238" s="122" t="s">
        <v>30</v>
      </c>
    </row>
    <row r="239" spans="2:14" s="9" customFormat="1" hidden="1" x14ac:dyDescent="0.25">
      <c r="B239" s="120">
        <v>236</v>
      </c>
      <c r="C239" s="122">
        <v>20100172543</v>
      </c>
      <c r="D239" s="125" t="s">
        <v>1110</v>
      </c>
      <c r="E239" s="125" t="s">
        <v>7276</v>
      </c>
      <c r="F239" s="122" t="s">
        <v>30</v>
      </c>
      <c r="G239" s="122" t="s">
        <v>30</v>
      </c>
      <c r="H239" s="122" t="s">
        <v>86</v>
      </c>
      <c r="I239" s="125" t="s">
        <v>1374</v>
      </c>
      <c r="J239" s="129" t="s">
        <v>7277</v>
      </c>
      <c r="K239" s="122" t="s">
        <v>7278</v>
      </c>
      <c r="L239" s="122" t="s">
        <v>7279</v>
      </c>
      <c r="M239" s="133" t="s">
        <v>7280</v>
      </c>
      <c r="N239" s="122" t="s">
        <v>30</v>
      </c>
    </row>
    <row r="240" spans="2:14" s="9" customFormat="1" hidden="1" x14ac:dyDescent="0.25">
      <c r="B240" s="120">
        <v>237</v>
      </c>
      <c r="C240" s="122">
        <v>20100123330</v>
      </c>
      <c r="D240" s="125" t="s">
        <v>7252</v>
      </c>
      <c r="E240" s="125" t="s">
        <v>7253</v>
      </c>
      <c r="F240" s="122" t="s">
        <v>30</v>
      </c>
      <c r="G240" s="122" t="s">
        <v>30</v>
      </c>
      <c r="H240" s="122" t="s">
        <v>135</v>
      </c>
      <c r="I240" s="125" t="s">
        <v>1950</v>
      </c>
      <c r="J240" s="129" t="s">
        <v>2870</v>
      </c>
      <c r="K240" s="122" t="s">
        <v>7275</v>
      </c>
      <c r="L240" s="122" t="s">
        <v>1558</v>
      </c>
      <c r="M240" s="133" t="s">
        <v>7254</v>
      </c>
      <c r="N240" s="122" t="s">
        <v>30</v>
      </c>
    </row>
    <row r="241" spans="2:14" s="9" customFormat="1" hidden="1" x14ac:dyDescent="0.25">
      <c r="B241" s="120">
        <v>238</v>
      </c>
      <c r="C241" s="122">
        <v>20100123330</v>
      </c>
      <c r="D241" s="125" t="s">
        <v>7252</v>
      </c>
      <c r="E241" s="125" t="s">
        <v>7253</v>
      </c>
      <c r="F241" s="122" t="s">
        <v>30</v>
      </c>
      <c r="G241" s="122" t="s">
        <v>30</v>
      </c>
      <c r="H241" s="122" t="s">
        <v>135</v>
      </c>
      <c r="I241" s="125" t="s">
        <v>1950</v>
      </c>
      <c r="J241" s="129" t="s">
        <v>7273</v>
      </c>
      <c r="K241" s="122" t="s">
        <v>7274</v>
      </c>
      <c r="L241" s="122" t="s">
        <v>1558</v>
      </c>
      <c r="M241" s="133" t="s">
        <v>7254</v>
      </c>
      <c r="N241" s="122" t="s">
        <v>30</v>
      </c>
    </row>
    <row r="242" spans="2:14" s="9" customFormat="1" hidden="1" x14ac:dyDescent="0.25">
      <c r="B242" s="120">
        <v>239</v>
      </c>
      <c r="C242" s="122">
        <v>20100123330</v>
      </c>
      <c r="D242" s="125" t="s">
        <v>7252</v>
      </c>
      <c r="E242" s="125" t="s">
        <v>7253</v>
      </c>
      <c r="F242" s="122" t="s">
        <v>30</v>
      </c>
      <c r="G242" s="122" t="s">
        <v>30</v>
      </c>
      <c r="H242" s="122" t="s">
        <v>135</v>
      </c>
      <c r="I242" s="125" t="s">
        <v>1950</v>
      </c>
      <c r="J242" s="129" t="s">
        <v>2866</v>
      </c>
      <c r="K242" s="122" t="s">
        <v>7272</v>
      </c>
      <c r="L242" s="122" t="s">
        <v>1558</v>
      </c>
      <c r="M242" s="133" t="s">
        <v>7254</v>
      </c>
      <c r="N242" s="122" t="s">
        <v>30</v>
      </c>
    </row>
    <row r="243" spans="2:14" s="9" customFormat="1" hidden="1" x14ac:dyDescent="0.25">
      <c r="B243" s="120">
        <v>240</v>
      </c>
      <c r="C243" s="122">
        <v>20100123330</v>
      </c>
      <c r="D243" s="125" t="s">
        <v>7252</v>
      </c>
      <c r="E243" s="125" t="s">
        <v>7253</v>
      </c>
      <c r="F243" s="122" t="s">
        <v>30</v>
      </c>
      <c r="G243" s="122" t="s">
        <v>30</v>
      </c>
      <c r="H243" s="122" t="s">
        <v>135</v>
      </c>
      <c r="I243" s="125" t="s">
        <v>1950</v>
      </c>
      <c r="J243" s="129" t="s">
        <v>7270</v>
      </c>
      <c r="K243" s="122" t="s">
        <v>7271</v>
      </c>
      <c r="L243" s="122" t="s">
        <v>1558</v>
      </c>
      <c r="M243" s="133" t="s">
        <v>7254</v>
      </c>
      <c r="N243" s="122" t="s">
        <v>30</v>
      </c>
    </row>
    <row r="244" spans="2:14" s="9" customFormat="1" hidden="1" x14ac:dyDescent="0.25">
      <c r="B244" s="120">
        <v>241</v>
      </c>
      <c r="C244" s="122">
        <v>20100123330</v>
      </c>
      <c r="D244" s="125" t="s">
        <v>7252</v>
      </c>
      <c r="E244" s="125" t="s">
        <v>7253</v>
      </c>
      <c r="F244" s="122" t="s">
        <v>30</v>
      </c>
      <c r="G244" s="122" t="s">
        <v>30</v>
      </c>
      <c r="H244" s="122" t="s">
        <v>135</v>
      </c>
      <c r="I244" s="125" t="s">
        <v>1950</v>
      </c>
      <c r="J244" s="129" t="s">
        <v>2864</v>
      </c>
      <c r="K244" s="122" t="s">
        <v>7269</v>
      </c>
      <c r="L244" s="122" t="s">
        <v>1558</v>
      </c>
      <c r="M244" s="133" t="s">
        <v>7254</v>
      </c>
      <c r="N244" s="122" t="s">
        <v>30</v>
      </c>
    </row>
    <row r="245" spans="2:14" s="9" customFormat="1" hidden="1" x14ac:dyDescent="0.25">
      <c r="B245" s="120">
        <v>242</v>
      </c>
      <c r="C245" s="122">
        <v>20100123330</v>
      </c>
      <c r="D245" s="125" t="s">
        <v>7252</v>
      </c>
      <c r="E245" s="125" t="s">
        <v>7253</v>
      </c>
      <c r="F245" s="122" t="s">
        <v>30</v>
      </c>
      <c r="G245" s="122" t="s">
        <v>30</v>
      </c>
      <c r="H245" s="122" t="s">
        <v>135</v>
      </c>
      <c r="I245" s="125" t="s">
        <v>1950</v>
      </c>
      <c r="J245" s="129" t="s">
        <v>2862</v>
      </c>
      <c r="K245" s="122" t="s">
        <v>7268</v>
      </c>
      <c r="L245" s="122" t="s">
        <v>1558</v>
      </c>
      <c r="M245" s="133" t="s">
        <v>7254</v>
      </c>
      <c r="N245" s="122" t="s">
        <v>30</v>
      </c>
    </row>
    <row r="246" spans="2:14" s="9" customFormat="1" hidden="1" x14ac:dyDescent="0.25">
      <c r="B246" s="120">
        <v>243</v>
      </c>
      <c r="C246" s="122">
        <v>20100123330</v>
      </c>
      <c r="D246" s="125" t="s">
        <v>7252</v>
      </c>
      <c r="E246" s="125" t="s">
        <v>7253</v>
      </c>
      <c r="F246" s="122" t="s">
        <v>30</v>
      </c>
      <c r="G246" s="122" t="s">
        <v>30</v>
      </c>
      <c r="H246" s="122" t="s">
        <v>135</v>
      </c>
      <c r="I246" s="125" t="s">
        <v>1950</v>
      </c>
      <c r="J246" s="129" t="s">
        <v>2860</v>
      </c>
      <c r="K246" s="122" t="s">
        <v>2861</v>
      </c>
      <c r="L246" s="122" t="s">
        <v>1558</v>
      </c>
      <c r="M246" s="133" t="s">
        <v>7254</v>
      </c>
      <c r="N246" s="122" t="s">
        <v>30</v>
      </c>
    </row>
    <row r="247" spans="2:14" s="9" customFormat="1" hidden="1" x14ac:dyDescent="0.25">
      <c r="B247" s="120">
        <v>244</v>
      </c>
      <c r="C247" s="122">
        <v>20100123330</v>
      </c>
      <c r="D247" s="125" t="s">
        <v>7252</v>
      </c>
      <c r="E247" s="125" t="s">
        <v>7253</v>
      </c>
      <c r="F247" s="122" t="s">
        <v>30</v>
      </c>
      <c r="G247" s="122" t="s">
        <v>30</v>
      </c>
      <c r="H247" s="122" t="s">
        <v>135</v>
      </c>
      <c r="I247" s="125" t="s">
        <v>1950</v>
      </c>
      <c r="J247" s="129" t="s">
        <v>2858</v>
      </c>
      <c r="K247" s="122" t="s">
        <v>7267</v>
      </c>
      <c r="L247" s="122" t="s">
        <v>1558</v>
      </c>
      <c r="M247" s="133" t="s">
        <v>7254</v>
      </c>
      <c r="N247" s="122" t="s">
        <v>30</v>
      </c>
    </row>
    <row r="248" spans="2:14" s="9" customFormat="1" hidden="1" x14ac:dyDescent="0.25">
      <c r="B248" s="120">
        <v>245</v>
      </c>
      <c r="C248" s="122">
        <v>20100123330</v>
      </c>
      <c r="D248" s="125" t="s">
        <v>7252</v>
      </c>
      <c r="E248" s="125" t="s">
        <v>7253</v>
      </c>
      <c r="F248" s="122" t="s">
        <v>30</v>
      </c>
      <c r="G248" s="122" t="s">
        <v>30</v>
      </c>
      <c r="H248" s="122" t="s">
        <v>135</v>
      </c>
      <c r="I248" s="125" t="s">
        <v>1950</v>
      </c>
      <c r="J248" s="129" t="s">
        <v>2856</v>
      </c>
      <c r="K248" s="122" t="s">
        <v>7266</v>
      </c>
      <c r="L248" s="122" t="s">
        <v>1558</v>
      </c>
      <c r="M248" s="133" t="s">
        <v>7254</v>
      </c>
      <c r="N248" s="122" t="s">
        <v>30</v>
      </c>
    </row>
    <row r="249" spans="2:14" s="9" customFormat="1" hidden="1" x14ac:dyDescent="0.25">
      <c r="B249" s="120">
        <v>246</v>
      </c>
      <c r="C249" s="122">
        <v>20100123330</v>
      </c>
      <c r="D249" s="125" t="s">
        <v>7252</v>
      </c>
      <c r="E249" s="125" t="s">
        <v>7253</v>
      </c>
      <c r="F249" s="122" t="s">
        <v>30</v>
      </c>
      <c r="G249" s="122" t="s">
        <v>30</v>
      </c>
      <c r="H249" s="122" t="s">
        <v>135</v>
      </c>
      <c r="I249" s="125" t="s">
        <v>1950</v>
      </c>
      <c r="J249" s="129" t="s">
        <v>7264</v>
      </c>
      <c r="K249" s="122" t="s">
        <v>7265</v>
      </c>
      <c r="L249" s="122" t="s">
        <v>1558</v>
      </c>
      <c r="M249" s="133" t="s">
        <v>7254</v>
      </c>
      <c r="N249" s="122" t="s">
        <v>30</v>
      </c>
    </row>
    <row r="250" spans="2:14" s="9" customFormat="1" hidden="1" x14ac:dyDescent="0.25">
      <c r="B250" s="120">
        <v>247</v>
      </c>
      <c r="C250" s="122">
        <v>20100123330</v>
      </c>
      <c r="D250" s="125" t="s">
        <v>7252</v>
      </c>
      <c r="E250" s="125" t="s">
        <v>7253</v>
      </c>
      <c r="F250" s="122" t="s">
        <v>30</v>
      </c>
      <c r="G250" s="122" t="s">
        <v>30</v>
      </c>
      <c r="H250" s="122" t="s">
        <v>135</v>
      </c>
      <c r="I250" s="125" t="s">
        <v>1950</v>
      </c>
      <c r="J250" s="129" t="s">
        <v>2854</v>
      </c>
      <c r="K250" s="122" t="s">
        <v>7263</v>
      </c>
      <c r="L250" s="122" t="s">
        <v>1558</v>
      </c>
      <c r="M250" s="133" t="s">
        <v>7254</v>
      </c>
      <c r="N250" s="122" t="s">
        <v>30</v>
      </c>
    </row>
    <row r="251" spans="2:14" s="9" customFormat="1" hidden="1" x14ac:dyDescent="0.25">
      <c r="B251" s="120">
        <v>248</v>
      </c>
      <c r="C251" s="122">
        <v>20100123330</v>
      </c>
      <c r="D251" s="125" t="s">
        <v>7252</v>
      </c>
      <c r="E251" s="125" t="s">
        <v>7253</v>
      </c>
      <c r="F251" s="122" t="s">
        <v>30</v>
      </c>
      <c r="G251" s="122" t="s">
        <v>30</v>
      </c>
      <c r="H251" s="122" t="s">
        <v>135</v>
      </c>
      <c r="I251" s="125" t="s">
        <v>1950</v>
      </c>
      <c r="J251" s="129" t="s">
        <v>7261</v>
      </c>
      <c r="K251" s="122" t="s">
        <v>7262</v>
      </c>
      <c r="L251" s="122" t="s">
        <v>1558</v>
      </c>
      <c r="M251" s="133" t="s">
        <v>7254</v>
      </c>
      <c r="N251" s="122" t="s">
        <v>30</v>
      </c>
    </row>
    <row r="252" spans="2:14" s="9" customFormat="1" hidden="1" x14ac:dyDescent="0.25">
      <c r="B252" s="120">
        <v>249</v>
      </c>
      <c r="C252" s="122">
        <v>20100123330</v>
      </c>
      <c r="D252" s="125" t="s">
        <v>7252</v>
      </c>
      <c r="E252" s="125" t="s">
        <v>7253</v>
      </c>
      <c r="F252" s="122" t="s">
        <v>30</v>
      </c>
      <c r="G252" s="122" t="s">
        <v>30</v>
      </c>
      <c r="H252" s="122" t="s">
        <v>135</v>
      </c>
      <c r="I252" s="125" t="s">
        <v>1950</v>
      </c>
      <c r="J252" s="129" t="s">
        <v>7259</v>
      </c>
      <c r="K252" s="122" t="s">
        <v>7260</v>
      </c>
      <c r="L252" s="122" t="s">
        <v>1558</v>
      </c>
      <c r="M252" s="133" t="s">
        <v>7254</v>
      </c>
      <c r="N252" s="122" t="s">
        <v>30</v>
      </c>
    </row>
    <row r="253" spans="2:14" s="9" customFormat="1" hidden="1" x14ac:dyDescent="0.25">
      <c r="B253" s="120">
        <v>250</v>
      </c>
      <c r="C253" s="122">
        <v>20100123330</v>
      </c>
      <c r="D253" s="125" t="s">
        <v>7252</v>
      </c>
      <c r="E253" s="125" t="s">
        <v>7253</v>
      </c>
      <c r="F253" s="122" t="s">
        <v>30</v>
      </c>
      <c r="G253" s="122" t="s">
        <v>30</v>
      </c>
      <c r="H253" s="122" t="s">
        <v>135</v>
      </c>
      <c r="I253" s="125" t="s">
        <v>1950</v>
      </c>
      <c r="J253" s="129" t="s">
        <v>2852</v>
      </c>
      <c r="K253" s="122" t="s">
        <v>7258</v>
      </c>
      <c r="L253" s="122" t="s">
        <v>1558</v>
      </c>
      <c r="M253" s="133" t="s">
        <v>7254</v>
      </c>
      <c r="N253" s="122" t="s">
        <v>30</v>
      </c>
    </row>
    <row r="254" spans="2:14" s="9" customFormat="1" hidden="1" x14ac:dyDescent="0.25">
      <c r="B254" s="120">
        <v>251</v>
      </c>
      <c r="C254" s="122">
        <v>20100123330</v>
      </c>
      <c r="D254" s="125" t="s">
        <v>7252</v>
      </c>
      <c r="E254" s="125" t="s">
        <v>7253</v>
      </c>
      <c r="F254" s="122" t="s">
        <v>30</v>
      </c>
      <c r="G254" s="122" t="s">
        <v>30</v>
      </c>
      <c r="H254" s="122" t="s">
        <v>135</v>
      </c>
      <c r="I254" s="125" t="s">
        <v>1950</v>
      </c>
      <c r="J254" s="129" t="s">
        <v>7256</v>
      </c>
      <c r="K254" s="122" t="s">
        <v>7257</v>
      </c>
      <c r="L254" s="122" t="s">
        <v>1558</v>
      </c>
      <c r="M254" s="133" t="s">
        <v>7254</v>
      </c>
      <c r="N254" s="122" t="s">
        <v>30</v>
      </c>
    </row>
    <row r="255" spans="2:14" s="9" customFormat="1" hidden="1" x14ac:dyDescent="0.25">
      <c r="B255" s="120">
        <v>252</v>
      </c>
      <c r="C255" s="122">
        <v>20100123330</v>
      </c>
      <c r="D255" s="125" t="s">
        <v>7252</v>
      </c>
      <c r="E255" s="125" t="s">
        <v>7253</v>
      </c>
      <c r="F255" s="122" t="s">
        <v>30</v>
      </c>
      <c r="G255" s="122" t="s">
        <v>30</v>
      </c>
      <c r="H255" s="122" t="s">
        <v>135</v>
      </c>
      <c r="I255" s="125" t="s">
        <v>1950</v>
      </c>
      <c r="J255" s="129" t="s">
        <v>2850</v>
      </c>
      <c r="K255" s="122" t="s">
        <v>2851</v>
      </c>
      <c r="L255" s="122" t="s">
        <v>1558</v>
      </c>
      <c r="M255" s="133" t="s">
        <v>7254</v>
      </c>
      <c r="N255" s="122" t="s">
        <v>30</v>
      </c>
    </row>
    <row r="256" spans="2:14" s="9" customFormat="1" hidden="1" x14ac:dyDescent="0.25">
      <c r="B256" s="120">
        <v>253</v>
      </c>
      <c r="C256" s="122">
        <v>20100123330</v>
      </c>
      <c r="D256" s="125" t="s">
        <v>7252</v>
      </c>
      <c r="E256" s="125" t="s">
        <v>7253</v>
      </c>
      <c r="F256" s="122" t="s">
        <v>30</v>
      </c>
      <c r="G256" s="122" t="s">
        <v>30</v>
      </c>
      <c r="H256" s="122" t="s">
        <v>135</v>
      </c>
      <c r="I256" s="125" t="s">
        <v>1950</v>
      </c>
      <c r="J256" s="129" t="s">
        <v>2848</v>
      </c>
      <c r="K256" s="122" t="s">
        <v>2849</v>
      </c>
      <c r="L256" s="122" t="s">
        <v>1558</v>
      </c>
      <c r="M256" s="133" t="s">
        <v>7254</v>
      </c>
      <c r="N256" s="122" t="s">
        <v>30</v>
      </c>
    </row>
    <row r="257" spans="2:14" s="9" customFormat="1" hidden="1" x14ac:dyDescent="0.25">
      <c r="B257" s="120">
        <v>254</v>
      </c>
      <c r="C257" s="122">
        <v>20100123330</v>
      </c>
      <c r="D257" s="125" t="s">
        <v>7252</v>
      </c>
      <c r="E257" s="125" t="s">
        <v>7253</v>
      </c>
      <c r="F257" s="122" t="s">
        <v>30</v>
      </c>
      <c r="G257" s="122" t="s">
        <v>30</v>
      </c>
      <c r="H257" s="122" t="s">
        <v>135</v>
      </c>
      <c r="I257" s="125" t="s">
        <v>1950</v>
      </c>
      <c r="J257" s="129" t="s">
        <v>2846</v>
      </c>
      <c r="K257" s="122" t="s">
        <v>7255</v>
      </c>
      <c r="L257" s="122" t="s">
        <v>1558</v>
      </c>
      <c r="M257" s="133" t="s">
        <v>7254</v>
      </c>
      <c r="N257" s="122" t="s">
        <v>30</v>
      </c>
    </row>
    <row r="258" spans="2:14" s="9" customFormat="1" hidden="1" x14ac:dyDescent="0.25">
      <c r="B258" s="120">
        <v>255</v>
      </c>
      <c r="C258" s="122">
        <v>20100123330</v>
      </c>
      <c r="D258" s="125" t="s">
        <v>7252</v>
      </c>
      <c r="E258" s="125" t="s">
        <v>7253</v>
      </c>
      <c r="F258" s="122" t="s">
        <v>30</v>
      </c>
      <c r="G258" s="122" t="s">
        <v>30</v>
      </c>
      <c r="H258" s="122" t="s">
        <v>135</v>
      </c>
      <c r="I258" s="125" t="s">
        <v>1950</v>
      </c>
      <c r="J258" s="129" t="s">
        <v>2844</v>
      </c>
      <c r="K258" s="122" t="s">
        <v>5969</v>
      </c>
      <c r="L258" s="122" t="s">
        <v>1558</v>
      </c>
      <c r="M258" s="133" t="s">
        <v>7254</v>
      </c>
      <c r="N258" s="122" t="s">
        <v>30</v>
      </c>
    </row>
    <row r="259" spans="2:14" s="9" customFormat="1" hidden="1" x14ac:dyDescent="0.25">
      <c r="B259" s="120">
        <v>256</v>
      </c>
      <c r="C259" s="122">
        <v>20100123330</v>
      </c>
      <c r="D259" s="125" t="s">
        <v>7252</v>
      </c>
      <c r="E259" s="125" t="s">
        <v>7253</v>
      </c>
      <c r="F259" s="122" t="s">
        <v>30</v>
      </c>
      <c r="G259" s="122" t="s">
        <v>30</v>
      </c>
      <c r="H259" s="122" t="s">
        <v>135</v>
      </c>
      <c r="I259" s="125" t="s">
        <v>1950</v>
      </c>
      <c r="J259" s="129" t="s">
        <v>2841</v>
      </c>
      <c r="K259" s="122" t="s">
        <v>2842</v>
      </c>
      <c r="L259" s="122" t="s">
        <v>1558</v>
      </c>
      <c r="M259" s="133" t="s">
        <v>7254</v>
      </c>
      <c r="N259" s="122" t="s">
        <v>30</v>
      </c>
    </row>
    <row r="260" spans="2:14" s="9" customFormat="1" hidden="1" x14ac:dyDescent="0.25">
      <c r="B260" s="120">
        <v>257</v>
      </c>
      <c r="C260" s="122">
        <v>20100094135</v>
      </c>
      <c r="D260" s="125" t="s">
        <v>33</v>
      </c>
      <c r="E260" s="125" t="s">
        <v>1086</v>
      </c>
      <c r="F260" s="122" t="s">
        <v>30</v>
      </c>
      <c r="G260" s="122" t="s">
        <v>30</v>
      </c>
      <c r="H260" s="122" t="s">
        <v>135</v>
      </c>
      <c r="I260" s="125" t="s">
        <v>1773</v>
      </c>
      <c r="J260" s="129" t="s">
        <v>7250</v>
      </c>
      <c r="K260" s="122" t="s">
        <v>7251</v>
      </c>
      <c r="L260" s="122" t="s">
        <v>1558</v>
      </c>
      <c r="M260" s="133" t="s">
        <v>7241</v>
      </c>
      <c r="N260" s="122" t="s">
        <v>30</v>
      </c>
    </row>
    <row r="261" spans="2:14" s="9" customFormat="1" hidden="1" x14ac:dyDescent="0.25">
      <c r="B261" s="120">
        <v>258</v>
      </c>
      <c r="C261" s="122">
        <v>20100094135</v>
      </c>
      <c r="D261" s="125" t="s">
        <v>33</v>
      </c>
      <c r="E261" s="125" t="s">
        <v>1086</v>
      </c>
      <c r="F261" s="122" t="s">
        <v>30</v>
      </c>
      <c r="G261" s="122" t="s">
        <v>30</v>
      </c>
      <c r="H261" s="122" t="s">
        <v>135</v>
      </c>
      <c r="I261" s="125" t="s">
        <v>1773</v>
      </c>
      <c r="J261" s="129" t="s">
        <v>7248</v>
      </c>
      <c r="K261" s="122" t="s">
        <v>7249</v>
      </c>
      <c r="L261" s="122" t="s">
        <v>1558</v>
      </c>
      <c r="M261" s="133" t="s">
        <v>7241</v>
      </c>
      <c r="N261" s="122" t="s">
        <v>30</v>
      </c>
    </row>
    <row r="262" spans="2:14" s="9" customFormat="1" hidden="1" x14ac:dyDescent="0.25">
      <c r="B262" s="120">
        <v>259</v>
      </c>
      <c r="C262" s="122">
        <v>20100094135</v>
      </c>
      <c r="D262" s="125" t="s">
        <v>33</v>
      </c>
      <c r="E262" s="125" t="s">
        <v>1086</v>
      </c>
      <c r="F262" s="122" t="s">
        <v>30</v>
      </c>
      <c r="G262" s="122" t="s">
        <v>30</v>
      </c>
      <c r="H262" s="122" t="s">
        <v>135</v>
      </c>
      <c r="I262" s="125" t="s">
        <v>1773</v>
      </c>
      <c r="J262" s="129" t="s">
        <v>7246</v>
      </c>
      <c r="K262" s="122" t="s">
        <v>7247</v>
      </c>
      <c r="L262" s="122" t="s">
        <v>1558</v>
      </c>
      <c r="M262" s="133" t="s">
        <v>7241</v>
      </c>
      <c r="N262" s="122" t="s">
        <v>30</v>
      </c>
    </row>
    <row r="263" spans="2:14" s="9" customFormat="1" hidden="1" x14ac:dyDescent="0.25">
      <c r="B263" s="120">
        <v>260</v>
      </c>
      <c r="C263" s="122">
        <v>20100094135</v>
      </c>
      <c r="D263" s="125" t="s">
        <v>33</v>
      </c>
      <c r="E263" s="125" t="s">
        <v>1086</v>
      </c>
      <c r="F263" s="122" t="s">
        <v>30</v>
      </c>
      <c r="G263" s="122" t="s">
        <v>30</v>
      </c>
      <c r="H263" s="122" t="s">
        <v>135</v>
      </c>
      <c r="I263" s="125" t="s">
        <v>1773</v>
      </c>
      <c r="J263" s="129" t="s">
        <v>7244</v>
      </c>
      <c r="K263" s="122" t="s">
        <v>7245</v>
      </c>
      <c r="L263" s="122" t="s">
        <v>731</v>
      </c>
      <c r="M263" s="133" t="s">
        <v>7241</v>
      </c>
      <c r="N263" s="122" t="s">
        <v>30</v>
      </c>
    </row>
    <row r="264" spans="2:14" s="9" customFormat="1" hidden="1" x14ac:dyDescent="0.25">
      <c r="B264" s="120">
        <v>261</v>
      </c>
      <c r="C264" s="122">
        <v>20100094135</v>
      </c>
      <c r="D264" s="125" t="s">
        <v>33</v>
      </c>
      <c r="E264" s="125" t="s">
        <v>1086</v>
      </c>
      <c r="F264" s="122" t="s">
        <v>30</v>
      </c>
      <c r="G264" s="122" t="s">
        <v>30</v>
      </c>
      <c r="H264" s="122" t="s">
        <v>135</v>
      </c>
      <c r="I264" s="125" t="s">
        <v>1773</v>
      </c>
      <c r="J264" s="129" t="s">
        <v>7242</v>
      </c>
      <c r="K264" s="122" t="s">
        <v>7243</v>
      </c>
      <c r="L264" s="122" t="s">
        <v>1558</v>
      </c>
      <c r="M264" s="133" t="s">
        <v>7241</v>
      </c>
      <c r="N264" s="122" t="s">
        <v>30</v>
      </c>
    </row>
    <row r="265" spans="2:14" s="9" customFormat="1" hidden="1" x14ac:dyDescent="0.25">
      <c r="B265" s="120">
        <v>262</v>
      </c>
      <c r="C265" s="122">
        <v>20100094135</v>
      </c>
      <c r="D265" s="125" t="s">
        <v>33</v>
      </c>
      <c r="E265" s="125" t="s">
        <v>1086</v>
      </c>
      <c r="F265" s="122" t="s">
        <v>30</v>
      </c>
      <c r="G265" s="122" t="s">
        <v>30</v>
      </c>
      <c r="H265" s="122" t="s">
        <v>135</v>
      </c>
      <c r="I265" s="125" t="s">
        <v>1773</v>
      </c>
      <c r="J265" s="129" t="s">
        <v>7239</v>
      </c>
      <c r="K265" s="122" t="s">
        <v>7240</v>
      </c>
      <c r="L265" s="122" t="s">
        <v>1558</v>
      </c>
      <c r="M265" s="133" t="s">
        <v>7241</v>
      </c>
      <c r="N265" s="122" t="s">
        <v>30</v>
      </c>
    </row>
    <row r="266" spans="2:14" s="9" customFormat="1" hidden="1" x14ac:dyDescent="0.25">
      <c r="B266" s="120">
        <v>263</v>
      </c>
      <c r="C266" s="122">
        <v>20100083281</v>
      </c>
      <c r="D266" s="125" t="s">
        <v>245</v>
      </c>
      <c r="E266" s="125" t="s">
        <v>7231</v>
      </c>
      <c r="F266" s="122" t="s">
        <v>30</v>
      </c>
      <c r="G266" s="122" t="s">
        <v>30</v>
      </c>
      <c r="H266" s="122" t="s">
        <v>35</v>
      </c>
      <c r="I266" s="125" t="s">
        <v>2123</v>
      </c>
      <c r="J266" s="129" t="s">
        <v>7237</v>
      </c>
      <c r="K266" s="122" t="s">
        <v>7238</v>
      </c>
      <c r="L266" s="122" t="s">
        <v>1558</v>
      </c>
      <c r="M266" s="133" t="s">
        <v>7234</v>
      </c>
      <c r="N266" s="122" t="s">
        <v>30</v>
      </c>
    </row>
    <row r="267" spans="2:14" s="9" customFormat="1" hidden="1" x14ac:dyDescent="0.25">
      <c r="B267" s="120">
        <v>264</v>
      </c>
      <c r="C267" s="122">
        <v>20100083281</v>
      </c>
      <c r="D267" s="125" t="s">
        <v>245</v>
      </c>
      <c r="E267" s="125" t="s">
        <v>7231</v>
      </c>
      <c r="F267" s="122" t="s">
        <v>30</v>
      </c>
      <c r="G267" s="122" t="s">
        <v>30</v>
      </c>
      <c r="H267" s="122" t="s">
        <v>35</v>
      </c>
      <c r="I267" s="125" t="s">
        <v>2123</v>
      </c>
      <c r="J267" s="129" t="s">
        <v>7235</v>
      </c>
      <c r="K267" s="122" t="s">
        <v>7236</v>
      </c>
      <c r="L267" s="122" t="s">
        <v>731</v>
      </c>
      <c r="M267" s="133" t="s">
        <v>7234</v>
      </c>
      <c r="N267" s="122" t="s">
        <v>30</v>
      </c>
    </row>
    <row r="268" spans="2:14" s="9" customFormat="1" hidden="1" x14ac:dyDescent="0.25">
      <c r="B268" s="120">
        <v>265</v>
      </c>
      <c r="C268" s="122">
        <v>20100083281</v>
      </c>
      <c r="D268" s="125" t="s">
        <v>245</v>
      </c>
      <c r="E268" s="125" t="s">
        <v>7231</v>
      </c>
      <c r="F268" s="122" t="s">
        <v>30</v>
      </c>
      <c r="G268" s="122" t="s">
        <v>30</v>
      </c>
      <c r="H268" s="122" t="s">
        <v>35</v>
      </c>
      <c r="I268" s="125" t="s">
        <v>2123</v>
      </c>
      <c r="J268" s="129" t="s">
        <v>7232</v>
      </c>
      <c r="K268" s="122" t="s">
        <v>7233</v>
      </c>
      <c r="L268" s="122" t="s">
        <v>1558</v>
      </c>
      <c r="M268" s="133" t="s">
        <v>7234</v>
      </c>
      <c r="N268" s="122" t="s">
        <v>30</v>
      </c>
    </row>
    <row r="269" spans="2:14" s="9" customFormat="1" hidden="1" x14ac:dyDescent="0.25">
      <c r="B269" s="120">
        <v>266</v>
      </c>
      <c r="C269" s="122">
        <v>20100076072</v>
      </c>
      <c r="D269" s="125" t="s">
        <v>282</v>
      </c>
      <c r="E269" s="125" t="s">
        <v>7221</v>
      </c>
      <c r="F269" s="122" t="s">
        <v>30</v>
      </c>
      <c r="G269" s="122" t="s">
        <v>30</v>
      </c>
      <c r="H269" s="122" t="s">
        <v>38</v>
      </c>
      <c r="I269" s="125" t="s">
        <v>1985</v>
      </c>
      <c r="J269" s="129" t="s">
        <v>7229</v>
      </c>
      <c r="K269" s="122" t="s">
        <v>7230</v>
      </c>
      <c r="L269" s="122" t="s">
        <v>731</v>
      </c>
      <c r="M269" s="133" t="s">
        <v>7224</v>
      </c>
      <c r="N269" s="122" t="s">
        <v>30</v>
      </c>
    </row>
    <row r="270" spans="2:14" s="9" customFormat="1" hidden="1" x14ac:dyDescent="0.25">
      <c r="B270" s="120">
        <v>267</v>
      </c>
      <c r="C270" s="122">
        <v>20100076072</v>
      </c>
      <c r="D270" s="125" t="s">
        <v>282</v>
      </c>
      <c r="E270" s="125" t="s">
        <v>7221</v>
      </c>
      <c r="F270" s="122" t="s">
        <v>30</v>
      </c>
      <c r="G270" s="122" t="s">
        <v>30</v>
      </c>
      <c r="H270" s="122" t="s">
        <v>38</v>
      </c>
      <c r="I270" s="125" t="s">
        <v>1985</v>
      </c>
      <c r="J270" s="129" t="s">
        <v>7227</v>
      </c>
      <c r="K270" s="122" t="s">
        <v>7228</v>
      </c>
      <c r="L270" s="122" t="s">
        <v>209</v>
      </c>
      <c r="M270" s="133" t="s">
        <v>7224</v>
      </c>
      <c r="N270" s="122" t="s">
        <v>30</v>
      </c>
    </row>
    <row r="271" spans="2:14" s="9" customFormat="1" hidden="1" x14ac:dyDescent="0.25">
      <c r="B271" s="120">
        <v>268</v>
      </c>
      <c r="C271" s="122">
        <v>20100076072</v>
      </c>
      <c r="D271" s="125" t="s">
        <v>282</v>
      </c>
      <c r="E271" s="125" t="s">
        <v>7221</v>
      </c>
      <c r="F271" s="122" t="s">
        <v>30</v>
      </c>
      <c r="G271" s="122" t="s">
        <v>30</v>
      </c>
      <c r="H271" s="122" t="s">
        <v>38</v>
      </c>
      <c r="I271" s="125" t="s">
        <v>1985</v>
      </c>
      <c r="J271" s="129" t="s">
        <v>7225</v>
      </c>
      <c r="K271" s="122" t="s">
        <v>7226</v>
      </c>
      <c r="L271" s="122" t="s">
        <v>209</v>
      </c>
      <c r="M271" s="133" t="s">
        <v>7224</v>
      </c>
      <c r="N271" s="122" t="s">
        <v>30</v>
      </c>
    </row>
    <row r="272" spans="2:14" s="9" customFormat="1" hidden="1" x14ac:dyDescent="0.25">
      <c r="B272" s="120">
        <v>269</v>
      </c>
      <c r="C272" s="122">
        <v>20100076072</v>
      </c>
      <c r="D272" s="125" t="s">
        <v>282</v>
      </c>
      <c r="E272" s="125" t="s">
        <v>7221</v>
      </c>
      <c r="F272" s="122" t="s">
        <v>30</v>
      </c>
      <c r="G272" s="122" t="s">
        <v>30</v>
      </c>
      <c r="H272" s="122" t="s">
        <v>38</v>
      </c>
      <c r="I272" s="125" t="s">
        <v>1985</v>
      </c>
      <c r="J272" s="129" t="s">
        <v>7222</v>
      </c>
      <c r="K272" s="122" t="s">
        <v>7223</v>
      </c>
      <c r="L272" s="122" t="s">
        <v>209</v>
      </c>
      <c r="M272" s="133" t="s">
        <v>7224</v>
      </c>
      <c r="N272" s="122" t="s">
        <v>30</v>
      </c>
    </row>
    <row r="273" spans="2:14" s="9" customFormat="1" hidden="1" x14ac:dyDescent="0.25">
      <c r="B273" s="120">
        <v>270</v>
      </c>
      <c r="C273" s="122">
        <v>20100067596</v>
      </c>
      <c r="D273" s="125" t="s">
        <v>78</v>
      </c>
      <c r="E273" s="125" t="s">
        <v>7217</v>
      </c>
      <c r="F273" s="122" t="s">
        <v>30</v>
      </c>
      <c r="G273" s="122" t="s">
        <v>30</v>
      </c>
      <c r="H273" s="122" t="s">
        <v>51</v>
      </c>
      <c r="I273" s="125" t="s">
        <v>2940</v>
      </c>
      <c r="J273" s="129" t="s">
        <v>7219</v>
      </c>
      <c r="K273" s="122" t="s">
        <v>7220</v>
      </c>
      <c r="L273" s="122" t="s">
        <v>1558</v>
      </c>
      <c r="M273" s="133" t="s">
        <v>7218</v>
      </c>
      <c r="N273" s="122" t="s">
        <v>30</v>
      </c>
    </row>
    <row r="274" spans="2:14" s="9" customFormat="1" hidden="1" x14ac:dyDescent="0.25">
      <c r="B274" s="120">
        <v>271</v>
      </c>
      <c r="C274" s="122">
        <v>20100067596</v>
      </c>
      <c r="D274" s="125" t="s">
        <v>78</v>
      </c>
      <c r="E274" s="125" t="s">
        <v>7217</v>
      </c>
      <c r="F274" s="122" t="s">
        <v>30</v>
      </c>
      <c r="G274" s="122" t="s">
        <v>30</v>
      </c>
      <c r="H274" s="122" t="s">
        <v>51</v>
      </c>
      <c r="I274" s="125" t="s">
        <v>2940</v>
      </c>
      <c r="J274" s="129" t="s">
        <v>2591</v>
      </c>
      <c r="K274" s="122" t="s">
        <v>2592</v>
      </c>
      <c r="L274" s="122" t="s">
        <v>731</v>
      </c>
      <c r="M274" s="133" t="s">
        <v>7218</v>
      </c>
      <c r="N274" s="122" t="s">
        <v>30</v>
      </c>
    </row>
    <row r="275" spans="2:14" s="9" customFormat="1" hidden="1" x14ac:dyDescent="0.25">
      <c r="B275" s="120">
        <v>272</v>
      </c>
      <c r="C275" s="122">
        <v>20100063761</v>
      </c>
      <c r="D275" s="125" t="s">
        <v>3021</v>
      </c>
      <c r="E275" s="125" t="s">
        <v>7213</v>
      </c>
      <c r="F275" s="122" t="s">
        <v>30</v>
      </c>
      <c r="G275" s="122" t="s">
        <v>30</v>
      </c>
      <c r="H275" s="122" t="s">
        <v>51</v>
      </c>
      <c r="I275" s="125" t="s">
        <v>7214</v>
      </c>
      <c r="J275" s="129" t="s">
        <v>3022</v>
      </c>
      <c r="K275" s="122" t="s">
        <v>7215</v>
      </c>
      <c r="L275" s="122" t="s">
        <v>42</v>
      </c>
      <c r="M275" s="133" t="s">
        <v>7216</v>
      </c>
      <c r="N275" s="122" t="s">
        <v>30</v>
      </c>
    </row>
    <row r="276" spans="2:14" s="9" customFormat="1" hidden="1" x14ac:dyDescent="0.25">
      <c r="B276" s="120">
        <v>273</v>
      </c>
      <c r="C276" s="122">
        <v>20100055237</v>
      </c>
      <c r="D276" s="125" t="s">
        <v>7178</v>
      </c>
      <c r="E276" s="125" t="s">
        <v>7179</v>
      </c>
      <c r="F276" s="122" t="s">
        <v>67</v>
      </c>
      <c r="G276" s="122" t="s">
        <v>67</v>
      </c>
      <c r="H276" s="122" t="s">
        <v>81</v>
      </c>
      <c r="I276" s="125" t="s">
        <v>3750</v>
      </c>
      <c r="J276" s="129" t="s">
        <v>2391</v>
      </c>
      <c r="K276" s="122" t="s">
        <v>7212</v>
      </c>
      <c r="L276" s="122" t="s">
        <v>209</v>
      </c>
      <c r="M276" s="133" t="s">
        <v>7182</v>
      </c>
      <c r="N276" s="122" t="s">
        <v>67</v>
      </c>
    </row>
    <row r="277" spans="2:14" s="9" customFormat="1" hidden="1" x14ac:dyDescent="0.25">
      <c r="B277" s="120">
        <v>274</v>
      </c>
      <c r="C277" s="122">
        <v>20100055237</v>
      </c>
      <c r="D277" s="125" t="s">
        <v>7178</v>
      </c>
      <c r="E277" s="125" t="s">
        <v>7179</v>
      </c>
      <c r="F277" s="122" t="s">
        <v>67</v>
      </c>
      <c r="G277" s="122" t="s">
        <v>67</v>
      </c>
      <c r="H277" s="122" t="s">
        <v>81</v>
      </c>
      <c r="I277" s="125" t="s">
        <v>3750</v>
      </c>
      <c r="J277" s="129" t="s">
        <v>2387</v>
      </c>
      <c r="K277" s="122" t="s">
        <v>7211</v>
      </c>
      <c r="L277" s="122" t="s">
        <v>209</v>
      </c>
      <c r="M277" s="133" t="s">
        <v>7182</v>
      </c>
      <c r="N277" s="122" t="s">
        <v>67</v>
      </c>
    </row>
    <row r="278" spans="2:14" s="9" customFormat="1" hidden="1" x14ac:dyDescent="0.25">
      <c r="B278" s="120">
        <v>275</v>
      </c>
      <c r="C278" s="122">
        <v>20100055237</v>
      </c>
      <c r="D278" s="125" t="s">
        <v>7178</v>
      </c>
      <c r="E278" s="125" t="s">
        <v>7179</v>
      </c>
      <c r="F278" s="122" t="s">
        <v>67</v>
      </c>
      <c r="G278" s="122" t="s">
        <v>67</v>
      </c>
      <c r="H278" s="122" t="s">
        <v>81</v>
      </c>
      <c r="I278" s="125" t="s">
        <v>3750</v>
      </c>
      <c r="J278" s="129" t="s">
        <v>2385</v>
      </c>
      <c r="K278" s="122" t="s">
        <v>7210</v>
      </c>
      <c r="L278" s="122" t="s">
        <v>209</v>
      </c>
      <c r="M278" s="133" t="s">
        <v>7182</v>
      </c>
      <c r="N278" s="122" t="s">
        <v>67</v>
      </c>
    </row>
    <row r="279" spans="2:14" s="9" customFormat="1" hidden="1" x14ac:dyDescent="0.25">
      <c r="B279" s="120">
        <v>276</v>
      </c>
      <c r="C279" s="122">
        <v>20100055237</v>
      </c>
      <c r="D279" s="125" t="s">
        <v>7178</v>
      </c>
      <c r="E279" s="125" t="s">
        <v>7179</v>
      </c>
      <c r="F279" s="122" t="s">
        <v>67</v>
      </c>
      <c r="G279" s="122" t="s">
        <v>67</v>
      </c>
      <c r="H279" s="122" t="s">
        <v>81</v>
      </c>
      <c r="I279" s="125" t="s">
        <v>3750</v>
      </c>
      <c r="J279" s="129" t="s">
        <v>2383</v>
      </c>
      <c r="K279" s="122" t="s">
        <v>7209</v>
      </c>
      <c r="L279" s="122" t="s">
        <v>209</v>
      </c>
      <c r="M279" s="133" t="s">
        <v>7182</v>
      </c>
      <c r="N279" s="122" t="s">
        <v>67</v>
      </c>
    </row>
    <row r="280" spans="2:14" s="9" customFormat="1" hidden="1" x14ac:dyDescent="0.25">
      <c r="B280" s="120">
        <v>277</v>
      </c>
      <c r="C280" s="122">
        <v>20100055237</v>
      </c>
      <c r="D280" s="125" t="s">
        <v>7178</v>
      </c>
      <c r="E280" s="125" t="s">
        <v>7179</v>
      </c>
      <c r="F280" s="122" t="s">
        <v>67</v>
      </c>
      <c r="G280" s="122" t="s">
        <v>67</v>
      </c>
      <c r="H280" s="122" t="s">
        <v>81</v>
      </c>
      <c r="I280" s="125" t="s">
        <v>3750</v>
      </c>
      <c r="J280" s="129" t="s">
        <v>7207</v>
      </c>
      <c r="K280" s="122" t="s">
        <v>7208</v>
      </c>
      <c r="L280" s="122" t="s">
        <v>209</v>
      </c>
      <c r="M280" s="133" t="s">
        <v>7182</v>
      </c>
      <c r="N280" s="122" t="s">
        <v>67</v>
      </c>
    </row>
    <row r="281" spans="2:14" s="9" customFormat="1" hidden="1" x14ac:dyDescent="0.25">
      <c r="B281" s="120">
        <v>278</v>
      </c>
      <c r="C281" s="122">
        <v>20100055237</v>
      </c>
      <c r="D281" s="125" t="s">
        <v>7178</v>
      </c>
      <c r="E281" s="125" t="s">
        <v>7179</v>
      </c>
      <c r="F281" s="122" t="s">
        <v>67</v>
      </c>
      <c r="G281" s="122" t="s">
        <v>67</v>
      </c>
      <c r="H281" s="122" t="s">
        <v>81</v>
      </c>
      <c r="I281" s="125" t="s">
        <v>3750</v>
      </c>
      <c r="J281" s="129" t="s">
        <v>2381</v>
      </c>
      <c r="K281" s="122" t="s">
        <v>2382</v>
      </c>
      <c r="L281" s="122" t="s">
        <v>209</v>
      </c>
      <c r="M281" s="133" t="s">
        <v>7182</v>
      </c>
      <c r="N281" s="122" t="s">
        <v>67</v>
      </c>
    </row>
    <row r="282" spans="2:14" s="9" customFormat="1" hidden="1" x14ac:dyDescent="0.25">
      <c r="B282" s="120">
        <v>279</v>
      </c>
      <c r="C282" s="122">
        <v>20100055237</v>
      </c>
      <c r="D282" s="125" t="s">
        <v>7178</v>
      </c>
      <c r="E282" s="125" t="s">
        <v>7179</v>
      </c>
      <c r="F282" s="122" t="s">
        <v>67</v>
      </c>
      <c r="G282" s="122" t="s">
        <v>67</v>
      </c>
      <c r="H282" s="122" t="s">
        <v>81</v>
      </c>
      <c r="I282" s="125" t="s">
        <v>3750</v>
      </c>
      <c r="J282" s="129" t="s">
        <v>7205</v>
      </c>
      <c r="K282" s="122" t="s">
        <v>7206</v>
      </c>
      <c r="L282" s="122" t="s">
        <v>209</v>
      </c>
      <c r="M282" s="133" t="s">
        <v>7182</v>
      </c>
      <c r="N282" s="122" t="s">
        <v>67</v>
      </c>
    </row>
    <row r="283" spans="2:14" s="9" customFormat="1" hidden="1" x14ac:dyDescent="0.25">
      <c r="B283" s="120">
        <v>280</v>
      </c>
      <c r="C283" s="122">
        <v>20100055237</v>
      </c>
      <c r="D283" s="125" t="s">
        <v>7178</v>
      </c>
      <c r="E283" s="125" t="s">
        <v>7179</v>
      </c>
      <c r="F283" s="122" t="s">
        <v>67</v>
      </c>
      <c r="G283" s="122" t="s">
        <v>67</v>
      </c>
      <c r="H283" s="122" t="s">
        <v>81</v>
      </c>
      <c r="I283" s="125" t="s">
        <v>3750</v>
      </c>
      <c r="J283" s="129" t="s">
        <v>7203</v>
      </c>
      <c r="K283" s="122" t="s">
        <v>7204</v>
      </c>
      <c r="L283" s="122" t="s">
        <v>209</v>
      </c>
      <c r="M283" s="133" t="s">
        <v>7182</v>
      </c>
      <c r="N283" s="122" t="s">
        <v>67</v>
      </c>
    </row>
    <row r="284" spans="2:14" s="9" customFormat="1" hidden="1" x14ac:dyDescent="0.25">
      <c r="B284" s="120">
        <v>281</v>
      </c>
      <c r="C284" s="122">
        <v>20100055237</v>
      </c>
      <c r="D284" s="125" t="s">
        <v>7178</v>
      </c>
      <c r="E284" s="125" t="s">
        <v>7179</v>
      </c>
      <c r="F284" s="122" t="s">
        <v>67</v>
      </c>
      <c r="G284" s="122" t="s">
        <v>67</v>
      </c>
      <c r="H284" s="122" t="s">
        <v>81</v>
      </c>
      <c r="I284" s="125" t="s">
        <v>3750</v>
      </c>
      <c r="J284" s="129" t="s">
        <v>7201</v>
      </c>
      <c r="K284" s="122" t="s">
        <v>7202</v>
      </c>
      <c r="L284" s="122" t="s">
        <v>209</v>
      </c>
      <c r="M284" s="133" t="s">
        <v>7182</v>
      </c>
      <c r="N284" s="122" t="s">
        <v>67</v>
      </c>
    </row>
    <row r="285" spans="2:14" s="9" customFormat="1" hidden="1" x14ac:dyDescent="0.25">
      <c r="B285" s="120">
        <v>282</v>
      </c>
      <c r="C285" s="122">
        <v>20100055237</v>
      </c>
      <c r="D285" s="125" t="s">
        <v>7178</v>
      </c>
      <c r="E285" s="125" t="s">
        <v>7179</v>
      </c>
      <c r="F285" s="122" t="s">
        <v>67</v>
      </c>
      <c r="G285" s="122" t="s">
        <v>67</v>
      </c>
      <c r="H285" s="122" t="s">
        <v>81</v>
      </c>
      <c r="I285" s="125" t="s">
        <v>3750</v>
      </c>
      <c r="J285" s="129" t="s">
        <v>2373</v>
      </c>
      <c r="K285" s="122" t="s">
        <v>2374</v>
      </c>
      <c r="L285" s="122" t="s">
        <v>209</v>
      </c>
      <c r="M285" s="133" t="s">
        <v>7182</v>
      </c>
      <c r="N285" s="122" t="s">
        <v>67</v>
      </c>
    </row>
    <row r="286" spans="2:14" s="9" customFormat="1" hidden="1" x14ac:dyDescent="0.25">
      <c r="B286" s="120">
        <v>283</v>
      </c>
      <c r="C286" s="122">
        <v>20100055237</v>
      </c>
      <c r="D286" s="125" t="s">
        <v>7178</v>
      </c>
      <c r="E286" s="125" t="s">
        <v>7179</v>
      </c>
      <c r="F286" s="122" t="s">
        <v>67</v>
      </c>
      <c r="G286" s="122" t="s">
        <v>67</v>
      </c>
      <c r="H286" s="122" t="s">
        <v>81</v>
      </c>
      <c r="I286" s="125" t="s">
        <v>3750</v>
      </c>
      <c r="J286" s="129" t="s">
        <v>2371</v>
      </c>
      <c r="K286" s="122" t="s">
        <v>2372</v>
      </c>
      <c r="L286" s="122" t="s">
        <v>209</v>
      </c>
      <c r="M286" s="133" t="s">
        <v>7182</v>
      </c>
      <c r="N286" s="122" t="s">
        <v>67</v>
      </c>
    </row>
    <row r="287" spans="2:14" s="9" customFormat="1" hidden="1" x14ac:dyDescent="0.25">
      <c r="B287" s="120">
        <v>284</v>
      </c>
      <c r="C287" s="122">
        <v>20100055237</v>
      </c>
      <c r="D287" s="125" t="s">
        <v>7178</v>
      </c>
      <c r="E287" s="125" t="s">
        <v>7179</v>
      </c>
      <c r="F287" s="122" t="s">
        <v>67</v>
      </c>
      <c r="G287" s="122" t="s">
        <v>67</v>
      </c>
      <c r="H287" s="122" t="s">
        <v>81</v>
      </c>
      <c r="I287" s="125" t="s">
        <v>3750</v>
      </c>
      <c r="J287" s="129" t="s">
        <v>7199</v>
      </c>
      <c r="K287" s="122" t="s">
        <v>7200</v>
      </c>
      <c r="L287" s="122" t="s">
        <v>209</v>
      </c>
      <c r="M287" s="133" t="s">
        <v>7182</v>
      </c>
      <c r="N287" s="122" t="s">
        <v>67</v>
      </c>
    </row>
    <row r="288" spans="2:14" s="9" customFormat="1" hidden="1" x14ac:dyDescent="0.25">
      <c r="B288" s="120">
        <v>285</v>
      </c>
      <c r="C288" s="122">
        <v>20100055237</v>
      </c>
      <c r="D288" s="125" t="s">
        <v>7178</v>
      </c>
      <c r="E288" s="125" t="s">
        <v>7179</v>
      </c>
      <c r="F288" s="122" t="s">
        <v>67</v>
      </c>
      <c r="G288" s="122" t="s">
        <v>67</v>
      </c>
      <c r="H288" s="122" t="s">
        <v>81</v>
      </c>
      <c r="I288" s="125" t="s">
        <v>3750</v>
      </c>
      <c r="J288" s="129" t="s">
        <v>7197</v>
      </c>
      <c r="K288" s="122" t="s">
        <v>7198</v>
      </c>
      <c r="L288" s="122" t="s">
        <v>209</v>
      </c>
      <c r="M288" s="133" t="s">
        <v>7182</v>
      </c>
      <c r="N288" s="122" t="s">
        <v>67</v>
      </c>
    </row>
    <row r="289" spans="2:14" s="9" customFormat="1" hidden="1" x14ac:dyDescent="0.25">
      <c r="B289" s="120">
        <v>286</v>
      </c>
      <c r="C289" s="122">
        <v>20100055237</v>
      </c>
      <c r="D289" s="125" t="s">
        <v>7178</v>
      </c>
      <c r="E289" s="125" t="s">
        <v>7179</v>
      </c>
      <c r="F289" s="122" t="s">
        <v>67</v>
      </c>
      <c r="G289" s="122" t="s">
        <v>67</v>
      </c>
      <c r="H289" s="122" t="s">
        <v>81</v>
      </c>
      <c r="I289" s="125" t="s">
        <v>3750</v>
      </c>
      <c r="J289" s="129" t="s">
        <v>2369</v>
      </c>
      <c r="K289" s="122" t="s">
        <v>2370</v>
      </c>
      <c r="L289" s="122" t="s">
        <v>209</v>
      </c>
      <c r="M289" s="133" t="s">
        <v>7182</v>
      </c>
      <c r="N289" s="122" t="s">
        <v>67</v>
      </c>
    </row>
    <row r="290" spans="2:14" s="9" customFormat="1" hidden="1" x14ac:dyDescent="0.25">
      <c r="B290" s="120">
        <v>287</v>
      </c>
      <c r="C290" s="122">
        <v>20100055237</v>
      </c>
      <c r="D290" s="125" t="s">
        <v>7178</v>
      </c>
      <c r="E290" s="125" t="s">
        <v>7179</v>
      </c>
      <c r="F290" s="122" t="s">
        <v>67</v>
      </c>
      <c r="G290" s="122" t="s">
        <v>67</v>
      </c>
      <c r="H290" s="122" t="s">
        <v>81</v>
      </c>
      <c r="I290" s="125" t="s">
        <v>3750</v>
      </c>
      <c r="J290" s="129" t="s">
        <v>7195</v>
      </c>
      <c r="K290" s="122" t="s">
        <v>7196</v>
      </c>
      <c r="L290" s="122" t="s">
        <v>209</v>
      </c>
      <c r="M290" s="133" t="s">
        <v>7182</v>
      </c>
      <c r="N290" s="122" t="s">
        <v>67</v>
      </c>
    </row>
    <row r="291" spans="2:14" s="9" customFormat="1" hidden="1" x14ac:dyDescent="0.25">
      <c r="B291" s="120">
        <v>288</v>
      </c>
      <c r="C291" s="122">
        <v>20100055237</v>
      </c>
      <c r="D291" s="125" t="s">
        <v>7178</v>
      </c>
      <c r="E291" s="125" t="s">
        <v>7179</v>
      </c>
      <c r="F291" s="122" t="s">
        <v>67</v>
      </c>
      <c r="G291" s="122" t="s">
        <v>67</v>
      </c>
      <c r="H291" s="122" t="s">
        <v>81</v>
      </c>
      <c r="I291" s="125" t="s">
        <v>3750</v>
      </c>
      <c r="J291" s="129" t="s">
        <v>2367</v>
      </c>
      <c r="K291" s="122" t="s">
        <v>2368</v>
      </c>
      <c r="L291" s="122" t="s">
        <v>42</v>
      </c>
      <c r="M291" s="133" t="s">
        <v>7182</v>
      </c>
      <c r="N291" s="122" t="s">
        <v>67</v>
      </c>
    </row>
    <row r="292" spans="2:14" s="9" customFormat="1" hidden="1" x14ac:dyDescent="0.25">
      <c r="B292" s="120">
        <v>289</v>
      </c>
      <c r="C292" s="122">
        <v>20100055237</v>
      </c>
      <c r="D292" s="125" t="s">
        <v>7178</v>
      </c>
      <c r="E292" s="125" t="s">
        <v>7179</v>
      </c>
      <c r="F292" s="122" t="s">
        <v>67</v>
      </c>
      <c r="G292" s="122" t="s">
        <v>67</v>
      </c>
      <c r="H292" s="122" t="s">
        <v>81</v>
      </c>
      <c r="I292" s="125" t="s">
        <v>3750</v>
      </c>
      <c r="J292" s="129" t="s">
        <v>7193</v>
      </c>
      <c r="K292" s="122" t="s">
        <v>7194</v>
      </c>
      <c r="L292" s="122" t="s">
        <v>209</v>
      </c>
      <c r="M292" s="133" t="s">
        <v>7182</v>
      </c>
      <c r="N292" s="122" t="s">
        <v>67</v>
      </c>
    </row>
    <row r="293" spans="2:14" s="9" customFormat="1" hidden="1" x14ac:dyDescent="0.25">
      <c r="B293" s="120">
        <v>290</v>
      </c>
      <c r="C293" s="122">
        <v>20100055237</v>
      </c>
      <c r="D293" s="125" t="s">
        <v>7178</v>
      </c>
      <c r="E293" s="125" t="s">
        <v>7179</v>
      </c>
      <c r="F293" s="122" t="s">
        <v>67</v>
      </c>
      <c r="G293" s="122" t="s">
        <v>67</v>
      </c>
      <c r="H293" s="122" t="s">
        <v>81</v>
      </c>
      <c r="I293" s="125" t="s">
        <v>3750</v>
      </c>
      <c r="J293" s="129" t="s">
        <v>2365</v>
      </c>
      <c r="K293" s="122" t="s">
        <v>5973</v>
      </c>
      <c r="L293" s="122" t="s">
        <v>209</v>
      </c>
      <c r="M293" s="133" t="s">
        <v>7182</v>
      </c>
      <c r="N293" s="122" t="s">
        <v>67</v>
      </c>
    </row>
    <row r="294" spans="2:14" s="9" customFormat="1" hidden="1" x14ac:dyDescent="0.25">
      <c r="B294" s="120">
        <v>291</v>
      </c>
      <c r="C294" s="122">
        <v>20100055237</v>
      </c>
      <c r="D294" s="125" t="s">
        <v>7178</v>
      </c>
      <c r="E294" s="125" t="s">
        <v>7179</v>
      </c>
      <c r="F294" s="122" t="s">
        <v>67</v>
      </c>
      <c r="G294" s="122" t="s">
        <v>67</v>
      </c>
      <c r="H294" s="122" t="s">
        <v>81</v>
      </c>
      <c r="I294" s="125" t="s">
        <v>3750</v>
      </c>
      <c r="J294" s="129" t="s">
        <v>2363</v>
      </c>
      <c r="K294" s="122" t="s">
        <v>2364</v>
      </c>
      <c r="L294" s="122" t="s">
        <v>209</v>
      </c>
      <c r="M294" s="133" t="s">
        <v>7182</v>
      </c>
      <c r="N294" s="122" t="s">
        <v>67</v>
      </c>
    </row>
    <row r="295" spans="2:14" s="9" customFormat="1" hidden="1" x14ac:dyDescent="0.25">
      <c r="B295" s="120">
        <v>292</v>
      </c>
      <c r="C295" s="122">
        <v>20100055237</v>
      </c>
      <c r="D295" s="125" t="s">
        <v>7178</v>
      </c>
      <c r="E295" s="125" t="s">
        <v>7179</v>
      </c>
      <c r="F295" s="122" t="s">
        <v>67</v>
      </c>
      <c r="G295" s="122" t="s">
        <v>67</v>
      </c>
      <c r="H295" s="122" t="s">
        <v>81</v>
      </c>
      <c r="I295" s="125" t="s">
        <v>3750</v>
      </c>
      <c r="J295" s="129" t="s">
        <v>2359</v>
      </c>
      <c r="K295" s="122" t="s">
        <v>2360</v>
      </c>
      <c r="L295" s="122" t="s">
        <v>209</v>
      </c>
      <c r="M295" s="133" t="s">
        <v>7182</v>
      </c>
      <c r="N295" s="122" t="s">
        <v>67</v>
      </c>
    </row>
    <row r="296" spans="2:14" s="9" customFormat="1" hidden="1" x14ac:dyDescent="0.25">
      <c r="B296" s="120">
        <v>293</v>
      </c>
      <c r="C296" s="122">
        <v>20100055237</v>
      </c>
      <c r="D296" s="125" t="s">
        <v>7178</v>
      </c>
      <c r="E296" s="125" t="s">
        <v>7179</v>
      </c>
      <c r="F296" s="122" t="s">
        <v>67</v>
      </c>
      <c r="G296" s="122" t="s">
        <v>67</v>
      </c>
      <c r="H296" s="122" t="s">
        <v>81</v>
      </c>
      <c r="I296" s="125" t="s">
        <v>3750</v>
      </c>
      <c r="J296" s="129" t="s">
        <v>7191</v>
      </c>
      <c r="K296" s="122" t="s">
        <v>7192</v>
      </c>
      <c r="L296" s="122" t="s">
        <v>209</v>
      </c>
      <c r="M296" s="133" t="s">
        <v>7182</v>
      </c>
      <c r="N296" s="122" t="s">
        <v>67</v>
      </c>
    </row>
    <row r="297" spans="2:14" s="9" customFormat="1" hidden="1" x14ac:dyDescent="0.25">
      <c r="B297" s="120">
        <v>294</v>
      </c>
      <c r="C297" s="122">
        <v>20100055237</v>
      </c>
      <c r="D297" s="125" t="s">
        <v>7178</v>
      </c>
      <c r="E297" s="125" t="s">
        <v>7179</v>
      </c>
      <c r="F297" s="122" t="s">
        <v>67</v>
      </c>
      <c r="G297" s="122" t="s">
        <v>67</v>
      </c>
      <c r="H297" s="122" t="s">
        <v>81</v>
      </c>
      <c r="I297" s="125" t="s">
        <v>3750</v>
      </c>
      <c r="J297" s="129" t="s">
        <v>2354</v>
      </c>
      <c r="K297" s="122" t="s">
        <v>5974</v>
      </c>
      <c r="L297" s="122" t="s">
        <v>1712</v>
      </c>
      <c r="M297" s="133" t="s">
        <v>7182</v>
      </c>
      <c r="N297" s="122" t="s">
        <v>67</v>
      </c>
    </row>
    <row r="298" spans="2:14" s="9" customFormat="1" hidden="1" x14ac:dyDescent="0.25">
      <c r="B298" s="120">
        <v>295</v>
      </c>
      <c r="C298" s="122">
        <v>20100055237</v>
      </c>
      <c r="D298" s="125" t="s">
        <v>7178</v>
      </c>
      <c r="E298" s="125" t="s">
        <v>7179</v>
      </c>
      <c r="F298" s="122" t="s">
        <v>67</v>
      </c>
      <c r="G298" s="122" t="s">
        <v>67</v>
      </c>
      <c r="H298" s="122" t="s">
        <v>81</v>
      </c>
      <c r="I298" s="125" t="s">
        <v>3750</v>
      </c>
      <c r="J298" s="129" t="s">
        <v>7189</v>
      </c>
      <c r="K298" s="122" t="s">
        <v>7190</v>
      </c>
      <c r="L298" s="122" t="s">
        <v>1558</v>
      </c>
      <c r="M298" s="133" t="s">
        <v>7182</v>
      </c>
      <c r="N298" s="122" t="s">
        <v>67</v>
      </c>
    </row>
    <row r="299" spans="2:14" s="9" customFormat="1" hidden="1" x14ac:dyDescent="0.25">
      <c r="B299" s="120">
        <v>296</v>
      </c>
      <c r="C299" s="122">
        <v>20100055237</v>
      </c>
      <c r="D299" s="125" t="s">
        <v>7178</v>
      </c>
      <c r="E299" s="125" t="s">
        <v>7179</v>
      </c>
      <c r="F299" s="122" t="s">
        <v>67</v>
      </c>
      <c r="G299" s="122" t="s">
        <v>67</v>
      </c>
      <c r="H299" s="122" t="s">
        <v>81</v>
      </c>
      <c r="I299" s="125" t="s">
        <v>3750</v>
      </c>
      <c r="J299" s="129" t="s">
        <v>7187</v>
      </c>
      <c r="K299" s="122" t="s">
        <v>7188</v>
      </c>
      <c r="L299" s="122" t="s">
        <v>1558</v>
      </c>
      <c r="M299" s="133" t="s">
        <v>7182</v>
      </c>
      <c r="N299" s="122" t="s">
        <v>67</v>
      </c>
    </row>
    <row r="300" spans="2:14" s="9" customFormat="1" hidden="1" x14ac:dyDescent="0.25">
      <c r="B300" s="120">
        <v>297</v>
      </c>
      <c r="C300" s="122">
        <v>20100055237</v>
      </c>
      <c r="D300" s="125" t="s">
        <v>7178</v>
      </c>
      <c r="E300" s="125" t="s">
        <v>7179</v>
      </c>
      <c r="F300" s="122" t="s">
        <v>67</v>
      </c>
      <c r="G300" s="122" t="s">
        <v>67</v>
      </c>
      <c r="H300" s="122" t="s">
        <v>81</v>
      </c>
      <c r="I300" s="125" t="s">
        <v>3750</v>
      </c>
      <c r="J300" s="129" t="s">
        <v>7185</v>
      </c>
      <c r="K300" s="122" t="s">
        <v>7186</v>
      </c>
      <c r="L300" s="122" t="s">
        <v>1558</v>
      </c>
      <c r="M300" s="133" t="s">
        <v>7182</v>
      </c>
      <c r="N300" s="122" t="s">
        <v>67</v>
      </c>
    </row>
    <row r="301" spans="2:14" s="9" customFormat="1" hidden="1" x14ac:dyDescent="0.25">
      <c r="B301" s="120">
        <v>298</v>
      </c>
      <c r="C301" s="122">
        <v>20100055237</v>
      </c>
      <c r="D301" s="125" t="s">
        <v>7178</v>
      </c>
      <c r="E301" s="125" t="s">
        <v>7179</v>
      </c>
      <c r="F301" s="122" t="s">
        <v>67</v>
      </c>
      <c r="G301" s="122" t="s">
        <v>67</v>
      </c>
      <c r="H301" s="122" t="s">
        <v>81</v>
      </c>
      <c r="I301" s="125" t="s">
        <v>3750</v>
      </c>
      <c r="J301" s="129" t="s">
        <v>7183</v>
      </c>
      <c r="K301" s="122" t="s">
        <v>7184</v>
      </c>
      <c r="L301" s="122" t="s">
        <v>1558</v>
      </c>
      <c r="M301" s="133" t="s">
        <v>7182</v>
      </c>
      <c r="N301" s="122" t="s">
        <v>67</v>
      </c>
    </row>
    <row r="302" spans="2:14" s="9" customFormat="1" hidden="1" x14ac:dyDescent="0.25">
      <c r="B302" s="120">
        <v>299</v>
      </c>
      <c r="C302" s="122">
        <v>20100055237</v>
      </c>
      <c r="D302" s="125" t="s">
        <v>7178</v>
      </c>
      <c r="E302" s="125" t="s">
        <v>7179</v>
      </c>
      <c r="F302" s="122" t="s">
        <v>67</v>
      </c>
      <c r="G302" s="122" t="s">
        <v>67</v>
      </c>
      <c r="H302" s="122" t="s">
        <v>81</v>
      </c>
      <c r="I302" s="125" t="s">
        <v>3750</v>
      </c>
      <c r="J302" s="129" t="s">
        <v>7180</v>
      </c>
      <c r="K302" s="122" t="s">
        <v>7181</v>
      </c>
      <c r="L302" s="122" t="s">
        <v>1558</v>
      </c>
      <c r="M302" s="133" t="s">
        <v>7182</v>
      </c>
      <c r="N302" s="122" t="s">
        <v>67</v>
      </c>
    </row>
    <row r="303" spans="2:14" s="9" customFormat="1" hidden="1" x14ac:dyDescent="0.25">
      <c r="B303" s="120">
        <v>300</v>
      </c>
      <c r="C303" s="122">
        <v>20100047641</v>
      </c>
      <c r="D303" s="125" t="s">
        <v>279</v>
      </c>
      <c r="E303" s="125" t="s">
        <v>7166</v>
      </c>
      <c r="F303" s="122" t="s">
        <v>30</v>
      </c>
      <c r="G303" s="122" t="s">
        <v>30</v>
      </c>
      <c r="H303" s="122" t="s">
        <v>30</v>
      </c>
      <c r="I303" s="125" t="s">
        <v>1966</v>
      </c>
      <c r="J303" s="129" t="s">
        <v>7176</v>
      </c>
      <c r="K303" s="122" t="s">
        <v>7177</v>
      </c>
      <c r="L303" s="122" t="s">
        <v>1558</v>
      </c>
      <c r="M303" s="133" t="s">
        <v>7168</v>
      </c>
      <c r="N303" s="122" t="s">
        <v>30</v>
      </c>
    </row>
    <row r="304" spans="2:14" s="9" customFormat="1" hidden="1" x14ac:dyDescent="0.25">
      <c r="B304" s="120">
        <v>301</v>
      </c>
      <c r="C304" s="122">
        <v>20100047641</v>
      </c>
      <c r="D304" s="125" t="s">
        <v>279</v>
      </c>
      <c r="E304" s="125" t="s">
        <v>7166</v>
      </c>
      <c r="F304" s="122" t="s">
        <v>30</v>
      </c>
      <c r="G304" s="122" t="s">
        <v>30</v>
      </c>
      <c r="H304" s="122" t="s">
        <v>30</v>
      </c>
      <c r="I304" s="125" t="s">
        <v>1966</v>
      </c>
      <c r="J304" s="129" t="s">
        <v>7174</v>
      </c>
      <c r="K304" s="122" t="s">
        <v>7175</v>
      </c>
      <c r="L304" s="122" t="s">
        <v>1558</v>
      </c>
      <c r="M304" s="133" t="s">
        <v>7168</v>
      </c>
      <c r="N304" s="122" t="s">
        <v>30</v>
      </c>
    </row>
    <row r="305" spans="2:14" s="9" customFormat="1" hidden="1" x14ac:dyDescent="0.25">
      <c r="B305" s="120">
        <v>302</v>
      </c>
      <c r="C305" s="122">
        <v>20100047641</v>
      </c>
      <c r="D305" s="125" t="s">
        <v>279</v>
      </c>
      <c r="E305" s="125" t="s">
        <v>7166</v>
      </c>
      <c r="F305" s="122" t="s">
        <v>30</v>
      </c>
      <c r="G305" s="122" t="s">
        <v>30</v>
      </c>
      <c r="H305" s="122" t="s">
        <v>30</v>
      </c>
      <c r="I305" s="125" t="s">
        <v>1966</v>
      </c>
      <c r="J305" s="129" t="s">
        <v>7172</v>
      </c>
      <c r="K305" s="122" t="s">
        <v>7173</v>
      </c>
      <c r="L305" s="122" t="s">
        <v>1558</v>
      </c>
      <c r="M305" s="133" t="s">
        <v>7168</v>
      </c>
      <c r="N305" s="122" t="s">
        <v>30</v>
      </c>
    </row>
    <row r="306" spans="2:14" s="9" customFormat="1" hidden="1" x14ac:dyDescent="0.25">
      <c r="B306" s="120">
        <v>303</v>
      </c>
      <c r="C306" s="122">
        <v>20100047641</v>
      </c>
      <c r="D306" s="125" t="s">
        <v>279</v>
      </c>
      <c r="E306" s="125" t="s">
        <v>7166</v>
      </c>
      <c r="F306" s="122" t="s">
        <v>30</v>
      </c>
      <c r="G306" s="122" t="s">
        <v>30</v>
      </c>
      <c r="H306" s="122" t="s">
        <v>30</v>
      </c>
      <c r="I306" s="125" t="s">
        <v>1966</v>
      </c>
      <c r="J306" s="129" t="s">
        <v>4007</v>
      </c>
      <c r="K306" s="122" t="s">
        <v>4008</v>
      </c>
      <c r="L306" s="122" t="s">
        <v>1558</v>
      </c>
      <c r="M306" s="133" t="s">
        <v>7168</v>
      </c>
      <c r="N306" s="122" t="s">
        <v>30</v>
      </c>
    </row>
    <row r="307" spans="2:14" s="9" customFormat="1" hidden="1" x14ac:dyDescent="0.25">
      <c r="B307" s="120">
        <v>304</v>
      </c>
      <c r="C307" s="122">
        <v>20100047641</v>
      </c>
      <c r="D307" s="125" t="s">
        <v>279</v>
      </c>
      <c r="E307" s="125" t="s">
        <v>7166</v>
      </c>
      <c r="F307" s="122" t="s">
        <v>30</v>
      </c>
      <c r="G307" s="122" t="s">
        <v>30</v>
      </c>
      <c r="H307" s="122" t="s">
        <v>30</v>
      </c>
      <c r="I307" s="125" t="s">
        <v>1966</v>
      </c>
      <c r="J307" s="129" t="s">
        <v>4004</v>
      </c>
      <c r="K307" s="122" t="s">
        <v>4005</v>
      </c>
      <c r="L307" s="122" t="s">
        <v>1558</v>
      </c>
      <c r="M307" s="133" t="s">
        <v>7168</v>
      </c>
      <c r="N307" s="122" t="s">
        <v>30</v>
      </c>
    </row>
    <row r="308" spans="2:14" s="9" customFormat="1" hidden="1" x14ac:dyDescent="0.25">
      <c r="B308" s="120">
        <v>305</v>
      </c>
      <c r="C308" s="122">
        <v>20100047641</v>
      </c>
      <c r="D308" s="125" t="s">
        <v>279</v>
      </c>
      <c r="E308" s="125" t="s">
        <v>7166</v>
      </c>
      <c r="F308" s="122" t="s">
        <v>30</v>
      </c>
      <c r="G308" s="122" t="s">
        <v>30</v>
      </c>
      <c r="H308" s="122" t="s">
        <v>30</v>
      </c>
      <c r="I308" s="125" t="s">
        <v>1966</v>
      </c>
      <c r="J308" s="129" t="s">
        <v>7170</v>
      </c>
      <c r="K308" s="122" t="s">
        <v>7171</v>
      </c>
      <c r="L308" s="122" t="s">
        <v>2030</v>
      </c>
      <c r="M308" s="133" t="s">
        <v>7168</v>
      </c>
      <c r="N308" s="122" t="s">
        <v>30</v>
      </c>
    </row>
    <row r="309" spans="2:14" s="9" customFormat="1" hidden="1" x14ac:dyDescent="0.25">
      <c r="B309" s="120">
        <v>306</v>
      </c>
      <c r="C309" s="122">
        <v>20100047641</v>
      </c>
      <c r="D309" s="125" t="s">
        <v>279</v>
      </c>
      <c r="E309" s="125" t="s">
        <v>7166</v>
      </c>
      <c r="F309" s="122" t="s">
        <v>30</v>
      </c>
      <c r="G309" s="122" t="s">
        <v>30</v>
      </c>
      <c r="H309" s="122" t="s">
        <v>30</v>
      </c>
      <c r="I309" s="125" t="s">
        <v>1966</v>
      </c>
      <c r="J309" s="129" t="s">
        <v>7167</v>
      </c>
      <c r="K309" s="122" t="s">
        <v>7169</v>
      </c>
      <c r="L309" s="122" t="s">
        <v>731</v>
      </c>
      <c r="M309" s="133" t="s">
        <v>7168</v>
      </c>
      <c r="N309" s="122" t="s">
        <v>30</v>
      </c>
    </row>
    <row r="310" spans="2:14" s="9" customFormat="1" hidden="1" x14ac:dyDescent="0.25">
      <c r="B310" s="120">
        <v>307</v>
      </c>
      <c r="C310" s="122">
        <v>20100044626</v>
      </c>
      <c r="D310" s="125" t="s">
        <v>3508</v>
      </c>
      <c r="E310" s="125" t="s">
        <v>7155</v>
      </c>
      <c r="F310" s="122" t="s">
        <v>30</v>
      </c>
      <c r="G310" s="122" t="s">
        <v>30</v>
      </c>
      <c r="H310" s="122" t="s">
        <v>30</v>
      </c>
      <c r="I310" s="125" t="s">
        <v>1985</v>
      </c>
      <c r="J310" s="129" t="s">
        <v>6408</v>
      </c>
      <c r="K310" s="122" t="s">
        <v>6409</v>
      </c>
      <c r="L310" s="122" t="s">
        <v>209</v>
      </c>
      <c r="M310" s="133" t="s">
        <v>7156</v>
      </c>
      <c r="N310" s="122" t="s">
        <v>30</v>
      </c>
    </row>
    <row r="311" spans="2:14" s="9" customFormat="1" hidden="1" x14ac:dyDescent="0.25">
      <c r="B311" s="120">
        <v>308</v>
      </c>
      <c r="C311" s="122">
        <v>20100044626</v>
      </c>
      <c r="D311" s="125" t="s">
        <v>3508</v>
      </c>
      <c r="E311" s="125" t="s">
        <v>7155</v>
      </c>
      <c r="F311" s="122" t="s">
        <v>30</v>
      </c>
      <c r="G311" s="122" t="s">
        <v>30</v>
      </c>
      <c r="H311" s="122" t="s">
        <v>30</v>
      </c>
      <c r="I311" s="125" t="s">
        <v>1985</v>
      </c>
      <c r="J311" s="129" t="s">
        <v>7164</v>
      </c>
      <c r="K311" s="122" t="s">
        <v>7165</v>
      </c>
      <c r="L311" s="122" t="s">
        <v>209</v>
      </c>
      <c r="M311" s="133" t="s">
        <v>7156</v>
      </c>
      <c r="N311" s="122" t="s">
        <v>30</v>
      </c>
    </row>
    <row r="312" spans="2:14" s="9" customFormat="1" hidden="1" x14ac:dyDescent="0.25">
      <c r="B312" s="120">
        <v>309</v>
      </c>
      <c r="C312" s="122">
        <v>20100044626</v>
      </c>
      <c r="D312" s="125" t="s">
        <v>3508</v>
      </c>
      <c r="E312" s="125" t="s">
        <v>7155</v>
      </c>
      <c r="F312" s="122" t="s">
        <v>30</v>
      </c>
      <c r="G312" s="122" t="s">
        <v>30</v>
      </c>
      <c r="H312" s="122" t="s">
        <v>30</v>
      </c>
      <c r="I312" s="125" t="s">
        <v>1985</v>
      </c>
      <c r="J312" s="129" t="s">
        <v>6406</v>
      </c>
      <c r="K312" s="122" t="s">
        <v>6407</v>
      </c>
      <c r="L312" s="122" t="s">
        <v>209</v>
      </c>
      <c r="M312" s="133" t="s">
        <v>7156</v>
      </c>
      <c r="N312" s="122" t="s">
        <v>30</v>
      </c>
    </row>
    <row r="313" spans="2:14" s="9" customFormat="1" hidden="1" x14ac:dyDescent="0.25">
      <c r="B313" s="120">
        <v>310</v>
      </c>
      <c r="C313" s="122">
        <v>20100044626</v>
      </c>
      <c r="D313" s="125" t="s">
        <v>3508</v>
      </c>
      <c r="E313" s="125" t="s">
        <v>7155</v>
      </c>
      <c r="F313" s="122" t="s">
        <v>30</v>
      </c>
      <c r="G313" s="122" t="s">
        <v>30</v>
      </c>
      <c r="H313" s="122" t="s">
        <v>30</v>
      </c>
      <c r="I313" s="125" t="s">
        <v>1985</v>
      </c>
      <c r="J313" s="129" t="s">
        <v>7162</v>
      </c>
      <c r="K313" s="122" t="s">
        <v>7163</v>
      </c>
      <c r="L313" s="122" t="s">
        <v>7017</v>
      </c>
      <c r="M313" s="133" t="s">
        <v>7156</v>
      </c>
      <c r="N313" s="122" t="s">
        <v>30</v>
      </c>
    </row>
    <row r="314" spans="2:14" s="9" customFormat="1" hidden="1" x14ac:dyDescent="0.25">
      <c r="B314" s="120">
        <v>311</v>
      </c>
      <c r="C314" s="122">
        <v>20100044626</v>
      </c>
      <c r="D314" s="125" t="s">
        <v>3508</v>
      </c>
      <c r="E314" s="125" t="s">
        <v>7155</v>
      </c>
      <c r="F314" s="122" t="s">
        <v>30</v>
      </c>
      <c r="G314" s="122" t="s">
        <v>30</v>
      </c>
      <c r="H314" s="122" t="s">
        <v>30</v>
      </c>
      <c r="I314" s="125" t="s">
        <v>1985</v>
      </c>
      <c r="J314" s="129" t="s">
        <v>6402</v>
      </c>
      <c r="K314" s="122" t="s">
        <v>6403</v>
      </c>
      <c r="L314" s="122" t="s">
        <v>1558</v>
      </c>
      <c r="M314" s="133" t="s">
        <v>7156</v>
      </c>
      <c r="N314" s="122" t="s">
        <v>30</v>
      </c>
    </row>
    <row r="315" spans="2:14" s="9" customFormat="1" hidden="1" x14ac:dyDescent="0.25">
      <c r="B315" s="120">
        <v>312</v>
      </c>
      <c r="C315" s="122">
        <v>20100044626</v>
      </c>
      <c r="D315" s="125" t="s">
        <v>3508</v>
      </c>
      <c r="E315" s="125" t="s">
        <v>7155</v>
      </c>
      <c r="F315" s="122" t="s">
        <v>30</v>
      </c>
      <c r="G315" s="122" t="s">
        <v>30</v>
      </c>
      <c r="H315" s="122" t="s">
        <v>30</v>
      </c>
      <c r="I315" s="125" t="s">
        <v>1985</v>
      </c>
      <c r="J315" s="129" t="s">
        <v>6397</v>
      </c>
      <c r="K315" s="122" t="s">
        <v>7161</v>
      </c>
      <c r="L315" s="122" t="s">
        <v>1558</v>
      </c>
      <c r="M315" s="133" t="s">
        <v>7156</v>
      </c>
      <c r="N315" s="122" t="s">
        <v>30</v>
      </c>
    </row>
    <row r="316" spans="2:14" s="9" customFormat="1" hidden="1" x14ac:dyDescent="0.25">
      <c r="B316" s="120">
        <v>313</v>
      </c>
      <c r="C316" s="122">
        <v>20100044626</v>
      </c>
      <c r="D316" s="125" t="s">
        <v>3508</v>
      </c>
      <c r="E316" s="125" t="s">
        <v>7155</v>
      </c>
      <c r="F316" s="122" t="s">
        <v>30</v>
      </c>
      <c r="G316" s="122" t="s">
        <v>30</v>
      </c>
      <c r="H316" s="122" t="s">
        <v>30</v>
      </c>
      <c r="I316" s="125" t="s">
        <v>1985</v>
      </c>
      <c r="J316" s="129" t="s">
        <v>6396</v>
      </c>
      <c r="K316" s="122" t="s">
        <v>7160</v>
      </c>
      <c r="L316" s="122" t="s">
        <v>2469</v>
      </c>
      <c r="M316" s="133" t="s">
        <v>7156</v>
      </c>
      <c r="N316" s="122" t="s">
        <v>30</v>
      </c>
    </row>
    <row r="317" spans="2:14" s="9" customFormat="1" hidden="1" x14ac:dyDescent="0.25">
      <c r="B317" s="120">
        <v>314</v>
      </c>
      <c r="C317" s="122">
        <v>20100044626</v>
      </c>
      <c r="D317" s="125" t="s">
        <v>3508</v>
      </c>
      <c r="E317" s="125" t="s">
        <v>7155</v>
      </c>
      <c r="F317" s="122" t="s">
        <v>30</v>
      </c>
      <c r="G317" s="122" t="s">
        <v>30</v>
      </c>
      <c r="H317" s="122" t="s">
        <v>30</v>
      </c>
      <c r="I317" s="125" t="s">
        <v>1985</v>
      </c>
      <c r="J317" s="129" t="s">
        <v>6394</v>
      </c>
      <c r="K317" s="122" t="s">
        <v>6395</v>
      </c>
      <c r="L317" s="122" t="s">
        <v>731</v>
      </c>
      <c r="M317" s="133" t="s">
        <v>7156</v>
      </c>
      <c r="N317" s="122" t="s">
        <v>30</v>
      </c>
    </row>
    <row r="318" spans="2:14" s="9" customFormat="1" hidden="1" x14ac:dyDescent="0.25">
      <c r="B318" s="120">
        <v>315</v>
      </c>
      <c r="C318" s="122">
        <v>20100044626</v>
      </c>
      <c r="D318" s="125" t="s">
        <v>3508</v>
      </c>
      <c r="E318" s="125" t="s">
        <v>7155</v>
      </c>
      <c r="F318" s="122" t="s">
        <v>30</v>
      </c>
      <c r="G318" s="122" t="s">
        <v>30</v>
      </c>
      <c r="H318" s="122" t="s">
        <v>30</v>
      </c>
      <c r="I318" s="125" t="s">
        <v>1985</v>
      </c>
      <c r="J318" s="129" t="s">
        <v>6389</v>
      </c>
      <c r="K318" s="122" t="s">
        <v>7159</v>
      </c>
      <c r="L318" s="122" t="s">
        <v>209</v>
      </c>
      <c r="M318" s="133" t="s">
        <v>7156</v>
      </c>
      <c r="N318" s="122" t="s">
        <v>30</v>
      </c>
    </row>
    <row r="319" spans="2:14" s="9" customFormat="1" hidden="1" x14ac:dyDescent="0.25">
      <c r="B319" s="120">
        <v>316</v>
      </c>
      <c r="C319" s="122">
        <v>20100044626</v>
      </c>
      <c r="D319" s="125" t="s">
        <v>3508</v>
      </c>
      <c r="E319" s="125" t="s">
        <v>7155</v>
      </c>
      <c r="F319" s="122" t="s">
        <v>30</v>
      </c>
      <c r="G319" s="122" t="s">
        <v>30</v>
      </c>
      <c r="H319" s="122" t="s">
        <v>30</v>
      </c>
      <c r="I319" s="125" t="s">
        <v>1985</v>
      </c>
      <c r="J319" s="129" t="s">
        <v>7157</v>
      </c>
      <c r="K319" s="122" t="s">
        <v>7158</v>
      </c>
      <c r="L319" s="122" t="s">
        <v>209</v>
      </c>
      <c r="M319" s="133" t="s">
        <v>7156</v>
      </c>
      <c r="N319" s="122" t="s">
        <v>30</v>
      </c>
    </row>
    <row r="320" spans="2:14" s="9" customFormat="1" hidden="1" x14ac:dyDescent="0.25">
      <c r="B320" s="120">
        <v>317</v>
      </c>
      <c r="C320" s="122">
        <v>20100044626</v>
      </c>
      <c r="D320" s="125" t="s">
        <v>3508</v>
      </c>
      <c r="E320" s="125" t="s">
        <v>7155</v>
      </c>
      <c r="F320" s="122" t="s">
        <v>30</v>
      </c>
      <c r="G320" s="122" t="s">
        <v>30</v>
      </c>
      <c r="H320" s="122" t="s">
        <v>30</v>
      </c>
      <c r="I320" s="125" t="s">
        <v>1985</v>
      </c>
      <c r="J320" s="129" t="s">
        <v>6386</v>
      </c>
      <c r="K320" s="122" t="s">
        <v>6387</v>
      </c>
      <c r="L320" s="122" t="s">
        <v>209</v>
      </c>
      <c r="M320" s="133" t="s">
        <v>7156</v>
      </c>
      <c r="N320" s="122" t="s">
        <v>30</v>
      </c>
    </row>
    <row r="321" spans="2:14" s="9" customFormat="1" hidden="1" x14ac:dyDescent="0.25">
      <c r="B321" s="120">
        <v>318</v>
      </c>
      <c r="C321" s="122">
        <v>20100041520</v>
      </c>
      <c r="D321" s="125" t="s">
        <v>141</v>
      </c>
      <c r="E321" s="125" t="s">
        <v>7149</v>
      </c>
      <c r="F321" s="122" t="s">
        <v>30</v>
      </c>
      <c r="G321" s="122" t="s">
        <v>30</v>
      </c>
      <c r="H321" s="122" t="s">
        <v>30</v>
      </c>
      <c r="I321" s="125" t="s">
        <v>1450</v>
      </c>
      <c r="J321" s="129" t="s">
        <v>7153</v>
      </c>
      <c r="K321" s="122" t="s">
        <v>7154</v>
      </c>
      <c r="L321" s="122" t="s">
        <v>42</v>
      </c>
      <c r="M321" s="133" t="s">
        <v>7152</v>
      </c>
      <c r="N321" s="122" t="s">
        <v>30</v>
      </c>
    </row>
    <row r="322" spans="2:14" s="9" customFormat="1" hidden="1" x14ac:dyDescent="0.25">
      <c r="B322" s="120">
        <v>319</v>
      </c>
      <c r="C322" s="122">
        <v>20100041520</v>
      </c>
      <c r="D322" s="125" t="s">
        <v>141</v>
      </c>
      <c r="E322" s="125" t="s">
        <v>7149</v>
      </c>
      <c r="F322" s="122" t="s">
        <v>30</v>
      </c>
      <c r="G322" s="122" t="s">
        <v>30</v>
      </c>
      <c r="H322" s="122" t="s">
        <v>30</v>
      </c>
      <c r="I322" s="125" t="s">
        <v>1450</v>
      </c>
      <c r="J322" s="129" t="s">
        <v>7150</v>
      </c>
      <c r="K322" s="122" t="s">
        <v>7151</v>
      </c>
      <c r="L322" s="122" t="s">
        <v>2022</v>
      </c>
      <c r="M322" s="133" t="s">
        <v>7152</v>
      </c>
      <c r="N322" s="122" t="s">
        <v>30</v>
      </c>
    </row>
    <row r="323" spans="2:14" s="9" customFormat="1" hidden="1" x14ac:dyDescent="0.25">
      <c r="B323" s="120">
        <v>320</v>
      </c>
      <c r="C323" s="122">
        <v>20100020441</v>
      </c>
      <c r="D323" s="125" t="s">
        <v>3561</v>
      </c>
      <c r="E323" s="125" t="s">
        <v>7139</v>
      </c>
      <c r="F323" s="122" t="s">
        <v>30</v>
      </c>
      <c r="G323" s="122" t="s">
        <v>30</v>
      </c>
      <c r="H323" s="122" t="s">
        <v>30</v>
      </c>
      <c r="I323" s="125" t="s">
        <v>1931</v>
      </c>
      <c r="J323" s="129" t="s">
        <v>7147</v>
      </c>
      <c r="K323" s="122" t="s">
        <v>7148</v>
      </c>
      <c r="L323" s="122" t="s">
        <v>42</v>
      </c>
      <c r="M323" s="133" t="s">
        <v>7142</v>
      </c>
      <c r="N323" s="122" t="s">
        <v>30</v>
      </c>
    </row>
    <row r="324" spans="2:14" s="9" customFormat="1" hidden="1" x14ac:dyDescent="0.25">
      <c r="B324" s="120">
        <v>321</v>
      </c>
      <c r="C324" s="122">
        <v>20100020441</v>
      </c>
      <c r="D324" s="125" t="s">
        <v>3561</v>
      </c>
      <c r="E324" s="125" t="s">
        <v>7139</v>
      </c>
      <c r="F324" s="122" t="s">
        <v>30</v>
      </c>
      <c r="G324" s="122" t="s">
        <v>30</v>
      </c>
      <c r="H324" s="122" t="s">
        <v>30</v>
      </c>
      <c r="I324" s="125" t="s">
        <v>1931</v>
      </c>
      <c r="J324" s="129" t="s">
        <v>7145</v>
      </c>
      <c r="K324" s="122" t="s">
        <v>7146</v>
      </c>
      <c r="L324" s="122" t="s">
        <v>1558</v>
      </c>
      <c r="M324" s="133" t="s">
        <v>7142</v>
      </c>
      <c r="N324" s="122" t="s">
        <v>30</v>
      </c>
    </row>
    <row r="325" spans="2:14" s="9" customFormat="1" hidden="1" x14ac:dyDescent="0.25">
      <c r="B325" s="120">
        <v>322</v>
      </c>
      <c r="C325" s="122">
        <v>20100020441</v>
      </c>
      <c r="D325" s="125" t="s">
        <v>3561</v>
      </c>
      <c r="E325" s="125" t="s">
        <v>7139</v>
      </c>
      <c r="F325" s="122" t="s">
        <v>30</v>
      </c>
      <c r="G325" s="122" t="s">
        <v>30</v>
      </c>
      <c r="H325" s="122" t="s">
        <v>30</v>
      </c>
      <c r="I325" s="125" t="s">
        <v>1931</v>
      </c>
      <c r="J325" s="129" t="s">
        <v>7143</v>
      </c>
      <c r="K325" s="122" t="s">
        <v>7144</v>
      </c>
      <c r="L325" s="122" t="s">
        <v>1558</v>
      </c>
      <c r="M325" s="133" t="s">
        <v>7142</v>
      </c>
      <c r="N325" s="122" t="s">
        <v>30</v>
      </c>
    </row>
    <row r="326" spans="2:14" s="9" customFormat="1" hidden="1" x14ac:dyDescent="0.25">
      <c r="B326" s="120">
        <v>323</v>
      </c>
      <c r="C326" s="122">
        <v>20100020441</v>
      </c>
      <c r="D326" s="125" t="s">
        <v>3561</v>
      </c>
      <c r="E326" s="125" t="s">
        <v>7139</v>
      </c>
      <c r="F326" s="122" t="s">
        <v>30</v>
      </c>
      <c r="G326" s="122" t="s">
        <v>30</v>
      </c>
      <c r="H326" s="122" t="s">
        <v>30</v>
      </c>
      <c r="I326" s="125" t="s">
        <v>1931</v>
      </c>
      <c r="J326" s="129" t="s">
        <v>7140</v>
      </c>
      <c r="K326" s="122" t="s">
        <v>7141</v>
      </c>
      <c r="L326" s="122" t="s">
        <v>1558</v>
      </c>
      <c r="M326" s="133" t="s">
        <v>7142</v>
      </c>
      <c r="N326" s="122" t="s">
        <v>30</v>
      </c>
    </row>
    <row r="327" spans="2:14" s="9" customFormat="1" hidden="1" x14ac:dyDescent="0.25">
      <c r="B327" s="120">
        <v>324</v>
      </c>
      <c r="C327" s="122">
        <v>20100001579</v>
      </c>
      <c r="D327" s="125" t="s">
        <v>4678</v>
      </c>
      <c r="E327" s="125" t="s">
        <v>4679</v>
      </c>
      <c r="F327" s="122" t="s">
        <v>67</v>
      </c>
      <c r="G327" s="122" t="s">
        <v>67</v>
      </c>
      <c r="H327" s="122" t="s">
        <v>67</v>
      </c>
      <c r="I327" s="125" t="s">
        <v>2089</v>
      </c>
      <c r="J327" s="129" t="s">
        <v>7137</v>
      </c>
      <c r="K327" s="122" t="s">
        <v>7138</v>
      </c>
      <c r="L327" s="122" t="s">
        <v>209</v>
      </c>
      <c r="M327" s="133" t="s">
        <v>7134</v>
      </c>
      <c r="N327" s="122" t="s">
        <v>67</v>
      </c>
    </row>
    <row r="328" spans="2:14" s="9" customFormat="1" hidden="1" x14ac:dyDescent="0.25">
      <c r="B328" s="120">
        <v>325</v>
      </c>
      <c r="C328" s="122">
        <v>20100001579</v>
      </c>
      <c r="D328" s="125" t="s">
        <v>4678</v>
      </c>
      <c r="E328" s="125" t="s">
        <v>4679</v>
      </c>
      <c r="F328" s="122" t="s">
        <v>67</v>
      </c>
      <c r="G328" s="122" t="s">
        <v>67</v>
      </c>
      <c r="H328" s="122" t="s">
        <v>67</v>
      </c>
      <c r="I328" s="125" t="s">
        <v>2089</v>
      </c>
      <c r="J328" s="129" t="s">
        <v>7135</v>
      </c>
      <c r="K328" s="122" t="s">
        <v>7136</v>
      </c>
      <c r="L328" s="122" t="s">
        <v>731</v>
      </c>
      <c r="M328" s="133" t="s">
        <v>7134</v>
      </c>
      <c r="N328" s="122" t="s">
        <v>67</v>
      </c>
    </row>
    <row r="329" spans="2:14" s="9" customFormat="1" hidden="1" x14ac:dyDescent="0.25">
      <c r="B329" s="120">
        <v>326</v>
      </c>
      <c r="C329" s="122">
        <v>20100001579</v>
      </c>
      <c r="D329" s="125" t="s">
        <v>4678</v>
      </c>
      <c r="E329" s="125" t="s">
        <v>4679</v>
      </c>
      <c r="F329" s="122" t="s">
        <v>67</v>
      </c>
      <c r="G329" s="122" t="s">
        <v>67</v>
      </c>
      <c r="H329" s="122" t="s">
        <v>67</v>
      </c>
      <c r="I329" s="125" t="s">
        <v>2089</v>
      </c>
      <c r="J329" s="129" t="s">
        <v>7132</v>
      </c>
      <c r="K329" s="122" t="s">
        <v>7133</v>
      </c>
      <c r="L329" s="122" t="s">
        <v>1558</v>
      </c>
      <c r="M329" s="133" t="s">
        <v>7134</v>
      </c>
      <c r="N329" s="122" t="s">
        <v>67</v>
      </c>
    </row>
    <row r="330" spans="2:14" s="9" customFormat="1" hidden="1" x14ac:dyDescent="0.25">
      <c r="B330" s="120">
        <v>327</v>
      </c>
      <c r="C330" s="122">
        <v>10066727802</v>
      </c>
      <c r="D330" s="125" t="s">
        <v>4684</v>
      </c>
      <c r="E330" s="125" t="s">
        <v>7131</v>
      </c>
      <c r="F330" s="122" t="s">
        <v>30</v>
      </c>
      <c r="G330" s="122" t="s">
        <v>30</v>
      </c>
      <c r="H330" s="122" t="s">
        <v>51</v>
      </c>
      <c r="I330" s="125" t="s">
        <v>1424</v>
      </c>
      <c r="J330" s="129" t="s">
        <v>7129</v>
      </c>
      <c r="K330" s="122" t="s">
        <v>7130</v>
      </c>
      <c r="L330" s="122" t="s">
        <v>100</v>
      </c>
      <c r="M330" s="133" t="s">
        <v>845</v>
      </c>
      <c r="N330" s="122" t="s">
        <v>845</v>
      </c>
    </row>
    <row r="331" spans="2:14" s="9" customFormat="1" hidden="1" x14ac:dyDescent="0.25">
      <c r="B331" s="120">
        <v>328</v>
      </c>
      <c r="C331" s="122">
        <v>10001147868</v>
      </c>
      <c r="D331" s="125" t="s">
        <v>5361</v>
      </c>
      <c r="E331" s="125" t="s">
        <v>7127</v>
      </c>
      <c r="F331" s="122" t="s">
        <v>7128</v>
      </c>
      <c r="G331" s="122" t="s">
        <v>7128</v>
      </c>
      <c r="H331" s="122" t="s">
        <v>7128</v>
      </c>
      <c r="I331" s="125" t="s">
        <v>2460</v>
      </c>
      <c r="J331" s="129" t="s">
        <v>7125</v>
      </c>
      <c r="K331" s="122" t="s">
        <v>7126</v>
      </c>
      <c r="L331" s="122" t="s">
        <v>100</v>
      </c>
      <c r="M331" s="133" t="s">
        <v>845</v>
      </c>
      <c r="N331" s="122" t="s">
        <v>845</v>
      </c>
    </row>
    <row r="332" spans="2:14" s="9" customFormat="1" hidden="1" x14ac:dyDescent="0.25">
      <c r="B332" s="120">
        <v>329</v>
      </c>
      <c r="C332" s="122">
        <v>20611563532</v>
      </c>
      <c r="D332" s="125" t="s">
        <v>7118</v>
      </c>
      <c r="E332" s="125" t="s">
        <v>7119</v>
      </c>
      <c r="F332" s="122" t="s">
        <v>30</v>
      </c>
      <c r="G332" s="122" t="s">
        <v>30</v>
      </c>
      <c r="H332" s="122" t="s">
        <v>86</v>
      </c>
      <c r="I332" s="125" t="s">
        <v>1441</v>
      </c>
      <c r="J332" s="129" t="s">
        <v>7123</v>
      </c>
      <c r="K332" s="122" t="s">
        <v>7124</v>
      </c>
      <c r="L332" s="122" t="s">
        <v>209</v>
      </c>
      <c r="M332" s="133" t="s">
        <v>7122</v>
      </c>
      <c r="N332" s="122" t="s">
        <v>30</v>
      </c>
    </row>
    <row r="333" spans="2:14" s="9" customFormat="1" hidden="1" x14ac:dyDescent="0.25">
      <c r="B333" s="120">
        <v>330</v>
      </c>
      <c r="C333" s="122">
        <v>20611563532</v>
      </c>
      <c r="D333" s="125" t="s">
        <v>7118</v>
      </c>
      <c r="E333" s="125" t="s">
        <v>7119</v>
      </c>
      <c r="F333" s="122" t="s">
        <v>30</v>
      </c>
      <c r="G333" s="122" t="s">
        <v>30</v>
      </c>
      <c r="H333" s="122" t="s">
        <v>86</v>
      </c>
      <c r="I333" s="125" t="s">
        <v>1441</v>
      </c>
      <c r="J333" s="129" t="s">
        <v>7120</v>
      </c>
      <c r="K333" s="122" t="s">
        <v>7121</v>
      </c>
      <c r="L333" s="122" t="s">
        <v>209</v>
      </c>
      <c r="M333" s="133" t="s">
        <v>7122</v>
      </c>
      <c r="N333" s="122" t="s">
        <v>30</v>
      </c>
    </row>
    <row r="334" spans="2:14" s="9" customFormat="1" hidden="1" x14ac:dyDescent="0.25">
      <c r="B334" s="120">
        <v>331</v>
      </c>
      <c r="C334" s="122">
        <v>20602055184</v>
      </c>
      <c r="D334" s="125" t="s">
        <v>7113</v>
      </c>
      <c r="E334" s="125" t="s">
        <v>7114</v>
      </c>
      <c r="F334" s="122" t="s">
        <v>30</v>
      </c>
      <c r="G334" s="122" t="s">
        <v>30</v>
      </c>
      <c r="H334" s="122" t="s">
        <v>127</v>
      </c>
      <c r="I334" s="125" t="s">
        <v>1561</v>
      </c>
      <c r="J334" s="129" t="s">
        <v>7115</v>
      </c>
      <c r="K334" s="122" t="s">
        <v>7116</v>
      </c>
      <c r="L334" s="122" t="s">
        <v>731</v>
      </c>
      <c r="M334" s="133" t="s">
        <v>7117</v>
      </c>
      <c r="N334" s="122" t="s">
        <v>30</v>
      </c>
    </row>
    <row r="335" spans="2:14" s="9" customFormat="1" ht="14.45" hidden="1" customHeight="1" x14ac:dyDescent="0.25">
      <c r="B335" s="120">
        <v>332</v>
      </c>
      <c r="C335" s="122">
        <v>20502131371</v>
      </c>
      <c r="D335" s="125" t="s">
        <v>3552</v>
      </c>
      <c r="E335" s="125" t="s">
        <v>3796</v>
      </c>
      <c r="F335" s="122" t="s">
        <v>30</v>
      </c>
      <c r="G335" s="122" t="s">
        <v>30</v>
      </c>
      <c r="H335" s="122" t="s">
        <v>30</v>
      </c>
      <c r="I335" s="125" t="s">
        <v>1374</v>
      </c>
      <c r="J335" s="129" t="s">
        <v>3797</v>
      </c>
      <c r="K335" s="122" t="s">
        <v>7112</v>
      </c>
      <c r="L335" s="122" t="s">
        <v>731</v>
      </c>
      <c r="M335" s="133" t="s">
        <v>845</v>
      </c>
      <c r="N335" s="122" t="s">
        <v>845</v>
      </c>
    </row>
    <row r="336" spans="2:14" s="9" customFormat="1" hidden="1" x14ac:dyDescent="0.25">
      <c r="B336" s="120">
        <v>333</v>
      </c>
      <c r="C336" s="122">
        <v>20555513837</v>
      </c>
      <c r="D336" s="125" t="s">
        <v>7107</v>
      </c>
      <c r="E336" s="125" t="s">
        <v>7108</v>
      </c>
      <c r="F336" s="122" t="s">
        <v>30</v>
      </c>
      <c r="G336" s="122" t="s">
        <v>30</v>
      </c>
      <c r="H336" s="122" t="s">
        <v>88</v>
      </c>
      <c r="I336" s="125" t="s">
        <v>1936</v>
      </c>
      <c r="J336" s="129" t="s">
        <v>7109</v>
      </c>
      <c r="K336" s="122" t="s">
        <v>7110</v>
      </c>
      <c r="L336" s="122" t="s">
        <v>731</v>
      </c>
      <c r="M336" s="133" t="s">
        <v>7111</v>
      </c>
      <c r="N336" s="122" t="s">
        <v>30</v>
      </c>
    </row>
    <row r="337" spans="2:14" s="9" customFormat="1" hidden="1" x14ac:dyDescent="0.25">
      <c r="B337" s="120">
        <v>334</v>
      </c>
      <c r="C337" s="122">
        <v>20100096260</v>
      </c>
      <c r="D337" s="125" t="s">
        <v>3627</v>
      </c>
      <c r="E337" s="125" t="s">
        <v>7103</v>
      </c>
      <c r="F337" s="122" t="s">
        <v>67</v>
      </c>
      <c r="G337" s="122" t="s">
        <v>67</v>
      </c>
      <c r="H337" s="122" t="s">
        <v>67</v>
      </c>
      <c r="I337" s="125" t="s">
        <v>2489</v>
      </c>
      <c r="J337" s="129" t="s">
        <v>3020</v>
      </c>
      <c r="K337" s="122" t="s">
        <v>5968</v>
      </c>
      <c r="L337" s="122" t="s">
        <v>42</v>
      </c>
      <c r="M337" s="133" t="s">
        <v>7105</v>
      </c>
      <c r="N337" s="122" t="s">
        <v>30</v>
      </c>
    </row>
    <row r="338" spans="2:14" s="9" customFormat="1" hidden="1" x14ac:dyDescent="0.25">
      <c r="B338" s="120">
        <v>335</v>
      </c>
      <c r="C338" s="122">
        <v>20100096260</v>
      </c>
      <c r="D338" s="125" t="s">
        <v>3627</v>
      </c>
      <c r="E338" s="125" t="s">
        <v>7103</v>
      </c>
      <c r="F338" s="122" t="s">
        <v>67</v>
      </c>
      <c r="G338" s="122" t="s">
        <v>67</v>
      </c>
      <c r="H338" s="122" t="s">
        <v>67</v>
      </c>
      <c r="I338" s="125" t="s">
        <v>2489</v>
      </c>
      <c r="J338" s="129" t="s">
        <v>3018</v>
      </c>
      <c r="K338" s="122" t="s">
        <v>7106</v>
      </c>
      <c r="L338" s="122" t="s">
        <v>1712</v>
      </c>
      <c r="M338" s="133" t="s">
        <v>7105</v>
      </c>
      <c r="N338" s="122" t="s">
        <v>30</v>
      </c>
    </row>
    <row r="339" spans="2:14" s="9" customFormat="1" hidden="1" x14ac:dyDescent="0.25">
      <c r="B339" s="120">
        <v>336</v>
      </c>
      <c r="C339" s="122">
        <v>20100096260</v>
      </c>
      <c r="D339" s="125" t="s">
        <v>3627</v>
      </c>
      <c r="E339" s="125" t="s">
        <v>7103</v>
      </c>
      <c r="F339" s="122" t="s">
        <v>67</v>
      </c>
      <c r="G339" s="122" t="s">
        <v>67</v>
      </c>
      <c r="H339" s="122" t="s">
        <v>67</v>
      </c>
      <c r="I339" s="125" t="s">
        <v>2489</v>
      </c>
      <c r="J339" s="129" t="s">
        <v>3015</v>
      </c>
      <c r="K339" s="122" t="s">
        <v>7104</v>
      </c>
      <c r="L339" s="122" t="s">
        <v>1712</v>
      </c>
      <c r="M339" s="133" t="s">
        <v>7105</v>
      </c>
      <c r="N339" s="122" t="s">
        <v>30</v>
      </c>
    </row>
    <row r="340" spans="2:14" s="9" customFormat="1" hidden="1" x14ac:dyDescent="0.25">
      <c r="B340" s="120">
        <v>337</v>
      </c>
      <c r="C340" s="122">
        <v>20100117526</v>
      </c>
      <c r="D340" s="125" t="s">
        <v>700</v>
      </c>
      <c r="E340" s="125" t="s">
        <v>7091</v>
      </c>
      <c r="F340" s="122" t="s">
        <v>30</v>
      </c>
      <c r="G340" s="122" t="s">
        <v>30</v>
      </c>
      <c r="H340" s="122" t="s">
        <v>51</v>
      </c>
      <c r="I340" s="125" t="s">
        <v>1930</v>
      </c>
      <c r="J340" s="129" t="s">
        <v>7101</v>
      </c>
      <c r="K340" s="122" t="s">
        <v>7102</v>
      </c>
      <c r="L340" s="122" t="s">
        <v>1558</v>
      </c>
      <c r="M340" s="133" t="s">
        <v>7094</v>
      </c>
      <c r="N340" s="122" t="s">
        <v>30</v>
      </c>
    </row>
    <row r="341" spans="2:14" s="9" customFormat="1" hidden="1" x14ac:dyDescent="0.25">
      <c r="B341" s="120">
        <v>338</v>
      </c>
      <c r="C341" s="122">
        <v>20100117526</v>
      </c>
      <c r="D341" s="125" t="s">
        <v>700</v>
      </c>
      <c r="E341" s="125" t="s">
        <v>7091</v>
      </c>
      <c r="F341" s="122" t="s">
        <v>30</v>
      </c>
      <c r="G341" s="122" t="s">
        <v>30</v>
      </c>
      <c r="H341" s="122" t="s">
        <v>51</v>
      </c>
      <c r="I341" s="125" t="s">
        <v>1930</v>
      </c>
      <c r="J341" s="129" t="s">
        <v>7099</v>
      </c>
      <c r="K341" s="122" t="s">
        <v>7100</v>
      </c>
      <c r="L341" s="122" t="s">
        <v>1558</v>
      </c>
      <c r="M341" s="133" t="s">
        <v>7094</v>
      </c>
      <c r="N341" s="122" t="s">
        <v>30</v>
      </c>
    </row>
    <row r="342" spans="2:14" s="9" customFormat="1" hidden="1" x14ac:dyDescent="0.25">
      <c r="B342" s="120">
        <v>339</v>
      </c>
      <c r="C342" s="122">
        <v>20100117526</v>
      </c>
      <c r="D342" s="125" t="s">
        <v>700</v>
      </c>
      <c r="E342" s="125" t="s">
        <v>7091</v>
      </c>
      <c r="F342" s="122" t="s">
        <v>30</v>
      </c>
      <c r="G342" s="122" t="s">
        <v>30</v>
      </c>
      <c r="H342" s="122" t="s">
        <v>51</v>
      </c>
      <c r="I342" s="125" t="s">
        <v>1930</v>
      </c>
      <c r="J342" s="129" t="s">
        <v>7097</v>
      </c>
      <c r="K342" s="122" t="s">
        <v>7098</v>
      </c>
      <c r="L342" s="122" t="s">
        <v>1558</v>
      </c>
      <c r="M342" s="133" t="s">
        <v>7094</v>
      </c>
      <c r="N342" s="122" t="s">
        <v>30</v>
      </c>
    </row>
    <row r="343" spans="2:14" s="9" customFormat="1" hidden="1" x14ac:dyDescent="0.25">
      <c r="B343" s="120">
        <v>340</v>
      </c>
      <c r="C343" s="122">
        <v>20100117526</v>
      </c>
      <c r="D343" s="125" t="s">
        <v>700</v>
      </c>
      <c r="E343" s="125" t="s">
        <v>7091</v>
      </c>
      <c r="F343" s="122" t="s">
        <v>30</v>
      </c>
      <c r="G343" s="122" t="s">
        <v>30</v>
      </c>
      <c r="H343" s="122" t="s">
        <v>51</v>
      </c>
      <c r="I343" s="125" t="s">
        <v>1930</v>
      </c>
      <c r="J343" s="129" t="s">
        <v>7095</v>
      </c>
      <c r="K343" s="122" t="s">
        <v>7096</v>
      </c>
      <c r="L343" s="122" t="s">
        <v>731</v>
      </c>
      <c r="M343" s="133" t="s">
        <v>7094</v>
      </c>
      <c r="N343" s="122" t="s">
        <v>30</v>
      </c>
    </row>
    <row r="344" spans="2:14" s="9" customFormat="1" hidden="1" x14ac:dyDescent="0.25">
      <c r="B344" s="120">
        <v>341</v>
      </c>
      <c r="C344" s="122">
        <v>20100117526</v>
      </c>
      <c r="D344" s="125" t="s">
        <v>700</v>
      </c>
      <c r="E344" s="125" t="s">
        <v>7091</v>
      </c>
      <c r="F344" s="122" t="s">
        <v>30</v>
      </c>
      <c r="G344" s="122" t="s">
        <v>30</v>
      </c>
      <c r="H344" s="122" t="s">
        <v>51</v>
      </c>
      <c r="I344" s="125" t="s">
        <v>1930</v>
      </c>
      <c r="J344" s="129" t="s">
        <v>7092</v>
      </c>
      <c r="K344" s="122" t="s">
        <v>7093</v>
      </c>
      <c r="L344" s="122" t="s">
        <v>1558</v>
      </c>
      <c r="M344" s="133" t="s">
        <v>7094</v>
      </c>
      <c r="N344" s="122" t="s">
        <v>30</v>
      </c>
    </row>
    <row r="345" spans="2:14" s="9" customFormat="1" hidden="1" x14ac:dyDescent="0.25">
      <c r="B345" s="120">
        <v>342</v>
      </c>
      <c r="C345" s="122">
        <v>20100166730</v>
      </c>
      <c r="D345" s="125" t="s">
        <v>3602</v>
      </c>
      <c r="E345" s="125" t="s">
        <v>7079</v>
      </c>
      <c r="F345" s="122" t="s">
        <v>30</v>
      </c>
      <c r="G345" s="122" t="s">
        <v>30</v>
      </c>
      <c r="H345" s="122" t="s">
        <v>88</v>
      </c>
      <c r="I345" s="125" t="s">
        <v>1755</v>
      </c>
      <c r="J345" s="129" t="s">
        <v>7089</v>
      </c>
      <c r="K345" s="122" t="s">
        <v>7090</v>
      </c>
      <c r="L345" s="122" t="s">
        <v>1558</v>
      </c>
      <c r="M345" s="133" t="s">
        <v>7082</v>
      </c>
      <c r="N345" s="122" t="s">
        <v>30</v>
      </c>
    </row>
    <row r="346" spans="2:14" s="9" customFormat="1" hidden="1" x14ac:dyDescent="0.25">
      <c r="B346" s="120">
        <v>343</v>
      </c>
      <c r="C346" s="122">
        <v>20100166730</v>
      </c>
      <c r="D346" s="125" t="s">
        <v>3602</v>
      </c>
      <c r="E346" s="125" t="s">
        <v>7079</v>
      </c>
      <c r="F346" s="122" t="s">
        <v>30</v>
      </c>
      <c r="G346" s="122" t="s">
        <v>30</v>
      </c>
      <c r="H346" s="122" t="s">
        <v>88</v>
      </c>
      <c r="I346" s="125" t="s">
        <v>1755</v>
      </c>
      <c r="J346" s="129" t="s">
        <v>7087</v>
      </c>
      <c r="K346" s="122" t="s">
        <v>7088</v>
      </c>
      <c r="L346" s="122" t="s">
        <v>1558</v>
      </c>
      <c r="M346" s="133" t="s">
        <v>7082</v>
      </c>
      <c r="N346" s="122" t="s">
        <v>30</v>
      </c>
    </row>
    <row r="347" spans="2:14" s="9" customFormat="1" hidden="1" x14ac:dyDescent="0.25">
      <c r="B347" s="120">
        <v>344</v>
      </c>
      <c r="C347" s="122">
        <v>20100166730</v>
      </c>
      <c r="D347" s="125" t="s">
        <v>3602</v>
      </c>
      <c r="E347" s="125" t="s">
        <v>7079</v>
      </c>
      <c r="F347" s="122" t="s">
        <v>30</v>
      </c>
      <c r="G347" s="122" t="s">
        <v>30</v>
      </c>
      <c r="H347" s="122" t="s">
        <v>88</v>
      </c>
      <c r="I347" s="125" t="s">
        <v>1755</v>
      </c>
      <c r="J347" s="129" t="s">
        <v>7085</v>
      </c>
      <c r="K347" s="122" t="s">
        <v>7086</v>
      </c>
      <c r="L347" s="122" t="s">
        <v>731</v>
      </c>
      <c r="M347" s="133" t="s">
        <v>7082</v>
      </c>
      <c r="N347" s="122" t="s">
        <v>30</v>
      </c>
    </row>
    <row r="348" spans="2:14" s="9" customFormat="1" hidden="1" x14ac:dyDescent="0.25">
      <c r="B348" s="120">
        <v>345</v>
      </c>
      <c r="C348" s="122">
        <v>20100166730</v>
      </c>
      <c r="D348" s="125" t="s">
        <v>3602</v>
      </c>
      <c r="E348" s="125" t="s">
        <v>7079</v>
      </c>
      <c r="F348" s="122" t="s">
        <v>30</v>
      </c>
      <c r="G348" s="122" t="s">
        <v>30</v>
      </c>
      <c r="H348" s="122" t="s">
        <v>88</v>
      </c>
      <c r="I348" s="125" t="s">
        <v>1755</v>
      </c>
      <c r="J348" s="129" t="s">
        <v>7083</v>
      </c>
      <c r="K348" s="122" t="s">
        <v>7084</v>
      </c>
      <c r="L348" s="122" t="s">
        <v>1558</v>
      </c>
      <c r="M348" s="133" t="s">
        <v>7082</v>
      </c>
      <c r="N348" s="122" t="s">
        <v>30</v>
      </c>
    </row>
    <row r="349" spans="2:14" s="9" customFormat="1" hidden="1" x14ac:dyDescent="0.25">
      <c r="B349" s="120">
        <v>346</v>
      </c>
      <c r="C349" s="122">
        <v>20100166730</v>
      </c>
      <c r="D349" s="125" t="s">
        <v>3602</v>
      </c>
      <c r="E349" s="125" t="s">
        <v>7079</v>
      </c>
      <c r="F349" s="122" t="s">
        <v>30</v>
      </c>
      <c r="G349" s="122" t="s">
        <v>30</v>
      </c>
      <c r="H349" s="122" t="s">
        <v>88</v>
      </c>
      <c r="I349" s="125" t="s">
        <v>1755</v>
      </c>
      <c r="J349" s="129" t="s">
        <v>7080</v>
      </c>
      <c r="K349" s="122" t="s">
        <v>7081</v>
      </c>
      <c r="L349" s="122" t="s">
        <v>1558</v>
      </c>
      <c r="M349" s="133" t="s">
        <v>7082</v>
      </c>
      <c r="N349" s="122" t="s">
        <v>30</v>
      </c>
    </row>
    <row r="350" spans="2:14" s="9" customFormat="1" hidden="1" x14ac:dyDescent="0.25">
      <c r="B350" s="120">
        <v>347</v>
      </c>
      <c r="C350" s="122">
        <v>20100180210</v>
      </c>
      <c r="D350" s="125" t="s">
        <v>3485</v>
      </c>
      <c r="E350" s="125" t="s">
        <v>7077</v>
      </c>
      <c r="F350" s="122" t="s">
        <v>30</v>
      </c>
      <c r="G350" s="122" t="s">
        <v>48</v>
      </c>
      <c r="H350" s="122" t="s">
        <v>155</v>
      </c>
      <c r="I350" s="125" t="s">
        <v>4492</v>
      </c>
      <c r="J350" s="129" t="s">
        <v>8057</v>
      </c>
      <c r="K350" s="122" t="s">
        <v>8058</v>
      </c>
      <c r="L350" s="122" t="s">
        <v>140</v>
      </c>
      <c r="M350" s="133" t="s">
        <v>7078</v>
      </c>
      <c r="N350" s="122" t="s">
        <v>30</v>
      </c>
    </row>
    <row r="351" spans="2:14" s="9" customFormat="1" hidden="1" x14ac:dyDescent="0.25">
      <c r="B351" s="120">
        <v>348</v>
      </c>
      <c r="C351" s="122">
        <v>20100180210</v>
      </c>
      <c r="D351" s="125" t="s">
        <v>3485</v>
      </c>
      <c r="E351" s="125" t="s">
        <v>7077</v>
      </c>
      <c r="F351" s="122" t="s">
        <v>30</v>
      </c>
      <c r="G351" s="122" t="s">
        <v>48</v>
      </c>
      <c r="H351" s="122" t="s">
        <v>155</v>
      </c>
      <c r="I351" s="125" t="s">
        <v>4492</v>
      </c>
      <c r="J351" s="129" t="s">
        <v>8055</v>
      </c>
      <c r="K351" s="122" t="s">
        <v>8056</v>
      </c>
      <c r="L351" s="122" t="s">
        <v>2494</v>
      </c>
      <c r="M351" s="133" t="s">
        <v>7078</v>
      </c>
      <c r="N351" s="122" t="s">
        <v>30</v>
      </c>
    </row>
    <row r="352" spans="2:14" s="9" customFormat="1" hidden="1" x14ac:dyDescent="0.25">
      <c r="B352" s="120">
        <v>349</v>
      </c>
      <c r="C352" s="122">
        <v>20100291551</v>
      </c>
      <c r="D352" s="125" t="s">
        <v>363</v>
      </c>
      <c r="E352" s="125" t="s">
        <v>7069</v>
      </c>
      <c r="F352" s="122" t="s">
        <v>30</v>
      </c>
      <c r="G352" s="122" t="s">
        <v>30</v>
      </c>
      <c r="H352" s="122" t="s">
        <v>65</v>
      </c>
      <c r="I352" s="125" t="s">
        <v>1561</v>
      </c>
      <c r="J352" s="129" t="s">
        <v>7075</v>
      </c>
      <c r="K352" s="122" t="s">
        <v>7076</v>
      </c>
      <c r="L352" s="122" t="s">
        <v>1558</v>
      </c>
      <c r="M352" s="133" t="s">
        <v>7072</v>
      </c>
      <c r="N352" s="122" t="s">
        <v>30</v>
      </c>
    </row>
    <row r="353" spans="2:14" s="9" customFormat="1" hidden="1" x14ac:dyDescent="0.25">
      <c r="B353" s="120">
        <v>350</v>
      </c>
      <c r="C353" s="122">
        <v>20100291551</v>
      </c>
      <c r="D353" s="125" t="s">
        <v>363</v>
      </c>
      <c r="E353" s="125" t="s">
        <v>7069</v>
      </c>
      <c r="F353" s="122" t="s">
        <v>30</v>
      </c>
      <c r="G353" s="122" t="s">
        <v>30</v>
      </c>
      <c r="H353" s="122" t="s">
        <v>65</v>
      </c>
      <c r="I353" s="125" t="s">
        <v>1561</v>
      </c>
      <c r="J353" s="129" t="s">
        <v>7073</v>
      </c>
      <c r="K353" s="122" t="s">
        <v>7074</v>
      </c>
      <c r="L353" s="122" t="s">
        <v>1558</v>
      </c>
      <c r="M353" s="133" t="s">
        <v>7072</v>
      </c>
      <c r="N353" s="122" t="s">
        <v>30</v>
      </c>
    </row>
    <row r="354" spans="2:14" s="9" customFormat="1" hidden="1" x14ac:dyDescent="0.25">
      <c r="B354" s="120">
        <v>351</v>
      </c>
      <c r="C354" s="122">
        <v>20100291551</v>
      </c>
      <c r="D354" s="125" t="s">
        <v>363</v>
      </c>
      <c r="E354" s="125" t="s">
        <v>7069</v>
      </c>
      <c r="F354" s="122" t="s">
        <v>30</v>
      </c>
      <c r="G354" s="122" t="s">
        <v>30</v>
      </c>
      <c r="H354" s="122" t="s">
        <v>65</v>
      </c>
      <c r="I354" s="125" t="s">
        <v>1561</v>
      </c>
      <c r="J354" s="129" t="s">
        <v>7070</v>
      </c>
      <c r="K354" s="122" t="s">
        <v>7071</v>
      </c>
      <c r="L354" s="122" t="s">
        <v>1558</v>
      </c>
      <c r="M354" s="133" t="s">
        <v>7072</v>
      </c>
      <c r="N354" s="122" t="s">
        <v>30</v>
      </c>
    </row>
    <row r="355" spans="2:14" s="9" customFormat="1" hidden="1" x14ac:dyDescent="0.25">
      <c r="B355" s="120">
        <v>352</v>
      </c>
      <c r="C355" s="122">
        <v>20100364451</v>
      </c>
      <c r="D355" s="125" t="s">
        <v>84</v>
      </c>
      <c r="E355" s="125" t="s">
        <v>7065</v>
      </c>
      <c r="F355" s="122" t="s">
        <v>67</v>
      </c>
      <c r="G355" s="122" t="s">
        <v>67</v>
      </c>
      <c r="H355" s="122" t="s">
        <v>67</v>
      </c>
      <c r="I355" s="125" t="s">
        <v>1960</v>
      </c>
      <c r="J355" s="129" t="s">
        <v>7066</v>
      </c>
      <c r="K355" s="122" t="s">
        <v>7067</v>
      </c>
      <c r="L355" s="122" t="s">
        <v>731</v>
      </c>
      <c r="M355" s="133" t="s">
        <v>7068</v>
      </c>
      <c r="N355" s="122" t="s">
        <v>30</v>
      </c>
    </row>
    <row r="356" spans="2:14" s="9" customFormat="1" hidden="1" x14ac:dyDescent="0.25">
      <c r="B356" s="120">
        <v>353</v>
      </c>
      <c r="C356" s="122">
        <v>20100401160</v>
      </c>
      <c r="D356" s="125" t="s">
        <v>301</v>
      </c>
      <c r="E356" s="125" t="s">
        <v>7057</v>
      </c>
      <c r="F356" s="122" t="s">
        <v>30</v>
      </c>
      <c r="G356" s="122" t="s">
        <v>30</v>
      </c>
      <c r="H356" s="122" t="s">
        <v>51</v>
      </c>
      <c r="I356" s="125" t="s">
        <v>1398</v>
      </c>
      <c r="J356" s="129" t="s">
        <v>7063</v>
      </c>
      <c r="K356" s="122" t="s">
        <v>7064</v>
      </c>
      <c r="L356" s="122" t="s">
        <v>1558</v>
      </c>
      <c r="M356" s="133" t="s">
        <v>7060</v>
      </c>
      <c r="N356" s="122" t="s">
        <v>30</v>
      </c>
    </row>
    <row r="357" spans="2:14" s="9" customFormat="1" hidden="1" x14ac:dyDescent="0.25">
      <c r="B357" s="120">
        <v>354</v>
      </c>
      <c r="C357" s="122">
        <v>20100401160</v>
      </c>
      <c r="D357" s="125" t="s">
        <v>301</v>
      </c>
      <c r="E357" s="125" t="s">
        <v>7057</v>
      </c>
      <c r="F357" s="122" t="s">
        <v>30</v>
      </c>
      <c r="G357" s="122" t="s">
        <v>30</v>
      </c>
      <c r="H357" s="122" t="s">
        <v>51</v>
      </c>
      <c r="I357" s="125" t="s">
        <v>1398</v>
      </c>
      <c r="J357" s="129" t="s">
        <v>7061</v>
      </c>
      <c r="K357" s="122" t="s">
        <v>7062</v>
      </c>
      <c r="L357" s="122" t="s">
        <v>1558</v>
      </c>
      <c r="M357" s="133" t="s">
        <v>7060</v>
      </c>
      <c r="N357" s="122" t="s">
        <v>30</v>
      </c>
    </row>
    <row r="358" spans="2:14" s="9" customFormat="1" hidden="1" x14ac:dyDescent="0.25">
      <c r="B358" s="120">
        <v>355</v>
      </c>
      <c r="C358" s="122">
        <v>20100401160</v>
      </c>
      <c r="D358" s="125" t="s">
        <v>301</v>
      </c>
      <c r="E358" s="125" t="s">
        <v>7057</v>
      </c>
      <c r="F358" s="122" t="s">
        <v>30</v>
      </c>
      <c r="G358" s="122" t="s">
        <v>30</v>
      </c>
      <c r="H358" s="122" t="s">
        <v>51</v>
      </c>
      <c r="I358" s="125" t="s">
        <v>1398</v>
      </c>
      <c r="J358" s="129" t="s">
        <v>7058</v>
      </c>
      <c r="K358" s="122" t="s">
        <v>7059</v>
      </c>
      <c r="L358" s="122" t="s">
        <v>731</v>
      </c>
      <c r="M358" s="133" t="s">
        <v>7060</v>
      </c>
      <c r="N358" s="122" t="s">
        <v>30</v>
      </c>
    </row>
    <row r="359" spans="2:14" s="9" customFormat="1" hidden="1" x14ac:dyDescent="0.25">
      <c r="B359" s="120">
        <v>356</v>
      </c>
      <c r="C359" s="122">
        <v>20100440653</v>
      </c>
      <c r="D359" s="125" t="s">
        <v>322</v>
      </c>
      <c r="E359" s="125" t="s">
        <v>7053</v>
      </c>
      <c r="F359" s="122" t="s">
        <v>30</v>
      </c>
      <c r="G359" s="122" t="s">
        <v>30</v>
      </c>
      <c r="H359" s="122" t="s">
        <v>51</v>
      </c>
      <c r="I359" s="125" t="s">
        <v>1737</v>
      </c>
      <c r="J359" s="129" t="s">
        <v>7054</v>
      </c>
      <c r="K359" s="122" t="s">
        <v>7055</v>
      </c>
      <c r="L359" s="122" t="s">
        <v>1577</v>
      </c>
      <c r="M359" s="133" t="s">
        <v>7056</v>
      </c>
      <c r="N359" s="122" t="s">
        <v>30</v>
      </c>
    </row>
    <row r="360" spans="2:14" s="9" customFormat="1" hidden="1" x14ac:dyDescent="0.25">
      <c r="B360" s="120">
        <v>357</v>
      </c>
      <c r="C360" s="122">
        <v>20100704227</v>
      </c>
      <c r="D360" s="125" t="s">
        <v>3562</v>
      </c>
      <c r="E360" s="125" t="s">
        <v>7049</v>
      </c>
      <c r="F360" s="122" t="s">
        <v>30</v>
      </c>
      <c r="G360" s="122" t="s">
        <v>30</v>
      </c>
      <c r="H360" s="122" t="s">
        <v>110</v>
      </c>
      <c r="I360" s="125" t="s">
        <v>1946</v>
      </c>
      <c r="J360" s="129" t="s">
        <v>7050</v>
      </c>
      <c r="K360" s="122" t="s">
        <v>7051</v>
      </c>
      <c r="L360" s="122" t="s">
        <v>731</v>
      </c>
      <c r="M360" s="133" t="s">
        <v>7052</v>
      </c>
      <c r="N360" s="122" t="s">
        <v>30</v>
      </c>
    </row>
    <row r="361" spans="2:14" s="9" customFormat="1" hidden="1" x14ac:dyDescent="0.25">
      <c r="B361" s="120">
        <v>358</v>
      </c>
      <c r="C361" s="122">
        <v>20101552315</v>
      </c>
      <c r="D361" s="125" t="s">
        <v>3612</v>
      </c>
      <c r="E361" s="125" t="s">
        <v>7043</v>
      </c>
      <c r="F361" s="122" t="s">
        <v>30</v>
      </c>
      <c r="G361" s="122" t="s">
        <v>30</v>
      </c>
      <c r="H361" s="122" t="s">
        <v>30</v>
      </c>
      <c r="I361" s="125" t="s">
        <v>2966</v>
      </c>
      <c r="J361" s="129" t="s">
        <v>7047</v>
      </c>
      <c r="K361" s="122" t="s">
        <v>7048</v>
      </c>
      <c r="L361" s="122" t="s">
        <v>1558</v>
      </c>
      <c r="M361" s="133" t="s">
        <v>7046</v>
      </c>
      <c r="N361" s="122" t="s">
        <v>30</v>
      </c>
    </row>
    <row r="362" spans="2:14" s="9" customFormat="1" hidden="1" x14ac:dyDescent="0.25">
      <c r="B362" s="120">
        <v>359</v>
      </c>
      <c r="C362" s="122">
        <v>20101552315</v>
      </c>
      <c r="D362" s="125" t="s">
        <v>3612</v>
      </c>
      <c r="E362" s="125" t="s">
        <v>7043</v>
      </c>
      <c r="F362" s="122" t="s">
        <v>30</v>
      </c>
      <c r="G362" s="122" t="s">
        <v>30</v>
      </c>
      <c r="H362" s="122" t="s">
        <v>30</v>
      </c>
      <c r="I362" s="125" t="s">
        <v>2966</v>
      </c>
      <c r="J362" s="129" t="s">
        <v>7044</v>
      </c>
      <c r="K362" s="122" t="s">
        <v>7045</v>
      </c>
      <c r="L362" s="122" t="s">
        <v>731</v>
      </c>
      <c r="M362" s="133" t="s">
        <v>7046</v>
      </c>
      <c r="N362" s="122" t="s">
        <v>30</v>
      </c>
    </row>
    <row r="363" spans="2:14" s="9" customFormat="1" hidden="1" x14ac:dyDescent="0.25">
      <c r="B363" s="120">
        <v>360</v>
      </c>
      <c r="C363" s="122">
        <v>20102261551</v>
      </c>
      <c r="D363" s="125" t="s">
        <v>386</v>
      </c>
      <c r="E363" s="125" t="s">
        <v>7027</v>
      </c>
      <c r="F363" s="122" t="s">
        <v>30</v>
      </c>
      <c r="G363" s="122" t="s">
        <v>30</v>
      </c>
      <c r="H363" s="122" t="s">
        <v>65</v>
      </c>
      <c r="I363" s="125" t="s">
        <v>6425</v>
      </c>
      <c r="J363" s="129" t="s">
        <v>7041</v>
      </c>
      <c r="K363" s="122" t="s">
        <v>7042</v>
      </c>
      <c r="L363" s="122" t="s">
        <v>1558</v>
      </c>
      <c r="M363" s="133" t="s">
        <v>7030</v>
      </c>
      <c r="N363" s="122" t="s">
        <v>30</v>
      </c>
    </row>
    <row r="364" spans="2:14" s="9" customFormat="1" hidden="1" x14ac:dyDescent="0.25">
      <c r="B364" s="120">
        <v>361</v>
      </c>
      <c r="C364" s="122">
        <v>20102261551</v>
      </c>
      <c r="D364" s="125" t="s">
        <v>386</v>
      </c>
      <c r="E364" s="125" t="s">
        <v>7027</v>
      </c>
      <c r="F364" s="122" t="s">
        <v>30</v>
      </c>
      <c r="G364" s="122" t="s">
        <v>30</v>
      </c>
      <c r="H364" s="122" t="s">
        <v>65</v>
      </c>
      <c r="I364" s="125" t="s">
        <v>6425</v>
      </c>
      <c r="J364" s="129" t="s">
        <v>7039</v>
      </c>
      <c r="K364" s="122" t="s">
        <v>7040</v>
      </c>
      <c r="L364" s="122" t="s">
        <v>1558</v>
      </c>
      <c r="M364" s="133" t="s">
        <v>7030</v>
      </c>
      <c r="N364" s="122" t="s">
        <v>30</v>
      </c>
    </row>
    <row r="365" spans="2:14" s="9" customFormat="1" hidden="1" x14ac:dyDescent="0.25">
      <c r="B365" s="120">
        <v>362</v>
      </c>
      <c r="C365" s="122">
        <v>20102261551</v>
      </c>
      <c r="D365" s="125" t="s">
        <v>386</v>
      </c>
      <c r="E365" s="125" t="s">
        <v>7027</v>
      </c>
      <c r="F365" s="122" t="s">
        <v>30</v>
      </c>
      <c r="G365" s="122" t="s">
        <v>30</v>
      </c>
      <c r="H365" s="122" t="s">
        <v>65</v>
      </c>
      <c r="I365" s="125" t="s">
        <v>6425</v>
      </c>
      <c r="J365" s="129" t="s">
        <v>7037</v>
      </c>
      <c r="K365" s="122" t="s">
        <v>7038</v>
      </c>
      <c r="L365" s="122" t="s">
        <v>1558</v>
      </c>
      <c r="M365" s="133" t="s">
        <v>7030</v>
      </c>
      <c r="N365" s="122" t="s">
        <v>30</v>
      </c>
    </row>
    <row r="366" spans="2:14" s="9" customFormat="1" hidden="1" x14ac:dyDescent="0.25">
      <c r="B366" s="120">
        <v>363</v>
      </c>
      <c r="C366" s="122">
        <v>20102261551</v>
      </c>
      <c r="D366" s="125" t="s">
        <v>386</v>
      </c>
      <c r="E366" s="125" t="s">
        <v>7027</v>
      </c>
      <c r="F366" s="122" t="s">
        <v>30</v>
      </c>
      <c r="G366" s="122" t="s">
        <v>30</v>
      </c>
      <c r="H366" s="122" t="s">
        <v>65</v>
      </c>
      <c r="I366" s="125" t="s">
        <v>6425</v>
      </c>
      <c r="J366" s="129" t="s">
        <v>7035</v>
      </c>
      <c r="K366" s="122" t="s">
        <v>7036</v>
      </c>
      <c r="L366" s="122" t="s">
        <v>1558</v>
      </c>
      <c r="M366" s="133" t="s">
        <v>7030</v>
      </c>
      <c r="N366" s="122" t="s">
        <v>30</v>
      </c>
    </row>
    <row r="367" spans="2:14" s="9" customFormat="1" hidden="1" x14ac:dyDescent="0.25">
      <c r="B367" s="120">
        <v>364</v>
      </c>
      <c r="C367" s="122">
        <v>20102261551</v>
      </c>
      <c r="D367" s="125" t="s">
        <v>386</v>
      </c>
      <c r="E367" s="125" t="s">
        <v>7027</v>
      </c>
      <c r="F367" s="122" t="s">
        <v>30</v>
      </c>
      <c r="G367" s="122" t="s">
        <v>30</v>
      </c>
      <c r="H367" s="122" t="s">
        <v>65</v>
      </c>
      <c r="I367" s="125" t="s">
        <v>6425</v>
      </c>
      <c r="J367" s="129" t="s">
        <v>7033</v>
      </c>
      <c r="K367" s="122" t="s">
        <v>7034</v>
      </c>
      <c r="L367" s="122" t="s">
        <v>1558</v>
      </c>
      <c r="M367" s="133" t="s">
        <v>7030</v>
      </c>
      <c r="N367" s="122" t="s">
        <v>30</v>
      </c>
    </row>
    <row r="368" spans="2:14" s="9" customFormat="1" hidden="1" x14ac:dyDescent="0.25">
      <c r="B368" s="120">
        <v>365</v>
      </c>
      <c r="C368" s="122">
        <v>20102261551</v>
      </c>
      <c r="D368" s="125" t="s">
        <v>386</v>
      </c>
      <c r="E368" s="125" t="s">
        <v>7027</v>
      </c>
      <c r="F368" s="122" t="s">
        <v>30</v>
      </c>
      <c r="G368" s="122" t="s">
        <v>30</v>
      </c>
      <c r="H368" s="122" t="s">
        <v>65</v>
      </c>
      <c r="I368" s="125" t="s">
        <v>6425</v>
      </c>
      <c r="J368" s="129" t="s">
        <v>7031</v>
      </c>
      <c r="K368" s="122" t="s">
        <v>7032</v>
      </c>
      <c r="L368" s="122" t="s">
        <v>2022</v>
      </c>
      <c r="M368" s="133" t="s">
        <v>7030</v>
      </c>
      <c r="N368" s="122" t="s">
        <v>30</v>
      </c>
    </row>
    <row r="369" spans="2:14" s="9" customFormat="1" hidden="1" x14ac:dyDescent="0.25">
      <c r="B369" s="120">
        <v>366</v>
      </c>
      <c r="C369" s="122">
        <v>20102261551</v>
      </c>
      <c r="D369" s="125" t="s">
        <v>386</v>
      </c>
      <c r="E369" s="125" t="s">
        <v>7027</v>
      </c>
      <c r="F369" s="122" t="s">
        <v>30</v>
      </c>
      <c r="G369" s="122" t="s">
        <v>30</v>
      </c>
      <c r="H369" s="122" t="s">
        <v>65</v>
      </c>
      <c r="I369" s="125" t="s">
        <v>6425</v>
      </c>
      <c r="J369" s="129" t="s">
        <v>7028</v>
      </c>
      <c r="K369" s="122" t="s">
        <v>7029</v>
      </c>
      <c r="L369" s="122" t="s">
        <v>731</v>
      </c>
      <c r="M369" s="133" t="s">
        <v>7030</v>
      </c>
      <c r="N369" s="122" t="s">
        <v>30</v>
      </c>
    </row>
    <row r="370" spans="2:14" s="9" customFormat="1" hidden="1" x14ac:dyDescent="0.25">
      <c r="B370" s="120">
        <v>367</v>
      </c>
      <c r="C370" s="122">
        <v>20109925757</v>
      </c>
      <c r="D370" s="125" t="s">
        <v>292</v>
      </c>
      <c r="E370" s="125" t="s">
        <v>7014</v>
      </c>
      <c r="F370" s="122" t="s">
        <v>30</v>
      </c>
      <c r="G370" s="122" t="s">
        <v>30</v>
      </c>
      <c r="H370" s="122" t="s">
        <v>34</v>
      </c>
      <c r="I370" s="125" t="s">
        <v>1551</v>
      </c>
      <c r="J370" s="129" t="s">
        <v>7025</v>
      </c>
      <c r="K370" s="122" t="s">
        <v>7026</v>
      </c>
      <c r="L370" s="122" t="s">
        <v>209</v>
      </c>
      <c r="M370" s="133" t="s">
        <v>7018</v>
      </c>
      <c r="N370" s="122" t="s">
        <v>30</v>
      </c>
    </row>
    <row r="371" spans="2:14" s="9" customFormat="1" hidden="1" x14ac:dyDescent="0.25">
      <c r="B371" s="120">
        <v>368</v>
      </c>
      <c r="C371" s="122">
        <v>20109925757</v>
      </c>
      <c r="D371" s="125" t="s">
        <v>292</v>
      </c>
      <c r="E371" s="125" t="s">
        <v>7014</v>
      </c>
      <c r="F371" s="122" t="s">
        <v>30</v>
      </c>
      <c r="G371" s="122" t="s">
        <v>30</v>
      </c>
      <c r="H371" s="122" t="s">
        <v>34</v>
      </c>
      <c r="I371" s="125" t="s">
        <v>1551</v>
      </c>
      <c r="J371" s="129" t="s">
        <v>7023</v>
      </c>
      <c r="K371" s="122" t="s">
        <v>7024</v>
      </c>
      <c r="L371" s="122" t="s">
        <v>209</v>
      </c>
      <c r="M371" s="133" t="s">
        <v>7018</v>
      </c>
      <c r="N371" s="122" t="s">
        <v>30</v>
      </c>
    </row>
    <row r="372" spans="2:14" s="9" customFormat="1" hidden="1" x14ac:dyDescent="0.25">
      <c r="B372" s="120">
        <v>369</v>
      </c>
      <c r="C372" s="122">
        <v>20109925757</v>
      </c>
      <c r="D372" s="125" t="s">
        <v>292</v>
      </c>
      <c r="E372" s="125" t="s">
        <v>7014</v>
      </c>
      <c r="F372" s="122" t="s">
        <v>30</v>
      </c>
      <c r="G372" s="122" t="s">
        <v>30</v>
      </c>
      <c r="H372" s="122" t="s">
        <v>34</v>
      </c>
      <c r="I372" s="125" t="s">
        <v>1551</v>
      </c>
      <c r="J372" s="129" t="s">
        <v>7021</v>
      </c>
      <c r="K372" s="122" t="s">
        <v>7022</v>
      </c>
      <c r="L372" s="122" t="s">
        <v>731</v>
      </c>
      <c r="M372" s="133" t="s">
        <v>7018</v>
      </c>
      <c r="N372" s="122" t="s">
        <v>30</v>
      </c>
    </row>
    <row r="373" spans="2:14" s="9" customFormat="1" hidden="1" x14ac:dyDescent="0.25">
      <c r="B373" s="120">
        <v>370</v>
      </c>
      <c r="C373" s="122">
        <v>20109925757</v>
      </c>
      <c r="D373" s="125" t="s">
        <v>292</v>
      </c>
      <c r="E373" s="125" t="s">
        <v>7014</v>
      </c>
      <c r="F373" s="122" t="s">
        <v>30</v>
      </c>
      <c r="G373" s="122" t="s">
        <v>30</v>
      </c>
      <c r="H373" s="122" t="s">
        <v>34</v>
      </c>
      <c r="I373" s="125" t="s">
        <v>1551</v>
      </c>
      <c r="J373" s="129" t="s">
        <v>7019</v>
      </c>
      <c r="K373" s="122" t="s">
        <v>7020</v>
      </c>
      <c r="L373" s="122" t="s">
        <v>2022</v>
      </c>
      <c r="M373" s="133" t="s">
        <v>7018</v>
      </c>
      <c r="N373" s="122" t="s">
        <v>30</v>
      </c>
    </row>
    <row r="374" spans="2:14" s="9" customFormat="1" hidden="1" x14ac:dyDescent="0.25">
      <c r="B374" s="120">
        <v>371</v>
      </c>
      <c r="C374" s="122">
        <v>20109925757</v>
      </c>
      <c r="D374" s="125" t="s">
        <v>292</v>
      </c>
      <c r="E374" s="125" t="s">
        <v>7014</v>
      </c>
      <c r="F374" s="122" t="s">
        <v>30</v>
      </c>
      <c r="G374" s="122" t="s">
        <v>30</v>
      </c>
      <c r="H374" s="122" t="s">
        <v>34</v>
      </c>
      <c r="I374" s="125" t="s">
        <v>1551</v>
      </c>
      <c r="J374" s="129" t="s">
        <v>7015</v>
      </c>
      <c r="K374" s="122" t="s">
        <v>7016</v>
      </c>
      <c r="L374" s="122" t="s">
        <v>7017</v>
      </c>
      <c r="M374" s="133" t="s">
        <v>7018</v>
      </c>
      <c r="N374" s="122" t="s">
        <v>30</v>
      </c>
    </row>
    <row r="375" spans="2:14" s="9" customFormat="1" hidden="1" x14ac:dyDescent="0.25">
      <c r="B375" s="120">
        <v>372</v>
      </c>
      <c r="C375" s="122">
        <v>20136974697</v>
      </c>
      <c r="D375" s="125" t="s">
        <v>7001</v>
      </c>
      <c r="E375" s="125" t="s">
        <v>7002</v>
      </c>
      <c r="F375" s="122" t="s">
        <v>30</v>
      </c>
      <c r="G375" s="122" t="s">
        <v>54</v>
      </c>
      <c r="H375" s="122" t="s">
        <v>55</v>
      </c>
      <c r="I375" s="125" t="s">
        <v>1368</v>
      </c>
      <c r="J375" s="129" t="s">
        <v>7012</v>
      </c>
      <c r="K375" s="122" t="s">
        <v>7013</v>
      </c>
      <c r="L375" s="122" t="s">
        <v>1558</v>
      </c>
      <c r="M375" s="133" t="s">
        <v>7005</v>
      </c>
      <c r="N375" s="122" t="s">
        <v>54</v>
      </c>
    </row>
    <row r="376" spans="2:14" s="9" customFormat="1" hidden="1" x14ac:dyDescent="0.25">
      <c r="B376" s="120">
        <v>373</v>
      </c>
      <c r="C376" s="122">
        <v>20136974697</v>
      </c>
      <c r="D376" s="125" t="s">
        <v>7001</v>
      </c>
      <c r="E376" s="125" t="s">
        <v>7002</v>
      </c>
      <c r="F376" s="122" t="s">
        <v>30</v>
      </c>
      <c r="G376" s="122" t="s">
        <v>54</v>
      </c>
      <c r="H376" s="122" t="s">
        <v>55</v>
      </c>
      <c r="I376" s="125" t="s">
        <v>1368</v>
      </c>
      <c r="J376" s="129" t="s">
        <v>7010</v>
      </c>
      <c r="K376" s="122" t="s">
        <v>7011</v>
      </c>
      <c r="L376" s="122" t="s">
        <v>731</v>
      </c>
      <c r="M376" s="133" t="s">
        <v>7005</v>
      </c>
      <c r="N376" s="122" t="s">
        <v>54</v>
      </c>
    </row>
    <row r="377" spans="2:14" s="9" customFormat="1" hidden="1" x14ac:dyDescent="0.25">
      <c r="B377" s="120">
        <v>374</v>
      </c>
      <c r="C377" s="122">
        <v>20136974697</v>
      </c>
      <c r="D377" s="125" t="s">
        <v>7001</v>
      </c>
      <c r="E377" s="125" t="s">
        <v>7002</v>
      </c>
      <c r="F377" s="122" t="s">
        <v>30</v>
      </c>
      <c r="G377" s="122" t="s">
        <v>54</v>
      </c>
      <c r="H377" s="122" t="s">
        <v>55</v>
      </c>
      <c r="I377" s="125" t="s">
        <v>1368</v>
      </c>
      <c r="J377" s="129" t="s">
        <v>7008</v>
      </c>
      <c r="K377" s="122" t="s">
        <v>7009</v>
      </c>
      <c r="L377" s="122" t="s">
        <v>1558</v>
      </c>
      <c r="M377" s="133" t="s">
        <v>7005</v>
      </c>
      <c r="N377" s="122" t="s">
        <v>54</v>
      </c>
    </row>
    <row r="378" spans="2:14" s="9" customFormat="1" hidden="1" x14ac:dyDescent="0.25">
      <c r="B378" s="120">
        <v>375</v>
      </c>
      <c r="C378" s="122">
        <v>20136974697</v>
      </c>
      <c r="D378" s="125" t="s">
        <v>7001</v>
      </c>
      <c r="E378" s="125" t="s">
        <v>7002</v>
      </c>
      <c r="F378" s="122" t="s">
        <v>30</v>
      </c>
      <c r="G378" s="122" t="s">
        <v>54</v>
      </c>
      <c r="H378" s="122" t="s">
        <v>55</v>
      </c>
      <c r="I378" s="125" t="s">
        <v>1368</v>
      </c>
      <c r="J378" s="129" t="s">
        <v>7006</v>
      </c>
      <c r="K378" s="122" t="s">
        <v>7007</v>
      </c>
      <c r="L378" s="122" t="s">
        <v>1558</v>
      </c>
      <c r="M378" s="133" t="s">
        <v>7005</v>
      </c>
      <c r="N378" s="122" t="s">
        <v>54</v>
      </c>
    </row>
    <row r="379" spans="2:14" s="9" customFormat="1" hidden="1" x14ac:dyDescent="0.25">
      <c r="B379" s="120">
        <v>376</v>
      </c>
      <c r="C379" s="122">
        <v>20136974697</v>
      </c>
      <c r="D379" s="125" t="s">
        <v>7001</v>
      </c>
      <c r="E379" s="125" t="s">
        <v>7002</v>
      </c>
      <c r="F379" s="122" t="s">
        <v>30</v>
      </c>
      <c r="G379" s="122" t="s">
        <v>54</v>
      </c>
      <c r="H379" s="122" t="s">
        <v>55</v>
      </c>
      <c r="I379" s="125" t="s">
        <v>1368</v>
      </c>
      <c r="J379" s="129" t="s">
        <v>7003</v>
      </c>
      <c r="K379" s="122" t="s">
        <v>7004</v>
      </c>
      <c r="L379" s="122" t="s">
        <v>1558</v>
      </c>
      <c r="M379" s="133" t="s">
        <v>7005</v>
      </c>
      <c r="N379" s="122" t="s">
        <v>54</v>
      </c>
    </row>
    <row r="380" spans="2:14" s="9" customFormat="1" hidden="1" x14ac:dyDescent="0.25">
      <c r="B380" s="120">
        <v>377</v>
      </c>
      <c r="C380" s="122">
        <v>20143229816</v>
      </c>
      <c r="D380" s="125" t="s">
        <v>374</v>
      </c>
      <c r="E380" s="125" t="s">
        <v>6989</v>
      </c>
      <c r="F380" s="122" t="s">
        <v>30</v>
      </c>
      <c r="G380" s="122" t="s">
        <v>30</v>
      </c>
      <c r="H380" s="122" t="s">
        <v>41</v>
      </c>
      <c r="I380" s="125" t="s">
        <v>6990</v>
      </c>
      <c r="J380" s="129" t="s">
        <v>7000</v>
      </c>
      <c r="K380" s="122" t="s">
        <v>8061</v>
      </c>
      <c r="L380" s="122" t="s">
        <v>1558</v>
      </c>
      <c r="M380" s="133" t="s">
        <v>6993</v>
      </c>
      <c r="N380" s="122" t="s">
        <v>30</v>
      </c>
    </row>
    <row r="381" spans="2:14" s="9" customFormat="1" hidden="1" x14ac:dyDescent="0.25">
      <c r="B381" s="120">
        <v>378</v>
      </c>
      <c r="C381" s="122">
        <v>20143229816</v>
      </c>
      <c r="D381" s="125" t="s">
        <v>374</v>
      </c>
      <c r="E381" s="125" t="s">
        <v>6989</v>
      </c>
      <c r="F381" s="122" t="s">
        <v>30</v>
      </c>
      <c r="G381" s="122" t="s">
        <v>30</v>
      </c>
      <c r="H381" s="122" t="s">
        <v>41</v>
      </c>
      <c r="I381" s="125" t="s">
        <v>6990</v>
      </c>
      <c r="J381" s="129" t="s">
        <v>8059</v>
      </c>
      <c r="K381" s="122" t="s">
        <v>8060</v>
      </c>
      <c r="L381" s="122" t="s">
        <v>1558</v>
      </c>
      <c r="M381" s="133" t="s">
        <v>6993</v>
      </c>
      <c r="N381" s="122" t="s">
        <v>30</v>
      </c>
    </row>
    <row r="382" spans="2:14" s="9" customFormat="1" hidden="1" x14ac:dyDescent="0.25">
      <c r="B382" s="120">
        <v>379</v>
      </c>
      <c r="C382" s="122">
        <v>20143229816</v>
      </c>
      <c r="D382" s="125" t="s">
        <v>374</v>
      </c>
      <c r="E382" s="125" t="s">
        <v>6989</v>
      </c>
      <c r="F382" s="122" t="s">
        <v>30</v>
      </c>
      <c r="G382" s="122" t="s">
        <v>30</v>
      </c>
      <c r="H382" s="122" t="s">
        <v>41</v>
      </c>
      <c r="I382" s="125" t="s">
        <v>6990</v>
      </c>
      <c r="J382" s="129" t="s">
        <v>6998</v>
      </c>
      <c r="K382" s="122" t="s">
        <v>6999</v>
      </c>
      <c r="L382" s="122" t="s">
        <v>1558</v>
      </c>
      <c r="M382" s="133" t="s">
        <v>6993</v>
      </c>
      <c r="N382" s="122" t="s">
        <v>30</v>
      </c>
    </row>
    <row r="383" spans="2:14" s="9" customFormat="1" hidden="1" x14ac:dyDescent="0.25">
      <c r="B383" s="120">
        <v>380</v>
      </c>
      <c r="C383" s="122">
        <v>20143229816</v>
      </c>
      <c r="D383" s="125" t="s">
        <v>374</v>
      </c>
      <c r="E383" s="125" t="s">
        <v>6989</v>
      </c>
      <c r="F383" s="122" t="s">
        <v>30</v>
      </c>
      <c r="G383" s="122" t="s">
        <v>30</v>
      </c>
      <c r="H383" s="122" t="s">
        <v>41</v>
      </c>
      <c r="I383" s="125" t="s">
        <v>6990</v>
      </c>
      <c r="J383" s="129" t="s">
        <v>6996</v>
      </c>
      <c r="K383" s="122" t="s">
        <v>6997</v>
      </c>
      <c r="L383" s="122" t="s">
        <v>1558</v>
      </c>
      <c r="M383" s="133" t="s">
        <v>6993</v>
      </c>
      <c r="N383" s="122" t="s">
        <v>30</v>
      </c>
    </row>
    <row r="384" spans="2:14" s="9" customFormat="1" hidden="1" x14ac:dyDescent="0.25">
      <c r="B384" s="120">
        <v>381</v>
      </c>
      <c r="C384" s="122">
        <v>20143229816</v>
      </c>
      <c r="D384" s="125" t="s">
        <v>374</v>
      </c>
      <c r="E384" s="125" t="s">
        <v>6989</v>
      </c>
      <c r="F384" s="122" t="s">
        <v>30</v>
      </c>
      <c r="G384" s="122" t="s">
        <v>30</v>
      </c>
      <c r="H384" s="122" t="s">
        <v>41</v>
      </c>
      <c r="I384" s="125" t="s">
        <v>6990</v>
      </c>
      <c r="J384" s="129" t="s">
        <v>6994</v>
      </c>
      <c r="K384" s="122" t="s">
        <v>6995</v>
      </c>
      <c r="L384" s="122" t="s">
        <v>1558</v>
      </c>
      <c r="M384" s="133" t="s">
        <v>6993</v>
      </c>
      <c r="N384" s="122" t="s">
        <v>30</v>
      </c>
    </row>
    <row r="385" spans="2:14" s="9" customFormat="1" hidden="1" x14ac:dyDescent="0.25">
      <c r="B385" s="120">
        <v>382</v>
      </c>
      <c r="C385" s="122">
        <v>20143229816</v>
      </c>
      <c r="D385" s="125" t="s">
        <v>374</v>
      </c>
      <c r="E385" s="125" t="s">
        <v>6989</v>
      </c>
      <c r="F385" s="122" t="s">
        <v>30</v>
      </c>
      <c r="G385" s="122" t="s">
        <v>30</v>
      </c>
      <c r="H385" s="122" t="s">
        <v>41</v>
      </c>
      <c r="I385" s="125" t="s">
        <v>6990</v>
      </c>
      <c r="J385" s="129" t="s">
        <v>6991</v>
      </c>
      <c r="K385" s="122" t="s">
        <v>6992</v>
      </c>
      <c r="L385" s="122" t="s">
        <v>1558</v>
      </c>
      <c r="M385" s="133" t="s">
        <v>6993</v>
      </c>
      <c r="N385" s="122" t="s">
        <v>30</v>
      </c>
    </row>
    <row r="386" spans="2:14" s="9" customFormat="1" hidden="1" x14ac:dyDescent="0.25">
      <c r="B386" s="120">
        <v>383</v>
      </c>
      <c r="C386" s="122">
        <v>20147885491</v>
      </c>
      <c r="D386" s="125" t="s">
        <v>6984</v>
      </c>
      <c r="E386" s="125" t="s">
        <v>6985</v>
      </c>
      <c r="F386" s="122" t="s">
        <v>30</v>
      </c>
      <c r="G386" s="122" t="s">
        <v>30</v>
      </c>
      <c r="H386" s="122" t="s">
        <v>72</v>
      </c>
      <c r="I386" s="125" t="s">
        <v>3942</v>
      </c>
      <c r="J386" s="129" t="s">
        <v>6986</v>
      </c>
      <c r="K386" s="122" t="s">
        <v>6987</v>
      </c>
      <c r="L386" s="122" t="s">
        <v>731</v>
      </c>
      <c r="M386" s="133" t="s">
        <v>6988</v>
      </c>
      <c r="N386" s="122" t="s">
        <v>30</v>
      </c>
    </row>
    <row r="387" spans="2:14" s="9" customFormat="1" hidden="1" x14ac:dyDescent="0.25">
      <c r="B387" s="120">
        <v>384</v>
      </c>
      <c r="C387" s="122">
        <v>20148092282</v>
      </c>
      <c r="D387" s="125" t="s">
        <v>260</v>
      </c>
      <c r="E387" s="125" t="s">
        <v>6979</v>
      </c>
      <c r="F387" s="122" t="s">
        <v>30</v>
      </c>
      <c r="G387" s="122" t="s">
        <v>30</v>
      </c>
      <c r="H387" s="122" t="s">
        <v>30</v>
      </c>
      <c r="I387" s="125" t="s">
        <v>4981</v>
      </c>
      <c r="J387" s="129" t="s">
        <v>8062</v>
      </c>
      <c r="K387" s="122" t="s">
        <v>8063</v>
      </c>
      <c r="L387" s="122" t="s">
        <v>2951</v>
      </c>
      <c r="M387" s="133" t="s">
        <v>6983</v>
      </c>
      <c r="N387" s="122" t="s">
        <v>30</v>
      </c>
    </row>
    <row r="388" spans="2:14" s="9" customFormat="1" hidden="1" x14ac:dyDescent="0.25">
      <c r="B388" s="120">
        <v>385</v>
      </c>
      <c r="C388" s="122">
        <v>20148092282</v>
      </c>
      <c r="D388" s="125" t="s">
        <v>260</v>
      </c>
      <c r="E388" s="125" t="s">
        <v>6979</v>
      </c>
      <c r="F388" s="122" t="s">
        <v>30</v>
      </c>
      <c r="G388" s="122" t="s">
        <v>30</v>
      </c>
      <c r="H388" s="122" t="s">
        <v>30</v>
      </c>
      <c r="I388" s="125" t="s">
        <v>4981</v>
      </c>
      <c r="J388" s="129" t="s">
        <v>6980</v>
      </c>
      <c r="K388" s="122" t="s">
        <v>6981</v>
      </c>
      <c r="L388" s="122" t="s">
        <v>6982</v>
      </c>
      <c r="M388" s="133" t="s">
        <v>6983</v>
      </c>
      <c r="N388" s="122" t="s">
        <v>30</v>
      </c>
    </row>
    <row r="389" spans="2:14" s="9" customFormat="1" hidden="1" x14ac:dyDescent="0.25">
      <c r="B389" s="120">
        <v>386</v>
      </c>
      <c r="C389" s="122">
        <v>20215195539</v>
      </c>
      <c r="D389" s="125" t="s">
        <v>71</v>
      </c>
      <c r="E389" s="125" t="s">
        <v>6975</v>
      </c>
      <c r="F389" s="122" t="s">
        <v>30</v>
      </c>
      <c r="G389" s="122" t="s">
        <v>30</v>
      </c>
      <c r="H389" s="122" t="s">
        <v>45</v>
      </c>
      <c r="I389" s="125" t="s">
        <v>1773</v>
      </c>
      <c r="J389" s="129" t="s">
        <v>6976</v>
      </c>
      <c r="K389" s="122" t="s">
        <v>6977</v>
      </c>
      <c r="L389" s="122" t="s">
        <v>731</v>
      </c>
      <c r="M389" s="133" t="s">
        <v>6978</v>
      </c>
      <c r="N389" s="122" t="s">
        <v>30</v>
      </c>
    </row>
    <row r="390" spans="2:14" s="9" customFormat="1" hidden="1" x14ac:dyDescent="0.25">
      <c r="B390" s="120">
        <v>387</v>
      </c>
      <c r="C390" s="122">
        <v>20260933419</v>
      </c>
      <c r="D390" s="125" t="s">
        <v>326</v>
      </c>
      <c r="E390" s="125" t="s">
        <v>6971</v>
      </c>
      <c r="F390" s="122" t="s">
        <v>30</v>
      </c>
      <c r="G390" s="122" t="s">
        <v>30</v>
      </c>
      <c r="H390" s="122" t="s">
        <v>58</v>
      </c>
      <c r="I390" s="125" t="s">
        <v>1377</v>
      </c>
      <c r="J390" s="129" t="s">
        <v>6972</v>
      </c>
      <c r="K390" s="122" t="s">
        <v>6973</v>
      </c>
      <c r="L390" s="122" t="s">
        <v>731</v>
      </c>
      <c r="M390" s="133" t="s">
        <v>6974</v>
      </c>
      <c r="N390" s="122" t="s">
        <v>30</v>
      </c>
    </row>
    <row r="391" spans="2:14" s="9" customFormat="1" hidden="1" x14ac:dyDescent="0.25">
      <c r="B391" s="120">
        <v>388</v>
      </c>
      <c r="C391" s="122">
        <v>20305909611</v>
      </c>
      <c r="D391" s="125" t="s">
        <v>3586</v>
      </c>
      <c r="E391" s="125" t="s">
        <v>6953</v>
      </c>
      <c r="F391" s="122" t="s">
        <v>30</v>
      </c>
      <c r="G391" s="122" t="s">
        <v>30</v>
      </c>
      <c r="H391" s="122" t="s">
        <v>79</v>
      </c>
      <c r="I391" s="125" t="s">
        <v>1755</v>
      </c>
      <c r="J391" s="129" t="s">
        <v>6969</v>
      </c>
      <c r="K391" s="122" t="s">
        <v>6970</v>
      </c>
      <c r="L391" s="122" t="s">
        <v>731</v>
      </c>
      <c r="M391" s="133" t="s">
        <v>6956</v>
      </c>
      <c r="N391" s="122" t="s">
        <v>30</v>
      </c>
    </row>
    <row r="392" spans="2:14" s="9" customFormat="1" hidden="1" x14ac:dyDescent="0.25">
      <c r="B392" s="120">
        <v>389</v>
      </c>
      <c r="C392" s="122">
        <v>20305909611</v>
      </c>
      <c r="D392" s="125" t="s">
        <v>3586</v>
      </c>
      <c r="E392" s="125" t="s">
        <v>6953</v>
      </c>
      <c r="F392" s="122" t="s">
        <v>30</v>
      </c>
      <c r="G392" s="122" t="s">
        <v>30</v>
      </c>
      <c r="H392" s="122" t="s">
        <v>79</v>
      </c>
      <c r="I392" s="125" t="s">
        <v>1755</v>
      </c>
      <c r="J392" s="129" t="s">
        <v>6967</v>
      </c>
      <c r="K392" s="122" t="s">
        <v>6968</v>
      </c>
      <c r="L392" s="122" t="s">
        <v>1558</v>
      </c>
      <c r="M392" s="133" t="s">
        <v>6956</v>
      </c>
      <c r="N392" s="122" t="s">
        <v>30</v>
      </c>
    </row>
    <row r="393" spans="2:14" s="9" customFormat="1" hidden="1" x14ac:dyDescent="0.25">
      <c r="B393" s="120">
        <v>390</v>
      </c>
      <c r="C393" s="122">
        <v>20305909611</v>
      </c>
      <c r="D393" s="125" t="s">
        <v>3586</v>
      </c>
      <c r="E393" s="125" t="s">
        <v>6953</v>
      </c>
      <c r="F393" s="122" t="s">
        <v>30</v>
      </c>
      <c r="G393" s="122" t="s">
        <v>30</v>
      </c>
      <c r="H393" s="122" t="s">
        <v>79</v>
      </c>
      <c r="I393" s="125" t="s">
        <v>1755</v>
      </c>
      <c r="J393" s="129" t="s">
        <v>6965</v>
      </c>
      <c r="K393" s="122" t="s">
        <v>6966</v>
      </c>
      <c r="L393" s="122" t="s">
        <v>1558</v>
      </c>
      <c r="M393" s="133" t="s">
        <v>6956</v>
      </c>
      <c r="N393" s="122" t="s">
        <v>30</v>
      </c>
    </row>
    <row r="394" spans="2:14" s="9" customFormat="1" hidden="1" x14ac:dyDescent="0.25">
      <c r="B394" s="120">
        <v>391</v>
      </c>
      <c r="C394" s="122">
        <v>20305909611</v>
      </c>
      <c r="D394" s="125" t="s">
        <v>3586</v>
      </c>
      <c r="E394" s="125" t="s">
        <v>6953</v>
      </c>
      <c r="F394" s="122" t="s">
        <v>30</v>
      </c>
      <c r="G394" s="122" t="s">
        <v>30</v>
      </c>
      <c r="H394" s="122" t="s">
        <v>79</v>
      </c>
      <c r="I394" s="125" t="s">
        <v>1755</v>
      </c>
      <c r="J394" s="129" t="s">
        <v>6963</v>
      </c>
      <c r="K394" s="122" t="s">
        <v>6964</v>
      </c>
      <c r="L394" s="122" t="s">
        <v>1558</v>
      </c>
      <c r="M394" s="133" t="s">
        <v>6956</v>
      </c>
      <c r="N394" s="122" t="s">
        <v>30</v>
      </c>
    </row>
    <row r="395" spans="2:14" s="9" customFormat="1" hidden="1" x14ac:dyDescent="0.25">
      <c r="B395" s="120">
        <v>392</v>
      </c>
      <c r="C395" s="122">
        <v>20305909611</v>
      </c>
      <c r="D395" s="125" t="s">
        <v>3586</v>
      </c>
      <c r="E395" s="125" t="s">
        <v>6953</v>
      </c>
      <c r="F395" s="122" t="s">
        <v>30</v>
      </c>
      <c r="G395" s="122" t="s">
        <v>30</v>
      </c>
      <c r="H395" s="122" t="s">
        <v>79</v>
      </c>
      <c r="I395" s="125" t="s">
        <v>1755</v>
      </c>
      <c r="J395" s="129" t="s">
        <v>6961</v>
      </c>
      <c r="K395" s="122" t="s">
        <v>6962</v>
      </c>
      <c r="L395" s="122" t="s">
        <v>1558</v>
      </c>
      <c r="M395" s="133" t="s">
        <v>6956</v>
      </c>
      <c r="N395" s="122" t="s">
        <v>30</v>
      </c>
    </row>
    <row r="396" spans="2:14" s="9" customFormat="1" hidden="1" x14ac:dyDescent="0.25">
      <c r="B396" s="120">
        <v>393</v>
      </c>
      <c r="C396" s="122">
        <v>20305909611</v>
      </c>
      <c r="D396" s="125" t="s">
        <v>3586</v>
      </c>
      <c r="E396" s="125" t="s">
        <v>6953</v>
      </c>
      <c r="F396" s="122" t="s">
        <v>30</v>
      </c>
      <c r="G396" s="122" t="s">
        <v>30</v>
      </c>
      <c r="H396" s="122" t="s">
        <v>79</v>
      </c>
      <c r="I396" s="125" t="s">
        <v>1755</v>
      </c>
      <c r="J396" s="129" t="s">
        <v>6959</v>
      </c>
      <c r="K396" s="122" t="s">
        <v>6960</v>
      </c>
      <c r="L396" s="122" t="s">
        <v>1558</v>
      </c>
      <c r="M396" s="133" t="s">
        <v>6956</v>
      </c>
      <c r="N396" s="122" t="s">
        <v>30</v>
      </c>
    </row>
    <row r="397" spans="2:14" s="9" customFormat="1" hidden="1" x14ac:dyDescent="0.25">
      <c r="B397" s="120">
        <v>394</v>
      </c>
      <c r="C397" s="122">
        <v>20305909611</v>
      </c>
      <c r="D397" s="125" t="s">
        <v>3586</v>
      </c>
      <c r="E397" s="125" t="s">
        <v>6953</v>
      </c>
      <c r="F397" s="122" t="s">
        <v>30</v>
      </c>
      <c r="G397" s="122" t="s">
        <v>30</v>
      </c>
      <c r="H397" s="122" t="s">
        <v>79</v>
      </c>
      <c r="I397" s="125" t="s">
        <v>1755</v>
      </c>
      <c r="J397" s="129" t="s">
        <v>6957</v>
      </c>
      <c r="K397" s="122" t="s">
        <v>6958</v>
      </c>
      <c r="L397" s="122" t="s">
        <v>1558</v>
      </c>
      <c r="M397" s="133" t="s">
        <v>6956</v>
      </c>
      <c r="N397" s="122" t="s">
        <v>30</v>
      </c>
    </row>
    <row r="398" spans="2:14" s="9" customFormat="1" hidden="1" x14ac:dyDescent="0.25">
      <c r="B398" s="120">
        <v>395</v>
      </c>
      <c r="C398" s="122">
        <v>20305909611</v>
      </c>
      <c r="D398" s="125" t="s">
        <v>3586</v>
      </c>
      <c r="E398" s="125" t="s">
        <v>6953</v>
      </c>
      <c r="F398" s="122" t="s">
        <v>30</v>
      </c>
      <c r="G398" s="122" t="s">
        <v>30</v>
      </c>
      <c r="H398" s="122" t="s">
        <v>79</v>
      </c>
      <c r="I398" s="125" t="s">
        <v>1755</v>
      </c>
      <c r="J398" s="129" t="s">
        <v>6954</v>
      </c>
      <c r="K398" s="122" t="s">
        <v>6955</v>
      </c>
      <c r="L398" s="122" t="s">
        <v>1558</v>
      </c>
      <c r="M398" s="133" t="s">
        <v>6956</v>
      </c>
      <c r="N398" s="122" t="s">
        <v>30</v>
      </c>
    </row>
    <row r="399" spans="2:14" s="9" customFormat="1" hidden="1" x14ac:dyDescent="0.25">
      <c r="B399" s="120">
        <v>396</v>
      </c>
      <c r="C399" s="122">
        <v>20374343964</v>
      </c>
      <c r="D399" s="125" t="s">
        <v>6948</v>
      </c>
      <c r="E399" s="125" t="s">
        <v>6949</v>
      </c>
      <c r="F399" s="122" t="s">
        <v>30</v>
      </c>
      <c r="G399" s="122" t="s">
        <v>30</v>
      </c>
      <c r="H399" s="122" t="s">
        <v>30</v>
      </c>
      <c r="I399" s="125" t="s">
        <v>1737</v>
      </c>
      <c r="J399" s="129" t="s">
        <v>6950</v>
      </c>
      <c r="K399" s="122" t="s">
        <v>6951</v>
      </c>
      <c r="L399" s="122" t="s">
        <v>731</v>
      </c>
      <c r="M399" s="133" t="s">
        <v>6952</v>
      </c>
      <c r="N399" s="122" t="s">
        <v>30</v>
      </c>
    </row>
    <row r="400" spans="2:14" s="9" customFormat="1" hidden="1" x14ac:dyDescent="0.25">
      <c r="B400" s="120">
        <v>397</v>
      </c>
      <c r="C400" s="122">
        <v>20379120181</v>
      </c>
      <c r="D400" s="125" t="s">
        <v>3628</v>
      </c>
      <c r="E400" s="125" t="s">
        <v>6944</v>
      </c>
      <c r="F400" s="122" t="s">
        <v>67</v>
      </c>
      <c r="G400" s="122" t="s">
        <v>67</v>
      </c>
      <c r="H400" s="122" t="s">
        <v>67</v>
      </c>
      <c r="I400" s="125" t="s">
        <v>5202</v>
      </c>
      <c r="J400" s="129" t="s">
        <v>6945</v>
      </c>
      <c r="K400" s="122" t="s">
        <v>6946</v>
      </c>
      <c r="L400" s="122" t="s">
        <v>42</v>
      </c>
      <c r="M400" s="133" t="s">
        <v>6947</v>
      </c>
      <c r="N400" s="122" t="s">
        <v>30</v>
      </c>
    </row>
    <row r="401" spans="2:14" s="9" customFormat="1" hidden="1" x14ac:dyDescent="0.25">
      <c r="B401" s="120">
        <v>398</v>
      </c>
      <c r="C401" s="122">
        <v>20387144901</v>
      </c>
      <c r="D401" s="125" t="s">
        <v>289</v>
      </c>
      <c r="E401" s="125" t="s">
        <v>6938</v>
      </c>
      <c r="F401" s="122" t="s">
        <v>30</v>
      </c>
      <c r="G401" s="122" t="s">
        <v>30</v>
      </c>
      <c r="H401" s="122" t="s">
        <v>65</v>
      </c>
      <c r="I401" s="125" t="s">
        <v>1450</v>
      </c>
      <c r="J401" s="129" t="s">
        <v>6942</v>
      </c>
      <c r="K401" s="122" t="s">
        <v>6943</v>
      </c>
      <c r="L401" s="122" t="s">
        <v>1558</v>
      </c>
      <c r="M401" s="133" t="s">
        <v>6941</v>
      </c>
      <c r="N401" s="122" t="s">
        <v>30</v>
      </c>
    </row>
    <row r="402" spans="2:14" s="9" customFormat="1" hidden="1" x14ac:dyDescent="0.25">
      <c r="B402" s="120">
        <v>399</v>
      </c>
      <c r="C402" s="122">
        <v>20387144901</v>
      </c>
      <c r="D402" s="125" t="s">
        <v>289</v>
      </c>
      <c r="E402" s="125" t="s">
        <v>6938</v>
      </c>
      <c r="F402" s="122" t="s">
        <v>30</v>
      </c>
      <c r="G402" s="122" t="s">
        <v>30</v>
      </c>
      <c r="H402" s="122" t="s">
        <v>65</v>
      </c>
      <c r="I402" s="125" t="s">
        <v>1450</v>
      </c>
      <c r="J402" s="129" t="s">
        <v>6939</v>
      </c>
      <c r="K402" s="122" t="s">
        <v>6940</v>
      </c>
      <c r="L402" s="122" t="s">
        <v>731</v>
      </c>
      <c r="M402" s="133" t="s">
        <v>6941</v>
      </c>
      <c r="N402" s="122" t="s">
        <v>30</v>
      </c>
    </row>
    <row r="403" spans="2:14" s="9" customFormat="1" hidden="1" x14ac:dyDescent="0.25">
      <c r="B403" s="120">
        <v>400</v>
      </c>
      <c r="C403" s="122">
        <v>20100674301</v>
      </c>
      <c r="D403" s="125" t="s">
        <v>305</v>
      </c>
      <c r="E403" s="125" t="s">
        <v>6934</v>
      </c>
      <c r="F403" s="122" t="s">
        <v>67</v>
      </c>
      <c r="G403" s="122" t="s">
        <v>67</v>
      </c>
      <c r="H403" s="122" t="s">
        <v>143</v>
      </c>
      <c r="I403" s="125" t="s">
        <v>1970</v>
      </c>
      <c r="J403" s="129" t="s">
        <v>6935</v>
      </c>
      <c r="K403" s="122" t="s">
        <v>6936</v>
      </c>
      <c r="L403" s="122" t="s">
        <v>731</v>
      </c>
      <c r="M403" s="133" t="s">
        <v>6937</v>
      </c>
      <c r="N403" s="122" t="s">
        <v>30</v>
      </c>
    </row>
    <row r="404" spans="2:14" s="9" customFormat="1" hidden="1" x14ac:dyDescent="0.25">
      <c r="B404" s="120">
        <v>401</v>
      </c>
      <c r="C404" s="122">
        <v>20392462105</v>
      </c>
      <c r="D404" s="125" t="s">
        <v>3623</v>
      </c>
      <c r="E404" s="125" t="s">
        <v>6930</v>
      </c>
      <c r="F404" s="122" t="s">
        <v>30</v>
      </c>
      <c r="G404" s="122" t="s">
        <v>30</v>
      </c>
      <c r="H404" s="122" t="s">
        <v>75</v>
      </c>
      <c r="I404" s="125" t="s">
        <v>1377</v>
      </c>
      <c r="J404" s="129" t="s">
        <v>6931</v>
      </c>
      <c r="K404" s="122" t="s">
        <v>6932</v>
      </c>
      <c r="L404" s="122" t="s">
        <v>731</v>
      </c>
      <c r="M404" s="133" t="s">
        <v>6933</v>
      </c>
      <c r="N404" s="122" t="s">
        <v>30</v>
      </c>
    </row>
    <row r="405" spans="2:14" s="9" customFormat="1" hidden="1" x14ac:dyDescent="0.25">
      <c r="B405" s="120">
        <v>402</v>
      </c>
      <c r="C405" s="122">
        <v>20414766308</v>
      </c>
      <c r="D405" s="125" t="s">
        <v>3506</v>
      </c>
      <c r="E405" s="125" t="s">
        <v>6923</v>
      </c>
      <c r="F405" s="122" t="s">
        <v>30</v>
      </c>
      <c r="G405" s="122" t="s">
        <v>30</v>
      </c>
      <c r="H405" s="122" t="s">
        <v>80</v>
      </c>
      <c r="I405" s="125" t="s">
        <v>6924</v>
      </c>
      <c r="J405" s="129" t="s">
        <v>6928</v>
      </c>
      <c r="K405" s="122" t="s">
        <v>6929</v>
      </c>
      <c r="L405" s="122" t="s">
        <v>42</v>
      </c>
      <c r="M405" s="133" t="s">
        <v>6927</v>
      </c>
      <c r="N405" s="122" t="s">
        <v>30</v>
      </c>
    </row>
    <row r="406" spans="2:14" s="9" customFormat="1" hidden="1" x14ac:dyDescent="0.25">
      <c r="B406" s="120">
        <v>403</v>
      </c>
      <c r="C406" s="122">
        <v>20414766308</v>
      </c>
      <c r="D406" s="125" t="s">
        <v>3506</v>
      </c>
      <c r="E406" s="125" t="s">
        <v>6923</v>
      </c>
      <c r="F406" s="122" t="s">
        <v>30</v>
      </c>
      <c r="G406" s="122" t="s">
        <v>30</v>
      </c>
      <c r="H406" s="122" t="s">
        <v>80</v>
      </c>
      <c r="I406" s="125" t="s">
        <v>6924</v>
      </c>
      <c r="J406" s="129" t="s">
        <v>6925</v>
      </c>
      <c r="K406" s="122" t="s">
        <v>6926</v>
      </c>
      <c r="L406" s="122" t="s">
        <v>2903</v>
      </c>
      <c r="M406" s="133" t="s">
        <v>6927</v>
      </c>
      <c r="N406" s="122" t="s">
        <v>30</v>
      </c>
    </row>
    <row r="407" spans="2:14" s="9" customFormat="1" hidden="1" x14ac:dyDescent="0.25">
      <c r="B407" s="120">
        <v>404</v>
      </c>
      <c r="C407" s="122">
        <v>20418108151</v>
      </c>
      <c r="D407" s="125" t="s">
        <v>6909</v>
      </c>
      <c r="E407" s="125" t="s">
        <v>6910</v>
      </c>
      <c r="F407" s="122" t="s">
        <v>30</v>
      </c>
      <c r="G407" s="122" t="s">
        <v>30</v>
      </c>
      <c r="H407" s="122" t="s">
        <v>6911</v>
      </c>
      <c r="I407" s="125" t="s">
        <v>1737</v>
      </c>
      <c r="J407" s="129" t="s">
        <v>6921</v>
      </c>
      <c r="K407" s="122" t="s">
        <v>6922</v>
      </c>
      <c r="L407" s="122" t="s">
        <v>1558</v>
      </c>
      <c r="M407" s="133" t="s">
        <v>6914</v>
      </c>
      <c r="N407" s="122" t="s">
        <v>30</v>
      </c>
    </row>
    <row r="408" spans="2:14" s="9" customFormat="1" hidden="1" x14ac:dyDescent="0.25">
      <c r="B408" s="120">
        <v>405</v>
      </c>
      <c r="C408" s="122">
        <v>20418108151</v>
      </c>
      <c r="D408" s="125" t="s">
        <v>6909</v>
      </c>
      <c r="E408" s="125" t="s">
        <v>6910</v>
      </c>
      <c r="F408" s="122" t="s">
        <v>30</v>
      </c>
      <c r="G408" s="122" t="s">
        <v>30</v>
      </c>
      <c r="H408" s="122" t="s">
        <v>6911</v>
      </c>
      <c r="I408" s="125" t="s">
        <v>1737</v>
      </c>
      <c r="J408" s="129" t="s">
        <v>6919</v>
      </c>
      <c r="K408" s="122" t="s">
        <v>6920</v>
      </c>
      <c r="L408" s="122" t="s">
        <v>1558</v>
      </c>
      <c r="M408" s="133" t="s">
        <v>6914</v>
      </c>
      <c r="N408" s="122" t="s">
        <v>30</v>
      </c>
    </row>
    <row r="409" spans="2:14" s="9" customFormat="1" hidden="1" x14ac:dyDescent="0.25">
      <c r="B409" s="120">
        <v>406</v>
      </c>
      <c r="C409" s="122">
        <v>20418108151</v>
      </c>
      <c r="D409" s="125" t="s">
        <v>6909</v>
      </c>
      <c r="E409" s="125" t="s">
        <v>6910</v>
      </c>
      <c r="F409" s="122" t="s">
        <v>30</v>
      </c>
      <c r="G409" s="122" t="s">
        <v>30</v>
      </c>
      <c r="H409" s="122" t="s">
        <v>6911</v>
      </c>
      <c r="I409" s="125" t="s">
        <v>1737</v>
      </c>
      <c r="J409" s="129" t="s">
        <v>6917</v>
      </c>
      <c r="K409" s="122" t="s">
        <v>6918</v>
      </c>
      <c r="L409" s="122" t="s">
        <v>1558</v>
      </c>
      <c r="M409" s="133" t="s">
        <v>6914</v>
      </c>
      <c r="N409" s="122" t="s">
        <v>30</v>
      </c>
    </row>
    <row r="410" spans="2:14" s="9" customFormat="1" hidden="1" x14ac:dyDescent="0.25">
      <c r="B410" s="120">
        <v>407</v>
      </c>
      <c r="C410" s="122">
        <v>20418108151</v>
      </c>
      <c r="D410" s="125" t="s">
        <v>6909</v>
      </c>
      <c r="E410" s="125" t="s">
        <v>6910</v>
      </c>
      <c r="F410" s="122" t="s">
        <v>30</v>
      </c>
      <c r="G410" s="122" t="s">
        <v>30</v>
      </c>
      <c r="H410" s="122" t="s">
        <v>6911</v>
      </c>
      <c r="I410" s="125" t="s">
        <v>1737</v>
      </c>
      <c r="J410" s="129" t="s">
        <v>6915</v>
      </c>
      <c r="K410" s="122" t="s">
        <v>6916</v>
      </c>
      <c r="L410" s="122" t="s">
        <v>731</v>
      </c>
      <c r="M410" s="133" t="s">
        <v>6914</v>
      </c>
      <c r="N410" s="122" t="s">
        <v>30</v>
      </c>
    </row>
    <row r="411" spans="2:14" s="9" customFormat="1" hidden="1" x14ac:dyDescent="0.25">
      <c r="B411" s="120">
        <v>408</v>
      </c>
      <c r="C411" s="122">
        <v>20418108151</v>
      </c>
      <c r="D411" s="125" t="s">
        <v>6909</v>
      </c>
      <c r="E411" s="125" t="s">
        <v>6910</v>
      </c>
      <c r="F411" s="122" t="s">
        <v>30</v>
      </c>
      <c r="G411" s="122" t="s">
        <v>30</v>
      </c>
      <c r="H411" s="122" t="s">
        <v>6911</v>
      </c>
      <c r="I411" s="125" t="s">
        <v>1737</v>
      </c>
      <c r="J411" s="129" t="s">
        <v>6912</v>
      </c>
      <c r="K411" s="122" t="s">
        <v>6913</v>
      </c>
      <c r="L411" s="122" t="s">
        <v>1712</v>
      </c>
      <c r="M411" s="133" t="s">
        <v>6914</v>
      </c>
      <c r="N411" s="122" t="s">
        <v>30</v>
      </c>
    </row>
    <row r="412" spans="2:14" s="9" customFormat="1" hidden="1" x14ac:dyDescent="0.25">
      <c r="B412" s="120">
        <v>409</v>
      </c>
      <c r="C412" s="122">
        <v>20420310383</v>
      </c>
      <c r="D412" s="125" t="s">
        <v>3545</v>
      </c>
      <c r="E412" s="125" t="s">
        <v>6896</v>
      </c>
      <c r="F412" s="122" t="s">
        <v>30</v>
      </c>
      <c r="G412" s="122" t="s">
        <v>30</v>
      </c>
      <c r="H412" s="122" t="s">
        <v>135</v>
      </c>
      <c r="I412" s="125" t="s">
        <v>6897</v>
      </c>
      <c r="J412" s="129" t="s">
        <v>6907</v>
      </c>
      <c r="K412" s="122" t="s">
        <v>6908</v>
      </c>
      <c r="L412" s="122" t="s">
        <v>731</v>
      </c>
      <c r="M412" s="133" t="s">
        <v>6900</v>
      </c>
      <c r="N412" s="122" t="s">
        <v>30</v>
      </c>
    </row>
    <row r="413" spans="2:14" s="9" customFormat="1" hidden="1" x14ac:dyDescent="0.25">
      <c r="B413" s="120">
        <v>410</v>
      </c>
      <c r="C413" s="122">
        <v>20420310383</v>
      </c>
      <c r="D413" s="125" t="s">
        <v>3545</v>
      </c>
      <c r="E413" s="125" t="s">
        <v>6896</v>
      </c>
      <c r="F413" s="122" t="s">
        <v>30</v>
      </c>
      <c r="G413" s="122" t="s">
        <v>30</v>
      </c>
      <c r="H413" s="122" t="s">
        <v>135</v>
      </c>
      <c r="I413" s="125" t="s">
        <v>6897</v>
      </c>
      <c r="J413" s="129" t="s">
        <v>6905</v>
      </c>
      <c r="K413" s="122" t="s">
        <v>6906</v>
      </c>
      <c r="L413" s="122" t="s">
        <v>1558</v>
      </c>
      <c r="M413" s="133" t="s">
        <v>6900</v>
      </c>
      <c r="N413" s="122" t="s">
        <v>30</v>
      </c>
    </row>
    <row r="414" spans="2:14" s="9" customFormat="1" hidden="1" x14ac:dyDescent="0.25">
      <c r="B414" s="120">
        <v>411</v>
      </c>
      <c r="C414" s="122">
        <v>20420310383</v>
      </c>
      <c r="D414" s="125" t="s">
        <v>3545</v>
      </c>
      <c r="E414" s="125" t="s">
        <v>6896</v>
      </c>
      <c r="F414" s="122" t="s">
        <v>30</v>
      </c>
      <c r="G414" s="122" t="s">
        <v>30</v>
      </c>
      <c r="H414" s="122" t="s">
        <v>135</v>
      </c>
      <c r="I414" s="125" t="s">
        <v>6897</v>
      </c>
      <c r="J414" s="129" t="s">
        <v>6903</v>
      </c>
      <c r="K414" s="122" t="s">
        <v>6904</v>
      </c>
      <c r="L414" s="122" t="s">
        <v>1558</v>
      </c>
      <c r="M414" s="133" t="s">
        <v>6900</v>
      </c>
      <c r="N414" s="122" t="s">
        <v>30</v>
      </c>
    </row>
    <row r="415" spans="2:14" s="9" customFormat="1" hidden="1" x14ac:dyDescent="0.25">
      <c r="B415" s="120">
        <v>412</v>
      </c>
      <c r="C415" s="122">
        <v>20420310383</v>
      </c>
      <c r="D415" s="125" t="s">
        <v>3545</v>
      </c>
      <c r="E415" s="125" t="s">
        <v>6896</v>
      </c>
      <c r="F415" s="122" t="s">
        <v>30</v>
      </c>
      <c r="G415" s="122" t="s">
        <v>30</v>
      </c>
      <c r="H415" s="122" t="s">
        <v>135</v>
      </c>
      <c r="I415" s="125" t="s">
        <v>6897</v>
      </c>
      <c r="J415" s="129" t="s">
        <v>6901</v>
      </c>
      <c r="K415" s="122" t="s">
        <v>6902</v>
      </c>
      <c r="L415" s="122" t="s">
        <v>1558</v>
      </c>
      <c r="M415" s="133" t="s">
        <v>6900</v>
      </c>
      <c r="N415" s="122" t="s">
        <v>30</v>
      </c>
    </row>
    <row r="416" spans="2:14" s="9" customFormat="1" hidden="1" x14ac:dyDescent="0.25">
      <c r="B416" s="120">
        <v>413</v>
      </c>
      <c r="C416" s="122">
        <v>20420310383</v>
      </c>
      <c r="D416" s="125" t="s">
        <v>3545</v>
      </c>
      <c r="E416" s="125" t="s">
        <v>6896</v>
      </c>
      <c r="F416" s="122" t="s">
        <v>30</v>
      </c>
      <c r="G416" s="122" t="s">
        <v>30</v>
      </c>
      <c r="H416" s="122" t="s">
        <v>135</v>
      </c>
      <c r="I416" s="125" t="s">
        <v>6897</v>
      </c>
      <c r="J416" s="129" t="s">
        <v>6898</v>
      </c>
      <c r="K416" s="122" t="s">
        <v>6899</v>
      </c>
      <c r="L416" s="122" t="s">
        <v>1558</v>
      </c>
      <c r="M416" s="133" t="s">
        <v>6900</v>
      </c>
      <c r="N416" s="122" t="s">
        <v>30</v>
      </c>
    </row>
    <row r="417" spans="2:14" s="9" customFormat="1" hidden="1" x14ac:dyDescent="0.25">
      <c r="B417" s="120">
        <v>414</v>
      </c>
      <c r="C417" s="122">
        <v>20451527232</v>
      </c>
      <c r="D417" s="125" t="s">
        <v>3619</v>
      </c>
      <c r="E417" s="125" t="s">
        <v>6889</v>
      </c>
      <c r="F417" s="122" t="s">
        <v>67</v>
      </c>
      <c r="G417" s="122" t="s">
        <v>67</v>
      </c>
      <c r="H417" s="122" t="s">
        <v>67</v>
      </c>
      <c r="I417" s="125" t="s">
        <v>3734</v>
      </c>
      <c r="J417" s="129" t="s">
        <v>6890</v>
      </c>
      <c r="K417" s="122" t="s">
        <v>6891</v>
      </c>
      <c r="L417" s="122" t="s">
        <v>731</v>
      </c>
      <c r="M417" s="133" t="s">
        <v>6892</v>
      </c>
      <c r="N417" s="122" t="s">
        <v>30</v>
      </c>
    </row>
    <row r="418" spans="2:14" s="9" customFormat="1" hidden="1" x14ac:dyDescent="0.25">
      <c r="B418" s="120">
        <v>415</v>
      </c>
      <c r="C418" s="122">
        <v>20468530831</v>
      </c>
      <c r="D418" s="125" t="s">
        <v>3495</v>
      </c>
      <c r="E418" s="125" t="s">
        <v>6885</v>
      </c>
      <c r="F418" s="122" t="s">
        <v>67</v>
      </c>
      <c r="G418" s="122" t="s">
        <v>67</v>
      </c>
      <c r="H418" s="122" t="s">
        <v>67</v>
      </c>
      <c r="I418" s="125" t="s">
        <v>1441</v>
      </c>
      <c r="J418" s="129" t="s">
        <v>6886</v>
      </c>
      <c r="K418" s="122" t="s">
        <v>6887</v>
      </c>
      <c r="L418" s="122" t="s">
        <v>731</v>
      </c>
      <c r="M418" s="133" t="s">
        <v>6888</v>
      </c>
      <c r="N418" s="122" t="s">
        <v>67</v>
      </c>
    </row>
    <row r="419" spans="2:14" s="9" customFormat="1" hidden="1" x14ac:dyDescent="0.25">
      <c r="B419" s="120">
        <v>416</v>
      </c>
      <c r="C419" s="122">
        <v>20486082993</v>
      </c>
      <c r="D419" s="125" t="s">
        <v>6878</v>
      </c>
      <c r="E419" s="125" t="s">
        <v>6879</v>
      </c>
      <c r="F419" s="122" t="s">
        <v>93</v>
      </c>
      <c r="G419" s="122" t="s">
        <v>160</v>
      </c>
      <c r="H419" s="122" t="s">
        <v>160</v>
      </c>
      <c r="I419" s="125" t="s">
        <v>1930</v>
      </c>
      <c r="J419" s="129" t="s">
        <v>6883</v>
      </c>
      <c r="K419" s="122" t="s">
        <v>6884</v>
      </c>
      <c r="L419" s="122" t="s">
        <v>2469</v>
      </c>
      <c r="M419" s="133" t="s">
        <v>6882</v>
      </c>
      <c r="N419" s="122" t="s">
        <v>160</v>
      </c>
    </row>
    <row r="420" spans="2:14" s="9" customFormat="1" hidden="1" x14ac:dyDescent="0.25">
      <c r="B420" s="120">
        <v>417</v>
      </c>
      <c r="C420" s="122">
        <v>20486082993</v>
      </c>
      <c r="D420" s="125" t="s">
        <v>6878</v>
      </c>
      <c r="E420" s="125" t="s">
        <v>6879</v>
      </c>
      <c r="F420" s="122" t="s">
        <v>93</v>
      </c>
      <c r="G420" s="122" t="s">
        <v>160</v>
      </c>
      <c r="H420" s="122" t="s">
        <v>160</v>
      </c>
      <c r="I420" s="125" t="s">
        <v>1930</v>
      </c>
      <c r="J420" s="129" t="s">
        <v>6880</v>
      </c>
      <c r="K420" s="122" t="s">
        <v>6881</v>
      </c>
      <c r="L420" s="122" t="s">
        <v>731</v>
      </c>
      <c r="M420" s="133" t="s">
        <v>6882</v>
      </c>
      <c r="N420" s="122" t="s">
        <v>160</v>
      </c>
    </row>
    <row r="421" spans="2:14" s="9" customFormat="1" hidden="1" x14ac:dyDescent="0.25">
      <c r="B421" s="120">
        <v>418</v>
      </c>
      <c r="C421" s="122">
        <v>20501549801</v>
      </c>
      <c r="D421" s="125" t="s">
        <v>228</v>
      </c>
      <c r="E421" s="125" t="s">
        <v>6872</v>
      </c>
      <c r="F421" s="122" t="s">
        <v>30</v>
      </c>
      <c r="G421" s="122" t="s">
        <v>30</v>
      </c>
      <c r="H421" s="122" t="s">
        <v>86</v>
      </c>
      <c r="I421" s="125" t="s">
        <v>1365</v>
      </c>
      <c r="J421" s="129" t="s">
        <v>6876</v>
      </c>
      <c r="K421" s="122" t="s">
        <v>6877</v>
      </c>
      <c r="L421" s="122" t="s">
        <v>1558</v>
      </c>
      <c r="M421" s="133" t="s">
        <v>6875</v>
      </c>
      <c r="N421" s="122" t="s">
        <v>30</v>
      </c>
    </row>
    <row r="422" spans="2:14" s="9" customFormat="1" hidden="1" x14ac:dyDescent="0.25">
      <c r="B422" s="120">
        <v>419</v>
      </c>
      <c r="C422" s="122">
        <v>20501549801</v>
      </c>
      <c r="D422" s="125" t="s">
        <v>228</v>
      </c>
      <c r="E422" s="125" t="s">
        <v>6872</v>
      </c>
      <c r="F422" s="122" t="s">
        <v>30</v>
      </c>
      <c r="G422" s="122" t="s">
        <v>30</v>
      </c>
      <c r="H422" s="122" t="s">
        <v>86</v>
      </c>
      <c r="I422" s="125" t="s">
        <v>1365</v>
      </c>
      <c r="J422" s="129" t="s">
        <v>6873</v>
      </c>
      <c r="K422" s="122" t="s">
        <v>6874</v>
      </c>
      <c r="L422" s="122" t="s">
        <v>42</v>
      </c>
      <c r="M422" s="133" t="s">
        <v>6875</v>
      </c>
      <c r="N422" s="122" t="s">
        <v>30</v>
      </c>
    </row>
    <row r="423" spans="2:14" s="9" customFormat="1" hidden="1" x14ac:dyDescent="0.25">
      <c r="B423" s="120">
        <v>420</v>
      </c>
      <c r="C423" s="122">
        <v>20502797230</v>
      </c>
      <c r="D423" s="125" t="s">
        <v>3555</v>
      </c>
      <c r="E423" s="125" t="s">
        <v>6850</v>
      </c>
      <c r="F423" s="122" t="s">
        <v>30</v>
      </c>
      <c r="G423" s="122" t="s">
        <v>30</v>
      </c>
      <c r="H423" s="122" t="s">
        <v>41</v>
      </c>
      <c r="I423" s="125" t="s">
        <v>1403</v>
      </c>
      <c r="J423" s="129" t="s">
        <v>8065</v>
      </c>
      <c r="K423" s="122" t="s">
        <v>8064</v>
      </c>
      <c r="L423" s="122" t="s">
        <v>731</v>
      </c>
      <c r="M423" s="133" t="s">
        <v>6853</v>
      </c>
      <c r="N423" s="122" t="s">
        <v>30</v>
      </c>
    </row>
    <row r="424" spans="2:14" s="9" customFormat="1" hidden="1" x14ac:dyDescent="0.25">
      <c r="B424" s="120">
        <v>421</v>
      </c>
      <c r="C424" s="122">
        <v>20502797230</v>
      </c>
      <c r="D424" s="125" t="s">
        <v>3555</v>
      </c>
      <c r="E424" s="125" t="s">
        <v>6850</v>
      </c>
      <c r="F424" s="122" t="s">
        <v>30</v>
      </c>
      <c r="G424" s="122" t="s">
        <v>30</v>
      </c>
      <c r="H424" s="122" t="s">
        <v>41</v>
      </c>
      <c r="I424" s="125" t="s">
        <v>1403</v>
      </c>
      <c r="J424" s="129" t="s">
        <v>6870</v>
      </c>
      <c r="K424" s="122" t="s">
        <v>6871</v>
      </c>
      <c r="L424" s="122" t="s">
        <v>1558</v>
      </c>
      <c r="M424" s="133" t="s">
        <v>6853</v>
      </c>
      <c r="N424" s="122" t="s">
        <v>30</v>
      </c>
    </row>
    <row r="425" spans="2:14" s="9" customFormat="1" hidden="1" x14ac:dyDescent="0.25">
      <c r="B425" s="120">
        <v>422</v>
      </c>
      <c r="C425" s="122">
        <v>20502797230</v>
      </c>
      <c r="D425" s="125" t="s">
        <v>3555</v>
      </c>
      <c r="E425" s="125" t="s">
        <v>6850</v>
      </c>
      <c r="F425" s="122" t="s">
        <v>30</v>
      </c>
      <c r="G425" s="122" t="s">
        <v>30</v>
      </c>
      <c r="H425" s="122" t="s">
        <v>41</v>
      </c>
      <c r="I425" s="125" t="s">
        <v>1403</v>
      </c>
      <c r="J425" s="129" t="s">
        <v>6868</v>
      </c>
      <c r="K425" s="122" t="s">
        <v>6869</v>
      </c>
      <c r="L425" s="122" t="s">
        <v>1558</v>
      </c>
      <c r="M425" s="133" t="s">
        <v>6853</v>
      </c>
      <c r="N425" s="122" t="s">
        <v>30</v>
      </c>
    </row>
    <row r="426" spans="2:14" s="9" customFormat="1" hidden="1" x14ac:dyDescent="0.25">
      <c r="B426" s="120">
        <v>423</v>
      </c>
      <c r="C426" s="122">
        <v>20502797230</v>
      </c>
      <c r="D426" s="125" t="s">
        <v>3555</v>
      </c>
      <c r="E426" s="125" t="s">
        <v>6850</v>
      </c>
      <c r="F426" s="122" t="s">
        <v>30</v>
      </c>
      <c r="G426" s="122" t="s">
        <v>30</v>
      </c>
      <c r="H426" s="122" t="s">
        <v>41</v>
      </c>
      <c r="I426" s="125" t="s">
        <v>1403</v>
      </c>
      <c r="J426" s="129" t="s">
        <v>6866</v>
      </c>
      <c r="K426" s="122" t="s">
        <v>6867</v>
      </c>
      <c r="L426" s="122" t="s">
        <v>2943</v>
      </c>
      <c r="M426" s="133" t="s">
        <v>6853</v>
      </c>
      <c r="N426" s="122" t="s">
        <v>30</v>
      </c>
    </row>
    <row r="427" spans="2:14" s="9" customFormat="1" hidden="1" x14ac:dyDescent="0.25">
      <c r="B427" s="120">
        <v>424</v>
      </c>
      <c r="C427" s="122">
        <v>20502797230</v>
      </c>
      <c r="D427" s="125" t="s">
        <v>3555</v>
      </c>
      <c r="E427" s="125" t="s">
        <v>6850</v>
      </c>
      <c r="F427" s="122" t="s">
        <v>30</v>
      </c>
      <c r="G427" s="122" t="s">
        <v>30</v>
      </c>
      <c r="H427" s="122" t="s">
        <v>41</v>
      </c>
      <c r="I427" s="125" t="s">
        <v>1403</v>
      </c>
      <c r="J427" s="129" t="s">
        <v>6864</v>
      </c>
      <c r="K427" s="122" t="s">
        <v>6865</v>
      </c>
      <c r="L427" s="122" t="s">
        <v>1558</v>
      </c>
      <c r="M427" s="133" t="s">
        <v>6853</v>
      </c>
      <c r="N427" s="122" t="s">
        <v>30</v>
      </c>
    </row>
    <row r="428" spans="2:14" s="9" customFormat="1" hidden="1" x14ac:dyDescent="0.25">
      <c r="B428" s="120">
        <v>425</v>
      </c>
      <c r="C428" s="122">
        <v>20502797230</v>
      </c>
      <c r="D428" s="125" t="s">
        <v>3555</v>
      </c>
      <c r="E428" s="125" t="s">
        <v>6850</v>
      </c>
      <c r="F428" s="122" t="s">
        <v>30</v>
      </c>
      <c r="G428" s="122" t="s">
        <v>30</v>
      </c>
      <c r="H428" s="122" t="s">
        <v>41</v>
      </c>
      <c r="I428" s="125" t="s">
        <v>1403</v>
      </c>
      <c r="J428" s="129" t="s">
        <v>6862</v>
      </c>
      <c r="K428" s="122" t="s">
        <v>6863</v>
      </c>
      <c r="L428" s="122" t="s">
        <v>1558</v>
      </c>
      <c r="M428" s="133" t="s">
        <v>6853</v>
      </c>
      <c r="N428" s="122" t="s">
        <v>30</v>
      </c>
    </row>
    <row r="429" spans="2:14" s="9" customFormat="1" hidden="1" x14ac:dyDescent="0.25">
      <c r="B429" s="120">
        <v>426</v>
      </c>
      <c r="C429" s="122">
        <v>20502797230</v>
      </c>
      <c r="D429" s="125" t="s">
        <v>3555</v>
      </c>
      <c r="E429" s="125" t="s">
        <v>6850</v>
      </c>
      <c r="F429" s="122" t="s">
        <v>30</v>
      </c>
      <c r="G429" s="122" t="s">
        <v>30</v>
      </c>
      <c r="H429" s="122" t="s">
        <v>41</v>
      </c>
      <c r="I429" s="125" t="s">
        <v>1403</v>
      </c>
      <c r="J429" s="129" t="s">
        <v>6860</v>
      </c>
      <c r="K429" s="122" t="s">
        <v>6861</v>
      </c>
      <c r="L429" s="122" t="s">
        <v>1558</v>
      </c>
      <c r="M429" s="133" t="s">
        <v>6853</v>
      </c>
      <c r="N429" s="122" t="s">
        <v>30</v>
      </c>
    </row>
    <row r="430" spans="2:14" s="9" customFormat="1" hidden="1" x14ac:dyDescent="0.25">
      <c r="B430" s="120">
        <v>427</v>
      </c>
      <c r="C430" s="122">
        <v>20502797230</v>
      </c>
      <c r="D430" s="125" t="s">
        <v>3555</v>
      </c>
      <c r="E430" s="125" t="s">
        <v>6850</v>
      </c>
      <c r="F430" s="122" t="s">
        <v>30</v>
      </c>
      <c r="G430" s="122" t="s">
        <v>30</v>
      </c>
      <c r="H430" s="122" t="s">
        <v>41</v>
      </c>
      <c r="I430" s="125" t="s">
        <v>1403</v>
      </c>
      <c r="J430" s="129" t="s">
        <v>6858</v>
      </c>
      <c r="K430" s="122" t="s">
        <v>6859</v>
      </c>
      <c r="L430" s="122" t="s">
        <v>1558</v>
      </c>
      <c r="M430" s="133" t="s">
        <v>6853</v>
      </c>
      <c r="N430" s="122" t="s">
        <v>30</v>
      </c>
    </row>
    <row r="431" spans="2:14" s="9" customFormat="1" hidden="1" x14ac:dyDescent="0.25">
      <c r="B431" s="120">
        <v>428</v>
      </c>
      <c r="C431" s="122">
        <v>20502797230</v>
      </c>
      <c r="D431" s="125" t="s">
        <v>3555</v>
      </c>
      <c r="E431" s="125" t="s">
        <v>6850</v>
      </c>
      <c r="F431" s="122" t="s">
        <v>30</v>
      </c>
      <c r="G431" s="122" t="s">
        <v>30</v>
      </c>
      <c r="H431" s="122" t="s">
        <v>41</v>
      </c>
      <c r="I431" s="125" t="s">
        <v>1403</v>
      </c>
      <c r="J431" s="129" t="s">
        <v>6856</v>
      </c>
      <c r="K431" s="122" t="s">
        <v>6857</v>
      </c>
      <c r="L431" s="122" t="s">
        <v>1558</v>
      </c>
      <c r="M431" s="133" t="s">
        <v>6853</v>
      </c>
      <c r="N431" s="122" t="s">
        <v>30</v>
      </c>
    </row>
    <row r="432" spans="2:14" s="9" customFormat="1" hidden="1" x14ac:dyDescent="0.25">
      <c r="B432" s="120">
        <v>429</v>
      </c>
      <c r="C432" s="122">
        <v>20502797230</v>
      </c>
      <c r="D432" s="125" t="s">
        <v>3555</v>
      </c>
      <c r="E432" s="125" t="s">
        <v>6850</v>
      </c>
      <c r="F432" s="122" t="s">
        <v>30</v>
      </c>
      <c r="G432" s="122" t="s">
        <v>30</v>
      </c>
      <c r="H432" s="122" t="s">
        <v>41</v>
      </c>
      <c r="I432" s="125" t="s">
        <v>1403</v>
      </c>
      <c r="J432" s="129" t="s">
        <v>6854</v>
      </c>
      <c r="K432" s="122" t="s">
        <v>6855</v>
      </c>
      <c r="L432" s="122" t="s">
        <v>1558</v>
      </c>
      <c r="M432" s="133" t="s">
        <v>6853</v>
      </c>
      <c r="N432" s="122" t="s">
        <v>30</v>
      </c>
    </row>
    <row r="433" spans="2:14" s="9" customFormat="1" hidden="1" x14ac:dyDescent="0.25">
      <c r="B433" s="120">
        <v>430</v>
      </c>
      <c r="C433" s="122">
        <v>20502797230</v>
      </c>
      <c r="D433" s="125" t="s">
        <v>3555</v>
      </c>
      <c r="E433" s="125" t="s">
        <v>6850</v>
      </c>
      <c r="F433" s="122" t="s">
        <v>30</v>
      </c>
      <c r="G433" s="122" t="s">
        <v>30</v>
      </c>
      <c r="H433" s="122" t="s">
        <v>41</v>
      </c>
      <c r="I433" s="125" t="s">
        <v>1403</v>
      </c>
      <c r="J433" s="129" t="s">
        <v>6851</v>
      </c>
      <c r="K433" s="122" t="s">
        <v>6852</v>
      </c>
      <c r="L433" s="122" t="s">
        <v>1558</v>
      </c>
      <c r="M433" s="133" t="s">
        <v>6853</v>
      </c>
      <c r="N433" s="122" t="s">
        <v>30</v>
      </c>
    </row>
    <row r="434" spans="2:14" s="9" customFormat="1" hidden="1" x14ac:dyDescent="0.25">
      <c r="B434" s="120">
        <v>431</v>
      </c>
      <c r="C434" s="122">
        <v>20505963114</v>
      </c>
      <c r="D434" s="125" t="s">
        <v>3560</v>
      </c>
      <c r="E434" s="125" t="s">
        <v>6846</v>
      </c>
      <c r="F434" s="122" t="s">
        <v>30</v>
      </c>
      <c r="G434" s="122" t="s">
        <v>30</v>
      </c>
      <c r="H434" s="122" t="s">
        <v>30</v>
      </c>
      <c r="I434" s="125" t="s">
        <v>2123</v>
      </c>
      <c r="J434" s="129" t="s">
        <v>6847</v>
      </c>
      <c r="K434" s="122" t="s">
        <v>6848</v>
      </c>
      <c r="L434" s="122" t="s">
        <v>731</v>
      </c>
      <c r="M434" s="133" t="s">
        <v>6849</v>
      </c>
      <c r="N434" s="122" t="s">
        <v>30</v>
      </c>
    </row>
    <row r="435" spans="2:14" s="9" customFormat="1" hidden="1" x14ac:dyDescent="0.25">
      <c r="B435" s="120">
        <v>432</v>
      </c>
      <c r="C435" s="122">
        <v>20506427551</v>
      </c>
      <c r="D435" s="125" t="s">
        <v>3591</v>
      </c>
      <c r="E435" s="125" t="s">
        <v>6843</v>
      </c>
      <c r="F435" s="122" t="s">
        <v>30</v>
      </c>
      <c r="G435" s="122" t="s">
        <v>30</v>
      </c>
      <c r="H435" s="122" t="s">
        <v>147</v>
      </c>
      <c r="I435" s="125" t="s">
        <v>6595</v>
      </c>
      <c r="J435" s="129" t="s">
        <v>6844</v>
      </c>
      <c r="K435" s="122" t="s">
        <v>6845</v>
      </c>
      <c r="L435" s="122" t="s">
        <v>731</v>
      </c>
      <c r="M435" s="133" t="s">
        <v>845</v>
      </c>
      <c r="N435" s="122" t="s">
        <v>845</v>
      </c>
    </row>
    <row r="436" spans="2:14" s="9" customFormat="1" hidden="1" x14ac:dyDescent="0.25">
      <c r="B436" s="120">
        <v>433</v>
      </c>
      <c r="C436" s="122">
        <v>20508218118</v>
      </c>
      <c r="D436" s="125" t="s">
        <v>3618</v>
      </c>
      <c r="E436" s="125" t="s">
        <v>6837</v>
      </c>
      <c r="F436" s="122" t="s">
        <v>30</v>
      </c>
      <c r="G436" s="122" t="s">
        <v>30</v>
      </c>
      <c r="H436" s="122" t="s">
        <v>72</v>
      </c>
      <c r="I436" s="125" t="s">
        <v>1464</v>
      </c>
      <c r="J436" s="129" t="s">
        <v>6841</v>
      </c>
      <c r="K436" s="122" t="s">
        <v>6842</v>
      </c>
      <c r="L436" s="122" t="s">
        <v>731</v>
      </c>
      <c r="M436" s="133" t="s">
        <v>6840</v>
      </c>
      <c r="N436" s="122" t="s">
        <v>30</v>
      </c>
    </row>
    <row r="437" spans="2:14" s="9" customFormat="1" hidden="1" x14ac:dyDescent="0.25">
      <c r="B437" s="120">
        <v>434</v>
      </c>
      <c r="C437" s="122">
        <v>20508218118</v>
      </c>
      <c r="D437" s="125" t="s">
        <v>3618</v>
      </c>
      <c r="E437" s="125" t="s">
        <v>6837</v>
      </c>
      <c r="F437" s="122" t="s">
        <v>30</v>
      </c>
      <c r="G437" s="122" t="s">
        <v>30</v>
      </c>
      <c r="H437" s="122" t="s">
        <v>72</v>
      </c>
      <c r="I437" s="125" t="s">
        <v>1464</v>
      </c>
      <c r="J437" s="129" t="s">
        <v>6838</v>
      </c>
      <c r="K437" s="122" t="s">
        <v>6839</v>
      </c>
      <c r="L437" s="122" t="s">
        <v>1558</v>
      </c>
      <c r="M437" s="133" t="s">
        <v>6840</v>
      </c>
      <c r="N437" s="122" t="s">
        <v>30</v>
      </c>
    </row>
    <row r="438" spans="2:14" s="9" customFormat="1" hidden="1" x14ac:dyDescent="0.25">
      <c r="B438" s="120">
        <v>435</v>
      </c>
      <c r="C438" s="122">
        <v>20508929723</v>
      </c>
      <c r="D438" s="125" t="s">
        <v>3614</v>
      </c>
      <c r="E438" s="125" t="s">
        <v>6833</v>
      </c>
      <c r="F438" s="122" t="s">
        <v>30</v>
      </c>
      <c r="G438" s="122" t="s">
        <v>30</v>
      </c>
      <c r="H438" s="122" t="s">
        <v>35</v>
      </c>
      <c r="I438" s="125" t="s">
        <v>1950</v>
      </c>
      <c r="J438" s="129" t="s">
        <v>6834</v>
      </c>
      <c r="K438" s="122" t="s">
        <v>6835</v>
      </c>
      <c r="L438" s="122" t="s">
        <v>731</v>
      </c>
      <c r="M438" s="133" t="s">
        <v>6836</v>
      </c>
      <c r="N438" s="122" t="s">
        <v>30</v>
      </c>
    </row>
    <row r="439" spans="2:14" s="9" customFormat="1" hidden="1" x14ac:dyDescent="0.25">
      <c r="B439" s="120">
        <v>436</v>
      </c>
      <c r="C439" s="122">
        <v>20511047901</v>
      </c>
      <c r="D439" s="125" t="s">
        <v>342</v>
      </c>
      <c r="E439" s="125" t="s">
        <v>6829</v>
      </c>
      <c r="F439" s="122" t="s">
        <v>30</v>
      </c>
      <c r="G439" s="122" t="s">
        <v>30</v>
      </c>
      <c r="H439" s="122" t="s">
        <v>37</v>
      </c>
      <c r="I439" s="125" t="s">
        <v>1964</v>
      </c>
      <c r="J439" s="129" t="s">
        <v>6830</v>
      </c>
      <c r="K439" s="122" t="s">
        <v>6831</v>
      </c>
      <c r="L439" s="122" t="s">
        <v>731</v>
      </c>
      <c r="M439" s="133" t="s">
        <v>6832</v>
      </c>
      <c r="N439" s="122" t="s">
        <v>67</v>
      </c>
    </row>
    <row r="440" spans="2:14" s="9" customFormat="1" hidden="1" x14ac:dyDescent="0.25">
      <c r="B440" s="120">
        <v>437</v>
      </c>
      <c r="C440" s="122">
        <v>20511246009</v>
      </c>
      <c r="D440" s="125" t="s">
        <v>3616</v>
      </c>
      <c r="E440" s="125" t="s">
        <v>6819</v>
      </c>
      <c r="F440" s="122" t="s">
        <v>30</v>
      </c>
      <c r="G440" s="122" t="s">
        <v>30</v>
      </c>
      <c r="H440" s="122" t="s">
        <v>35</v>
      </c>
      <c r="I440" s="125" t="s">
        <v>1441</v>
      </c>
      <c r="J440" s="129" t="s">
        <v>6827</v>
      </c>
      <c r="K440" s="122" t="s">
        <v>6828</v>
      </c>
      <c r="L440" s="122" t="s">
        <v>1558</v>
      </c>
      <c r="M440" s="133" t="s">
        <v>6822</v>
      </c>
      <c r="N440" s="122" t="s">
        <v>30</v>
      </c>
    </row>
    <row r="441" spans="2:14" s="9" customFormat="1" hidden="1" x14ac:dyDescent="0.25">
      <c r="B441" s="120">
        <v>438</v>
      </c>
      <c r="C441" s="122">
        <v>20511246009</v>
      </c>
      <c r="D441" s="125" t="s">
        <v>3616</v>
      </c>
      <c r="E441" s="125" t="s">
        <v>6819</v>
      </c>
      <c r="F441" s="122" t="s">
        <v>30</v>
      </c>
      <c r="G441" s="122" t="s">
        <v>30</v>
      </c>
      <c r="H441" s="122" t="s">
        <v>35</v>
      </c>
      <c r="I441" s="125" t="s">
        <v>1441</v>
      </c>
      <c r="J441" s="129" t="s">
        <v>6825</v>
      </c>
      <c r="K441" s="122" t="s">
        <v>6826</v>
      </c>
      <c r="L441" s="122" t="s">
        <v>1558</v>
      </c>
      <c r="M441" s="133" t="s">
        <v>6822</v>
      </c>
      <c r="N441" s="122" t="s">
        <v>30</v>
      </c>
    </row>
    <row r="442" spans="2:14" s="9" customFormat="1" hidden="1" x14ac:dyDescent="0.25">
      <c r="B442" s="120">
        <v>439</v>
      </c>
      <c r="C442" s="122">
        <v>20511246009</v>
      </c>
      <c r="D442" s="125" t="s">
        <v>3616</v>
      </c>
      <c r="E442" s="125" t="s">
        <v>6819</v>
      </c>
      <c r="F442" s="122" t="s">
        <v>30</v>
      </c>
      <c r="G442" s="122" t="s">
        <v>30</v>
      </c>
      <c r="H442" s="122" t="s">
        <v>35</v>
      </c>
      <c r="I442" s="125" t="s">
        <v>1441</v>
      </c>
      <c r="J442" s="129" t="s">
        <v>6823</v>
      </c>
      <c r="K442" s="122" t="s">
        <v>6824</v>
      </c>
      <c r="L442" s="122" t="s">
        <v>1558</v>
      </c>
      <c r="M442" s="133" t="s">
        <v>6822</v>
      </c>
      <c r="N442" s="122" t="s">
        <v>30</v>
      </c>
    </row>
    <row r="443" spans="2:14" s="9" customFormat="1" hidden="1" x14ac:dyDescent="0.25">
      <c r="B443" s="120">
        <v>440</v>
      </c>
      <c r="C443" s="122">
        <v>20511246009</v>
      </c>
      <c r="D443" s="125" t="s">
        <v>3616</v>
      </c>
      <c r="E443" s="125" t="s">
        <v>6819</v>
      </c>
      <c r="F443" s="122" t="s">
        <v>30</v>
      </c>
      <c r="G443" s="122" t="s">
        <v>30</v>
      </c>
      <c r="H443" s="122" t="s">
        <v>35</v>
      </c>
      <c r="I443" s="125" t="s">
        <v>1441</v>
      </c>
      <c r="J443" s="129" t="s">
        <v>6820</v>
      </c>
      <c r="K443" s="122" t="s">
        <v>6821</v>
      </c>
      <c r="L443" s="122" t="s">
        <v>1558</v>
      </c>
      <c r="M443" s="133" t="s">
        <v>6822</v>
      </c>
      <c r="N443" s="122" t="s">
        <v>30</v>
      </c>
    </row>
    <row r="444" spans="2:14" s="9" customFormat="1" hidden="1" x14ac:dyDescent="0.25">
      <c r="B444" s="120">
        <v>441</v>
      </c>
      <c r="C444" s="122">
        <v>20513613009</v>
      </c>
      <c r="D444" s="125" t="s">
        <v>359</v>
      </c>
      <c r="E444" s="125" t="s">
        <v>6813</v>
      </c>
      <c r="F444" s="122" t="s">
        <v>30</v>
      </c>
      <c r="G444" s="122" t="s">
        <v>30</v>
      </c>
      <c r="H444" s="122" t="s">
        <v>30</v>
      </c>
      <c r="I444" s="125" t="s">
        <v>1957</v>
      </c>
      <c r="J444" s="129" t="s">
        <v>6817</v>
      </c>
      <c r="K444" s="122" t="s">
        <v>6818</v>
      </c>
      <c r="L444" s="122" t="s">
        <v>731</v>
      </c>
      <c r="M444" s="133" t="s">
        <v>6816</v>
      </c>
      <c r="N444" s="122" t="s">
        <v>30</v>
      </c>
    </row>
    <row r="445" spans="2:14" s="9" customFormat="1" hidden="1" x14ac:dyDescent="0.25">
      <c r="B445" s="120">
        <v>442</v>
      </c>
      <c r="C445" s="122">
        <v>20513613009</v>
      </c>
      <c r="D445" s="125" t="s">
        <v>359</v>
      </c>
      <c r="E445" s="125" t="s">
        <v>6813</v>
      </c>
      <c r="F445" s="122" t="s">
        <v>30</v>
      </c>
      <c r="G445" s="122" t="s">
        <v>30</v>
      </c>
      <c r="H445" s="122" t="s">
        <v>30</v>
      </c>
      <c r="I445" s="125" t="s">
        <v>1957</v>
      </c>
      <c r="J445" s="129" t="s">
        <v>6814</v>
      </c>
      <c r="K445" s="122" t="s">
        <v>6815</v>
      </c>
      <c r="L445" s="122" t="s">
        <v>36</v>
      </c>
      <c r="M445" s="133" t="s">
        <v>6816</v>
      </c>
      <c r="N445" s="122" t="s">
        <v>30</v>
      </c>
    </row>
    <row r="446" spans="2:14" s="9" customFormat="1" hidden="1" x14ac:dyDescent="0.25">
      <c r="B446" s="120">
        <v>443</v>
      </c>
      <c r="C446" s="122">
        <v>20517413233</v>
      </c>
      <c r="D446" s="125" t="s">
        <v>3600</v>
      </c>
      <c r="E446" s="125" t="s">
        <v>6809</v>
      </c>
      <c r="F446" s="122" t="s">
        <v>30</v>
      </c>
      <c r="G446" s="122" t="s">
        <v>30</v>
      </c>
      <c r="H446" s="122" t="s">
        <v>30</v>
      </c>
      <c r="I446" s="125" t="s">
        <v>1450</v>
      </c>
      <c r="J446" s="129" t="s">
        <v>6810</v>
      </c>
      <c r="K446" s="122" t="s">
        <v>6811</v>
      </c>
      <c r="L446" s="122" t="s">
        <v>42</v>
      </c>
      <c r="M446" s="133" t="s">
        <v>6812</v>
      </c>
      <c r="N446" s="122" t="s">
        <v>30</v>
      </c>
    </row>
    <row r="447" spans="2:14" s="9" customFormat="1" hidden="1" x14ac:dyDescent="0.25">
      <c r="B447" s="120">
        <v>444</v>
      </c>
      <c r="C447" s="122">
        <v>20517549216</v>
      </c>
      <c r="D447" s="125" t="s">
        <v>361</v>
      </c>
      <c r="E447" s="125" t="s">
        <v>6805</v>
      </c>
      <c r="F447" s="122" t="s">
        <v>30</v>
      </c>
      <c r="G447" s="122" t="s">
        <v>30</v>
      </c>
      <c r="H447" s="122" t="s">
        <v>72</v>
      </c>
      <c r="I447" s="125" t="s">
        <v>1387</v>
      </c>
      <c r="J447" s="129" t="s">
        <v>6806</v>
      </c>
      <c r="K447" s="122" t="s">
        <v>6807</v>
      </c>
      <c r="L447" s="122" t="s">
        <v>731</v>
      </c>
      <c r="M447" s="133" t="s">
        <v>6808</v>
      </c>
      <c r="N447" s="122" t="s">
        <v>30</v>
      </c>
    </row>
    <row r="448" spans="2:14" s="9" customFormat="1" hidden="1" x14ac:dyDescent="0.25">
      <c r="B448" s="120">
        <v>445</v>
      </c>
      <c r="C448" s="122">
        <v>20517679691</v>
      </c>
      <c r="D448" s="125" t="s">
        <v>3522</v>
      </c>
      <c r="E448" s="125" t="s">
        <v>6799</v>
      </c>
      <c r="F448" s="122" t="s">
        <v>30</v>
      </c>
      <c r="G448" s="122" t="s">
        <v>30</v>
      </c>
      <c r="H448" s="122" t="s">
        <v>75</v>
      </c>
      <c r="I448" s="125" t="s">
        <v>1963</v>
      </c>
      <c r="J448" s="129" t="s">
        <v>6803</v>
      </c>
      <c r="K448" s="122" t="s">
        <v>6804</v>
      </c>
      <c r="L448" s="122" t="s">
        <v>76</v>
      </c>
      <c r="M448" s="133" t="s">
        <v>6802</v>
      </c>
      <c r="N448" s="122" t="s">
        <v>30</v>
      </c>
    </row>
    <row r="449" spans="2:14" s="9" customFormat="1" hidden="1" x14ac:dyDescent="0.25">
      <c r="B449" s="120">
        <v>446</v>
      </c>
      <c r="C449" s="122">
        <v>20517679691</v>
      </c>
      <c r="D449" s="125" t="s">
        <v>3522</v>
      </c>
      <c r="E449" s="125" t="s">
        <v>6799</v>
      </c>
      <c r="F449" s="122" t="s">
        <v>30</v>
      </c>
      <c r="G449" s="122" t="s">
        <v>30</v>
      </c>
      <c r="H449" s="122" t="s">
        <v>75</v>
      </c>
      <c r="I449" s="125" t="s">
        <v>1963</v>
      </c>
      <c r="J449" s="129" t="s">
        <v>6800</v>
      </c>
      <c r="K449" s="122" t="s">
        <v>6801</v>
      </c>
      <c r="L449" s="122" t="s">
        <v>731</v>
      </c>
      <c r="M449" s="133" t="s">
        <v>6802</v>
      </c>
      <c r="N449" s="122" t="s">
        <v>30</v>
      </c>
    </row>
    <row r="450" spans="2:14" s="9" customFormat="1" hidden="1" x14ac:dyDescent="0.25">
      <c r="B450" s="120">
        <v>447</v>
      </c>
      <c r="C450" s="122">
        <v>20521023245</v>
      </c>
      <c r="D450" s="125" t="s">
        <v>3581</v>
      </c>
      <c r="E450" s="125" t="s">
        <v>6795</v>
      </c>
      <c r="F450" s="122" t="s">
        <v>30</v>
      </c>
      <c r="G450" s="122" t="s">
        <v>30</v>
      </c>
      <c r="H450" s="122" t="s">
        <v>50</v>
      </c>
      <c r="I450" s="125" t="s">
        <v>1755</v>
      </c>
      <c r="J450" s="129" t="s">
        <v>6796</v>
      </c>
      <c r="K450" s="122" t="s">
        <v>6797</v>
      </c>
      <c r="L450" s="122" t="s">
        <v>731</v>
      </c>
      <c r="M450" s="133" t="s">
        <v>6798</v>
      </c>
      <c r="N450" s="122" t="s">
        <v>30</v>
      </c>
    </row>
    <row r="451" spans="2:14" s="9" customFormat="1" hidden="1" x14ac:dyDescent="0.25">
      <c r="B451" s="120">
        <v>448</v>
      </c>
      <c r="C451" s="122">
        <v>20521834642</v>
      </c>
      <c r="D451" s="125" t="s">
        <v>3528</v>
      </c>
      <c r="E451" s="125" t="s">
        <v>6785</v>
      </c>
      <c r="F451" s="122" t="s">
        <v>30</v>
      </c>
      <c r="G451" s="122" t="s">
        <v>30</v>
      </c>
      <c r="H451" s="122" t="s">
        <v>135</v>
      </c>
      <c r="I451" s="125" t="s">
        <v>1809</v>
      </c>
      <c r="J451" s="129" t="s">
        <v>6793</v>
      </c>
      <c r="K451" s="122" t="s">
        <v>6794</v>
      </c>
      <c r="L451" s="122" t="s">
        <v>209</v>
      </c>
      <c r="M451" s="133" t="s">
        <v>6788</v>
      </c>
      <c r="N451" s="122" t="s">
        <v>30</v>
      </c>
    </row>
    <row r="452" spans="2:14" s="9" customFormat="1" hidden="1" x14ac:dyDescent="0.25">
      <c r="B452" s="120">
        <v>449</v>
      </c>
      <c r="C452" s="122">
        <v>20521834642</v>
      </c>
      <c r="D452" s="125" t="s">
        <v>3528</v>
      </c>
      <c r="E452" s="125" t="s">
        <v>6785</v>
      </c>
      <c r="F452" s="122" t="s">
        <v>30</v>
      </c>
      <c r="G452" s="122" t="s">
        <v>30</v>
      </c>
      <c r="H452" s="122" t="s">
        <v>135</v>
      </c>
      <c r="I452" s="125" t="s">
        <v>1809</v>
      </c>
      <c r="J452" s="129" t="s">
        <v>6791</v>
      </c>
      <c r="K452" s="122" t="s">
        <v>6792</v>
      </c>
      <c r="L452" s="122" t="s">
        <v>209</v>
      </c>
      <c r="M452" s="133" t="s">
        <v>6788</v>
      </c>
      <c r="N452" s="122" t="s">
        <v>30</v>
      </c>
    </row>
    <row r="453" spans="2:14" s="9" customFormat="1" hidden="1" x14ac:dyDescent="0.25">
      <c r="B453" s="120">
        <v>450</v>
      </c>
      <c r="C453" s="122">
        <v>20521834642</v>
      </c>
      <c r="D453" s="125" t="s">
        <v>3528</v>
      </c>
      <c r="E453" s="125" t="s">
        <v>6785</v>
      </c>
      <c r="F453" s="122" t="s">
        <v>30</v>
      </c>
      <c r="G453" s="122" t="s">
        <v>30</v>
      </c>
      <c r="H453" s="122" t="s">
        <v>135</v>
      </c>
      <c r="I453" s="125" t="s">
        <v>1809</v>
      </c>
      <c r="J453" s="129" t="s">
        <v>6789</v>
      </c>
      <c r="K453" s="122" t="s">
        <v>6790</v>
      </c>
      <c r="L453" s="122" t="s">
        <v>209</v>
      </c>
      <c r="M453" s="133" t="s">
        <v>6788</v>
      </c>
      <c r="N453" s="122" t="s">
        <v>30</v>
      </c>
    </row>
    <row r="454" spans="2:14" s="9" customFormat="1" hidden="1" x14ac:dyDescent="0.25">
      <c r="B454" s="120">
        <v>451</v>
      </c>
      <c r="C454" s="122">
        <v>20521834642</v>
      </c>
      <c r="D454" s="125" t="s">
        <v>3528</v>
      </c>
      <c r="E454" s="125" t="s">
        <v>6785</v>
      </c>
      <c r="F454" s="122" t="s">
        <v>30</v>
      </c>
      <c r="G454" s="122" t="s">
        <v>30</v>
      </c>
      <c r="H454" s="122" t="s">
        <v>135</v>
      </c>
      <c r="I454" s="125" t="s">
        <v>1809</v>
      </c>
      <c r="J454" s="129" t="s">
        <v>6786</v>
      </c>
      <c r="K454" s="122" t="s">
        <v>6787</v>
      </c>
      <c r="L454" s="122" t="s">
        <v>209</v>
      </c>
      <c r="M454" s="133" t="s">
        <v>6788</v>
      </c>
      <c r="N454" s="122" t="s">
        <v>30</v>
      </c>
    </row>
    <row r="455" spans="2:14" s="9" customFormat="1" hidden="1" x14ac:dyDescent="0.25">
      <c r="B455" s="120">
        <v>452</v>
      </c>
      <c r="C455" s="122">
        <v>20521872145</v>
      </c>
      <c r="D455" s="125" t="s">
        <v>3481</v>
      </c>
      <c r="E455" s="125" t="s">
        <v>6779</v>
      </c>
      <c r="F455" s="122" t="s">
        <v>30</v>
      </c>
      <c r="G455" s="122" t="s">
        <v>30</v>
      </c>
      <c r="H455" s="122" t="s">
        <v>85</v>
      </c>
      <c r="I455" s="125" t="s">
        <v>1976</v>
      </c>
      <c r="J455" s="129" t="s">
        <v>6783</v>
      </c>
      <c r="K455" s="122" t="s">
        <v>6784</v>
      </c>
      <c r="L455" s="122" t="s">
        <v>1558</v>
      </c>
      <c r="M455" s="133" t="s">
        <v>6782</v>
      </c>
      <c r="N455" s="122" t="s">
        <v>30</v>
      </c>
    </row>
    <row r="456" spans="2:14" s="9" customFormat="1" hidden="1" x14ac:dyDescent="0.25">
      <c r="B456" s="120">
        <v>453</v>
      </c>
      <c r="C456" s="122">
        <v>20521872145</v>
      </c>
      <c r="D456" s="125" t="s">
        <v>3481</v>
      </c>
      <c r="E456" s="125" t="s">
        <v>6779</v>
      </c>
      <c r="F456" s="122" t="s">
        <v>30</v>
      </c>
      <c r="G456" s="122" t="s">
        <v>30</v>
      </c>
      <c r="H456" s="122" t="s">
        <v>85</v>
      </c>
      <c r="I456" s="125" t="s">
        <v>1976</v>
      </c>
      <c r="J456" s="129" t="s">
        <v>6780</v>
      </c>
      <c r="K456" s="122" t="s">
        <v>6781</v>
      </c>
      <c r="L456" s="122" t="s">
        <v>42</v>
      </c>
      <c r="M456" s="133" t="s">
        <v>6782</v>
      </c>
      <c r="N456" s="122" t="s">
        <v>30</v>
      </c>
    </row>
    <row r="457" spans="2:14" s="9" customFormat="1" hidden="1" x14ac:dyDescent="0.25">
      <c r="B457" s="120">
        <v>454</v>
      </c>
      <c r="C457" s="122">
        <v>20522199495</v>
      </c>
      <c r="D457" s="125" t="s">
        <v>3580</v>
      </c>
      <c r="E457" s="125" t="s">
        <v>6771</v>
      </c>
      <c r="F457" s="122" t="s">
        <v>30</v>
      </c>
      <c r="G457" s="122" t="s">
        <v>30</v>
      </c>
      <c r="H457" s="122" t="s">
        <v>50</v>
      </c>
      <c r="I457" s="125" t="s">
        <v>1561</v>
      </c>
      <c r="J457" s="129" t="s">
        <v>6777</v>
      </c>
      <c r="K457" s="122" t="s">
        <v>6778</v>
      </c>
      <c r="L457" s="122" t="s">
        <v>1558</v>
      </c>
      <c r="M457" s="133" t="s">
        <v>6774</v>
      </c>
      <c r="N457" s="122" t="s">
        <v>30</v>
      </c>
    </row>
    <row r="458" spans="2:14" s="9" customFormat="1" hidden="1" x14ac:dyDescent="0.25">
      <c r="B458" s="120">
        <v>455</v>
      </c>
      <c r="C458" s="122">
        <v>20522199495</v>
      </c>
      <c r="D458" s="125" t="s">
        <v>3580</v>
      </c>
      <c r="E458" s="125" t="s">
        <v>6771</v>
      </c>
      <c r="F458" s="122" t="s">
        <v>30</v>
      </c>
      <c r="G458" s="122" t="s">
        <v>30</v>
      </c>
      <c r="H458" s="122" t="s">
        <v>50</v>
      </c>
      <c r="I458" s="125" t="s">
        <v>1561</v>
      </c>
      <c r="J458" s="129" t="s">
        <v>6775</v>
      </c>
      <c r="K458" s="122" t="s">
        <v>6776</v>
      </c>
      <c r="L458" s="122" t="s">
        <v>1558</v>
      </c>
      <c r="M458" s="133" t="s">
        <v>6774</v>
      </c>
      <c r="N458" s="122" t="s">
        <v>30</v>
      </c>
    </row>
    <row r="459" spans="2:14" s="9" customFormat="1" hidden="1" x14ac:dyDescent="0.25">
      <c r="B459" s="120">
        <v>456</v>
      </c>
      <c r="C459" s="122">
        <v>20522199495</v>
      </c>
      <c r="D459" s="125" t="s">
        <v>3580</v>
      </c>
      <c r="E459" s="125" t="s">
        <v>6771</v>
      </c>
      <c r="F459" s="122" t="s">
        <v>30</v>
      </c>
      <c r="G459" s="122" t="s">
        <v>30</v>
      </c>
      <c r="H459" s="122" t="s">
        <v>50</v>
      </c>
      <c r="I459" s="125" t="s">
        <v>1561</v>
      </c>
      <c r="J459" s="129" t="s">
        <v>6772</v>
      </c>
      <c r="K459" s="122" t="s">
        <v>6773</v>
      </c>
      <c r="L459" s="122" t="s">
        <v>731</v>
      </c>
      <c r="M459" s="133" t="s">
        <v>6774</v>
      </c>
      <c r="N459" s="122" t="s">
        <v>30</v>
      </c>
    </row>
    <row r="460" spans="2:14" s="9" customFormat="1" hidden="1" x14ac:dyDescent="0.25">
      <c r="B460" s="120">
        <v>457</v>
      </c>
      <c r="C460" s="122">
        <v>20522317285</v>
      </c>
      <c r="D460" s="125" t="s">
        <v>341</v>
      </c>
      <c r="E460" s="125" t="s">
        <v>6765</v>
      </c>
      <c r="F460" s="122" t="s">
        <v>30</v>
      </c>
      <c r="G460" s="122" t="s">
        <v>30</v>
      </c>
      <c r="H460" s="122" t="s">
        <v>39</v>
      </c>
      <c r="I460" s="125" t="s">
        <v>1365</v>
      </c>
      <c r="J460" s="129" t="s">
        <v>6769</v>
      </c>
      <c r="K460" s="122" t="s">
        <v>6770</v>
      </c>
      <c r="L460" s="122" t="s">
        <v>209</v>
      </c>
      <c r="M460" s="133" t="s">
        <v>6768</v>
      </c>
      <c r="N460" s="122" t="s">
        <v>30</v>
      </c>
    </row>
    <row r="461" spans="2:14" s="9" customFormat="1" hidden="1" x14ac:dyDescent="0.25">
      <c r="B461" s="120">
        <v>458</v>
      </c>
      <c r="C461" s="122">
        <v>20522317285</v>
      </c>
      <c r="D461" s="125" t="s">
        <v>341</v>
      </c>
      <c r="E461" s="125" t="s">
        <v>6765</v>
      </c>
      <c r="F461" s="122" t="s">
        <v>30</v>
      </c>
      <c r="G461" s="122" t="s">
        <v>30</v>
      </c>
      <c r="H461" s="122" t="s">
        <v>39</v>
      </c>
      <c r="I461" s="125" t="s">
        <v>1365</v>
      </c>
      <c r="J461" s="129" t="s">
        <v>6766</v>
      </c>
      <c r="K461" s="122" t="s">
        <v>6767</v>
      </c>
      <c r="L461" s="122" t="s">
        <v>42</v>
      </c>
      <c r="M461" s="133" t="s">
        <v>6768</v>
      </c>
      <c r="N461" s="122" t="s">
        <v>30</v>
      </c>
    </row>
    <row r="462" spans="2:14" s="9" customFormat="1" hidden="1" x14ac:dyDescent="0.25">
      <c r="B462" s="120">
        <v>459</v>
      </c>
      <c r="C462" s="122">
        <v>20524840902</v>
      </c>
      <c r="D462" s="125" t="s">
        <v>347</v>
      </c>
      <c r="E462" s="125" t="s">
        <v>6762</v>
      </c>
      <c r="F462" s="122" t="s">
        <v>30</v>
      </c>
      <c r="G462" s="122" t="s">
        <v>30</v>
      </c>
      <c r="H462" s="122" t="s">
        <v>30</v>
      </c>
      <c r="I462" s="125" t="s">
        <v>1957</v>
      </c>
      <c r="J462" s="129" t="s">
        <v>6763</v>
      </c>
      <c r="K462" s="122" t="s">
        <v>6764</v>
      </c>
      <c r="L462" s="122" t="s">
        <v>42</v>
      </c>
      <c r="M462" s="133" t="s">
        <v>845</v>
      </c>
      <c r="N462" s="122" t="s">
        <v>845</v>
      </c>
    </row>
    <row r="463" spans="2:14" s="9" customFormat="1" hidden="1" x14ac:dyDescent="0.25">
      <c r="B463" s="120">
        <v>460</v>
      </c>
      <c r="C463" s="122">
        <v>20524854521</v>
      </c>
      <c r="D463" s="125" t="s">
        <v>3659</v>
      </c>
      <c r="E463" s="125" t="s">
        <v>6758</v>
      </c>
      <c r="F463" s="122" t="s">
        <v>30</v>
      </c>
      <c r="G463" s="122" t="s">
        <v>30</v>
      </c>
      <c r="H463" s="122" t="s">
        <v>45</v>
      </c>
      <c r="I463" s="125" t="s">
        <v>1727</v>
      </c>
      <c r="J463" s="129" t="s">
        <v>6759</v>
      </c>
      <c r="K463" s="122" t="s">
        <v>6760</v>
      </c>
      <c r="L463" s="122" t="s">
        <v>731</v>
      </c>
      <c r="M463" s="133" t="s">
        <v>6761</v>
      </c>
      <c r="N463" s="122" t="s">
        <v>30</v>
      </c>
    </row>
    <row r="464" spans="2:14" s="9" customFormat="1" hidden="1" x14ac:dyDescent="0.25">
      <c r="B464" s="120">
        <v>461</v>
      </c>
      <c r="C464" s="122">
        <v>20524928311</v>
      </c>
      <c r="D464" s="125" t="s">
        <v>3514</v>
      </c>
      <c r="E464" s="125" t="s">
        <v>6754</v>
      </c>
      <c r="F464" s="122" t="s">
        <v>30</v>
      </c>
      <c r="G464" s="122" t="s">
        <v>30</v>
      </c>
      <c r="H464" s="122" t="s">
        <v>110</v>
      </c>
      <c r="I464" s="125" t="s">
        <v>1377</v>
      </c>
      <c r="J464" s="129" t="s">
        <v>6755</v>
      </c>
      <c r="K464" s="122" t="s">
        <v>6756</v>
      </c>
      <c r="L464" s="122" t="s">
        <v>1577</v>
      </c>
      <c r="M464" s="133" t="s">
        <v>6757</v>
      </c>
      <c r="N464" s="122" t="s">
        <v>30</v>
      </c>
    </row>
    <row r="465" spans="2:14" s="9" customFormat="1" hidden="1" x14ac:dyDescent="0.25">
      <c r="B465" s="120">
        <v>462</v>
      </c>
      <c r="C465" s="122">
        <v>20537330695</v>
      </c>
      <c r="D465" s="125" t="s">
        <v>3664</v>
      </c>
      <c r="E465" s="125" t="s">
        <v>6750</v>
      </c>
      <c r="F465" s="122" t="s">
        <v>30</v>
      </c>
      <c r="G465" s="122" t="s">
        <v>30</v>
      </c>
      <c r="H465" s="122" t="s">
        <v>152</v>
      </c>
      <c r="I465" s="125" t="s">
        <v>1450</v>
      </c>
      <c r="J465" s="129" t="s">
        <v>6751</v>
      </c>
      <c r="K465" s="122" t="s">
        <v>6752</v>
      </c>
      <c r="L465" s="122" t="s">
        <v>731</v>
      </c>
      <c r="M465" s="133" t="s">
        <v>6753</v>
      </c>
      <c r="N465" s="122" t="s">
        <v>30</v>
      </c>
    </row>
    <row r="466" spans="2:14" s="9" customFormat="1" hidden="1" x14ac:dyDescent="0.25">
      <c r="B466" s="120">
        <v>463</v>
      </c>
      <c r="C466" s="122">
        <v>20538267172</v>
      </c>
      <c r="D466" s="125" t="s">
        <v>3557</v>
      </c>
      <c r="E466" s="125" t="s">
        <v>6745</v>
      </c>
      <c r="F466" s="122" t="s">
        <v>30</v>
      </c>
      <c r="G466" s="122" t="s">
        <v>30</v>
      </c>
      <c r="H466" s="122" t="s">
        <v>110</v>
      </c>
      <c r="I466" s="125" t="s">
        <v>6746</v>
      </c>
      <c r="J466" s="129" t="s">
        <v>6747</v>
      </c>
      <c r="K466" s="122" t="s">
        <v>6748</v>
      </c>
      <c r="L466" s="122" t="s">
        <v>42</v>
      </c>
      <c r="M466" s="133" t="s">
        <v>6749</v>
      </c>
      <c r="N466" s="122" t="s">
        <v>30</v>
      </c>
    </row>
    <row r="467" spans="2:14" s="9" customFormat="1" hidden="1" x14ac:dyDescent="0.25">
      <c r="B467" s="120">
        <v>464</v>
      </c>
      <c r="C467" s="122">
        <v>20545137471</v>
      </c>
      <c r="D467" s="125" t="s">
        <v>365</v>
      </c>
      <c r="E467" s="125" t="s">
        <v>6741</v>
      </c>
      <c r="F467" s="122" t="s">
        <v>30</v>
      </c>
      <c r="G467" s="122" t="s">
        <v>30</v>
      </c>
      <c r="H467" s="122" t="s">
        <v>35</v>
      </c>
      <c r="I467" s="125" t="s">
        <v>1983</v>
      </c>
      <c r="J467" s="129" t="s">
        <v>6742</v>
      </c>
      <c r="K467" s="122" t="s">
        <v>6743</v>
      </c>
      <c r="L467" s="122" t="s">
        <v>731</v>
      </c>
      <c r="M467" s="133" t="s">
        <v>6744</v>
      </c>
      <c r="N467" s="122" t="s">
        <v>30</v>
      </c>
    </row>
    <row r="468" spans="2:14" s="9" customFormat="1" hidden="1" x14ac:dyDescent="0.25">
      <c r="B468" s="120">
        <v>465</v>
      </c>
      <c r="C468" s="122">
        <v>20545649706</v>
      </c>
      <c r="D468" s="125" t="s">
        <v>3592</v>
      </c>
      <c r="E468" s="125" t="s">
        <v>6735</v>
      </c>
      <c r="F468" s="122" t="s">
        <v>67</v>
      </c>
      <c r="G468" s="122" t="s">
        <v>67</v>
      </c>
      <c r="H468" s="122" t="s">
        <v>67</v>
      </c>
      <c r="I468" s="125" t="s">
        <v>6736</v>
      </c>
      <c r="J468" s="129" t="s">
        <v>8068</v>
      </c>
      <c r="K468" s="122" t="s">
        <v>6740</v>
      </c>
      <c r="L468" s="122" t="s">
        <v>2469</v>
      </c>
      <c r="M468" s="133" t="s">
        <v>6739</v>
      </c>
      <c r="N468" s="122" t="s">
        <v>30</v>
      </c>
    </row>
    <row r="469" spans="2:14" s="9" customFormat="1" hidden="1" x14ac:dyDescent="0.25">
      <c r="B469" s="120">
        <v>466</v>
      </c>
      <c r="C469" s="122">
        <v>20545649706</v>
      </c>
      <c r="D469" s="125" t="s">
        <v>3592</v>
      </c>
      <c r="E469" s="125" t="s">
        <v>6735</v>
      </c>
      <c r="F469" s="122" t="s">
        <v>67</v>
      </c>
      <c r="G469" s="122" t="s">
        <v>67</v>
      </c>
      <c r="H469" s="122" t="s">
        <v>67</v>
      </c>
      <c r="I469" s="125" t="s">
        <v>6736</v>
      </c>
      <c r="J469" s="129" t="s">
        <v>6737</v>
      </c>
      <c r="K469" s="122" t="s">
        <v>6738</v>
      </c>
      <c r="L469" s="122" t="s">
        <v>731</v>
      </c>
      <c r="M469" s="133" t="s">
        <v>6739</v>
      </c>
      <c r="N469" s="122" t="s">
        <v>30</v>
      </c>
    </row>
    <row r="470" spans="2:14" s="9" customFormat="1" hidden="1" x14ac:dyDescent="0.25">
      <c r="B470" s="120">
        <v>467</v>
      </c>
      <c r="C470" s="122">
        <v>20547688776</v>
      </c>
      <c r="D470" s="125" t="s">
        <v>360</v>
      </c>
      <c r="E470" s="125" t="s">
        <v>6731</v>
      </c>
      <c r="F470" s="122" t="s">
        <v>30</v>
      </c>
      <c r="G470" s="122" t="s">
        <v>30</v>
      </c>
      <c r="H470" s="122" t="s">
        <v>58</v>
      </c>
      <c r="I470" s="125" t="s">
        <v>1387</v>
      </c>
      <c r="J470" s="129" t="s">
        <v>6732</v>
      </c>
      <c r="K470" s="122" t="s">
        <v>6733</v>
      </c>
      <c r="L470" s="122" t="s">
        <v>57</v>
      </c>
      <c r="M470" s="133" t="s">
        <v>6734</v>
      </c>
      <c r="N470" s="122" t="s">
        <v>30</v>
      </c>
    </row>
    <row r="471" spans="2:14" s="9" customFormat="1" hidden="1" x14ac:dyDescent="0.25">
      <c r="B471" s="120">
        <v>468</v>
      </c>
      <c r="C471" s="122">
        <v>20549009370</v>
      </c>
      <c r="D471" s="125" t="s">
        <v>308</v>
      </c>
      <c r="E471" s="125" t="s">
        <v>6727</v>
      </c>
      <c r="F471" s="122" t="s">
        <v>30</v>
      </c>
      <c r="G471" s="122" t="s">
        <v>30</v>
      </c>
      <c r="H471" s="122" t="s">
        <v>75</v>
      </c>
      <c r="I471" s="125" t="s">
        <v>1377</v>
      </c>
      <c r="J471" s="129" t="s">
        <v>6728</v>
      </c>
      <c r="K471" s="122" t="s">
        <v>6729</v>
      </c>
      <c r="L471" s="122" t="s">
        <v>731</v>
      </c>
      <c r="M471" s="133" t="s">
        <v>6730</v>
      </c>
      <c r="N471" s="122" t="s">
        <v>30</v>
      </c>
    </row>
    <row r="472" spans="2:14" s="9" customFormat="1" hidden="1" x14ac:dyDescent="0.25">
      <c r="B472" s="120">
        <v>469</v>
      </c>
      <c r="C472" s="122">
        <v>20550083613</v>
      </c>
      <c r="D472" s="125" t="s">
        <v>3620</v>
      </c>
      <c r="E472" s="125" t="s">
        <v>6702</v>
      </c>
      <c r="F472" s="122" t="s">
        <v>30</v>
      </c>
      <c r="G472" s="122" t="s">
        <v>30</v>
      </c>
      <c r="H472" s="122" t="s">
        <v>86</v>
      </c>
      <c r="I472" s="125" t="s">
        <v>6703</v>
      </c>
      <c r="J472" s="129" t="s">
        <v>6725</v>
      </c>
      <c r="K472" s="122" t="s">
        <v>6726</v>
      </c>
      <c r="L472" s="122" t="s">
        <v>1558</v>
      </c>
      <c r="M472" s="133" t="s">
        <v>6706</v>
      </c>
      <c r="N472" s="122" t="s">
        <v>30</v>
      </c>
    </row>
    <row r="473" spans="2:14" s="9" customFormat="1" hidden="1" x14ac:dyDescent="0.25">
      <c r="B473" s="120">
        <v>470</v>
      </c>
      <c r="C473" s="122">
        <v>20550083613</v>
      </c>
      <c r="D473" s="125" t="s">
        <v>3620</v>
      </c>
      <c r="E473" s="125" t="s">
        <v>6702</v>
      </c>
      <c r="F473" s="122" t="s">
        <v>30</v>
      </c>
      <c r="G473" s="122" t="s">
        <v>30</v>
      </c>
      <c r="H473" s="122" t="s">
        <v>86</v>
      </c>
      <c r="I473" s="125" t="s">
        <v>6703</v>
      </c>
      <c r="J473" s="129" t="s">
        <v>6723</v>
      </c>
      <c r="K473" s="122" t="s">
        <v>6724</v>
      </c>
      <c r="L473" s="122" t="s">
        <v>1558</v>
      </c>
      <c r="M473" s="133" t="s">
        <v>6706</v>
      </c>
      <c r="N473" s="122" t="s">
        <v>30</v>
      </c>
    </row>
    <row r="474" spans="2:14" s="9" customFormat="1" hidden="1" x14ac:dyDescent="0.25">
      <c r="B474" s="120">
        <v>471</v>
      </c>
      <c r="C474" s="122">
        <v>20550083613</v>
      </c>
      <c r="D474" s="125" t="s">
        <v>3620</v>
      </c>
      <c r="E474" s="125" t="s">
        <v>6702</v>
      </c>
      <c r="F474" s="122" t="s">
        <v>30</v>
      </c>
      <c r="G474" s="122" t="s">
        <v>30</v>
      </c>
      <c r="H474" s="122" t="s">
        <v>86</v>
      </c>
      <c r="I474" s="125" t="s">
        <v>6703</v>
      </c>
      <c r="J474" s="129" t="s">
        <v>6721</v>
      </c>
      <c r="K474" s="122" t="s">
        <v>6722</v>
      </c>
      <c r="L474" s="122" t="s">
        <v>1558</v>
      </c>
      <c r="M474" s="133" t="s">
        <v>6706</v>
      </c>
      <c r="N474" s="122" t="s">
        <v>30</v>
      </c>
    </row>
    <row r="475" spans="2:14" s="9" customFormat="1" hidden="1" x14ac:dyDescent="0.25">
      <c r="B475" s="120">
        <v>472</v>
      </c>
      <c r="C475" s="122">
        <v>20550083613</v>
      </c>
      <c r="D475" s="125" t="s">
        <v>3620</v>
      </c>
      <c r="E475" s="125" t="s">
        <v>6702</v>
      </c>
      <c r="F475" s="122" t="s">
        <v>30</v>
      </c>
      <c r="G475" s="122" t="s">
        <v>30</v>
      </c>
      <c r="H475" s="122" t="s">
        <v>86</v>
      </c>
      <c r="I475" s="125" t="s">
        <v>6703</v>
      </c>
      <c r="J475" s="129" t="s">
        <v>6719</v>
      </c>
      <c r="K475" s="122" t="s">
        <v>6720</v>
      </c>
      <c r="L475" s="122" t="s">
        <v>1558</v>
      </c>
      <c r="M475" s="133" t="s">
        <v>6706</v>
      </c>
      <c r="N475" s="122" t="s">
        <v>30</v>
      </c>
    </row>
    <row r="476" spans="2:14" s="9" customFormat="1" hidden="1" x14ac:dyDescent="0.25">
      <c r="B476" s="120">
        <v>473</v>
      </c>
      <c r="C476" s="122">
        <v>20550083613</v>
      </c>
      <c r="D476" s="125" t="s">
        <v>3620</v>
      </c>
      <c r="E476" s="125" t="s">
        <v>6702</v>
      </c>
      <c r="F476" s="122" t="s">
        <v>30</v>
      </c>
      <c r="G476" s="122" t="s">
        <v>30</v>
      </c>
      <c r="H476" s="122" t="s">
        <v>86</v>
      </c>
      <c r="I476" s="125" t="s">
        <v>6703</v>
      </c>
      <c r="J476" s="129" t="s">
        <v>6717</v>
      </c>
      <c r="K476" s="122" t="s">
        <v>6718</v>
      </c>
      <c r="L476" s="122" t="s">
        <v>1558</v>
      </c>
      <c r="M476" s="133" t="s">
        <v>6706</v>
      </c>
      <c r="N476" s="122" t="s">
        <v>30</v>
      </c>
    </row>
    <row r="477" spans="2:14" s="9" customFormat="1" hidden="1" x14ac:dyDescent="0.25">
      <c r="B477" s="120">
        <v>474</v>
      </c>
      <c r="C477" s="122">
        <v>20550083613</v>
      </c>
      <c r="D477" s="125" t="s">
        <v>3620</v>
      </c>
      <c r="E477" s="125" t="s">
        <v>6702</v>
      </c>
      <c r="F477" s="122" t="s">
        <v>30</v>
      </c>
      <c r="G477" s="122" t="s">
        <v>30</v>
      </c>
      <c r="H477" s="122" t="s">
        <v>86</v>
      </c>
      <c r="I477" s="125" t="s">
        <v>6703</v>
      </c>
      <c r="J477" s="129" t="s">
        <v>6715</v>
      </c>
      <c r="K477" s="122" t="s">
        <v>6716</v>
      </c>
      <c r="L477" s="122" t="s">
        <v>1558</v>
      </c>
      <c r="M477" s="133" t="s">
        <v>6706</v>
      </c>
      <c r="N477" s="122" t="s">
        <v>30</v>
      </c>
    </row>
    <row r="478" spans="2:14" s="9" customFormat="1" hidden="1" x14ac:dyDescent="0.25">
      <c r="B478" s="120">
        <v>475</v>
      </c>
      <c r="C478" s="122">
        <v>20550083613</v>
      </c>
      <c r="D478" s="125" t="s">
        <v>3620</v>
      </c>
      <c r="E478" s="125" t="s">
        <v>6702</v>
      </c>
      <c r="F478" s="122" t="s">
        <v>30</v>
      </c>
      <c r="G478" s="122" t="s">
        <v>30</v>
      </c>
      <c r="H478" s="122" t="s">
        <v>86</v>
      </c>
      <c r="I478" s="125" t="s">
        <v>6703</v>
      </c>
      <c r="J478" s="129" t="s">
        <v>6713</v>
      </c>
      <c r="K478" s="122" t="s">
        <v>6714</v>
      </c>
      <c r="L478" s="122" t="s">
        <v>1558</v>
      </c>
      <c r="M478" s="133" t="s">
        <v>6706</v>
      </c>
      <c r="N478" s="122" t="s">
        <v>30</v>
      </c>
    </row>
    <row r="479" spans="2:14" s="9" customFormat="1" hidden="1" x14ac:dyDescent="0.25">
      <c r="B479" s="120">
        <v>476</v>
      </c>
      <c r="C479" s="122">
        <v>20550083613</v>
      </c>
      <c r="D479" s="125" t="s">
        <v>3620</v>
      </c>
      <c r="E479" s="125" t="s">
        <v>6702</v>
      </c>
      <c r="F479" s="122" t="s">
        <v>30</v>
      </c>
      <c r="G479" s="122" t="s">
        <v>30</v>
      </c>
      <c r="H479" s="122" t="s">
        <v>86</v>
      </c>
      <c r="I479" s="125" t="s">
        <v>6703</v>
      </c>
      <c r="J479" s="129" t="s">
        <v>6711</v>
      </c>
      <c r="K479" s="122" t="s">
        <v>6712</v>
      </c>
      <c r="L479" s="122" t="s">
        <v>1558</v>
      </c>
      <c r="M479" s="133" t="s">
        <v>6706</v>
      </c>
      <c r="N479" s="122" t="s">
        <v>30</v>
      </c>
    </row>
    <row r="480" spans="2:14" s="9" customFormat="1" hidden="1" x14ac:dyDescent="0.25">
      <c r="B480" s="120">
        <v>477</v>
      </c>
      <c r="C480" s="122">
        <v>20550083613</v>
      </c>
      <c r="D480" s="125" t="s">
        <v>3620</v>
      </c>
      <c r="E480" s="125" t="s">
        <v>6702</v>
      </c>
      <c r="F480" s="122" t="s">
        <v>30</v>
      </c>
      <c r="G480" s="122" t="s">
        <v>30</v>
      </c>
      <c r="H480" s="122" t="s">
        <v>86</v>
      </c>
      <c r="I480" s="125" t="s">
        <v>6703</v>
      </c>
      <c r="J480" s="129" t="s">
        <v>6709</v>
      </c>
      <c r="K480" s="122" t="s">
        <v>6710</v>
      </c>
      <c r="L480" s="122" t="s">
        <v>731</v>
      </c>
      <c r="M480" s="133" t="s">
        <v>6706</v>
      </c>
      <c r="N480" s="122" t="s">
        <v>30</v>
      </c>
    </row>
    <row r="481" spans="2:14" s="9" customFormat="1" hidden="1" x14ac:dyDescent="0.25">
      <c r="B481" s="120">
        <v>478</v>
      </c>
      <c r="C481" s="122">
        <v>20550083613</v>
      </c>
      <c r="D481" s="125" t="s">
        <v>3620</v>
      </c>
      <c r="E481" s="125" t="s">
        <v>6702</v>
      </c>
      <c r="F481" s="122" t="s">
        <v>30</v>
      </c>
      <c r="G481" s="122" t="s">
        <v>30</v>
      </c>
      <c r="H481" s="122" t="s">
        <v>86</v>
      </c>
      <c r="I481" s="125" t="s">
        <v>6703</v>
      </c>
      <c r="J481" s="129" t="s">
        <v>6707</v>
      </c>
      <c r="K481" s="122" t="s">
        <v>6708</v>
      </c>
      <c r="L481" s="122" t="s">
        <v>1558</v>
      </c>
      <c r="M481" s="133" t="s">
        <v>6706</v>
      </c>
      <c r="N481" s="122" t="s">
        <v>30</v>
      </c>
    </row>
    <row r="482" spans="2:14" s="9" customFormat="1" hidden="1" x14ac:dyDescent="0.25">
      <c r="B482" s="120">
        <v>479</v>
      </c>
      <c r="C482" s="122">
        <v>20550083613</v>
      </c>
      <c r="D482" s="125" t="s">
        <v>3620</v>
      </c>
      <c r="E482" s="125" t="s">
        <v>6702</v>
      </c>
      <c r="F482" s="122" t="s">
        <v>30</v>
      </c>
      <c r="G482" s="122" t="s">
        <v>30</v>
      </c>
      <c r="H482" s="122" t="s">
        <v>86</v>
      </c>
      <c r="I482" s="125" t="s">
        <v>6703</v>
      </c>
      <c r="J482" s="129" t="s">
        <v>6704</v>
      </c>
      <c r="K482" s="122" t="s">
        <v>6705</v>
      </c>
      <c r="L482" s="122" t="s">
        <v>1558</v>
      </c>
      <c r="M482" s="133" t="s">
        <v>6706</v>
      </c>
      <c r="N482" s="122" t="s">
        <v>30</v>
      </c>
    </row>
    <row r="483" spans="2:14" s="9" customFormat="1" hidden="1" x14ac:dyDescent="0.25">
      <c r="B483" s="120">
        <v>480</v>
      </c>
      <c r="C483" s="122">
        <v>20550948029</v>
      </c>
      <c r="D483" s="125" t="s">
        <v>343</v>
      </c>
      <c r="E483" s="125" t="s">
        <v>6692</v>
      </c>
      <c r="F483" s="122" t="s">
        <v>30</v>
      </c>
      <c r="G483" s="122" t="s">
        <v>30</v>
      </c>
      <c r="H483" s="122" t="s">
        <v>45</v>
      </c>
      <c r="I483" s="125" t="s">
        <v>1737</v>
      </c>
      <c r="J483" s="129" t="s">
        <v>6700</v>
      </c>
      <c r="K483" s="122" t="s">
        <v>6701</v>
      </c>
      <c r="L483" s="122" t="s">
        <v>209</v>
      </c>
      <c r="M483" s="133" t="s">
        <v>6695</v>
      </c>
      <c r="N483" s="122" t="s">
        <v>30</v>
      </c>
    </row>
    <row r="484" spans="2:14" s="9" customFormat="1" hidden="1" x14ac:dyDescent="0.25">
      <c r="B484" s="120">
        <v>481</v>
      </c>
      <c r="C484" s="122">
        <v>20550948029</v>
      </c>
      <c r="D484" s="125" t="s">
        <v>343</v>
      </c>
      <c r="E484" s="125" t="s">
        <v>6692</v>
      </c>
      <c r="F484" s="122" t="s">
        <v>30</v>
      </c>
      <c r="G484" s="122" t="s">
        <v>30</v>
      </c>
      <c r="H484" s="122" t="s">
        <v>45</v>
      </c>
      <c r="I484" s="125" t="s">
        <v>1737</v>
      </c>
      <c r="J484" s="129" t="s">
        <v>6698</v>
      </c>
      <c r="K484" s="122" t="s">
        <v>6699</v>
      </c>
      <c r="L484" s="122" t="s">
        <v>1712</v>
      </c>
      <c r="M484" s="133" t="s">
        <v>6695</v>
      </c>
      <c r="N484" s="122" t="s">
        <v>30</v>
      </c>
    </row>
    <row r="485" spans="2:14" s="9" customFormat="1" hidden="1" x14ac:dyDescent="0.25">
      <c r="B485" s="120">
        <v>482</v>
      </c>
      <c r="C485" s="122">
        <v>20550948029</v>
      </c>
      <c r="D485" s="125" t="s">
        <v>343</v>
      </c>
      <c r="E485" s="125" t="s">
        <v>6692</v>
      </c>
      <c r="F485" s="122" t="s">
        <v>30</v>
      </c>
      <c r="G485" s="122" t="s">
        <v>30</v>
      </c>
      <c r="H485" s="122" t="s">
        <v>45</v>
      </c>
      <c r="I485" s="125" t="s">
        <v>1737</v>
      </c>
      <c r="J485" s="129" t="s">
        <v>6696</v>
      </c>
      <c r="K485" s="122" t="s">
        <v>6697</v>
      </c>
      <c r="L485" s="122" t="s">
        <v>731</v>
      </c>
      <c r="M485" s="133" t="s">
        <v>6695</v>
      </c>
      <c r="N485" s="122" t="s">
        <v>30</v>
      </c>
    </row>
    <row r="486" spans="2:14" s="9" customFormat="1" hidden="1" x14ac:dyDescent="0.25">
      <c r="B486" s="120">
        <v>483</v>
      </c>
      <c r="C486" s="122">
        <v>20550948029</v>
      </c>
      <c r="D486" s="125" t="s">
        <v>343</v>
      </c>
      <c r="E486" s="125" t="s">
        <v>6692</v>
      </c>
      <c r="F486" s="122" t="s">
        <v>30</v>
      </c>
      <c r="G486" s="122" t="s">
        <v>30</v>
      </c>
      <c r="H486" s="122" t="s">
        <v>45</v>
      </c>
      <c r="I486" s="125" t="s">
        <v>1737</v>
      </c>
      <c r="J486" s="129" t="s">
        <v>6693</v>
      </c>
      <c r="K486" s="122" t="s">
        <v>6694</v>
      </c>
      <c r="L486" s="122" t="s">
        <v>209</v>
      </c>
      <c r="M486" s="133" t="s">
        <v>6695</v>
      </c>
      <c r="N486" s="122" t="s">
        <v>30</v>
      </c>
    </row>
    <row r="487" spans="2:14" s="9" customFormat="1" hidden="1" x14ac:dyDescent="0.25">
      <c r="B487" s="120">
        <v>484</v>
      </c>
      <c r="C487" s="122">
        <v>20551620779</v>
      </c>
      <c r="D487" s="125" t="s">
        <v>356</v>
      </c>
      <c r="E487" s="125" t="s">
        <v>6688</v>
      </c>
      <c r="F487" s="122" t="s">
        <v>30</v>
      </c>
      <c r="G487" s="122" t="s">
        <v>30</v>
      </c>
      <c r="H487" s="122" t="s">
        <v>51</v>
      </c>
      <c r="I487" s="125" t="s">
        <v>1424</v>
      </c>
      <c r="J487" s="129" t="s">
        <v>6689</v>
      </c>
      <c r="K487" s="122" t="s">
        <v>6690</v>
      </c>
      <c r="L487" s="122" t="s">
        <v>731</v>
      </c>
      <c r="M487" s="133" t="s">
        <v>6691</v>
      </c>
      <c r="N487" s="122" t="s">
        <v>30</v>
      </c>
    </row>
    <row r="488" spans="2:14" s="9" customFormat="1" hidden="1" x14ac:dyDescent="0.25">
      <c r="B488" s="120">
        <v>485</v>
      </c>
      <c r="C488" s="122">
        <v>20552386931</v>
      </c>
      <c r="D488" s="125" t="s">
        <v>3585</v>
      </c>
      <c r="E488" s="125" t="s">
        <v>6684</v>
      </c>
      <c r="F488" s="122" t="s">
        <v>30</v>
      </c>
      <c r="G488" s="122" t="s">
        <v>30</v>
      </c>
      <c r="H488" s="122" t="s">
        <v>30</v>
      </c>
      <c r="I488" s="125" t="s">
        <v>1398</v>
      </c>
      <c r="J488" s="129" t="s">
        <v>6685</v>
      </c>
      <c r="K488" s="122" t="s">
        <v>6686</v>
      </c>
      <c r="L488" s="122" t="s">
        <v>731</v>
      </c>
      <c r="M488" s="133" t="s">
        <v>6687</v>
      </c>
      <c r="N488" s="122" t="s">
        <v>30</v>
      </c>
    </row>
    <row r="489" spans="2:14" s="9" customFormat="1" hidden="1" x14ac:dyDescent="0.25">
      <c r="B489" s="120">
        <v>486</v>
      </c>
      <c r="C489" s="122">
        <v>20556806986</v>
      </c>
      <c r="D489" s="125" t="s">
        <v>3651</v>
      </c>
      <c r="E489" s="125" t="s">
        <v>6680</v>
      </c>
      <c r="F489" s="122" t="s">
        <v>30</v>
      </c>
      <c r="G489" s="122" t="s">
        <v>30</v>
      </c>
      <c r="H489" s="122" t="s">
        <v>86</v>
      </c>
      <c r="I489" s="125" t="s">
        <v>1957</v>
      </c>
      <c r="J489" s="129" t="s">
        <v>6681</v>
      </c>
      <c r="K489" s="122" t="s">
        <v>6682</v>
      </c>
      <c r="L489" s="122" t="s">
        <v>1558</v>
      </c>
      <c r="M489" s="133" t="s">
        <v>6683</v>
      </c>
      <c r="N489" s="122" t="s">
        <v>30</v>
      </c>
    </row>
    <row r="490" spans="2:14" s="9" customFormat="1" hidden="1" x14ac:dyDescent="0.25">
      <c r="B490" s="120">
        <v>487</v>
      </c>
      <c r="C490" s="122">
        <v>20557071114</v>
      </c>
      <c r="D490" s="125" t="s">
        <v>318</v>
      </c>
      <c r="E490" s="125" t="s">
        <v>6676</v>
      </c>
      <c r="F490" s="122" t="s">
        <v>30</v>
      </c>
      <c r="G490" s="122" t="s">
        <v>30</v>
      </c>
      <c r="H490" s="122" t="s">
        <v>45</v>
      </c>
      <c r="I490" s="125" t="s">
        <v>1931</v>
      </c>
      <c r="J490" s="129" t="s">
        <v>6677</v>
      </c>
      <c r="K490" s="122" t="s">
        <v>6678</v>
      </c>
      <c r="L490" s="122" t="s">
        <v>731</v>
      </c>
      <c r="M490" s="133" t="s">
        <v>6679</v>
      </c>
      <c r="N490" s="122" t="s">
        <v>30</v>
      </c>
    </row>
    <row r="491" spans="2:14" s="9" customFormat="1" hidden="1" x14ac:dyDescent="0.25">
      <c r="B491" s="120">
        <v>488</v>
      </c>
      <c r="C491" s="122">
        <v>20563627116</v>
      </c>
      <c r="D491" s="125" t="s">
        <v>3601</v>
      </c>
      <c r="E491" s="125" t="s">
        <v>6672</v>
      </c>
      <c r="F491" s="122" t="s">
        <v>30</v>
      </c>
      <c r="G491" s="122" t="s">
        <v>30</v>
      </c>
      <c r="H491" s="122" t="s">
        <v>72</v>
      </c>
      <c r="I491" s="125" t="s">
        <v>1450</v>
      </c>
      <c r="J491" s="129" t="s">
        <v>6673</v>
      </c>
      <c r="K491" s="122" t="s">
        <v>6674</v>
      </c>
      <c r="L491" s="122" t="s">
        <v>731</v>
      </c>
      <c r="M491" s="133" t="s">
        <v>6675</v>
      </c>
      <c r="N491" s="122" t="s">
        <v>30</v>
      </c>
    </row>
    <row r="492" spans="2:14" s="9" customFormat="1" hidden="1" x14ac:dyDescent="0.25">
      <c r="B492" s="120">
        <v>489</v>
      </c>
      <c r="C492" s="122">
        <v>20565353731</v>
      </c>
      <c r="D492" s="125" t="s">
        <v>3500</v>
      </c>
      <c r="E492" s="125" t="s">
        <v>6668</v>
      </c>
      <c r="F492" s="122" t="s">
        <v>30</v>
      </c>
      <c r="G492" s="122" t="s">
        <v>30</v>
      </c>
      <c r="H492" s="122" t="s">
        <v>72</v>
      </c>
      <c r="I492" s="125" t="s">
        <v>1394</v>
      </c>
      <c r="J492" s="129" t="s">
        <v>6669</v>
      </c>
      <c r="K492" s="122" t="s">
        <v>6670</v>
      </c>
      <c r="L492" s="122" t="s">
        <v>1577</v>
      </c>
      <c r="M492" s="133" t="s">
        <v>6671</v>
      </c>
      <c r="N492" s="122" t="s">
        <v>30</v>
      </c>
    </row>
    <row r="493" spans="2:14" s="9" customFormat="1" hidden="1" x14ac:dyDescent="0.25">
      <c r="B493" s="120">
        <v>490</v>
      </c>
      <c r="C493" s="122">
        <v>20565783310</v>
      </c>
      <c r="D493" s="125" t="s">
        <v>3658</v>
      </c>
      <c r="E493" s="125" t="s">
        <v>6664</v>
      </c>
      <c r="F493" s="122" t="s">
        <v>30</v>
      </c>
      <c r="G493" s="122" t="s">
        <v>30</v>
      </c>
      <c r="H493" s="122" t="s">
        <v>35</v>
      </c>
      <c r="I493" s="125" t="s">
        <v>6240</v>
      </c>
      <c r="J493" s="129" t="s">
        <v>6665</v>
      </c>
      <c r="K493" s="122" t="s">
        <v>6666</v>
      </c>
      <c r="L493" s="122" t="s">
        <v>57</v>
      </c>
      <c r="M493" s="133" t="s">
        <v>6667</v>
      </c>
      <c r="N493" s="122" t="s">
        <v>30</v>
      </c>
    </row>
    <row r="494" spans="2:14" s="9" customFormat="1" hidden="1" x14ac:dyDescent="0.25">
      <c r="B494" s="120">
        <v>491</v>
      </c>
      <c r="C494" s="122">
        <v>20566041384</v>
      </c>
      <c r="D494" s="125" t="s">
        <v>3588</v>
      </c>
      <c r="E494" s="125" t="s">
        <v>6659</v>
      </c>
      <c r="F494" s="122" t="s">
        <v>30</v>
      </c>
      <c r="G494" s="122" t="s">
        <v>30</v>
      </c>
      <c r="H494" s="122" t="s">
        <v>43</v>
      </c>
      <c r="I494" s="125" t="s">
        <v>6660</v>
      </c>
      <c r="J494" s="129" t="s">
        <v>6661</v>
      </c>
      <c r="K494" s="122" t="s">
        <v>6662</v>
      </c>
      <c r="L494" s="122" t="s">
        <v>42</v>
      </c>
      <c r="M494" s="133" t="s">
        <v>6663</v>
      </c>
      <c r="N494" s="122" t="s">
        <v>30</v>
      </c>
    </row>
    <row r="495" spans="2:14" s="9" customFormat="1" hidden="1" x14ac:dyDescent="0.25">
      <c r="B495" s="120">
        <v>492</v>
      </c>
      <c r="C495" s="122">
        <v>20566229774</v>
      </c>
      <c r="D495" s="125" t="s">
        <v>3617</v>
      </c>
      <c r="E495" s="125" t="s">
        <v>6655</v>
      </c>
      <c r="F495" s="122" t="s">
        <v>30</v>
      </c>
      <c r="G495" s="122" t="s">
        <v>30</v>
      </c>
      <c r="H495" s="122" t="s">
        <v>72</v>
      </c>
      <c r="I495" s="125" t="s">
        <v>1365</v>
      </c>
      <c r="J495" s="129" t="s">
        <v>6656</v>
      </c>
      <c r="K495" s="122" t="s">
        <v>6657</v>
      </c>
      <c r="L495" s="122" t="s">
        <v>731</v>
      </c>
      <c r="M495" s="133" t="s">
        <v>6658</v>
      </c>
      <c r="N495" s="122" t="s">
        <v>30</v>
      </c>
    </row>
    <row r="496" spans="2:14" s="9" customFormat="1" hidden="1" x14ac:dyDescent="0.25">
      <c r="B496" s="120">
        <v>493</v>
      </c>
      <c r="C496" s="122">
        <v>20600111354</v>
      </c>
      <c r="D496" s="125" t="s">
        <v>336</v>
      </c>
      <c r="E496" s="125" t="s">
        <v>337</v>
      </c>
      <c r="F496" s="122" t="s">
        <v>30</v>
      </c>
      <c r="G496" s="122" t="s">
        <v>30</v>
      </c>
      <c r="H496" s="122" t="s">
        <v>135</v>
      </c>
      <c r="I496" s="125" t="s">
        <v>1561</v>
      </c>
      <c r="J496" s="129" t="s">
        <v>6652</v>
      </c>
      <c r="K496" s="122" t="s">
        <v>6653</v>
      </c>
      <c r="L496" s="122" t="s">
        <v>1558</v>
      </c>
      <c r="M496" s="133" t="s">
        <v>6654</v>
      </c>
      <c r="N496" s="122" t="s">
        <v>30</v>
      </c>
    </row>
    <row r="497" spans="2:14" s="9" customFormat="1" hidden="1" x14ac:dyDescent="0.25">
      <c r="B497" s="120">
        <v>494</v>
      </c>
      <c r="C497" s="122">
        <v>20600161041</v>
      </c>
      <c r="D497" s="125" t="s">
        <v>3550</v>
      </c>
      <c r="E497" s="125" t="s">
        <v>6648</v>
      </c>
      <c r="F497" s="122" t="s">
        <v>30</v>
      </c>
      <c r="G497" s="122" t="s">
        <v>30</v>
      </c>
      <c r="H497" s="122" t="s">
        <v>35</v>
      </c>
      <c r="I497" s="125" t="s">
        <v>1398</v>
      </c>
      <c r="J497" s="129" t="s">
        <v>6649</v>
      </c>
      <c r="K497" s="122" t="s">
        <v>6650</v>
      </c>
      <c r="L497" s="122" t="s">
        <v>731</v>
      </c>
      <c r="M497" s="133" t="s">
        <v>6651</v>
      </c>
      <c r="N497" s="122" t="s">
        <v>30</v>
      </c>
    </row>
    <row r="498" spans="2:14" s="9" customFormat="1" hidden="1" x14ac:dyDescent="0.25">
      <c r="B498" s="120">
        <v>495</v>
      </c>
      <c r="C498" s="122">
        <v>20600226828</v>
      </c>
      <c r="D498" s="125" t="s">
        <v>3583</v>
      </c>
      <c r="E498" s="125" t="s">
        <v>6644</v>
      </c>
      <c r="F498" s="122" t="s">
        <v>30</v>
      </c>
      <c r="G498" s="122" t="s">
        <v>30</v>
      </c>
      <c r="H498" s="122" t="s">
        <v>37</v>
      </c>
      <c r="I498" s="125" t="s">
        <v>1377</v>
      </c>
      <c r="J498" s="129" t="s">
        <v>6645</v>
      </c>
      <c r="K498" s="122" t="s">
        <v>6646</v>
      </c>
      <c r="L498" s="122" t="s">
        <v>42</v>
      </c>
      <c r="M498" s="133" t="s">
        <v>6647</v>
      </c>
      <c r="N498" s="122" t="s">
        <v>30</v>
      </c>
    </row>
    <row r="499" spans="2:14" s="9" customFormat="1" hidden="1" x14ac:dyDescent="0.25">
      <c r="B499" s="120">
        <v>496</v>
      </c>
      <c r="C499" s="122">
        <v>20600370091</v>
      </c>
      <c r="D499" s="125" t="s">
        <v>3579</v>
      </c>
      <c r="E499" s="125" t="s">
        <v>6640</v>
      </c>
      <c r="F499" s="122" t="s">
        <v>30</v>
      </c>
      <c r="G499" s="122" t="s">
        <v>30</v>
      </c>
      <c r="H499" s="122" t="s">
        <v>64</v>
      </c>
      <c r="I499" s="125" t="s">
        <v>3334</v>
      </c>
      <c r="J499" s="129" t="s">
        <v>6641</v>
      </c>
      <c r="K499" s="122" t="s">
        <v>6642</v>
      </c>
      <c r="L499" s="122" t="s">
        <v>731</v>
      </c>
      <c r="M499" s="133" t="s">
        <v>6643</v>
      </c>
      <c r="N499" s="122" t="s">
        <v>30</v>
      </c>
    </row>
    <row r="500" spans="2:14" s="9" customFormat="1" hidden="1" x14ac:dyDescent="0.25">
      <c r="B500" s="120">
        <v>497</v>
      </c>
      <c r="C500" s="122">
        <v>20600572190</v>
      </c>
      <c r="D500" s="125" t="s">
        <v>6635</v>
      </c>
      <c r="E500" s="125" t="s">
        <v>6636</v>
      </c>
      <c r="F500" s="122" t="s">
        <v>30</v>
      </c>
      <c r="G500" s="122" t="s">
        <v>30</v>
      </c>
      <c r="H500" s="122" t="s">
        <v>135</v>
      </c>
      <c r="I500" s="125" t="s">
        <v>3859</v>
      </c>
      <c r="J500" s="129" t="s">
        <v>6637</v>
      </c>
      <c r="K500" s="122" t="s">
        <v>6638</v>
      </c>
      <c r="L500" s="122" t="s">
        <v>731</v>
      </c>
      <c r="M500" s="133" t="s">
        <v>6639</v>
      </c>
      <c r="N500" s="122" t="s">
        <v>30</v>
      </c>
    </row>
    <row r="501" spans="2:14" s="9" customFormat="1" hidden="1" x14ac:dyDescent="0.25">
      <c r="B501" s="120">
        <v>498</v>
      </c>
      <c r="C501" s="122">
        <v>20600576608</v>
      </c>
      <c r="D501" s="125" t="s">
        <v>3608</v>
      </c>
      <c r="E501" s="125" t="s">
        <v>6631</v>
      </c>
      <c r="F501" s="122" t="s">
        <v>30</v>
      </c>
      <c r="G501" s="122" t="s">
        <v>30</v>
      </c>
      <c r="H501" s="122" t="s">
        <v>45</v>
      </c>
      <c r="I501" s="125" t="s">
        <v>1516</v>
      </c>
      <c r="J501" s="129" t="s">
        <v>6632</v>
      </c>
      <c r="K501" s="122" t="s">
        <v>6633</v>
      </c>
      <c r="L501" s="122" t="s">
        <v>57</v>
      </c>
      <c r="M501" s="133" t="s">
        <v>6634</v>
      </c>
      <c r="N501" s="122" t="s">
        <v>30</v>
      </c>
    </row>
    <row r="502" spans="2:14" s="9" customFormat="1" hidden="1" x14ac:dyDescent="0.25">
      <c r="B502" s="120">
        <v>499</v>
      </c>
      <c r="C502" s="122">
        <v>20600751647</v>
      </c>
      <c r="D502" s="125" t="s">
        <v>3533</v>
      </c>
      <c r="E502" s="125" t="s">
        <v>6627</v>
      </c>
      <c r="F502" s="122" t="s">
        <v>30</v>
      </c>
      <c r="G502" s="122" t="s">
        <v>30</v>
      </c>
      <c r="H502" s="122" t="s">
        <v>75</v>
      </c>
      <c r="I502" s="125" t="s">
        <v>1368</v>
      </c>
      <c r="J502" s="129" t="s">
        <v>6628</v>
      </c>
      <c r="K502" s="122" t="s">
        <v>6629</v>
      </c>
      <c r="L502" s="122" t="s">
        <v>1577</v>
      </c>
      <c r="M502" s="133" t="s">
        <v>6630</v>
      </c>
      <c r="N502" s="122" t="s">
        <v>30</v>
      </c>
    </row>
    <row r="503" spans="2:14" s="9" customFormat="1" hidden="1" x14ac:dyDescent="0.25">
      <c r="B503" s="120">
        <v>500</v>
      </c>
      <c r="C503" s="122">
        <v>20600858352</v>
      </c>
      <c r="D503" s="125" t="s">
        <v>3655</v>
      </c>
      <c r="E503" s="125" t="s">
        <v>6622</v>
      </c>
      <c r="F503" s="122" t="s">
        <v>30</v>
      </c>
      <c r="G503" s="122" t="s">
        <v>30</v>
      </c>
      <c r="H503" s="122" t="s">
        <v>45</v>
      </c>
      <c r="I503" s="125" t="s">
        <v>6623</v>
      </c>
      <c r="J503" s="129" t="s">
        <v>6624</v>
      </c>
      <c r="K503" s="122" t="s">
        <v>6625</v>
      </c>
      <c r="L503" s="122" t="s">
        <v>731</v>
      </c>
      <c r="M503" s="133" t="s">
        <v>6626</v>
      </c>
      <c r="N503" s="122" t="s">
        <v>30</v>
      </c>
    </row>
    <row r="504" spans="2:14" s="9" customFormat="1" hidden="1" x14ac:dyDescent="0.25">
      <c r="B504" s="120">
        <v>501</v>
      </c>
      <c r="C504" s="122">
        <v>20600955927</v>
      </c>
      <c r="D504" s="125" t="s">
        <v>6618</v>
      </c>
      <c r="E504" s="125" t="s">
        <v>6619</v>
      </c>
      <c r="F504" s="122" t="s">
        <v>30</v>
      </c>
      <c r="G504" s="122" t="s">
        <v>30</v>
      </c>
      <c r="H504" s="122" t="s">
        <v>72</v>
      </c>
      <c r="I504" s="125" t="s">
        <v>1377</v>
      </c>
      <c r="J504" s="129" t="s">
        <v>6620</v>
      </c>
      <c r="K504" s="122" t="s">
        <v>6621</v>
      </c>
      <c r="L504" s="122" t="s">
        <v>731</v>
      </c>
      <c r="M504" s="133" t="s">
        <v>845</v>
      </c>
      <c r="N504" s="122" t="s">
        <v>845</v>
      </c>
    </row>
    <row r="505" spans="2:14" s="9" customFormat="1" hidden="1" x14ac:dyDescent="0.25">
      <c r="B505" s="120">
        <v>502</v>
      </c>
      <c r="C505" s="122">
        <v>20600963849</v>
      </c>
      <c r="D505" s="125" t="s">
        <v>3665</v>
      </c>
      <c r="E505" s="125" t="s">
        <v>6614</v>
      </c>
      <c r="F505" s="122" t="s">
        <v>30</v>
      </c>
      <c r="G505" s="122" t="s">
        <v>30</v>
      </c>
      <c r="H505" s="122" t="s">
        <v>152</v>
      </c>
      <c r="I505" s="125" t="s">
        <v>1715</v>
      </c>
      <c r="J505" s="129" t="s">
        <v>6615</v>
      </c>
      <c r="K505" s="122" t="s">
        <v>6616</v>
      </c>
      <c r="L505" s="122" t="s">
        <v>731</v>
      </c>
      <c r="M505" s="133" t="s">
        <v>6617</v>
      </c>
      <c r="N505" s="122" t="s">
        <v>30</v>
      </c>
    </row>
    <row r="506" spans="2:14" s="9" customFormat="1" hidden="1" x14ac:dyDescent="0.25">
      <c r="B506" s="120">
        <v>503</v>
      </c>
      <c r="C506" s="122">
        <v>20601103282</v>
      </c>
      <c r="D506" s="125" t="s">
        <v>3571</v>
      </c>
      <c r="E506" s="125" t="s">
        <v>6610</v>
      </c>
      <c r="F506" s="122" t="s">
        <v>30</v>
      </c>
      <c r="G506" s="122" t="s">
        <v>30</v>
      </c>
      <c r="H506" s="122" t="s">
        <v>51</v>
      </c>
      <c r="I506" s="125" t="s">
        <v>1957</v>
      </c>
      <c r="J506" s="129" t="s">
        <v>6611</v>
      </c>
      <c r="K506" s="122" t="s">
        <v>6612</v>
      </c>
      <c r="L506" s="122" t="s">
        <v>42</v>
      </c>
      <c r="M506" s="133" t="s">
        <v>6613</v>
      </c>
      <c r="N506" s="122" t="s">
        <v>30</v>
      </c>
    </row>
    <row r="507" spans="2:14" s="9" customFormat="1" hidden="1" x14ac:dyDescent="0.25">
      <c r="B507" s="120">
        <v>504</v>
      </c>
      <c r="C507" s="122">
        <v>20601409411</v>
      </c>
      <c r="D507" s="125" t="s">
        <v>3531</v>
      </c>
      <c r="E507" s="125" t="s">
        <v>6606</v>
      </c>
      <c r="F507" s="122" t="s">
        <v>67</v>
      </c>
      <c r="G507" s="122" t="s">
        <v>67</v>
      </c>
      <c r="H507" s="122" t="s">
        <v>67</v>
      </c>
      <c r="I507" s="125" t="s">
        <v>1374</v>
      </c>
      <c r="J507" s="129" t="s">
        <v>6607</v>
      </c>
      <c r="K507" s="122" t="s">
        <v>6608</v>
      </c>
      <c r="L507" s="122" t="s">
        <v>731</v>
      </c>
      <c r="M507" s="133" t="s">
        <v>6609</v>
      </c>
      <c r="N507" s="122" t="s">
        <v>30</v>
      </c>
    </row>
    <row r="508" spans="2:14" s="9" customFormat="1" hidden="1" x14ac:dyDescent="0.25">
      <c r="B508" s="120">
        <v>505</v>
      </c>
      <c r="C508" s="122">
        <v>20601477794</v>
      </c>
      <c r="D508" s="125" t="s">
        <v>377</v>
      </c>
      <c r="E508" s="125" t="s">
        <v>6603</v>
      </c>
      <c r="F508" s="122" t="s">
        <v>30</v>
      </c>
      <c r="G508" s="122" t="s">
        <v>30</v>
      </c>
      <c r="H508" s="122" t="s">
        <v>40</v>
      </c>
      <c r="I508" s="125" t="s">
        <v>1701</v>
      </c>
      <c r="J508" s="129" t="s">
        <v>6604</v>
      </c>
      <c r="K508" s="122" t="s">
        <v>6605</v>
      </c>
      <c r="L508" s="122" t="s">
        <v>731</v>
      </c>
      <c r="M508" s="133" t="s">
        <v>845</v>
      </c>
      <c r="N508" s="122" t="s">
        <v>845</v>
      </c>
    </row>
    <row r="509" spans="2:14" s="9" customFormat="1" hidden="1" x14ac:dyDescent="0.25">
      <c r="B509" s="120">
        <v>506</v>
      </c>
      <c r="C509" s="122">
        <v>20601692865</v>
      </c>
      <c r="D509" s="125" t="s">
        <v>346</v>
      </c>
      <c r="E509" s="125" t="s">
        <v>6599</v>
      </c>
      <c r="F509" s="122" t="s">
        <v>30</v>
      </c>
      <c r="G509" s="122" t="s">
        <v>30</v>
      </c>
      <c r="H509" s="122" t="s">
        <v>45</v>
      </c>
      <c r="I509" s="125" t="s">
        <v>1706</v>
      </c>
      <c r="J509" s="129" t="s">
        <v>6600</v>
      </c>
      <c r="K509" s="122" t="s">
        <v>6601</v>
      </c>
      <c r="L509" s="122" t="s">
        <v>731</v>
      </c>
      <c r="M509" s="133" t="s">
        <v>6602</v>
      </c>
      <c r="N509" s="122" t="s">
        <v>30</v>
      </c>
    </row>
    <row r="510" spans="2:14" s="9" customFormat="1" hidden="1" x14ac:dyDescent="0.25">
      <c r="B510" s="120">
        <v>507</v>
      </c>
      <c r="C510" s="122">
        <v>20601722390</v>
      </c>
      <c r="D510" s="125" t="s">
        <v>307</v>
      </c>
      <c r="E510" s="125" t="s">
        <v>6594</v>
      </c>
      <c r="F510" s="122" t="s">
        <v>30</v>
      </c>
      <c r="G510" s="122" t="s">
        <v>30</v>
      </c>
      <c r="H510" s="122" t="s">
        <v>30</v>
      </c>
      <c r="I510" s="125" t="s">
        <v>6595</v>
      </c>
      <c r="J510" s="129" t="s">
        <v>6596</v>
      </c>
      <c r="K510" s="122" t="s">
        <v>6597</v>
      </c>
      <c r="L510" s="122" t="s">
        <v>731</v>
      </c>
      <c r="M510" s="133" t="s">
        <v>6598</v>
      </c>
      <c r="N510" s="122" t="s">
        <v>30</v>
      </c>
    </row>
    <row r="511" spans="2:14" s="9" customFormat="1" hidden="1" x14ac:dyDescent="0.25">
      <c r="B511" s="120">
        <v>508</v>
      </c>
      <c r="C511" s="122">
        <v>20601958121</v>
      </c>
      <c r="D511" s="125" t="s">
        <v>364</v>
      </c>
      <c r="E511" s="125" t="s">
        <v>6590</v>
      </c>
      <c r="F511" s="122" t="s">
        <v>30</v>
      </c>
      <c r="G511" s="122" t="s">
        <v>30</v>
      </c>
      <c r="H511" s="122" t="s">
        <v>30</v>
      </c>
      <c r="I511" s="125" t="s">
        <v>1809</v>
      </c>
      <c r="J511" s="129" t="s">
        <v>6592</v>
      </c>
      <c r="K511" s="122" t="s">
        <v>6593</v>
      </c>
      <c r="L511" s="122" t="s">
        <v>1558</v>
      </c>
      <c r="M511" s="133" t="s">
        <v>6591</v>
      </c>
      <c r="N511" s="122" t="s">
        <v>30</v>
      </c>
    </row>
    <row r="512" spans="2:14" s="9" customFormat="1" hidden="1" x14ac:dyDescent="0.25">
      <c r="B512" s="120">
        <v>509</v>
      </c>
      <c r="C512" s="122">
        <v>20601958121</v>
      </c>
      <c r="D512" s="125" t="s">
        <v>364</v>
      </c>
      <c r="E512" s="125" t="s">
        <v>6590</v>
      </c>
      <c r="F512" s="122" t="s">
        <v>30</v>
      </c>
      <c r="G512" s="122" t="s">
        <v>30</v>
      </c>
      <c r="H512" s="122" t="s">
        <v>30</v>
      </c>
      <c r="I512" s="125" t="s">
        <v>1809</v>
      </c>
      <c r="J512" s="129" t="s">
        <v>8095</v>
      </c>
      <c r="K512" s="122" t="s">
        <v>8096</v>
      </c>
      <c r="L512" s="122" t="s">
        <v>42</v>
      </c>
      <c r="M512" s="133" t="s">
        <v>6591</v>
      </c>
      <c r="N512" s="122" t="s">
        <v>30</v>
      </c>
    </row>
    <row r="513" spans="2:14" s="9" customFormat="1" hidden="1" x14ac:dyDescent="0.25">
      <c r="B513" s="120">
        <v>510</v>
      </c>
      <c r="C513" s="122">
        <v>20601958121</v>
      </c>
      <c r="D513" s="125" t="s">
        <v>364</v>
      </c>
      <c r="E513" s="125" t="s">
        <v>6590</v>
      </c>
      <c r="F513" s="122" t="s">
        <v>30</v>
      </c>
      <c r="G513" s="122" t="s">
        <v>30</v>
      </c>
      <c r="H513" s="122" t="s">
        <v>30</v>
      </c>
      <c r="I513" s="125" t="s">
        <v>1809</v>
      </c>
      <c r="J513" s="129" t="s">
        <v>8097</v>
      </c>
      <c r="K513" s="122" t="s">
        <v>8098</v>
      </c>
      <c r="L513" s="122" t="s">
        <v>140</v>
      </c>
      <c r="M513" s="133" t="s">
        <v>6591</v>
      </c>
      <c r="N513" s="122" t="s">
        <v>30</v>
      </c>
    </row>
    <row r="514" spans="2:14" s="9" customFormat="1" hidden="1" x14ac:dyDescent="0.25">
      <c r="B514" s="120">
        <v>511</v>
      </c>
      <c r="C514" s="122">
        <v>20602020518</v>
      </c>
      <c r="D514" s="125" t="s">
        <v>315</v>
      </c>
      <c r="E514" s="125" t="s">
        <v>6586</v>
      </c>
      <c r="F514" s="122" t="s">
        <v>30</v>
      </c>
      <c r="G514" s="122" t="s">
        <v>30</v>
      </c>
      <c r="H514" s="122" t="s">
        <v>75</v>
      </c>
      <c r="I514" s="125" t="s">
        <v>1356</v>
      </c>
      <c r="J514" s="129" t="s">
        <v>6587</v>
      </c>
      <c r="K514" s="122" t="s">
        <v>6588</v>
      </c>
      <c r="L514" s="122" t="s">
        <v>731</v>
      </c>
      <c r="M514" s="133" t="s">
        <v>6589</v>
      </c>
      <c r="N514" s="122" t="s">
        <v>30</v>
      </c>
    </row>
    <row r="515" spans="2:14" s="9" customFormat="1" hidden="1" x14ac:dyDescent="0.25">
      <c r="B515" s="120">
        <v>512</v>
      </c>
      <c r="C515" s="122">
        <v>20602066810</v>
      </c>
      <c r="D515" s="125" t="s">
        <v>345</v>
      </c>
      <c r="E515" s="125" t="s">
        <v>6582</v>
      </c>
      <c r="F515" s="122" t="s">
        <v>30</v>
      </c>
      <c r="G515" s="122" t="s">
        <v>30</v>
      </c>
      <c r="H515" s="122" t="s">
        <v>50</v>
      </c>
      <c r="I515" s="125" t="s">
        <v>1398</v>
      </c>
      <c r="J515" s="129" t="s">
        <v>6583</v>
      </c>
      <c r="K515" s="122" t="s">
        <v>6584</v>
      </c>
      <c r="L515" s="122" t="s">
        <v>1577</v>
      </c>
      <c r="M515" s="133" t="s">
        <v>6585</v>
      </c>
      <c r="N515" s="122" t="s">
        <v>30</v>
      </c>
    </row>
    <row r="516" spans="2:14" s="9" customFormat="1" hidden="1" x14ac:dyDescent="0.25">
      <c r="B516" s="120">
        <v>513</v>
      </c>
      <c r="C516" s="122">
        <v>20602164587</v>
      </c>
      <c r="D516" s="125" t="s">
        <v>316</v>
      </c>
      <c r="E516" s="125" t="s">
        <v>6578</v>
      </c>
      <c r="F516" s="122" t="s">
        <v>67</v>
      </c>
      <c r="G516" s="122" t="s">
        <v>67</v>
      </c>
      <c r="H516" s="122" t="s">
        <v>67</v>
      </c>
      <c r="I516" s="125" t="s">
        <v>1701</v>
      </c>
      <c r="J516" s="129" t="s">
        <v>6579</v>
      </c>
      <c r="K516" s="122" t="s">
        <v>6580</v>
      </c>
      <c r="L516" s="122" t="s">
        <v>731</v>
      </c>
      <c r="M516" s="133" t="s">
        <v>6581</v>
      </c>
      <c r="N516" s="122" t="s">
        <v>30</v>
      </c>
    </row>
    <row r="517" spans="2:14" s="9" customFormat="1" hidden="1" x14ac:dyDescent="0.25">
      <c r="B517" s="120">
        <v>514</v>
      </c>
      <c r="C517" s="122">
        <v>20602286569</v>
      </c>
      <c r="D517" s="125" t="s">
        <v>3576</v>
      </c>
      <c r="E517" s="125" t="s">
        <v>6574</v>
      </c>
      <c r="F517" s="122" t="s">
        <v>30</v>
      </c>
      <c r="G517" s="122" t="s">
        <v>30</v>
      </c>
      <c r="H517" s="122" t="s">
        <v>80</v>
      </c>
      <c r="I517" s="125" t="s">
        <v>1377</v>
      </c>
      <c r="J517" s="129" t="s">
        <v>6575</v>
      </c>
      <c r="K517" s="122" t="s">
        <v>6576</v>
      </c>
      <c r="L517" s="122" t="s">
        <v>731</v>
      </c>
      <c r="M517" s="133" t="s">
        <v>6577</v>
      </c>
      <c r="N517" s="122" t="s">
        <v>30</v>
      </c>
    </row>
    <row r="518" spans="2:14" s="9" customFormat="1" hidden="1" x14ac:dyDescent="0.25">
      <c r="B518" s="120">
        <v>515</v>
      </c>
      <c r="C518" s="122">
        <v>20602561144</v>
      </c>
      <c r="D518" s="125" t="s">
        <v>3635</v>
      </c>
      <c r="E518" s="125" t="s">
        <v>6570</v>
      </c>
      <c r="F518" s="122" t="s">
        <v>30</v>
      </c>
      <c r="G518" s="122" t="s">
        <v>30</v>
      </c>
      <c r="H518" s="122" t="s">
        <v>45</v>
      </c>
      <c r="I518" s="125" t="s">
        <v>1965</v>
      </c>
      <c r="J518" s="129" t="s">
        <v>6571</v>
      </c>
      <c r="K518" s="122" t="s">
        <v>6572</v>
      </c>
      <c r="L518" s="122" t="s">
        <v>42</v>
      </c>
      <c r="M518" s="133" t="s">
        <v>6573</v>
      </c>
      <c r="N518" s="122" t="s">
        <v>30</v>
      </c>
    </row>
    <row r="519" spans="2:14" s="9" customFormat="1" hidden="1" x14ac:dyDescent="0.25">
      <c r="B519" s="120">
        <v>516</v>
      </c>
      <c r="C519" s="122">
        <v>20602722881</v>
      </c>
      <c r="D519" s="125" t="s">
        <v>351</v>
      </c>
      <c r="E519" s="125" t="s">
        <v>6566</v>
      </c>
      <c r="F519" s="122" t="s">
        <v>30</v>
      </c>
      <c r="G519" s="122" t="s">
        <v>30</v>
      </c>
      <c r="H519" s="122" t="s">
        <v>88</v>
      </c>
      <c r="I519" s="125" t="s">
        <v>1424</v>
      </c>
      <c r="J519" s="129" t="s">
        <v>6567</v>
      </c>
      <c r="K519" s="122" t="s">
        <v>6568</v>
      </c>
      <c r="L519" s="122" t="s">
        <v>731</v>
      </c>
      <c r="M519" s="133" t="s">
        <v>6569</v>
      </c>
      <c r="N519" s="122" t="s">
        <v>30</v>
      </c>
    </row>
    <row r="520" spans="2:14" s="9" customFormat="1" hidden="1" x14ac:dyDescent="0.25">
      <c r="B520" s="120">
        <v>517</v>
      </c>
      <c r="C520" s="122">
        <v>20602752705</v>
      </c>
      <c r="D520" s="125" t="s">
        <v>3629</v>
      </c>
      <c r="E520" s="125" t="s">
        <v>6562</v>
      </c>
      <c r="F520" s="122" t="s">
        <v>30</v>
      </c>
      <c r="G520" s="122" t="s">
        <v>30</v>
      </c>
      <c r="H520" s="122" t="s">
        <v>30</v>
      </c>
      <c r="I520" s="125" t="s">
        <v>1424</v>
      </c>
      <c r="J520" s="129" t="s">
        <v>6563</v>
      </c>
      <c r="K520" s="122" t="s">
        <v>6564</v>
      </c>
      <c r="L520" s="122" t="s">
        <v>731</v>
      </c>
      <c r="M520" s="133" t="s">
        <v>6565</v>
      </c>
      <c r="N520" s="122" t="s">
        <v>30</v>
      </c>
    </row>
    <row r="521" spans="2:14" s="9" customFormat="1" hidden="1" x14ac:dyDescent="0.25">
      <c r="B521" s="120">
        <v>518</v>
      </c>
      <c r="C521" s="122">
        <v>20602772901</v>
      </c>
      <c r="D521" s="125" t="s">
        <v>3595</v>
      </c>
      <c r="E521" s="125" t="s">
        <v>6557</v>
      </c>
      <c r="F521" s="122" t="s">
        <v>189</v>
      </c>
      <c r="G521" s="122" t="s">
        <v>189</v>
      </c>
      <c r="H521" s="122" t="s">
        <v>189</v>
      </c>
      <c r="I521" s="125" t="s">
        <v>2460</v>
      </c>
      <c r="J521" s="129" t="s">
        <v>6558</v>
      </c>
      <c r="K521" s="122" t="s">
        <v>6559</v>
      </c>
      <c r="L521" s="122" t="s">
        <v>1577</v>
      </c>
      <c r="M521" s="133" t="s">
        <v>6560</v>
      </c>
      <c r="N521" s="122" t="s">
        <v>6561</v>
      </c>
    </row>
    <row r="522" spans="2:14" s="9" customFormat="1" hidden="1" x14ac:dyDescent="0.25">
      <c r="B522" s="120">
        <v>519</v>
      </c>
      <c r="C522" s="122">
        <v>20603420595</v>
      </c>
      <c r="D522" s="125" t="s">
        <v>3477</v>
      </c>
      <c r="E522" s="125" t="s">
        <v>6553</v>
      </c>
      <c r="F522" s="122" t="s">
        <v>30</v>
      </c>
      <c r="G522" s="122" t="s">
        <v>30</v>
      </c>
      <c r="H522" s="122" t="s">
        <v>30</v>
      </c>
      <c r="I522" s="125" t="s">
        <v>1941</v>
      </c>
      <c r="J522" s="129" t="s">
        <v>6554</v>
      </c>
      <c r="K522" s="122" t="s">
        <v>6555</v>
      </c>
      <c r="L522" s="122" t="s">
        <v>731</v>
      </c>
      <c r="M522" s="133" t="s">
        <v>6556</v>
      </c>
      <c r="N522" s="122" t="s">
        <v>30</v>
      </c>
    </row>
    <row r="523" spans="2:14" s="9" customFormat="1" hidden="1" x14ac:dyDescent="0.25">
      <c r="B523" s="120">
        <v>520</v>
      </c>
      <c r="C523" s="122">
        <v>20603427701</v>
      </c>
      <c r="D523" s="125" t="s">
        <v>393</v>
      </c>
      <c r="E523" s="125" t="s">
        <v>6549</v>
      </c>
      <c r="F523" s="122" t="s">
        <v>30</v>
      </c>
      <c r="G523" s="122" t="s">
        <v>30</v>
      </c>
      <c r="H523" s="122" t="s">
        <v>38</v>
      </c>
      <c r="I523" s="125" t="s">
        <v>1964</v>
      </c>
      <c r="J523" s="129" t="s">
        <v>6550</v>
      </c>
      <c r="K523" s="122" t="s">
        <v>6551</v>
      </c>
      <c r="L523" s="122" t="s">
        <v>36</v>
      </c>
      <c r="M523" s="133" t="s">
        <v>6552</v>
      </c>
      <c r="N523" s="122" t="s">
        <v>30</v>
      </c>
    </row>
    <row r="524" spans="2:14" s="9" customFormat="1" hidden="1" x14ac:dyDescent="0.25">
      <c r="B524" s="120">
        <v>521</v>
      </c>
      <c r="C524" s="122">
        <v>20603726091</v>
      </c>
      <c r="D524" s="125" t="s">
        <v>384</v>
      </c>
      <c r="E524" s="125" t="s">
        <v>6545</v>
      </c>
      <c r="F524" s="122" t="s">
        <v>30</v>
      </c>
      <c r="G524" s="122" t="s">
        <v>30</v>
      </c>
      <c r="H524" s="122" t="s">
        <v>45</v>
      </c>
      <c r="I524" s="125" t="s">
        <v>1377</v>
      </c>
      <c r="J524" s="129" t="s">
        <v>6546</v>
      </c>
      <c r="K524" s="122" t="s">
        <v>6547</v>
      </c>
      <c r="L524" s="122" t="s">
        <v>731</v>
      </c>
      <c r="M524" s="133" t="s">
        <v>6548</v>
      </c>
      <c r="N524" s="122" t="s">
        <v>30</v>
      </c>
    </row>
    <row r="525" spans="2:14" s="9" customFormat="1" hidden="1" x14ac:dyDescent="0.25">
      <c r="B525" s="120">
        <v>522</v>
      </c>
      <c r="C525" s="122">
        <v>20603913958</v>
      </c>
      <c r="D525" s="125" t="s">
        <v>3548</v>
      </c>
      <c r="E525" s="125" t="s">
        <v>6541</v>
      </c>
      <c r="F525" s="122" t="s">
        <v>30</v>
      </c>
      <c r="G525" s="122" t="s">
        <v>30</v>
      </c>
      <c r="H525" s="122" t="s">
        <v>40</v>
      </c>
      <c r="I525" s="125" t="s">
        <v>1488</v>
      </c>
      <c r="J525" s="129" t="s">
        <v>6542</v>
      </c>
      <c r="K525" s="122" t="s">
        <v>6543</v>
      </c>
      <c r="L525" s="122" t="s">
        <v>731</v>
      </c>
      <c r="M525" s="133" t="s">
        <v>6544</v>
      </c>
      <c r="N525" s="122" t="s">
        <v>30</v>
      </c>
    </row>
    <row r="526" spans="2:14" s="9" customFormat="1" hidden="1" x14ac:dyDescent="0.25">
      <c r="B526" s="120">
        <v>523</v>
      </c>
      <c r="C526" s="122">
        <v>20603941617</v>
      </c>
      <c r="D526" s="125" t="s">
        <v>378</v>
      </c>
      <c r="E526" s="125" t="s">
        <v>6537</v>
      </c>
      <c r="F526" s="122" t="s">
        <v>30</v>
      </c>
      <c r="G526" s="122" t="s">
        <v>30</v>
      </c>
      <c r="H526" s="122" t="s">
        <v>75</v>
      </c>
      <c r="I526" s="125" t="s">
        <v>1551</v>
      </c>
      <c r="J526" s="129" t="s">
        <v>6538</v>
      </c>
      <c r="K526" s="122" t="s">
        <v>6539</v>
      </c>
      <c r="L526" s="122" t="s">
        <v>42</v>
      </c>
      <c r="M526" s="133" t="s">
        <v>6540</v>
      </c>
      <c r="N526" s="122" t="s">
        <v>30</v>
      </c>
    </row>
    <row r="527" spans="2:14" s="9" customFormat="1" hidden="1" x14ac:dyDescent="0.25">
      <c r="B527" s="120">
        <v>524</v>
      </c>
      <c r="C527" s="122">
        <v>20603963530</v>
      </c>
      <c r="D527" s="125" t="s">
        <v>349</v>
      </c>
      <c r="E527" s="125" t="s">
        <v>6533</v>
      </c>
      <c r="F527" s="122" t="s">
        <v>30</v>
      </c>
      <c r="G527" s="122" t="s">
        <v>30</v>
      </c>
      <c r="H527" s="122" t="s">
        <v>58</v>
      </c>
      <c r="I527" s="125" t="s">
        <v>1398</v>
      </c>
      <c r="J527" s="129" t="s">
        <v>6534</v>
      </c>
      <c r="K527" s="122" t="s">
        <v>6535</v>
      </c>
      <c r="L527" s="122" t="s">
        <v>42</v>
      </c>
      <c r="M527" s="133" t="s">
        <v>6536</v>
      </c>
      <c r="N527" s="122" t="s">
        <v>30</v>
      </c>
    </row>
    <row r="528" spans="2:14" s="9" customFormat="1" hidden="1" x14ac:dyDescent="0.25">
      <c r="B528" s="120">
        <v>525</v>
      </c>
      <c r="C528" s="122">
        <v>20603966962</v>
      </c>
      <c r="D528" s="125" t="s">
        <v>3517</v>
      </c>
      <c r="E528" s="125" t="s">
        <v>6529</v>
      </c>
      <c r="F528" s="122" t="s">
        <v>30</v>
      </c>
      <c r="G528" s="122" t="s">
        <v>30</v>
      </c>
      <c r="H528" s="122" t="s">
        <v>110</v>
      </c>
      <c r="I528" s="125" t="s">
        <v>5085</v>
      </c>
      <c r="J528" s="129" t="s">
        <v>6530</v>
      </c>
      <c r="K528" s="122" t="s">
        <v>6531</v>
      </c>
      <c r="L528" s="122" t="s">
        <v>1577</v>
      </c>
      <c r="M528" s="133" t="s">
        <v>6532</v>
      </c>
      <c r="N528" s="122" t="s">
        <v>30</v>
      </c>
    </row>
    <row r="529" spans="2:14" s="9" customFormat="1" hidden="1" x14ac:dyDescent="0.25">
      <c r="B529" s="120">
        <v>526</v>
      </c>
      <c r="C529" s="122">
        <v>20604057796</v>
      </c>
      <c r="D529" s="125" t="s">
        <v>391</v>
      </c>
      <c r="E529" s="125" t="s">
        <v>6525</v>
      </c>
      <c r="F529" s="122" t="s">
        <v>30</v>
      </c>
      <c r="G529" s="122" t="s">
        <v>30</v>
      </c>
      <c r="H529" s="122" t="s">
        <v>35</v>
      </c>
      <c r="I529" s="125" t="s">
        <v>1619</v>
      </c>
      <c r="J529" s="129" t="s">
        <v>6526</v>
      </c>
      <c r="K529" s="122" t="s">
        <v>6527</v>
      </c>
      <c r="L529" s="122" t="s">
        <v>42</v>
      </c>
      <c r="M529" s="133" t="s">
        <v>6528</v>
      </c>
      <c r="N529" s="122" t="s">
        <v>30</v>
      </c>
    </row>
    <row r="530" spans="2:14" s="9" customFormat="1" hidden="1" x14ac:dyDescent="0.25">
      <c r="B530" s="120">
        <v>527</v>
      </c>
      <c r="C530" s="122">
        <v>20604099006</v>
      </c>
      <c r="D530" s="125" t="s">
        <v>3566</v>
      </c>
      <c r="E530" s="125" t="s">
        <v>6521</v>
      </c>
      <c r="F530" s="122" t="s">
        <v>30</v>
      </c>
      <c r="G530" s="122" t="s">
        <v>30</v>
      </c>
      <c r="H530" s="122" t="s">
        <v>43</v>
      </c>
      <c r="I530" s="125" t="s">
        <v>1755</v>
      </c>
      <c r="J530" s="129" t="s">
        <v>6522</v>
      </c>
      <c r="K530" s="122" t="s">
        <v>6523</v>
      </c>
      <c r="L530" s="122" t="s">
        <v>731</v>
      </c>
      <c r="M530" s="133" t="s">
        <v>6524</v>
      </c>
      <c r="N530" s="122" t="s">
        <v>30</v>
      </c>
    </row>
    <row r="531" spans="2:14" s="9" customFormat="1" hidden="1" x14ac:dyDescent="0.25">
      <c r="B531" s="120">
        <v>528</v>
      </c>
      <c r="C531" s="122">
        <v>20604234647</v>
      </c>
      <c r="D531" s="125" t="s">
        <v>309</v>
      </c>
      <c r="E531" s="125" t="s">
        <v>6517</v>
      </c>
      <c r="F531" s="122" t="s">
        <v>30</v>
      </c>
      <c r="G531" s="122" t="s">
        <v>30</v>
      </c>
      <c r="H531" s="122" t="s">
        <v>45</v>
      </c>
      <c r="I531" s="125" t="s">
        <v>1963</v>
      </c>
      <c r="J531" s="129" t="s">
        <v>6518</v>
      </c>
      <c r="K531" s="122" t="s">
        <v>6519</v>
      </c>
      <c r="L531" s="122" t="s">
        <v>6520</v>
      </c>
      <c r="M531" s="133" t="s">
        <v>845</v>
      </c>
      <c r="N531" s="122" t="s">
        <v>845</v>
      </c>
    </row>
    <row r="532" spans="2:14" s="9" customFormat="1" hidden="1" x14ac:dyDescent="0.25">
      <c r="B532" s="120">
        <v>529</v>
      </c>
      <c r="C532" s="122">
        <v>20604502129</v>
      </c>
      <c r="D532" s="125" t="s">
        <v>3621</v>
      </c>
      <c r="E532" s="125" t="s">
        <v>6513</v>
      </c>
      <c r="F532" s="122" t="s">
        <v>30</v>
      </c>
      <c r="G532" s="122" t="s">
        <v>30</v>
      </c>
      <c r="H532" s="122" t="s">
        <v>72</v>
      </c>
      <c r="I532" s="125" t="s">
        <v>1450</v>
      </c>
      <c r="J532" s="129" t="s">
        <v>6514</v>
      </c>
      <c r="K532" s="122" t="s">
        <v>6515</v>
      </c>
      <c r="L532" s="122" t="s">
        <v>731</v>
      </c>
      <c r="M532" s="133" t="s">
        <v>6516</v>
      </c>
      <c r="N532" s="122" t="s">
        <v>30</v>
      </c>
    </row>
    <row r="533" spans="2:14" s="9" customFormat="1" hidden="1" x14ac:dyDescent="0.25">
      <c r="B533" s="120">
        <v>530</v>
      </c>
      <c r="C533" s="122">
        <v>20604537216</v>
      </c>
      <c r="D533" s="125" t="s">
        <v>3544</v>
      </c>
      <c r="E533" s="125" t="s">
        <v>6507</v>
      </c>
      <c r="F533" s="122" t="s">
        <v>30</v>
      </c>
      <c r="G533" s="122" t="s">
        <v>30</v>
      </c>
      <c r="H533" s="122" t="s">
        <v>86</v>
      </c>
      <c r="I533" s="125" t="s">
        <v>1933</v>
      </c>
      <c r="J533" s="129" t="s">
        <v>6511</v>
      </c>
      <c r="K533" s="122" t="s">
        <v>6512</v>
      </c>
      <c r="L533" s="122" t="s">
        <v>42</v>
      </c>
      <c r="M533" s="133" t="s">
        <v>6510</v>
      </c>
      <c r="N533" s="122" t="s">
        <v>30</v>
      </c>
    </row>
    <row r="534" spans="2:14" s="9" customFormat="1" hidden="1" x14ac:dyDescent="0.25">
      <c r="B534" s="120">
        <v>531</v>
      </c>
      <c r="C534" s="122">
        <v>20604537216</v>
      </c>
      <c r="D534" s="125" t="s">
        <v>3544</v>
      </c>
      <c r="E534" s="125" t="s">
        <v>6507</v>
      </c>
      <c r="F534" s="122" t="s">
        <v>30</v>
      </c>
      <c r="G534" s="122" t="s">
        <v>30</v>
      </c>
      <c r="H534" s="122" t="s">
        <v>86</v>
      </c>
      <c r="I534" s="125" t="s">
        <v>1933</v>
      </c>
      <c r="J534" s="129" t="s">
        <v>6509</v>
      </c>
      <c r="K534" s="122" t="s">
        <v>6508</v>
      </c>
      <c r="L534" s="122" t="s">
        <v>36</v>
      </c>
      <c r="M534" s="133" t="s">
        <v>6510</v>
      </c>
      <c r="N534" s="122" t="s">
        <v>30</v>
      </c>
    </row>
    <row r="535" spans="2:14" s="9" customFormat="1" hidden="1" x14ac:dyDescent="0.25">
      <c r="B535" s="120">
        <v>532</v>
      </c>
      <c r="C535" s="122">
        <v>20604565252</v>
      </c>
      <c r="D535" s="125" t="s">
        <v>389</v>
      </c>
      <c r="E535" s="125" t="s">
        <v>6503</v>
      </c>
      <c r="F535" s="122" t="s">
        <v>30</v>
      </c>
      <c r="G535" s="122" t="s">
        <v>30</v>
      </c>
      <c r="H535" s="122" t="s">
        <v>147</v>
      </c>
      <c r="I535" s="125" t="s">
        <v>1412</v>
      </c>
      <c r="J535" s="129" t="s">
        <v>6504</v>
      </c>
      <c r="K535" s="122" t="s">
        <v>6505</v>
      </c>
      <c r="L535" s="122" t="s">
        <v>731</v>
      </c>
      <c r="M535" s="133" t="s">
        <v>6506</v>
      </c>
      <c r="N535" s="122" t="s">
        <v>30</v>
      </c>
    </row>
    <row r="536" spans="2:14" s="9" customFormat="1" hidden="1" x14ac:dyDescent="0.25">
      <c r="B536" s="120">
        <v>533</v>
      </c>
      <c r="C536" s="122">
        <v>20604648310</v>
      </c>
      <c r="D536" s="125" t="s">
        <v>3538</v>
      </c>
      <c r="E536" s="125" t="s">
        <v>6499</v>
      </c>
      <c r="F536" s="122" t="s">
        <v>67</v>
      </c>
      <c r="G536" s="122" t="s">
        <v>67</v>
      </c>
      <c r="H536" s="122" t="s">
        <v>67</v>
      </c>
      <c r="I536" s="125" t="s">
        <v>1377</v>
      </c>
      <c r="J536" s="129" t="s">
        <v>6500</v>
      </c>
      <c r="K536" s="122" t="s">
        <v>6501</v>
      </c>
      <c r="L536" s="122" t="s">
        <v>42</v>
      </c>
      <c r="M536" s="133" t="s">
        <v>6502</v>
      </c>
      <c r="N536" s="122" t="s">
        <v>30</v>
      </c>
    </row>
    <row r="537" spans="2:14" s="9" customFormat="1" hidden="1" x14ac:dyDescent="0.25">
      <c r="B537" s="120">
        <v>534</v>
      </c>
      <c r="C537" s="122">
        <v>20604689229</v>
      </c>
      <c r="D537" s="125" t="s">
        <v>392</v>
      </c>
      <c r="E537" s="125" t="s">
        <v>6492</v>
      </c>
      <c r="F537" s="122" t="s">
        <v>30</v>
      </c>
      <c r="G537" s="122" t="s">
        <v>30</v>
      </c>
      <c r="H537" s="122" t="s">
        <v>45</v>
      </c>
      <c r="I537" s="125" t="s">
        <v>1935</v>
      </c>
      <c r="J537" s="129" t="s">
        <v>6496</v>
      </c>
      <c r="K537" s="122" t="s">
        <v>6497</v>
      </c>
      <c r="L537" s="122" t="s">
        <v>6498</v>
      </c>
      <c r="M537" s="133" t="s">
        <v>6495</v>
      </c>
      <c r="N537" s="122" t="s">
        <v>30</v>
      </c>
    </row>
    <row r="538" spans="2:14" s="9" customFormat="1" hidden="1" x14ac:dyDescent="0.25">
      <c r="B538" s="120">
        <v>535</v>
      </c>
      <c r="C538" s="122">
        <v>20604689229</v>
      </c>
      <c r="D538" s="125" t="s">
        <v>392</v>
      </c>
      <c r="E538" s="125" t="s">
        <v>6492</v>
      </c>
      <c r="F538" s="122" t="s">
        <v>30</v>
      </c>
      <c r="G538" s="122" t="s">
        <v>30</v>
      </c>
      <c r="H538" s="122" t="s">
        <v>45</v>
      </c>
      <c r="I538" s="125" t="s">
        <v>1935</v>
      </c>
      <c r="J538" s="129" t="s">
        <v>6493</v>
      </c>
      <c r="K538" s="122" t="s">
        <v>6494</v>
      </c>
      <c r="L538" s="122" t="s">
        <v>731</v>
      </c>
      <c r="M538" s="133" t="s">
        <v>6495</v>
      </c>
      <c r="N538" s="122" t="s">
        <v>30</v>
      </c>
    </row>
    <row r="539" spans="2:14" s="9" customFormat="1" hidden="1" x14ac:dyDescent="0.25">
      <c r="B539" s="120">
        <v>536</v>
      </c>
      <c r="C539" s="122">
        <v>20605099859</v>
      </c>
      <c r="D539" s="125" t="s">
        <v>381</v>
      </c>
      <c r="E539" s="125" t="s">
        <v>6488</v>
      </c>
      <c r="F539" s="122" t="s">
        <v>30</v>
      </c>
      <c r="G539" s="122" t="s">
        <v>30</v>
      </c>
      <c r="H539" s="122" t="s">
        <v>1135</v>
      </c>
      <c r="I539" s="125" t="s">
        <v>1398</v>
      </c>
      <c r="J539" s="129" t="s">
        <v>6489</v>
      </c>
      <c r="K539" s="122" t="s">
        <v>6490</v>
      </c>
      <c r="L539" s="122" t="s">
        <v>731</v>
      </c>
      <c r="M539" s="133" t="s">
        <v>6491</v>
      </c>
      <c r="N539" s="122" t="s">
        <v>30</v>
      </c>
    </row>
    <row r="540" spans="2:14" s="9" customFormat="1" hidden="1" x14ac:dyDescent="0.25">
      <c r="B540" s="120">
        <v>537</v>
      </c>
      <c r="C540" s="122">
        <v>20605512098</v>
      </c>
      <c r="D540" s="125" t="s">
        <v>3496</v>
      </c>
      <c r="E540" s="125" t="s">
        <v>6484</v>
      </c>
      <c r="F540" s="122" t="s">
        <v>30</v>
      </c>
      <c r="G540" s="122" t="s">
        <v>30</v>
      </c>
      <c r="H540" s="122" t="s">
        <v>50</v>
      </c>
      <c r="I540" s="125" t="s">
        <v>1706</v>
      </c>
      <c r="J540" s="129" t="s">
        <v>6485</v>
      </c>
      <c r="K540" s="122" t="s">
        <v>6486</v>
      </c>
      <c r="L540" s="122" t="s">
        <v>731</v>
      </c>
      <c r="M540" s="133" t="s">
        <v>6487</v>
      </c>
      <c r="N540" s="122" t="s">
        <v>30</v>
      </c>
    </row>
    <row r="541" spans="2:14" s="9" customFormat="1" hidden="1" x14ac:dyDescent="0.25">
      <c r="B541" s="120">
        <v>538</v>
      </c>
      <c r="C541" s="122">
        <v>20606408154</v>
      </c>
      <c r="D541" s="125" t="s">
        <v>376</v>
      </c>
      <c r="E541" s="125" t="s">
        <v>6480</v>
      </c>
      <c r="F541" s="122" t="s">
        <v>30</v>
      </c>
      <c r="G541" s="122" t="s">
        <v>54</v>
      </c>
      <c r="H541" s="122" t="s">
        <v>54</v>
      </c>
      <c r="I541" s="125" t="s">
        <v>1959</v>
      </c>
      <c r="J541" s="129" t="s">
        <v>6481</v>
      </c>
      <c r="K541" s="122" t="s">
        <v>6482</v>
      </c>
      <c r="L541" s="122" t="s">
        <v>42</v>
      </c>
      <c r="M541" s="133" t="s">
        <v>6483</v>
      </c>
      <c r="N541" s="122" t="s">
        <v>54</v>
      </c>
    </row>
    <row r="542" spans="2:14" s="9" customFormat="1" hidden="1" x14ac:dyDescent="0.25">
      <c r="B542" s="120">
        <v>539</v>
      </c>
      <c r="C542" s="122">
        <v>20606594021</v>
      </c>
      <c r="D542" s="125" t="s">
        <v>313</v>
      </c>
      <c r="E542" s="125" t="s">
        <v>6475</v>
      </c>
      <c r="F542" s="122" t="s">
        <v>30</v>
      </c>
      <c r="G542" s="122" t="s">
        <v>30</v>
      </c>
      <c r="H542" s="122" t="s">
        <v>6476</v>
      </c>
      <c r="I542" s="125" t="s">
        <v>1424</v>
      </c>
      <c r="J542" s="129" t="s">
        <v>6477</v>
      </c>
      <c r="K542" s="122" t="s">
        <v>6478</v>
      </c>
      <c r="L542" s="122" t="s">
        <v>731</v>
      </c>
      <c r="M542" s="133" t="s">
        <v>6479</v>
      </c>
      <c r="N542" s="122" t="s">
        <v>30</v>
      </c>
    </row>
    <row r="543" spans="2:14" s="9" customFormat="1" hidden="1" x14ac:dyDescent="0.25">
      <c r="B543" s="120">
        <v>540</v>
      </c>
      <c r="C543" s="122">
        <v>20607147907</v>
      </c>
      <c r="D543" s="125" t="s">
        <v>302</v>
      </c>
      <c r="E543" s="125" t="s">
        <v>6471</v>
      </c>
      <c r="F543" s="122" t="s">
        <v>30</v>
      </c>
      <c r="G543" s="122" t="s">
        <v>30</v>
      </c>
      <c r="H543" s="122" t="s">
        <v>52</v>
      </c>
      <c r="I543" s="125" t="s">
        <v>1964</v>
      </c>
      <c r="J543" s="129" t="s">
        <v>6472</v>
      </c>
      <c r="K543" s="122" t="s">
        <v>6473</v>
      </c>
      <c r="L543" s="122" t="s">
        <v>42</v>
      </c>
      <c r="M543" s="133" t="s">
        <v>6474</v>
      </c>
      <c r="N543" s="122" t="s">
        <v>30</v>
      </c>
    </row>
    <row r="544" spans="2:14" s="9" customFormat="1" hidden="1" x14ac:dyDescent="0.25">
      <c r="B544" s="120">
        <v>541</v>
      </c>
      <c r="C544" s="122">
        <v>20607817457</v>
      </c>
      <c r="D544" s="125" t="s">
        <v>3558</v>
      </c>
      <c r="E544" s="125" t="s">
        <v>6467</v>
      </c>
      <c r="F544" s="122" t="s">
        <v>30</v>
      </c>
      <c r="G544" s="122" t="s">
        <v>30</v>
      </c>
      <c r="H544" s="122" t="s">
        <v>6468</v>
      </c>
      <c r="I544" s="125" t="s">
        <v>2446</v>
      </c>
      <c r="J544" s="129" t="s">
        <v>6469</v>
      </c>
      <c r="K544" s="122" t="s">
        <v>6470</v>
      </c>
      <c r="L544" s="122" t="s">
        <v>731</v>
      </c>
      <c r="M544" s="133" t="s">
        <v>845</v>
      </c>
      <c r="N544" s="122" t="s">
        <v>845</v>
      </c>
    </row>
    <row r="545" spans="2:14" s="9" customFormat="1" hidden="1" x14ac:dyDescent="0.25">
      <c r="B545" s="120">
        <v>542</v>
      </c>
      <c r="C545" s="122">
        <v>20608235087</v>
      </c>
      <c r="D545" s="125" t="s">
        <v>3556</v>
      </c>
      <c r="E545" s="125" t="s">
        <v>6463</v>
      </c>
      <c r="F545" s="122" t="s">
        <v>30</v>
      </c>
      <c r="G545" s="122" t="s">
        <v>30</v>
      </c>
      <c r="H545" s="122" t="s">
        <v>30</v>
      </c>
      <c r="I545" s="125" t="s">
        <v>1941</v>
      </c>
      <c r="J545" s="129" t="s">
        <v>6464</v>
      </c>
      <c r="K545" s="122" t="s">
        <v>6465</v>
      </c>
      <c r="L545" s="122" t="s">
        <v>1577</v>
      </c>
      <c r="M545" s="133" t="s">
        <v>6466</v>
      </c>
      <c r="N545" s="122" t="s">
        <v>30</v>
      </c>
    </row>
    <row r="546" spans="2:14" s="9" customFormat="1" hidden="1" x14ac:dyDescent="0.25">
      <c r="B546" s="120">
        <v>543</v>
      </c>
      <c r="C546" s="122">
        <v>20608487931</v>
      </c>
      <c r="D546" s="125" t="s">
        <v>3554</v>
      </c>
      <c r="E546" s="125" t="s">
        <v>6459</v>
      </c>
      <c r="F546" s="122" t="s">
        <v>30</v>
      </c>
      <c r="G546" s="122" t="s">
        <v>30</v>
      </c>
      <c r="H546" s="122" t="s">
        <v>45</v>
      </c>
      <c r="I546" s="125" t="s">
        <v>1964</v>
      </c>
      <c r="J546" s="129" t="s">
        <v>6460</v>
      </c>
      <c r="K546" s="122" t="s">
        <v>6461</v>
      </c>
      <c r="L546" s="122" t="s">
        <v>1577</v>
      </c>
      <c r="M546" s="133" t="s">
        <v>6462</v>
      </c>
      <c r="N546" s="122" t="s">
        <v>30</v>
      </c>
    </row>
    <row r="547" spans="2:14" s="9" customFormat="1" hidden="1" x14ac:dyDescent="0.25">
      <c r="B547" s="120">
        <v>544</v>
      </c>
      <c r="C547" s="122">
        <v>20608504908</v>
      </c>
      <c r="D547" s="125" t="s">
        <v>375</v>
      </c>
      <c r="E547" s="125" t="s">
        <v>6455</v>
      </c>
      <c r="F547" s="122" t="s">
        <v>67</v>
      </c>
      <c r="G547" s="122" t="s">
        <v>67</v>
      </c>
      <c r="H547" s="122" t="s">
        <v>67</v>
      </c>
      <c r="I547" s="125" t="s">
        <v>1942</v>
      </c>
      <c r="J547" s="129" t="s">
        <v>6456</v>
      </c>
      <c r="K547" s="122" t="s">
        <v>6457</v>
      </c>
      <c r="L547" s="122" t="s">
        <v>1577</v>
      </c>
      <c r="M547" s="133" t="s">
        <v>6458</v>
      </c>
      <c r="N547" s="122" t="s">
        <v>30</v>
      </c>
    </row>
    <row r="548" spans="2:14" s="9" customFormat="1" hidden="1" x14ac:dyDescent="0.25">
      <c r="B548" s="120">
        <v>545</v>
      </c>
      <c r="C548" s="122">
        <v>20608622129</v>
      </c>
      <c r="D548" s="125" t="s">
        <v>3584</v>
      </c>
      <c r="E548" s="125" t="s">
        <v>6451</v>
      </c>
      <c r="F548" s="122" t="s">
        <v>30</v>
      </c>
      <c r="G548" s="122" t="s">
        <v>30</v>
      </c>
      <c r="H548" s="122" t="s">
        <v>30</v>
      </c>
      <c r="I548" s="125" t="s">
        <v>1561</v>
      </c>
      <c r="J548" s="129" t="s">
        <v>6452</v>
      </c>
      <c r="K548" s="122" t="s">
        <v>6453</v>
      </c>
      <c r="L548" s="122" t="s">
        <v>731</v>
      </c>
      <c r="M548" s="133" t="s">
        <v>6454</v>
      </c>
      <c r="N548" s="122" t="s">
        <v>30</v>
      </c>
    </row>
    <row r="549" spans="2:14" s="9" customFormat="1" hidden="1" x14ac:dyDescent="0.25">
      <c r="B549" s="120">
        <v>546</v>
      </c>
      <c r="C549" s="122">
        <v>20608740091</v>
      </c>
      <c r="D549" s="125" t="s">
        <v>3525</v>
      </c>
      <c r="E549" s="125" t="s">
        <v>6447</v>
      </c>
      <c r="F549" s="122" t="s">
        <v>30</v>
      </c>
      <c r="G549" s="122" t="s">
        <v>30</v>
      </c>
      <c r="H549" s="122" t="s">
        <v>41</v>
      </c>
      <c r="I549" s="125" t="s">
        <v>1986</v>
      </c>
      <c r="J549" s="129" t="s">
        <v>6448</v>
      </c>
      <c r="K549" s="122" t="s">
        <v>6449</v>
      </c>
      <c r="L549" s="122" t="s">
        <v>5931</v>
      </c>
      <c r="M549" s="133" t="s">
        <v>6450</v>
      </c>
      <c r="N549" s="122" t="s">
        <v>30</v>
      </c>
    </row>
    <row r="550" spans="2:14" s="9" customFormat="1" hidden="1" x14ac:dyDescent="0.25">
      <c r="B550" s="120">
        <v>547</v>
      </c>
      <c r="C550" s="122">
        <v>20609634627</v>
      </c>
      <c r="D550" s="125" t="s">
        <v>3649</v>
      </c>
      <c r="E550" s="125" t="s">
        <v>6444</v>
      </c>
      <c r="F550" s="122" t="s">
        <v>30</v>
      </c>
      <c r="G550" s="122" t="s">
        <v>30</v>
      </c>
      <c r="H550" s="122" t="s">
        <v>72</v>
      </c>
      <c r="I550" s="125" t="s">
        <v>1377</v>
      </c>
      <c r="J550" s="129" t="s">
        <v>6445</v>
      </c>
      <c r="K550" s="122" t="s">
        <v>6446</v>
      </c>
      <c r="L550" s="122" t="s">
        <v>1577</v>
      </c>
      <c r="M550" s="133" t="s">
        <v>845</v>
      </c>
      <c r="N550" s="122" t="s">
        <v>845</v>
      </c>
    </row>
    <row r="551" spans="2:14" s="9" customFormat="1" hidden="1" x14ac:dyDescent="0.25">
      <c r="B551" s="120">
        <v>548</v>
      </c>
      <c r="C551" s="122">
        <v>20609718022</v>
      </c>
      <c r="D551" s="125" t="s">
        <v>3501</v>
      </c>
      <c r="E551" s="125" t="s">
        <v>6440</v>
      </c>
      <c r="F551" s="122" t="s">
        <v>30</v>
      </c>
      <c r="G551" s="122" t="s">
        <v>168</v>
      </c>
      <c r="H551" s="122" t="s">
        <v>168</v>
      </c>
      <c r="I551" s="125" t="s">
        <v>1977</v>
      </c>
      <c r="J551" s="129" t="s">
        <v>6441</v>
      </c>
      <c r="K551" s="122" t="s">
        <v>6442</v>
      </c>
      <c r="L551" s="122" t="s">
        <v>1577</v>
      </c>
      <c r="M551" s="133" t="s">
        <v>6443</v>
      </c>
      <c r="N551" s="122" t="s">
        <v>168</v>
      </c>
    </row>
    <row r="552" spans="2:14" s="9" customFormat="1" hidden="1" x14ac:dyDescent="0.25">
      <c r="B552" s="120">
        <v>549</v>
      </c>
      <c r="C552" s="122">
        <v>20609779641</v>
      </c>
      <c r="D552" s="125" t="s">
        <v>3644</v>
      </c>
      <c r="E552" s="125" t="s">
        <v>6436</v>
      </c>
      <c r="F552" s="122" t="s">
        <v>30</v>
      </c>
      <c r="G552" s="122" t="s">
        <v>30</v>
      </c>
      <c r="H552" s="122" t="s">
        <v>58</v>
      </c>
      <c r="I552" s="125" t="s">
        <v>1961</v>
      </c>
      <c r="J552" s="129" t="s">
        <v>6437</v>
      </c>
      <c r="K552" s="122" t="s">
        <v>6438</v>
      </c>
      <c r="L552" s="122" t="s">
        <v>1577</v>
      </c>
      <c r="M552" s="133" t="s">
        <v>6439</v>
      </c>
      <c r="N552" s="122" t="s">
        <v>67</v>
      </c>
    </row>
    <row r="553" spans="2:14" s="9" customFormat="1" hidden="1" x14ac:dyDescent="0.25">
      <c r="B553" s="120">
        <v>550</v>
      </c>
      <c r="C553" s="122">
        <v>20609864614</v>
      </c>
      <c r="D553" s="125" t="s">
        <v>3479</v>
      </c>
      <c r="E553" s="125" t="s">
        <v>3480</v>
      </c>
      <c r="F553" s="122" t="s">
        <v>30</v>
      </c>
      <c r="G553" s="122" t="s">
        <v>30</v>
      </c>
      <c r="H553" s="122" t="s">
        <v>40</v>
      </c>
      <c r="I553" s="125" t="s">
        <v>1986</v>
      </c>
      <c r="J553" s="129" t="s">
        <v>6433</v>
      </c>
      <c r="K553" s="122" t="s">
        <v>6434</v>
      </c>
      <c r="L553" s="122" t="s">
        <v>3326</v>
      </c>
      <c r="M553" s="133" t="s">
        <v>6435</v>
      </c>
      <c r="N553" s="122" t="s">
        <v>30</v>
      </c>
    </row>
    <row r="554" spans="2:14" s="9" customFormat="1" hidden="1" x14ac:dyDescent="0.25">
      <c r="B554" s="120">
        <v>551</v>
      </c>
      <c r="C554" s="122">
        <v>20100089051</v>
      </c>
      <c r="D554" s="125" t="s">
        <v>338</v>
      </c>
      <c r="E554" s="125" t="s">
        <v>339</v>
      </c>
      <c r="F554" s="122" t="s">
        <v>30</v>
      </c>
      <c r="G554" s="122" t="s">
        <v>30</v>
      </c>
      <c r="H554" s="122" t="s">
        <v>6424</v>
      </c>
      <c r="I554" s="125" t="s">
        <v>6425</v>
      </c>
      <c r="J554" s="129" t="s">
        <v>6431</v>
      </c>
      <c r="K554" s="122" t="s">
        <v>6432</v>
      </c>
      <c r="L554" s="122" t="s">
        <v>1558</v>
      </c>
      <c r="M554" s="133" t="s">
        <v>6428</v>
      </c>
      <c r="N554" s="122" t="s">
        <v>30</v>
      </c>
    </row>
    <row r="555" spans="2:14" s="9" customFormat="1" hidden="1" x14ac:dyDescent="0.25">
      <c r="B555" s="120">
        <v>552</v>
      </c>
      <c r="C555" s="122">
        <v>20100089051</v>
      </c>
      <c r="D555" s="125" t="s">
        <v>338</v>
      </c>
      <c r="E555" s="125" t="s">
        <v>339</v>
      </c>
      <c r="F555" s="122" t="s">
        <v>30</v>
      </c>
      <c r="G555" s="122" t="s">
        <v>30</v>
      </c>
      <c r="H555" s="122" t="s">
        <v>6424</v>
      </c>
      <c r="I555" s="125" t="s">
        <v>6425</v>
      </c>
      <c r="J555" s="129" t="s">
        <v>6429</v>
      </c>
      <c r="K555" s="122" t="s">
        <v>6430</v>
      </c>
      <c r="L555" s="122" t="s">
        <v>42</v>
      </c>
      <c r="M555" s="133" t="s">
        <v>6428</v>
      </c>
      <c r="N555" s="122" t="s">
        <v>30</v>
      </c>
    </row>
    <row r="556" spans="2:14" s="9" customFormat="1" hidden="1" x14ac:dyDescent="0.25">
      <c r="B556" s="120">
        <v>553</v>
      </c>
      <c r="C556" s="122">
        <v>20100089051</v>
      </c>
      <c r="D556" s="125" t="s">
        <v>338</v>
      </c>
      <c r="E556" s="125" t="s">
        <v>339</v>
      </c>
      <c r="F556" s="122" t="s">
        <v>30</v>
      </c>
      <c r="G556" s="122" t="s">
        <v>30</v>
      </c>
      <c r="H556" s="122" t="s">
        <v>6424</v>
      </c>
      <c r="I556" s="125" t="s">
        <v>6425</v>
      </c>
      <c r="J556" s="129" t="s">
        <v>6426</v>
      </c>
      <c r="K556" s="122" t="s">
        <v>6427</v>
      </c>
      <c r="L556" s="122" t="s">
        <v>4322</v>
      </c>
      <c r="M556" s="133" t="s">
        <v>6428</v>
      </c>
      <c r="N556" s="122" t="s">
        <v>30</v>
      </c>
    </row>
    <row r="557" spans="2:14" s="9" customFormat="1" hidden="1" x14ac:dyDescent="0.25">
      <c r="B557" s="120">
        <v>554</v>
      </c>
      <c r="C557" s="122">
        <v>20100074029</v>
      </c>
      <c r="D557" s="125" t="s">
        <v>340</v>
      </c>
      <c r="E557" s="125" t="s">
        <v>6410</v>
      </c>
      <c r="F557" s="122" t="s">
        <v>30</v>
      </c>
      <c r="G557" s="122" t="s">
        <v>30</v>
      </c>
      <c r="H557" s="122" t="s">
        <v>45</v>
      </c>
      <c r="I557" s="125" t="s">
        <v>2353</v>
      </c>
      <c r="J557" s="129" t="s">
        <v>6422</v>
      </c>
      <c r="K557" s="122" t="s">
        <v>6423</v>
      </c>
      <c r="L557" s="122" t="s">
        <v>119</v>
      </c>
      <c r="M557" s="133" t="s">
        <v>6413</v>
      </c>
      <c r="N557" s="122" t="s">
        <v>30</v>
      </c>
    </row>
    <row r="558" spans="2:14" s="9" customFormat="1" hidden="1" x14ac:dyDescent="0.25">
      <c r="B558" s="120">
        <v>555</v>
      </c>
      <c r="C558" s="122">
        <v>20100074029</v>
      </c>
      <c r="D558" s="125" t="s">
        <v>340</v>
      </c>
      <c r="E558" s="125" t="s">
        <v>6410</v>
      </c>
      <c r="F558" s="122" t="s">
        <v>30</v>
      </c>
      <c r="G558" s="122" t="s">
        <v>30</v>
      </c>
      <c r="H558" s="122" t="s">
        <v>45</v>
      </c>
      <c r="I558" s="125" t="s">
        <v>2353</v>
      </c>
      <c r="J558" s="129" t="s">
        <v>6420</v>
      </c>
      <c r="K558" s="122" t="s">
        <v>6421</v>
      </c>
      <c r="L558" s="122" t="s">
        <v>1558</v>
      </c>
      <c r="M558" s="133" t="s">
        <v>6413</v>
      </c>
      <c r="N558" s="122" t="s">
        <v>30</v>
      </c>
    </row>
    <row r="559" spans="2:14" s="9" customFormat="1" hidden="1" x14ac:dyDescent="0.25">
      <c r="B559" s="120">
        <v>556</v>
      </c>
      <c r="C559" s="122">
        <v>20100074029</v>
      </c>
      <c r="D559" s="125" t="s">
        <v>340</v>
      </c>
      <c r="E559" s="125" t="s">
        <v>6410</v>
      </c>
      <c r="F559" s="122" t="s">
        <v>30</v>
      </c>
      <c r="G559" s="122" t="s">
        <v>30</v>
      </c>
      <c r="H559" s="122" t="s">
        <v>45</v>
      </c>
      <c r="I559" s="125" t="s">
        <v>2353</v>
      </c>
      <c r="J559" s="129" t="s">
        <v>6418</v>
      </c>
      <c r="K559" s="122" t="s">
        <v>6419</v>
      </c>
      <c r="L559" s="122" t="s">
        <v>1558</v>
      </c>
      <c r="M559" s="133" t="s">
        <v>6413</v>
      </c>
      <c r="N559" s="122" t="s">
        <v>30</v>
      </c>
    </row>
    <row r="560" spans="2:14" s="9" customFormat="1" hidden="1" x14ac:dyDescent="0.25">
      <c r="B560" s="120">
        <v>557</v>
      </c>
      <c r="C560" s="122">
        <v>20100074029</v>
      </c>
      <c r="D560" s="125" t="s">
        <v>340</v>
      </c>
      <c r="E560" s="125" t="s">
        <v>6410</v>
      </c>
      <c r="F560" s="122" t="s">
        <v>30</v>
      </c>
      <c r="G560" s="122" t="s">
        <v>30</v>
      </c>
      <c r="H560" s="122" t="s">
        <v>45</v>
      </c>
      <c r="I560" s="125" t="s">
        <v>2353</v>
      </c>
      <c r="J560" s="129" t="s">
        <v>6416</v>
      </c>
      <c r="K560" s="122" t="s">
        <v>6417</v>
      </c>
      <c r="L560" s="122" t="s">
        <v>1558</v>
      </c>
      <c r="M560" s="133" t="s">
        <v>6413</v>
      </c>
      <c r="N560" s="122" t="s">
        <v>30</v>
      </c>
    </row>
    <row r="561" spans="2:14" s="9" customFormat="1" hidden="1" x14ac:dyDescent="0.25">
      <c r="B561" s="120">
        <v>558</v>
      </c>
      <c r="C561" s="122">
        <v>20100074029</v>
      </c>
      <c r="D561" s="125" t="s">
        <v>340</v>
      </c>
      <c r="E561" s="125" t="s">
        <v>6410</v>
      </c>
      <c r="F561" s="122" t="s">
        <v>30</v>
      </c>
      <c r="G561" s="122" t="s">
        <v>30</v>
      </c>
      <c r="H561" s="122" t="s">
        <v>45</v>
      </c>
      <c r="I561" s="125" t="s">
        <v>2353</v>
      </c>
      <c r="J561" s="129" t="s">
        <v>6414</v>
      </c>
      <c r="K561" s="122" t="s">
        <v>6415</v>
      </c>
      <c r="L561" s="122" t="s">
        <v>731</v>
      </c>
      <c r="M561" s="133" t="s">
        <v>6413</v>
      </c>
      <c r="N561" s="122" t="s">
        <v>30</v>
      </c>
    </row>
    <row r="562" spans="2:14" s="9" customFormat="1" hidden="1" x14ac:dyDescent="0.25">
      <c r="B562" s="120">
        <v>559</v>
      </c>
      <c r="C562" s="122">
        <v>20100074029</v>
      </c>
      <c r="D562" s="125" t="s">
        <v>340</v>
      </c>
      <c r="E562" s="125" t="s">
        <v>6410</v>
      </c>
      <c r="F562" s="122" t="s">
        <v>30</v>
      </c>
      <c r="G562" s="122" t="s">
        <v>30</v>
      </c>
      <c r="H562" s="122" t="s">
        <v>45</v>
      </c>
      <c r="I562" s="125" t="s">
        <v>2353</v>
      </c>
      <c r="J562" s="129" t="s">
        <v>6411</v>
      </c>
      <c r="K562" s="122" t="s">
        <v>6412</v>
      </c>
      <c r="L562" s="122" t="s">
        <v>1558</v>
      </c>
      <c r="M562" s="133" t="s">
        <v>6413</v>
      </c>
      <c r="N562" s="122" t="s">
        <v>30</v>
      </c>
    </row>
    <row r="563" spans="2:14" s="9" customFormat="1" hidden="1" x14ac:dyDescent="0.25">
      <c r="B563" s="120">
        <v>560</v>
      </c>
      <c r="C563" s="122">
        <v>20100039207</v>
      </c>
      <c r="D563" s="125" t="s">
        <v>6381</v>
      </c>
      <c r="E563" s="125" t="s">
        <v>6382</v>
      </c>
      <c r="F563" s="122" t="s">
        <v>67</v>
      </c>
      <c r="G563" s="122" t="s">
        <v>67</v>
      </c>
      <c r="H563" s="122" t="s">
        <v>67</v>
      </c>
      <c r="I563" s="125" t="s">
        <v>1655</v>
      </c>
      <c r="J563" s="129" t="s">
        <v>6408</v>
      </c>
      <c r="K563" s="122" t="s">
        <v>8085</v>
      </c>
      <c r="L563" s="122" t="s">
        <v>1558</v>
      </c>
      <c r="M563" s="133" t="s">
        <v>6383</v>
      </c>
      <c r="N563" s="122" t="s">
        <v>67</v>
      </c>
    </row>
    <row r="564" spans="2:14" s="9" customFormat="1" hidden="1" x14ac:dyDescent="0.25">
      <c r="B564" s="120">
        <v>561</v>
      </c>
      <c r="C564" s="122">
        <v>20100039207</v>
      </c>
      <c r="D564" s="125" t="s">
        <v>6381</v>
      </c>
      <c r="E564" s="125" t="s">
        <v>6382</v>
      </c>
      <c r="F564" s="122" t="s">
        <v>67</v>
      </c>
      <c r="G564" s="122" t="s">
        <v>67</v>
      </c>
      <c r="H564" s="122" t="s">
        <v>67</v>
      </c>
      <c r="I564" s="125" t="s">
        <v>1655</v>
      </c>
      <c r="J564" s="129" t="s">
        <v>6406</v>
      </c>
      <c r="K564" s="122" t="s">
        <v>6407</v>
      </c>
      <c r="L564" s="122" t="s">
        <v>1558</v>
      </c>
      <c r="M564" s="133" t="s">
        <v>6383</v>
      </c>
      <c r="N564" s="122" t="s">
        <v>67</v>
      </c>
    </row>
    <row r="565" spans="2:14" s="9" customFormat="1" hidden="1" x14ac:dyDescent="0.25">
      <c r="B565" s="120">
        <v>562</v>
      </c>
      <c r="C565" s="122">
        <v>20100039207</v>
      </c>
      <c r="D565" s="125" t="s">
        <v>6381</v>
      </c>
      <c r="E565" s="125" t="s">
        <v>6382</v>
      </c>
      <c r="F565" s="122" t="s">
        <v>67</v>
      </c>
      <c r="G565" s="122" t="s">
        <v>67</v>
      </c>
      <c r="H565" s="122" t="s">
        <v>67</v>
      </c>
      <c r="I565" s="125" t="s">
        <v>1655</v>
      </c>
      <c r="J565" s="129" t="s">
        <v>6404</v>
      </c>
      <c r="K565" s="122" t="s">
        <v>6405</v>
      </c>
      <c r="L565" s="122" t="s">
        <v>1558</v>
      </c>
      <c r="M565" s="133" t="s">
        <v>6383</v>
      </c>
      <c r="N565" s="122" t="s">
        <v>67</v>
      </c>
    </row>
    <row r="566" spans="2:14" s="9" customFormat="1" hidden="1" x14ac:dyDescent="0.25">
      <c r="B566" s="120">
        <v>563</v>
      </c>
      <c r="C566" s="122">
        <v>20100039207</v>
      </c>
      <c r="D566" s="125" t="s">
        <v>6381</v>
      </c>
      <c r="E566" s="125" t="s">
        <v>6382</v>
      </c>
      <c r="F566" s="122" t="s">
        <v>67</v>
      </c>
      <c r="G566" s="122" t="s">
        <v>67</v>
      </c>
      <c r="H566" s="122" t="s">
        <v>67</v>
      </c>
      <c r="I566" s="125" t="s">
        <v>1655</v>
      </c>
      <c r="J566" s="129" t="s">
        <v>6402</v>
      </c>
      <c r="K566" s="122" t="s">
        <v>8084</v>
      </c>
      <c r="L566" s="122" t="s">
        <v>1558</v>
      </c>
      <c r="M566" s="133" t="s">
        <v>6383</v>
      </c>
      <c r="N566" s="122" t="s">
        <v>67</v>
      </c>
    </row>
    <row r="567" spans="2:14" s="9" customFormat="1" hidden="1" x14ac:dyDescent="0.25">
      <c r="B567" s="120">
        <v>564</v>
      </c>
      <c r="C567" s="122">
        <v>20100039207</v>
      </c>
      <c r="D567" s="125" t="s">
        <v>6381</v>
      </c>
      <c r="E567" s="125" t="s">
        <v>6382</v>
      </c>
      <c r="F567" s="122" t="s">
        <v>67</v>
      </c>
      <c r="G567" s="122" t="s">
        <v>67</v>
      </c>
      <c r="H567" s="122" t="s">
        <v>67</v>
      </c>
      <c r="I567" s="125" t="s">
        <v>1655</v>
      </c>
      <c r="J567" s="129" t="s">
        <v>6400</v>
      </c>
      <c r="K567" s="122" t="s">
        <v>6401</v>
      </c>
      <c r="L567" s="122" t="s">
        <v>1558</v>
      </c>
      <c r="M567" s="133" t="s">
        <v>6383</v>
      </c>
      <c r="N567" s="122" t="s">
        <v>67</v>
      </c>
    </row>
    <row r="568" spans="2:14" s="9" customFormat="1" hidden="1" x14ac:dyDescent="0.25">
      <c r="B568" s="120">
        <v>565</v>
      </c>
      <c r="C568" s="122">
        <v>20100039207</v>
      </c>
      <c r="D568" s="125" t="s">
        <v>6381</v>
      </c>
      <c r="E568" s="125" t="s">
        <v>6382</v>
      </c>
      <c r="F568" s="122" t="s">
        <v>67</v>
      </c>
      <c r="G568" s="122" t="s">
        <v>67</v>
      </c>
      <c r="H568" s="122" t="s">
        <v>67</v>
      </c>
      <c r="I568" s="125" t="s">
        <v>1655</v>
      </c>
      <c r="J568" s="129" t="s">
        <v>6399</v>
      </c>
      <c r="K568" s="122" t="s">
        <v>8083</v>
      </c>
      <c r="L568" s="122" t="s">
        <v>1558</v>
      </c>
      <c r="M568" s="133" t="s">
        <v>6383</v>
      </c>
      <c r="N568" s="122" t="s">
        <v>67</v>
      </c>
    </row>
    <row r="569" spans="2:14" s="9" customFormat="1" hidden="1" x14ac:dyDescent="0.25">
      <c r="B569" s="120">
        <v>566</v>
      </c>
      <c r="C569" s="122">
        <v>20100039207</v>
      </c>
      <c r="D569" s="125" t="s">
        <v>6381</v>
      </c>
      <c r="E569" s="125" t="s">
        <v>6382</v>
      </c>
      <c r="F569" s="122" t="s">
        <v>67</v>
      </c>
      <c r="G569" s="122" t="s">
        <v>67</v>
      </c>
      <c r="H569" s="122" t="s">
        <v>67</v>
      </c>
      <c r="I569" s="125" t="s">
        <v>1655</v>
      </c>
      <c r="J569" s="129" t="s">
        <v>6397</v>
      </c>
      <c r="K569" s="122" t="s">
        <v>6398</v>
      </c>
      <c r="L569" s="122" t="s">
        <v>1558</v>
      </c>
      <c r="M569" s="133" t="s">
        <v>6383</v>
      </c>
      <c r="N569" s="122" t="s">
        <v>67</v>
      </c>
    </row>
    <row r="570" spans="2:14" s="9" customFormat="1" hidden="1" x14ac:dyDescent="0.25">
      <c r="B570" s="120">
        <v>567</v>
      </c>
      <c r="C570" s="122">
        <v>20100039207</v>
      </c>
      <c r="D570" s="125" t="s">
        <v>6381</v>
      </c>
      <c r="E570" s="125" t="s">
        <v>6382</v>
      </c>
      <c r="F570" s="122" t="s">
        <v>67</v>
      </c>
      <c r="G570" s="122" t="s">
        <v>67</v>
      </c>
      <c r="H570" s="122" t="s">
        <v>67</v>
      </c>
      <c r="I570" s="125" t="s">
        <v>1655</v>
      </c>
      <c r="J570" s="129" t="s">
        <v>6396</v>
      </c>
      <c r="K570" s="122" t="s">
        <v>7160</v>
      </c>
      <c r="L570" s="122" t="s">
        <v>36</v>
      </c>
      <c r="M570" s="133" t="s">
        <v>6383</v>
      </c>
      <c r="N570" s="122" t="s">
        <v>67</v>
      </c>
    </row>
    <row r="571" spans="2:14" s="9" customFormat="1" hidden="1" x14ac:dyDescent="0.25">
      <c r="B571" s="120">
        <v>568</v>
      </c>
      <c r="C571" s="122">
        <v>20100039207</v>
      </c>
      <c r="D571" s="125" t="s">
        <v>6381</v>
      </c>
      <c r="E571" s="125" t="s">
        <v>6382</v>
      </c>
      <c r="F571" s="122" t="s">
        <v>67</v>
      </c>
      <c r="G571" s="122" t="s">
        <v>67</v>
      </c>
      <c r="H571" s="122" t="s">
        <v>67</v>
      </c>
      <c r="I571" s="125" t="s">
        <v>1655</v>
      </c>
      <c r="J571" s="129" t="s">
        <v>6394</v>
      </c>
      <c r="K571" s="122" t="s">
        <v>6395</v>
      </c>
      <c r="L571" s="122" t="s">
        <v>209</v>
      </c>
      <c r="M571" s="133" t="s">
        <v>6383</v>
      </c>
      <c r="N571" s="122" t="s">
        <v>67</v>
      </c>
    </row>
    <row r="572" spans="2:14" s="9" customFormat="1" hidden="1" x14ac:dyDescent="0.25">
      <c r="B572" s="120">
        <v>569</v>
      </c>
      <c r="C572" s="122">
        <v>20100039207</v>
      </c>
      <c r="D572" s="125" t="s">
        <v>6381</v>
      </c>
      <c r="E572" s="125" t="s">
        <v>6382</v>
      </c>
      <c r="F572" s="122" t="s">
        <v>67</v>
      </c>
      <c r="G572" s="122" t="s">
        <v>67</v>
      </c>
      <c r="H572" s="122" t="s">
        <v>67</v>
      </c>
      <c r="I572" s="125" t="s">
        <v>1655</v>
      </c>
      <c r="J572" s="129" t="s">
        <v>6393</v>
      </c>
      <c r="K572" s="122" t="s">
        <v>8082</v>
      </c>
      <c r="L572" s="122" t="s">
        <v>209</v>
      </c>
      <c r="M572" s="133" t="s">
        <v>6383</v>
      </c>
      <c r="N572" s="122" t="s">
        <v>67</v>
      </c>
    </row>
    <row r="573" spans="2:14" s="9" customFormat="1" hidden="1" x14ac:dyDescent="0.25">
      <c r="B573" s="120">
        <v>570</v>
      </c>
      <c r="C573" s="122">
        <v>20100039207</v>
      </c>
      <c r="D573" s="125" t="s">
        <v>6381</v>
      </c>
      <c r="E573" s="125" t="s">
        <v>6382</v>
      </c>
      <c r="F573" s="122" t="s">
        <v>67</v>
      </c>
      <c r="G573" s="122" t="s">
        <v>67</v>
      </c>
      <c r="H573" s="122" t="s">
        <v>67</v>
      </c>
      <c r="I573" s="125" t="s">
        <v>1655</v>
      </c>
      <c r="J573" s="129" t="s">
        <v>6391</v>
      </c>
      <c r="K573" s="122" t="s">
        <v>6392</v>
      </c>
      <c r="L573" s="122" t="s">
        <v>209</v>
      </c>
      <c r="M573" s="133" t="s">
        <v>6383</v>
      </c>
      <c r="N573" s="122" t="s">
        <v>67</v>
      </c>
    </row>
    <row r="574" spans="2:14" s="9" customFormat="1" hidden="1" x14ac:dyDescent="0.25">
      <c r="B574" s="120">
        <v>571</v>
      </c>
      <c r="C574" s="122">
        <v>20100039207</v>
      </c>
      <c r="D574" s="125" t="s">
        <v>6381</v>
      </c>
      <c r="E574" s="125" t="s">
        <v>6382</v>
      </c>
      <c r="F574" s="122" t="s">
        <v>67</v>
      </c>
      <c r="G574" s="122" t="s">
        <v>67</v>
      </c>
      <c r="H574" s="122" t="s">
        <v>67</v>
      </c>
      <c r="I574" s="125" t="s">
        <v>1655</v>
      </c>
      <c r="J574" s="129" t="s">
        <v>6389</v>
      </c>
      <c r="K574" s="122" t="s">
        <v>6390</v>
      </c>
      <c r="L574" s="122" t="s">
        <v>209</v>
      </c>
      <c r="M574" s="133" t="s">
        <v>6383</v>
      </c>
      <c r="N574" s="122" t="s">
        <v>67</v>
      </c>
    </row>
    <row r="575" spans="2:14" s="9" customFormat="1" hidden="1" x14ac:dyDescent="0.25">
      <c r="B575" s="120">
        <v>572</v>
      </c>
      <c r="C575" s="122">
        <v>20100039207</v>
      </c>
      <c r="D575" s="125" t="s">
        <v>6381</v>
      </c>
      <c r="E575" s="125" t="s">
        <v>6382</v>
      </c>
      <c r="F575" s="122" t="s">
        <v>67</v>
      </c>
      <c r="G575" s="122" t="s">
        <v>67</v>
      </c>
      <c r="H575" s="122" t="s">
        <v>67</v>
      </c>
      <c r="I575" s="125" t="s">
        <v>1655</v>
      </c>
      <c r="J575" s="129" t="s">
        <v>2354</v>
      </c>
      <c r="K575" s="122" t="s">
        <v>5974</v>
      </c>
      <c r="L575" s="122" t="s">
        <v>209</v>
      </c>
      <c r="M575" s="133" t="s">
        <v>6383</v>
      </c>
      <c r="N575" s="122" t="s">
        <v>67</v>
      </c>
    </row>
    <row r="576" spans="2:14" s="9" customFormat="1" hidden="1" x14ac:dyDescent="0.25">
      <c r="B576" s="120">
        <v>573</v>
      </c>
      <c r="C576" s="122">
        <v>20100039207</v>
      </c>
      <c r="D576" s="125" t="s">
        <v>6381</v>
      </c>
      <c r="E576" s="125" t="s">
        <v>6382</v>
      </c>
      <c r="F576" s="122" t="s">
        <v>67</v>
      </c>
      <c r="G576" s="122" t="s">
        <v>67</v>
      </c>
      <c r="H576" s="122" t="s">
        <v>67</v>
      </c>
      <c r="I576" s="125" t="s">
        <v>1655</v>
      </c>
      <c r="J576" s="129" t="s">
        <v>7157</v>
      </c>
      <c r="K576" s="122" t="s">
        <v>6388</v>
      </c>
      <c r="L576" s="122" t="s">
        <v>209</v>
      </c>
      <c r="M576" s="133" t="s">
        <v>6383</v>
      </c>
      <c r="N576" s="122" t="s">
        <v>67</v>
      </c>
    </row>
    <row r="577" spans="2:14" s="9" customFormat="1" hidden="1" x14ac:dyDescent="0.25">
      <c r="B577" s="120">
        <v>574</v>
      </c>
      <c r="C577" s="122">
        <v>20100039207</v>
      </c>
      <c r="D577" s="125" t="s">
        <v>6381</v>
      </c>
      <c r="E577" s="125" t="s">
        <v>6382</v>
      </c>
      <c r="F577" s="122" t="s">
        <v>67</v>
      </c>
      <c r="G577" s="122" t="s">
        <v>67</v>
      </c>
      <c r="H577" s="122" t="s">
        <v>67</v>
      </c>
      <c r="I577" s="125" t="s">
        <v>1655</v>
      </c>
      <c r="J577" s="129" t="s">
        <v>6386</v>
      </c>
      <c r="K577" s="122" t="s">
        <v>6387</v>
      </c>
      <c r="L577" s="122" t="s">
        <v>42</v>
      </c>
      <c r="M577" s="133" t="s">
        <v>6383</v>
      </c>
      <c r="N577" s="122" t="s">
        <v>67</v>
      </c>
    </row>
    <row r="578" spans="2:14" s="9" customFormat="1" hidden="1" x14ac:dyDescent="0.25">
      <c r="B578" s="120">
        <v>575</v>
      </c>
      <c r="C578" s="122">
        <v>20100039207</v>
      </c>
      <c r="D578" s="125" t="s">
        <v>6381</v>
      </c>
      <c r="E578" s="125" t="s">
        <v>6382</v>
      </c>
      <c r="F578" s="122" t="s">
        <v>67</v>
      </c>
      <c r="G578" s="122" t="s">
        <v>67</v>
      </c>
      <c r="H578" s="122" t="s">
        <v>67</v>
      </c>
      <c r="I578" s="125" t="s">
        <v>1655</v>
      </c>
      <c r="J578" s="129" t="s">
        <v>6384</v>
      </c>
      <c r="K578" s="122" t="s">
        <v>6385</v>
      </c>
      <c r="L578" s="122" t="s">
        <v>209</v>
      </c>
      <c r="M578" s="133" t="s">
        <v>6383</v>
      </c>
      <c r="N578" s="122" t="s">
        <v>67</v>
      </c>
    </row>
    <row r="579" spans="2:14" s="9" customFormat="1" hidden="1" x14ac:dyDescent="0.25">
      <c r="B579" s="120">
        <v>576</v>
      </c>
      <c r="C579" s="122">
        <v>20100028850</v>
      </c>
      <c r="D579" s="125" t="s">
        <v>3490</v>
      </c>
      <c r="E579" s="125" t="s">
        <v>6370</v>
      </c>
      <c r="F579" s="122" t="s">
        <v>30</v>
      </c>
      <c r="G579" s="122" t="s">
        <v>30</v>
      </c>
      <c r="H579" s="122" t="s">
        <v>30</v>
      </c>
      <c r="I579" s="125" t="s">
        <v>2948</v>
      </c>
      <c r="J579" s="129" t="s">
        <v>6380</v>
      </c>
      <c r="K579" s="122" t="s">
        <v>8090</v>
      </c>
      <c r="L579" s="122" t="s">
        <v>731</v>
      </c>
      <c r="M579" s="133" t="s">
        <v>6373</v>
      </c>
      <c r="N579" s="122" t="s">
        <v>30</v>
      </c>
    </row>
    <row r="580" spans="2:14" s="9" customFormat="1" hidden="1" x14ac:dyDescent="0.25">
      <c r="B580" s="120">
        <v>577</v>
      </c>
      <c r="C580" s="122">
        <v>20100028850</v>
      </c>
      <c r="D580" s="125" t="s">
        <v>3490</v>
      </c>
      <c r="E580" s="125" t="s">
        <v>6370</v>
      </c>
      <c r="F580" s="122" t="s">
        <v>30</v>
      </c>
      <c r="G580" s="122" t="s">
        <v>30</v>
      </c>
      <c r="H580" s="122" t="s">
        <v>30</v>
      </c>
      <c r="I580" s="125" t="s">
        <v>2948</v>
      </c>
      <c r="J580" s="129" t="s">
        <v>6378</v>
      </c>
      <c r="K580" s="122" t="s">
        <v>6379</v>
      </c>
      <c r="L580" s="122" t="s">
        <v>1558</v>
      </c>
      <c r="M580" s="133" t="s">
        <v>6373</v>
      </c>
      <c r="N580" s="122" t="s">
        <v>30</v>
      </c>
    </row>
    <row r="581" spans="2:14" s="9" customFormat="1" hidden="1" x14ac:dyDescent="0.25">
      <c r="B581" s="120">
        <v>578</v>
      </c>
      <c r="C581" s="122">
        <v>20100028850</v>
      </c>
      <c r="D581" s="125" t="s">
        <v>3490</v>
      </c>
      <c r="E581" s="125" t="s">
        <v>6370</v>
      </c>
      <c r="F581" s="122" t="s">
        <v>30</v>
      </c>
      <c r="G581" s="122" t="s">
        <v>30</v>
      </c>
      <c r="H581" s="122" t="s">
        <v>30</v>
      </c>
      <c r="I581" s="125" t="s">
        <v>2948</v>
      </c>
      <c r="J581" s="129" t="s">
        <v>8088</v>
      </c>
      <c r="K581" s="122" t="s">
        <v>8089</v>
      </c>
      <c r="L581" s="122" t="s">
        <v>1856</v>
      </c>
      <c r="M581" s="133" t="s">
        <v>6373</v>
      </c>
      <c r="N581" s="122" t="s">
        <v>30</v>
      </c>
    </row>
    <row r="582" spans="2:14" s="9" customFormat="1" hidden="1" x14ac:dyDescent="0.25">
      <c r="B582" s="120">
        <v>579</v>
      </c>
      <c r="C582" s="122">
        <v>20100028850</v>
      </c>
      <c r="D582" s="125" t="s">
        <v>3490</v>
      </c>
      <c r="E582" s="125" t="s">
        <v>6370</v>
      </c>
      <c r="F582" s="122" t="s">
        <v>30</v>
      </c>
      <c r="G582" s="122" t="s">
        <v>30</v>
      </c>
      <c r="H582" s="122" t="s">
        <v>30</v>
      </c>
      <c r="I582" s="125" t="s">
        <v>2948</v>
      </c>
      <c r="J582" s="129" t="s">
        <v>6376</v>
      </c>
      <c r="K582" s="122" t="s">
        <v>6377</v>
      </c>
      <c r="L582" s="122" t="s">
        <v>1558</v>
      </c>
      <c r="M582" s="133" t="s">
        <v>6373</v>
      </c>
      <c r="N582" s="122" t="s">
        <v>30</v>
      </c>
    </row>
    <row r="583" spans="2:14" s="9" customFormat="1" hidden="1" x14ac:dyDescent="0.25">
      <c r="B583" s="120">
        <v>580</v>
      </c>
      <c r="C583" s="122">
        <v>20100028850</v>
      </c>
      <c r="D583" s="125" t="s">
        <v>3490</v>
      </c>
      <c r="E583" s="125" t="s">
        <v>6370</v>
      </c>
      <c r="F583" s="122" t="s">
        <v>30</v>
      </c>
      <c r="G583" s="122" t="s">
        <v>30</v>
      </c>
      <c r="H583" s="122" t="s">
        <v>30</v>
      </c>
      <c r="I583" s="125" t="s">
        <v>2948</v>
      </c>
      <c r="J583" s="129" t="s">
        <v>6374</v>
      </c>
      <c r="K583" s="122" t="s">
        <v>6375</v>
      </c>
      <c r="L583" s="122" t="s">
        <v>1558</v>
      </c>
      <c r="M583" s="133" t="s">
        <v>6373</v>
      </c>
      <c r="N583" s="122" t="s">
        <v>30</v>
      </c>
    </row>
    <row r="584" spans="2:14" s="9" customFormat="1" hidden="1" x14ac:dyDescent="0.25">
      <c r="B584" s="120">
        <v>581</v>
      </c>
      <c r="C584" s="122">
        <v>20100028850</v>
      </c>
      <c r="D584" s="125" t="s">
        <v>3490</v>
      </c>
      <c r="E584" s="125" t="s">
        <v>6370</v>
      </c>
      <c r="F584" s="122" t="s">
        <v>30</v>
      </c>
      <c r="G584" s="122" t="s">
        <v>30</v>
      </c>
      <c r="H584" s="122" t="s">
        <v>30</v>
      </c>
      <c r="I584" s="125" t="s">
        <v>2948</v>
      </c>
      <c r="J584" s="129" t="s">
        <v>6371</v>
      </c>
      <c r="K584" s="122" t="s">
        <v>6372</v>
      </c>
      <c r="L584" s="122" t="s">
        <v>36</v>
      </c>
      <c r="M584" s="133" t="s">
        <v>6373</v>
      </c>
      <c r="N584" s="122" t="s">
        <v>30</v>
      </c>
    </row>
    <row r="585" spans="2:14" s="9" customFormat="1" hidden="1" x14ac:dyDescent="0.25">
      <c r="B585" s="120">
        <v>582</v>
      </c>
      <c r="C585" s="122">
        <v>20100095450</v>
      </c>
      <c r="D585" s="125" t="s">
        <v>224</v>
      </c>
      <c r="E585" s="125" t="s">
        <v>6356</v>
      </c>
      <c r="F585" s="122" t="s">
        <v>30</v>
      </c>
      <c r="G585" s="122" t="s">
        <v>30</v>
      </c>
      <c r="H585" s="122" t="s">
        <v>51</v>
      </c>
      <c r="I585" s="125" t="s">
        <v>5178</v>
      </c>
      <c r="J585" s="129" t="s">
        <v>6368</v>
      </c>
      <c r="K585" s="122" t="s">
        <v>6369</v>
      </c>
      <c r="L585" s="122" t="s">
        <v>1558</v>
      </c>
      <c r="M585" s="133" t="s">
        <v>6359</v>
      </c>
      <c r="N585" s="122" t="s">
        <v>30</v>
      </c>
    </row>
    <row r="586" spans="2:14" s="9" customFormat="1" hidden="1" x14ac:dyDescent="0.25">
      <c r="B586" s="120">
        <v>583</v>
      </c>
      <c r="C586" s="122">
        <v>20100095450</v>
      </c>
      <c r="D586" s="125" t="s">
        <v>224</v>
      </c>
      <c r="E586" s="125" t="s">
        <v>6356</v>
      </c>
      <c r="F586" s="122" t="s">
        <v>30</v>
      </c>
      <c r="G586" s="122" t="s">
        <v>30</v>
      </c>
      <c r="H586" s="122" t="s">
        <v>51</v>
      </c>
      <c r="I586" s="125" t="s">
        <v>5178</v>
      </c>
      <c r="J586" s="129" t="s">
        <v>6366</v>
      </c>
      <c r="K586" s="122" t="s">
        <v>6367</v>
      </c>
      <c r="L586" s="122" t="s">
        <v>1558</v>
      </c>
      <c r="M586" s="133" t="s">
        <v>6359</v>
      </c>
      <c r="N586" s="122" t="s">
        <v>30</v>
      </c>
    </row>
    <row r="587" spans="2:14" s="9" customFormat="1" hidden="1" x14ac:dyDescent="0.25">
      <c r="B587" s="120">
        <v>584</v>
      </c>
      <c r="C587" s="122">
        <v>20100095450</v>
      </c>
      <c r="D587" s="125" t="s">
        <v>224</v>
      </c>
      <c r="E587" s="125" t="s">
        <v>6356</v>
      </c>
      <c r="F587" s="122" t="s">
        <v>30</v>
      </c>
      <c r="G587" s="122" t="s">
        <v>30</v>
      </c>
      <c r="H587" s="122" t="s">
        <v>51</v>
      </c>
      <c r="I587" s="125" t="s">
        <v>5178</v>
      </c>
      <c r="J587" s="129" t="s">
        <v>6364</v>
      </c>
      <c r="K587" s="122" t="s">
        <v>6365</v>
      </c>
      <c r="L587" s="122" t="s">
        <v>1712</v>
      </c>
      <c r="M587" s="133" t="s">
        <v>6359</v>
      </c>
      <c r="N587" s="122" t="s">
        <v>30</v>
      </c>
    </row>
    <row r="588" spans="2:14" s="9" customFormat="1" hidden="1" x14ac:dyDescent="0.25">
      <c r="B588" s="120">
        <v>585</v>
      </c>
      <c r="C588" s="122">
        <v>20100095450</v>
      </c>
      <c r="D588" s="125" t="s">
        <v>224</v>
      </c>
      <c r="E588" s="125" t="s">
        <v>6356</v>
      </c>
      <c r="F588" s="122" t="s">
        <v>30</v>
      </c>
      <c r="G588" s="122" t="s">
        <v>30</v>
      </c>
      <c r="H588" s="122" t="s">
        <v>51</v>
      </c>
      <c r="I588" s="125" t="s">
        <v>5178</v>
      </c>
      <c r="J588" s="129" t="s">
        <v>6362</v>
      </c>
      <c r="K588" s="122" t="s">
        <v>6363</v>
      </c>
      <c r="L588" s="122" t="s">
        <v>1712</v>
      </c>
      <c r="M588" s="133" t="s">
        <v>6359</v>
      </c>
      <c r="N588" s="122" t="s">
        <v>30</v>
      </c>
    </row>
    <row r="589" spans="2:14" s="9" customFormat="1" hidden="1" x14ac:dyDescent="0.25">
      <c r="B589" s="120">
        <v>586</v>
      </c>
      <c r="C589" s="122">
        <v>20100095450</v>
      </c>
      <c r="D589" s="125" t="s">
        <v>224</v>
      </c>
      <c r="E589" s="125" t="s">
        <v>6356</v>
      </c>
      <c r="F589" s="122" t="s">
        <v>30</v>
      </c>
      <c r="G589" s="122" t="s">
        <v>30</v>
      </c>
      <c r="H589" s="122" t="s">
        <v>51</v>
      </c>
      <c r="I589" s="125" t="s">
        <v>5178</v>
      </c>
      <c r="J589" s="129" t="s">
        <v>6360</v>
      </c>
      <c r="K589" s="122" t="s">
        <v>6361</v>
      </c>
      <c r="L589" s="122" t="s">
        <v>731</v>
      </c>
      <c r="M589" s="133" t="s">
        <v>6359</v>
      </c>
      <c r="N589" s="122" t="s">
        <v>30</v>
      </c>
    </row>
    <row r="590" spans="2:14" s="9" customFormat="1" hidden="1" x14ac:dyDescent="0.25">
      <c r="B590" s="120">
        <v>587</v>
      </c>
      <c r="C590" s="122">
        <v>20100095450</v>
      </c>
      <c r="D590" s="125" t="s">
        <v>224</v>
      </c>
      <c r="E590" s="125" t="s">
        <v>6356</v>
      </c>
      <c r="F590" s="122" t="s">
        <v>30</v>
      </c>
      <c r="G590" s="122" t="s">
        <v>30</v>
      </c>
      <c r="H590" s="122" t="s">
        <v>51</v>
      </c>
      <c r="I590" s="125" t="s">
        <v>5178</v>
      </c>
      <c r="J590" s="129" t="s">
        <v>6357</v>
      </c>
      <c r="K590" s="122" t="s">
        <v>6358</v>
      </c>
      <c r="L590" s="122" t="s">
        <v>1712</v>
      </c>
      <c r="M590" s="133" t="s">
        <v>6359</v>
      </c>
      <c r="N590" s="122" t="s">
        <v>30</v>
      </c>
    </row>
    <row r="591" spans="2:14" s="9" customFormat="1" hidden="1" x14ac:dyDescent="0.25">
      <c r="B591" s="120">
        <v>588</v>
      </c>
      <c r="C591" s="122">
        <v>20602840159</v>
      </c>
      <c r="D591" s="125" t="s">
        <v>6351</v>
      </c>
      <c r="E591" s="125" t="s">
        <v>6352</v>
      </c>
      <c r="F591" s="122" t="s">
        <v>30</v>
      </c>
      <c r="G591" s="122" t="s">
        <v>30</v>
      </c>
      <c r="H591" s="122" t="s">
        <v>127</v>
      </c>
      <c r="I591" s="125" t="s">
        <v>1974</v>
      </c>
      <c r="J591" s="129" t="s">
        <v>6353</v>
      </c>
      <c r="K591" s="122" t="s">
        <v>6354</v>
      </c>
      <c r="L591" s="122" t="s">
        <v>731</v>
      </c>
      <c r="M591" s="133" t="s">
        <v>6355</v>
      </c>
      <c r="N591" s="122" t="s">
        <v>30</v>
      </c>
    </row>
    <row r="592" spans="2:14" s="9" customFormat="1" hidden="1" x14ac:dyDescent="0.25">
      <c r="B592" s="120">
        <v>589</v>
      </c>
      <c r="C592" s="122">
        <v>20553228132</v>
      </c>
      <c r="D592" s="125" t="s">
        <v>3663</v>
      </c>
      <c r="E592" s="125" t="s">
        <v>6347</v>
      </c>
      <c r="F592" s="122" t="s">
        <v>30</v>
      </c>
      <c r="G592" s="122" t="s">
        <v>31</v>
      </c>
      <c r="H592" s="122" t="s">
        <v>92</v>
      </c>
      <c r="I592" s="125" t="s">
        <v>1962</v>
      </c>
      <c r="J592" s="129" t="s">
        <v>6348</v>
      </c>
      <c r="K592" s="122" t="s">
        <v>6349</v>
      </c>
      <c r="L592" s="122" t="s">
        <v>42</v>
      </c>
      <c r="M592" s="133" t="s">
        <v>6350</v>
      </c>
      <c r="N592" s="122" t="s">
        <v>31</v>
      </c>
    </row>
    <row r="593" spans="2:14" s="9" customFormat="1" hidden="1" x14ac:dyDescent="0.25">
      <c r="B593" s="120">
        <v>590</v>
      </c>
      <c r="C593" s="122">
        <v>20504380077</v>
      </c>
      <c r="D593" s="125" t="s">
        <v>3543</v>
      </c>
      <c r="E593" s="125" t="s">
        <v>6345</v>
      </c>
      <c r="F593" s="122" t="s">
        <v>30</v>
      </c>
      <c r="G593" s="122" t="s">
        <v>30</v>
      </c>
      <c r="H593" s="122" t="s">
        <v>86</v>
      </c>
      <c r="I593" s="125" t="s">
        <v>1964</v>
      </c>
      <c r="J593" s="129" t="s">
        <v>8100</v>
      </c>
      <c r="K593" s="122" t="s">
        <v>6346</v>
      </c>
      <c r="L593" s="122" t="s">
        <v>73</v>
      </c>
      <c r="M593" s="133" t="s">
        <v>845</v>
      </c>
      <c r="N593" s="122" t="s">
        <v>845</v>
      </c>
    </row>
    <row r="594" spans="2:14" s="9" customFormat="1" hidden="1" x14ac:dyDescent="0.25">
      <c r="B594" s="120">
        <v>591</v>
      </c>
      <c r="C594" s="122">
        <v>20519406951</v>
      </c>
      <c r="D594" s="125" t="s">
        <v>198</v>
      </c>
      <c r="E594" s="125" t="s">
        <v>6341</v>
      </c>
      <c r="F594" s="122" t="s">
        <v>30</v>
      </c>
      <c r="G594" s="122" t="s">
        <v>30</v>
      </c>
      <c r="H594" s="122" t="s">
        <v>47</v>
      </c>
      <c r="I594" s="125" t="s">
        <v>1957</v>
      </c>
      <c r="J594" s="129" t="s">
        <v>6342</v>
      </c>
      <c r="K594" s="122" t="s">
        <v>6343</v>
      </c>
      <c r="L594" s="122" t="s">
        <v>731</v>
      </c>
      <c r="M594" s="133" t="s">
        <v>6344</v>
      </c>
      <c r="N594" s="122" t="s">
        <v>30</v>
      </c>
    </row>
    <row r="595" spans="2:14" s="9" customFormat="1" hidden="1" x14ac:dyDescent="0.25">
      <c r="B595" s="120">
        <v>592</v>
      </c>
      <c r="C595" s="122">
        <v>20101362702</v>
      </c>
      <c r="D595" s="125" t="s">
        <v>66</v>
      </c>
      <c r="E595" s="125" t="s">
        <v>6331</v>
      </c>
      <c r="F595" s="122" t="s">
        <v>30</v>
      </c>
      <c r="G595" s="122" t="s">
        <v>30</v>
      </c>
      <c r="H595" s="122" t="s">
        <v>52</v>
      </c>
      <c r="I595" s="125" t="s">
        <v>1737</v>
      </c>
      <c r="J595" s="129" t="s">
        <v>6339</v>
      </c>
      <c r="K595" s="122" t="s">
        <v>6340</v>
      </c>
      <c r="L595" s="122" t="s">
        <v>36</v>
      </c>
      <c r="M595" s="133" t="s">
        <v>6334</v>
      </c>
      <c r="N595" s="122" t="s">
        <v>30</v>
      </c>
    </row>
    <row r="596" spans="2:14" s="9" customFormat="1" hidden="1" x14ac:dyDescent="0.25">
      <c r="B596" s="120">
        <v>593</v>
      </c>
      <c r="C596" s="122">
        <v>20101362702</v>
      </c>
      <c r="D596" s="125" t="s">
        <v>66</v>
      </c>
      <c r="E596" s="125" t="s">
        <v>6331</v>
      </c>
      <c r="F596" s="122" t="s">
        <v>30</v>
      </c>
      <c r="G596" s="122" t="s">
        <v>30</v>
      </c>
      <c r="H596" s="122" t="s">
        <v>52</v>
      </c>
      <c r="I596" s="125" t="s">
        <v>1737</v>
      </c>
      <c r="J596" s="129" t="s">
        <v>6337</v>
      </c>
      <c r="K596" s="122" t="s">
        <v>6338</v>
      </c>
      <c r="L596" s="122" t="s">
        <v>1309</v>
      </c>
      <c r="M596" s="133" t="s">
        <v>6334</v>
      </c>
      <c r="N596" s="122" t="s">
        <v>30</v>
      </c>
    </row>
    <row r="597" spans="2:14" s="9" customFormat="1" hidden="1" x14ac:dyDescent="0.25">
      <c r="B597" s="120">
        <v>594</v>
      </c>
      <c r="C597" s="122">
        <v>20101362702</v>
      </c>
      <c r="D597" s="125" t="s">
        <v>66</v>
      </c>
      <c r="E597" s="125" t="s">
        <v>6331</v>
      </c>
      <c r="F597" s="122" t="s">
        <v>30</v>
      </c>
      <c r="G597" s="122" t="s">
        <v>30</v>
      </c>
      <c r="H597" s="122" t="s">
        <v>52</v>
      </c>
      <c r="I597" s="125" t="s">
        <v>1737</v>
      </c>
      <c r="J597" s="129" t="s">
        <v>6335</v>
      </c>
      <c r="K597" s="122" t="s">
        <v>6336</v>
      </c>
      <c r="L597" s="122" t="s">
        <v>1558</v>
      </c>
      <c r="M597" s="133" t="s">
        <v>6334</v>
      </c>
      <c r="N597" s="122" t="s">
        <v>30</v>
      </c>
    </row>
    <row r="598" spans="2:14" s="9" customFormat="1" hidden="1" x14ac:dyDescent="0.25">
      <c r="B598" s="120">
        <v>595</v>
      </c>
      <c r="C598" s="122">
        <v>20101362702</v>
      </c>
      <c r="D598" s="125" t="s">
        <v>66</v>
      </c>
      <c r="E598" s="125" t="s">
        <v>6331</v>
      </c>
      <c r="F598" s="122" t="s">
        <v>30</v>
      </c>
      <c r="G598" s="122" t="s">
        <v>30</v>
      </c>
      <c r="H598" s="122" t="s">
        <v>52</v>
      </c>
      <c r="I598" s="125" t="s">
        <v>1737</v>
      </c>
      <c r="J598" s="129" t="s">
        <v>6332</v>
      </c>
      <c r="K598" s="122" t="s">
        <v>6333</v>
      </c>
      <c r="L598" s="122" t="s">
        <v>42</v>
      </c>
      <c r="M598" s="133" t="s">
        <v>6334</v>
      </c>
      <c r="N598" s="122" t="s">
        <v>30</v>
      </c>
    </row>
    <row r="599" spans="2:14" s="9" customFormat="1" hidden="1" x14ac:dyDescent="0.25">
      <c r="B599" s="120">
        <v>596</v>
      </c>
      <c r="C599" s="122">
        <v>20604662941</v>
      </c>
      <c r="D599" s="125" t="s">
        <v>3549</v>
      </c>
      <c r="E599" s="125" t="s">
        <v>6327</v>
      </c>
      <c r="F599" s="122" t="s">
        <v>30</v>
      </c>
      <c r="G599" s="122" t="s">
        <v>48</v>
      </c>
      <c r="H599" s="122" t="s">
        <v>155</v>
      </c>
      <c r="I599" s="125" t="s">
        <v>1374</v>
      </c>
      <c r="J599" s="129" t="s">
        <v>6328</v>
      </c>
      <c r="K599" s="122" t="s">
        <v>6329</v>
      </c>
      <c r="L599" s="122" t="s">
        <v>42</v>
      </c>
      <c r="M599" s="133" t="s">
        <v>6330</v>
      </c>
      <c r="N599" s="122" t="s">
        <v>30</v>
      </c>
    </row>
    <row r="600" spans="2:14" s="9" customFormat="1" hidden="1" x14ac:dyDescent="0.25">
      <c r="B600" s="120">
        <v>597</v>
      </c>
      <c r="C600" s="122">
        <v>20547297581</v>
      </c>
      <c r="D600" s="125" t="s">
        <v>6322</v>
      </c>
      <c r="E600" s="125" t="s">
        <v>6323</v>
      </c>
      <c r="F600" s="122" t="s">
        <v>30</v>
      </c>
      <c r="G600" s="122" t="s">
        <v>30</v>
      </c>
      <c r="H600" s="122" t="s">
        <v>30</v>
      </c>
      <c r="I600" s="125" t="s">
        <v>1387</v>
      </c>
      <c r="J600" s="129" t="s">
        <v>6324</v>
      </c>
      <c r="K600" s="122" t="s">
        <v>6325</v>
      </c>
      <c r="L600" s="122" t="s">
        <v>57</v>
      </c>
      <c r="M600" s="133" t="s">
        <v>6326</v>
      </c>
      <c r="N600" s="122" t="s">
        <v>30</v>
      </c>
    </row>
    <row r="601" spans="2:14" s="9" customFormat="1" hidden="1" x14ac:dyDescent="0.25">
      <c r="B601" s="120">
        <v>598</v>
      </c>
      <c r="C601" s="122">
        <v>20600590872</v>
      </c>
      <c r="D601" s="125" t="s">
        <v>6235</v>
      </c>
      <c r="E601" s="125" t="s">
        <v>6236</v>
      </c>
      <c r="F601" s="122" t="s">
        <v>30</v>
      </c>
      <c r="G601" s="122" t="s">
        <v>30</v>
      </c>
      <c r="H601" s="122" t="s">
        <v>30</v>
      </c>
      <c r="I601" s="125" t="s">
        <v>1464</v>
      </c>
      <c r="J601" s="129" t="s">
        <v>8101</v>
      </c>
      <c r="K601" s="122" t="s">
        <v>6237</v>
      </c>
      <c r="L601" s="122" t="s">
        <v>42</v>
      </c>
      <c r="M601" s="133" t="s">
        <v>6238</v>
      </c>
      <c r="N601" s="122" t="s">
        <v>99</v>
      </c>
    </row>
    <row r="602" spans="2:14" s="9" customFormat="1" hidden="1" x14ac:dyDescent="0.25">
      <c r="B602" s="120">
        <v>599</v>
      </c>
      <c r="C602" s="122">
        <v>20514466310</v>
      </c>
      <c r="D602" s="125" t="s">
        <v>6111</v>
      </c>
      <c r="E602" s="125" t="s">
        <v>6112</v>
      </c>
      <c r="F602" s="122" t="s">
        <v>30</v>
      </c>
      <c r="G602" s="122" t="s">
        <v>30</v>
      </c>
      <c r="H602" s="122" t="s">
        <v>72</v>
      </c>
      <c r="I602" s="125" t="s">
        <v>1377</v>
      </c>
      <c r="J602" s="129" t="s">
        <v>8102</v>
      </c>
      <c r="K602" s="122" t="s">
        <v>6113</v>
      </c>
      <c r="L602" s="122" t="s">
        <v>731</v>
      </c>
      <c r="M602" s="133" t="s">
        <v>845</v>
      </c>
      <c r="N602" s="122" t="s">
        <v>845</v>
      </c>
    </row>
    <row r="603" spans="2:14" s="9" customFormat="1" hidden="1" x14ac:dyDescent="0.25">
      <c r="B603" s="120">
        <v>600</v>
      </c>
      <c r="C603" s="122">
        <v>20545388805</v>
      </c>
      <c r="D603" s="125" t="s">
        <v>4557</v>
      </c>
      <c r="E603" s="125" t="s">
        <v>4558</v>
      </c>
      <c r="F603" s="122" t="s">
        <v>30</v>
      </c>
      <c r="G603" s="122" t="s">
        <v>30</v>
      </c>
      <c r="H603" s="122" t="s">
        <v>43</v>
      </c>
      <c r="I603" s="125" t="s">
        <v>1561</v>
      </c>
      <c r="J603" s="129" t="s">
        <v>6114</v>
      </c>
      <c r="K603" s="122" t="s">
        <v>6110</v>
      </c>
      <c r="L603" s="122" t="s">
        <v>209</v>
      </c>
      <c r="M603" s="133" t="s">
        <v>6109</v>
      </c>
      <c r="N603" s="122" t="s">
        <v>30</v>
      </c>
    </row>
    <row r="604" spans="2:14" s="9" customFormat="1" hidden="1" x14ac:dyDescent="0.25">
      <c r="B604" s="120">
        <v>601</v>
      </c>
      <c r="C604" s="122">
        <v>20545388805</v>
      </c>
      <c r="D604" s="125" t="s">
        <v>4557</v>
      </c>
      <c r="E604" s="125" t="s">
        <v>4558</v>
      </c>
      <c r="F604" s="122" t="s">
        <v>30</v>
      </c>
      <c r="G604" s="122" t="s">
        <v>30</v>
      </c>
      <c r="H604" s="122" t="s">
        <v>43</v>
      </c>
      <c r="I604" s="125" t="s">
        <v>1561</v>
      </c>
      <c r="J604" s="129" t="s">
        <v>6107</v>
      </c>
      <c r="K604" s="122" t="s">
        <v>6108</v>
      </c>
      <c r="L604" s="122" t="s">
        <v>731</v>
      </c>
      <c r="M604" s="133" t="s">
        <v>6109</v>
      </c>
      <c r="N604" s="122" t="s">
        <v>30</v>
      </c>
    </row>
    <row r="605" spans="2:14" s="9" customFormat="1" hidden="1" x14ac:dyDescent="0.25">
      <c r="B605" s="120">
        <v>602</v>
      </c>
      <c r="C605" s="122">
        <v>20605802461</v>
      </c>
      <c r="D605" s="125" t="s">
        <v>6103</v>
      </c>
      <c r="E605" s="125" t="s">
        <v>4813</v>
      </c>
      <c r="F605" s="122" t="s">
        <v>30</v>
      </c>
      <c r="G605" s="122" t="s">
        <v>30</v>
      </c>
      <c r="H605" s="122" t="s">
        <v>35</v>
      </c>
      <c r="I605" s="125" t="s">
        <v>1943</v>
      </c>
      <c r="J605" s="129" t="s">
        <v>6104</v>
      </c>
      <c r="K605" s="122" t="s">
        <v>6105</v>
      </c>
      <c r="L605" s="122" t="s">
        <v>42</v>
      </c>
      <c r="M605" s="133" t="s">
        <v>6106</v>
      </c>
      <c r="N605" s="122" t="s">
        <v>30</v>
      </c>
    </row>
    <row r="606" spans="2:14" s="9" customFormat="1" hidden="1" x14ac:dyDescent="0.25">
      <c r="B606" s="120">
        <v>603</v>
      </c>
      <c r="C606" s="122">
        <v>20100592321</v>
      </c>
      <c r="D606" s="125" t="s">
        <v>4740</v>
      </c>
      <c r="E606" s="125" t="s">
        <v>4741</v>
      </c>
      <c r="F606" s="122" t="s">
        <v>30</v>
      </c>
      <c r="G606" s="122" t="s">
        <v>30</v>
      </c>
      <c r="H606" s="122" t="s">
        <v>30</v>
      </c>
      <c r="I606" s="125" t="s">
        <v>1960</v>
      </c>
      <c r="J606" s="129" t="s">
        <v>8125</v>
      </c>
      <c r="K606" s="122" t="s">
        <v>6102</v>
      </c>
      <c r="L606" s="122" t="s">
        <v>42</v>
      </c>
      <c r="M606" s="133" t="s">
        <v>6100</v>
      </c>
      <c r="N606" s="122" t="s">
        <v>30</v>
      </c>
    </row>
    <row r="607" spans="2:14" s="9" customFormat="1" hidden="1" x14ac:dyDescent="0.25">
      <c r="B607" s="120">
        <v>604</v>
      </c>
      <c r="C607" s="122">
        <v>20100592321</v>
      </c>
      <c r="D607" s="125" t="s">
        <v>4740</v>
      </c>
      <c r="E607" s="125" t="s">
        <v>4741</v>
      </c>
      <c r="F607" s="122" t="s">
        <v>30</v>
      </c>
      <c r="G607" s="122" t="s">
        <v>30</v>
      </c>
      <c r="H607" s="122" t="s">
        <v>30</v>
      </c>
      <c r="I607" s="125" t="s">
        <v>1960</v>
      </c>
      <c r="J607" s="129" t="s">
        <v>8124</v>
      </c>
      <c r="K607" s="122" t="s">
        <v>6101</v>
      </c>
      <c r="L607" s="122" t="s">
        <v>119</v>
      </c>
      <c r="M607" s="133" t="s">
        <v>6100</v>
      </c>
      <c r="N607" s="122" t="s">
        <v>30</v>
      </c>
    </row>
    <row r="608" spans="2:14" s="9" customFormat="1" hidden="1" x14ac:dyDescent="0.25">
      <c r="B608" s="120">
        <v>605</v>
      </c>
      <c r="C608" s="122">
        <v>20100592321</v>
      </c>
      <c r="D608" s="125" t="s">
        <v>4740</v>
      </c>
      <c r="E608" s="125" t="s">
        <v>4741</v>
      </c>
      <c r="F608" s="122" t="s">
        <v>30</v>
      </c>
      <c r="G608" s="122" t="s">
        <v>30</v>
      </c>
      <c r="H608" s="122" t="s">
        <v>30</v>
      </c>
      <c r="I608" s="125" t="s">
        <v>1960</v>
      </c>
      <c r="J608" s="129" t="s">
        <v>6098</v>
      </c>
      <c r="K608" s="122" t="s">
        <v>6099</v>
      </c>
      <c r="L608" s="122" t="s">
        <v>119</v>
      </c>
      <c r="M608" s="133" t="s">
        <v>6100</v>
      </c>
      <c r="N608" s="122" t="s">
        <v>30</v>
      </c>
    </row>
    <row r="609" spans="2:14" s="9" customFormat="1" hidden="1" x14ac:dyDescent="0.25">
      <c r="B609" s="120">
        <v>606</v>
      </c>
      <c r="C609" s="122">
        <v>20548817898</v>
      </c>
      <c r="D609" s="125" t="s">
        <v>259</v>
      </c>
      <c r="E609" s="125" t="s">
        <v>3597</v>
      </c>
      <c r="F609" s="122" t="s">
        <v>30</v>
      </c>
      <c r="G609" s="122" t="s">
        <v>30</v>
      </c>
      <c r="H609" s="122" t="s">
        <v>30</v>
      </c>
      <c r="I609" s="125" t="s">
        <v>1374</v>
      </c>
      <c r="J609" s="129" t="s">
        <v>6095</v>
      </c>
      <c r="K609" s="122" t="s">
        <v>6096</v>
      </c>
      <c r="L609" s="122" t="s">
        <v>42</v>
      </c>
      <c r="M609" s="133" t="s">
        <v>6097</v>
      </c>
      <c r="N609" s="122" t="s">
        <v>30</v>
      </c>
    </row>
    <row r="610" spans="2:14" s="9" customFormat="1" hidden="1" x14ac:dyDescent="0.25">
      <c r="B610" s="120">
        <v>607</v>
      </c>
      <c r="C610" s="122">
        <v>20567109497</v>
      </c>
      <c r="D610" s="125" t="s">
        <v>5166</v>
      </c>
      <c r="E610" s="125" t="s">
        <v>6091</v>
      </c>
      <c r="F610" s="122" t="s">
        <v>3476</v>
      </c>
      <c r="G610" s="122" t="s">
        <v>4434</v>
      </c>
      <c r="H610" s="122" t="s">
        <v>4435</v>
      </c>
      <c r="I610" s="125" t="s">
        <v>1956</v>
      </c>
      <c r="J610" s="129" t="s">
        <v>6092</v>
      </c>
      <c r="K610" s="122" t="s">
        <v>6093</v>
      </c>
      <c r="L610" s="122" t="s">
        <v>36</v>
      </c>
      <c r="M610" s="133" t="s">
        <v>6094</v>
      </c>
      <c r="N610" s="122" t="s">
        <v>4434</v>
      </c>
    </row>
    <row r="611" spans="2:14" s="9" customFormat="1" hidden="1" x14ac:dyDescent="0.25">
      <c r="B611" s="120">
        <v>608</v>
      </c>
      <c r="C611" s="122">
        <v>20600553268</v>
      </c>
      <c r="D611" s="125" t="s">
        <v>5350</v>
      </c>
      <c r="E611" s="125" t="s">
        <v>5351</v>
      </c>
      <c r="F611" s="122" t="s">
        <v>30</v>
      </c>
      <c r="G611" s="122" t="s">
        <v>30</v>
      </c>
      <c r="H611" s="122" t="s">
        <v>40</v>
      </c>
      <c r="I611" s="125" t="s">
        <v>1655</v>
      </c>
      <c r="J611" s="129" t="s">
        <v>6088</v>
      </c>
      <c r="K611" s="122" t="s">
        <v>6089</v>
      </c>
      <c r="L611" s="122" t="s">
        <v>731</v>
      </c>
      <c r="M611" s="133" t="s">
        <v>6090</v>
      </c>
      <c r="N611" s="122" t="s">
        <v>30</v>
      </c>
    </row>
    <row r="612" spans="2:14" s="9" customFormat="1" hidden="1" x14ac:dyDescent="0.25">
      <c r="B612" s="120">
        <v>609</v>
      </c>
      <c r="C612" s="122">
        <v>20546255299</v>
      </c>
      <c r="D612" s="125" t="s">
        <v>199</v>
      </c>
      <c r="E612" s="125" t="s">
        <v>6080</v>
      </c>
      <c r="F612" s="122" t="s">
        <v>30</v>
      </c>
      <c r="G612" s="122" t="s">
        <v>30</v>
      </c>
      <c r="H612" s="122" t="s">
        <v>40</v>
      </c>
      <c r="I612" s="125" t="s">
        <v>1755</v>
      </c>
      <c r="J612" s="129" t="s">
        <v>6086</v>
      </c>
      <c r="K612" s="122" t="s">
        <v>6087</v>
      </c>
      <c r="L612" s="122" t="s">
        <v>209</v>
      </c>
      <c r="M612" s="133" t="s">
        <v>6083</v>
      </c>
      <c r="N612" s="122" t="s">
        <v>30</v>
      </c>
    </row>
    <row r="613" spans="2:14" s="9" customFormat="1" hidden="1" x14ac:dyDescent="0.25">
      <c r="B613" s="120">
        <v>610</v>
      </c>
      <c r="C613" s="122">
        <v>20546255299</v>
      </c>
      <c r="D613" s="125" t="s">
        <v>199</v>
      </c>
      <c r="E613" s="125" t="s">
        <v>6080</v>
      </c>
      <c r="F613" s="122" t="s">
        <v>30</v>
      </c>
      <c r="G613" s="122" t="s">
        <v>30</v>
      </c>
      <c r="H613" s="122" t="s">
        <v>40</v>
      </c>
      <c r="I613" s="125" t="s">
        <v>1755</v>
      </c>
      <c r="J613" s="129" t="s">
        <v>6084</v>
      </c>
      <c r="K613" s="122" t="s">
        <v>6085</v>
      </c>
      <c r="L613" s="122" t="s">
        <v>209</v>
      </c>
      <c r="M613" s="133" t="s">
        <v>6083</v>
      </c>
      <c r="N613" s="122" t="s">
        <v>30</v>
      </c>
    </row>
    <row r="614" spans="2:14" s="9" customFormat="1" hidden="1" x14ac:dyDescent="0.25">
      <c r="B614" s="120">
        <v>611</v>
      </c>
      <c r="C614" s="122">
        <v>20546255299</v>
      </c>
      <c r="D614" s="125" t="s">
        <v>199</v>
      </c>
      <c r="E614" s="125" t="s">
        <v>6080</v>
      </c>
      <c r="F614" s="122" t="s">
        <v>30</v>
      </c>
      <c r="G614" s="122" t="s">
        <v>30</v>
      </c>
      <c r="H614" s="122" t="s">
        <v>40</v>
      </c>
      <c r="I614" s="125" t="s">
        <v>1755</v>
      </c>
      <c r="J614" s="129" t="s">
        <v>6081</v>
      </c>
      <c r="K614" s="122" t="s">
        <v>6082</v>
      </c>
      <c r="L614" s="122" t="s">
        <v>42</v>
      </c>
      <c r="M614" s="133" t="s">
        <v>6083</v>
      </c>
      <c r="N614" s="122" t="s">
        <v>30</v>
      </c>
    </row>
    <row r="615" spans="2:14" s="9" customFormat="1" hidden="1" x14ac:dyDescent="0.25">
      <c r="B615" s="120">
        <v>612</v>
      </c>
      <c r="C615" s="122">
        <v>20600248511</v>
      </c>
      <c r="D615" s="125" t="s">
        <v>4814</v>
      </c>
      <c r="E615" s="125" t="s">
        <v>4815</v>
      </c>
      <c r="F615" s="122" t="s">
        <v>30</v>
      </c>
      <c r="G615" s="122" t="s">
        <v>30</v>
      </c>
      <c r="H615" s="122" t="s">
        <v>127</v>
      </c>
      <c r="I615" s="125" t="s">
        <v>1980</v>
      </c>
      <c r="J615" s="129" t="s">
        <v>6077</v>
      </c>
      <c r="K615" s="122" t="s">
        <v>6078</v>
      </c>
      <c r="L615" s="122" t="s">
        <v>731</v>
      </c>
      <c r="M615" s="133" t="s">
        <v>6079</v>
      </c>
      <c r="N615" s="122" t="s">
        <v>30</v>
      </c>
    </row>
    <row r="616" spans="2:14" s="9" customFormat="1" hidden="1" x14ac:dyDescent="0.25">
      <c r="B616" s="120">
        <v>613</v>
      </c>
      <c r="C616" s="122">
        <v>20601593751</v>
      </c>
      <c r="D616" s="125" t="s">
        <v>6073</v>
      </c>
      <c r="E616" s="125" t="s">
        <v>6074</v>
      </c>
      <c r="F616" s="122" t="s">
        <v>30</v>
      </c>
      <c r="G616" s="122" t="s">
        <v>30</v>
      </c>
      <c r="H616" s="122" t="s">
        <v>47</v>
      </c>
      <c r="I616" s="125" t="s">
        <v>1931</v>
      </c>
      <c r="J616" s="129" t="s">
        <v>8123</v>
      </c>
      <c r="K616" s="122" t="s">
        <v>6075</v>
      </c>
      <c r="L616" s="122" t="s">
        <v>42</v>
      </c>
      <c r="M616" s="133" t="s">
        <v>6076</v>
      </c>
      <c r="N616" s="122" t="s">
        <v>30</v>
      </c>
    </row>
    <row r="617" spans="2:14" s="9" customFormat="1" hidden="1" x14ac:dyDescent="0.25">
      <c r="B617" s="120">
        <v>614</v>
      </c>
      <c r="C617" s="122">
        <v>20602774563</v>
      </c>
      <c r="D617" s="125" t="s">
        <v>6071</v>
      </c>
      <c r="E617" s="125" t="s">
        <v>4866</v>
      </c>
      <c r="F617" s="122" t="s">
        <v>30</v>
      </c>
      <c r="G617" s="122" t="s">
        <v>30</v>
      </c>
      <c r="H617" s="122" t="s">
        <v>75</v>
      </c>
      <c r="I617" s="125" t="s">
        <v>1398</v>
      </c>
      <c r="J617" s="129" t="s">
        <v>8126</v>
      </c>
      <c r="K617" s="122" t="s">
        <v>6072</v>
      </c>
      <c r="L617" s="122" t="s">
        <v>42</v>
      </c>
      <c r="M617" s="133" t="s">
        <v>7741</v>
      </c>
      <c r="N617" s="122" t="s">
        <v>30</v>
      </c>
    </row>
    <row r="618" spans="2:14" s="9" customFormat="1" hidden="1" x14ac:dyDescent="0.25">
      <c r="B618" s="120">
        <v>615</v>
      </c>
      <c r="C618" s="122">
        <v>20600228464</v>
      </c>
      <c r="D618" s="125" t="s">
        <v>1124</v>
      </c>
      <c r="E618" s="125" t="s">
        <v>1125</v>
      </c>
      <c r="F618" s="122" t="s">
        <v>30</v>
      </c>
      <c r="G618" s="122" t="s">
        <v>30</v>
      </c>
      <c r="H618" s="122" t="s">
        <v>40</v>
      </c>
      <c r="I618" s="125" t="s">
        <v>1450</v>
      </c>
      <c r="J618" s="129" t="s">
        <v>6069</v>
      </c>
      <c r="K618" s="122" t="s">
        <v>6070</v>
      </c>
      <c r="L618" s="122" t="s">
        <v>36</v>
      </c>
      <c r="M618" s="133" t="s">
        <v>6066</v>
      </c>
      <c r="N618" s="122" t="s">
        <v>30</v>
      </c>
    </row>
    <row r="619" spans="2:14" s="9" customFormat="1" hidden="1" x14ac:dyDescent="0.25">
      <c r="B619" s="120">
        <v>616</v>
      </c>
      <c r="C619" s="122">
        <v>20600228464</v>
      </c>
      <c r="D619" s="125" t="s">
        <v>1124</v>
      </c>
      <c r="E619" s="125" t="s">
        <v>1125</v>
      </c>
      <c r="F619" s="122" t="s">
        <v>30</v>
      </c>
      <c r="G619" s="122" t="s">
        <v>30</v>
      </c>
      <c r="H619" s="122" t="s">
        <v>40</v>
      </c>
      <c r="I619" s="125" t="s">
        <v>1450</v>
      </c>
      <c r="J619" s="129" t="s">
        <v>6067</v>
      </c>
      <c r="K619" s="122" t="s">
        <v>6068</v>
      </c>
      <c r="L619" s="122" t="s">
        <v>36</v>
      </c>
      <c r="M619" s="133" t="s">
        <v>6066</v>
      </c>
      <c r="N619" s="122" t="s">
        <v>30</v>
      </c>
    </row>
    <row r="620" spans="2:14" s="9" customFormat="1" hidden="1" x14ac:dyDescent="0.25">
      <c r="B620" s="120">
        <v>617</v>
      </c>
      <c r="C620" s="122">
        <v>20600228464</v>
      </c>
      <c r="D620" s="125" t="s">
        <v>1124</v>
      </c>
      <c r="E620" s="125" t="s">
        <v>1125</v>
      </c>
      <c r="F620" s="122" t="s">
        <v>30</v>
      </c>
      <c r="G620" s="122" t="s">
        <v>30</v>
      </c>
      <c r="H620" s="122" t="s">
        <v>40</v>
      </c>
      <c r="I620" s="125" t="s">
        <v>1450</v>
      </c>
      <c r="J620" s="129" t="s">
        <v>6064</v>
      </c>
      <c r="K620" s="122" t="s">
        <v>6065</v>
      </c>
      <c r="L620" s="122" t="s">
        <v>42</v>
      </c>
      <c r="M620" s="133" t="s">
        <v>6066</v>
      </c>
      <c r="N620" s="122" t="s">
        <v>30</v>
      </c>
    </row>
    <row r="621" spans="2:14" s="9" customFormat="1" hidden="1" x14ac:dyDescent="0.25">
      <c r="B621" s="120">
        <v>618</v>
      </c>
      <c r="C621" s="122">
        <v>20536036700</v>
      </c>
      <c r="D621" s="125" t="s">
        <v>6060</v>
      </c>
      <c r="E621" s="125" t="s">
        <v>4889</v>
      </c>
      <c r="F621" s="122" t="s">
        <v>30</v>
      </c>
      <c r="G621" s="122" t="s">
        <v>30</v>
      </c>
      <c r="H621" s="122" t="s">
        <v>30</v>
      </c>
      <c r="I621" s="125" t="s">
        <v>1727</v>
      </c>
      <c r="J621" s="129" t="s">
        <v>6061</v>
      </c>
      <c r="K621" s="122" t="s">
        <v>6062</v>
      </c>
      <c r="L621" s="122" t="s">
        <v>42</v>
      </c>
      <c r="M621" s="133" t="s">
        <v>6063</v>
      </c>
      <c r="N621" s="122" t="s">
        <v>30</v>
      </c>
    </row>
    <row r="622" spans="2:14" s="9" customFormat="1" hidden="1" x14ac:dyDescent="0.25">
      <c r="B622" s="120">
        <v>619</v>
      </c>
      <c r="C622" s="122">
        <v>20169004359</v>
      </c>
      <c r="D622" s="125" t="s">
        <v>5368</v>
      </c>
      <c r="E622" s="125" t="s">
        <v>6050</v>
      </c>
      <c r="F622" s="122" t="s">
        <v>30</v>
      </c>
      <c r="G622" s="122" t="s">
        <v>30</v>
      </c>
      <c r="H622" s="122" t="s">
        <v>127</v>
      </c>
      <c r="I622" s="125" t="s">
        <v>4981</v>
      </c>
      <c r="J622" s="129" t="s">
        <v>6058</v>
      </c>
      <c r="K622" s="122" t="s">
        <v>6059</v>
      </c>
      <c r="L622" s="122" t="s">
        <v>5130</v>
      </c>
      <c r="M622" s="133" t="s">
        <v>6053</v>
      </c>
      <c r="N622" s="122" t="s">
        <v>30</v>
      </c>
    </row>
    <row r="623" spans="2:14" s="9" customFormat="1" hidden="1" x14ac:dyDescent="0.25">
      <c r="B623" s="120">
        <v>620</v>
      </c>
      <c r="C623" s="122">
        <v>20169004359</v>
      </c>
      <c r="D623" s="125" t="s">
        <v>5368</v>
      </c>
      <c r="E623" s="125" t="s">
        <v>6050</v>
      </c>
      <c r="F623" s="122" t="s">
        <v>30</v>
      </c>
      <c r="G623" s="122" t="s">
        <v>30</v>
      </c>
      <c r="H623" s="122" t="s">
        <v>127</v>
      </c>
      <c r="I623" s="125" t="s">
        <v>4981</v>
      </c>
      <c r="J623" s="129" t="s">
        <v>6056</v>
      </c>
      <c r="K623" s="122" t="s">
        <v>6057</v>
      </c>
      <c r="L623" s="122" t="s">
        <v>73</v>
      </c>
      <c r="M623" s="133" t="s">
        <v>6053</v>
      </c>
      <c r="N623" s="122" t="s">
        <v>30</v>
      </c>
    </row>
    <row r="624" spans="2:14" s="9" customFormat="1" hidden="1" x14ac:dyDescent="0.25">
      <c r="B624" s="120">
        <v>621</v>
      </c>
      <c r="C624" s="122">
        <v>20169004359</v>
      </c>
      <c r="D624" s="125" t="s">
        <v>5368</v>
      </c>
      <c r="E624" s="125" t="s">
        <v>6050</v>
      </c>
      <c r="F624" s="122" t="s">
        <v>30</v>
      </c>
      <c r="G624" s="122" t="s">
        <v>30</v>
      </c>
      <c r="H624" s="122" t="s">
        <v>127</v>
      </c>
      <c r="I624" s="125" t="s">
        <v>4981</v>
      </c>
      <c r="J624" s="129" t="s">
        <v>6054</v>
      </c>
      <c r="K624" s="122" t="s">
        <v>6055</v>
      </c>
      <c r="L624" s="122" t="s">
        <v>73</v>
      </c>
      <c r="M624" s="133" t="s">
        <v>6053</v>
      </c>
      <c r="N624" s="122" t="s">
        <v>30</v>
      </c>
    </row>
    <row r="625" spans="2:14" s="9" customFormat="1" hidden="1" x14ac:dyDescent="0.25">
      <c r="B625" s="120">
        <v>622</v>
      </c>
      <c r="C625" s="122">
        <v>20169004359</v>
      </c>
      <c r="D625" s="125" t="s">
        <v>5368</v>
      </c>
      <c r="E625" s="125" t="s">
        <v>6050</v>
      </c>
      <c r="F625" s="122" t="s">
        <v>30</v>
      </c>
      <c r="G625" s="122" t="s">
        <v>30</v>
      </c>
      <c r="H625" s="122" t="s">
        <v>127</v>
      </c>
      <c r="I625" s="125" t="s">
        <v>4981</v>
      </c>
      <c r="J625" s="129" t="s">
        <v>6051</v>
      </c>
      <c r="K625" s="122" t="s">
        <v>6052</v>
      </c>
      <c r="L625" s="122" t="s">
        <v>2030</v>
      </c>
      <c r="M625" s="133" t="s">
        <v>6053</v>
      </c>
      <c r="N625" s="122" t="s">
        <v>30</v>
      </c>
    </row>
    <row r="626" spans="2:14" s="9" customFormat="1" hidden="1" x14ac:dyDescent="0.25">
      <c r="B626" s="120">
        <v>623</v>
      </c>
      <c r="C626" s="122">
        <v>20546794084</v>
      </c>
      <c r="D626" s="125" t="s">
        <v>3672</v>
      </c>
      <c r="E626" s="125" t="s">
        <v>6047</v>
      </c>
      <c r="F626" s="122" t="s">
        <v>30</v>
      </c>
      <c r="G626" s="122" t="s">
        <v>30</v>
      </c>
      <c r="H626" s="122" t="s">
        <v>52</v>
      </c>
      <c r="I626" s="125" t="s">
        <v>1447</v>
      </c>
      <c r="J626" s="129" t="s">
        <v>8127</v>
      </c>
      <c r="K626" s="122" t="s">
        <v>6048</v>
      </c>
      <c r="L626" s="122" t="s">
        <v>731</v>
      </c>
      <c r="M626" s="133" t="s">
        <v>6049</v>
      </c>
      <c r="N626" s="122" t="s">
        <v>30</v>
      </c>
    </row>
    <row r="627" spans="2:14" s="9" customFormat="1" hidden="1" x14ac:dyDescent="0.25">
      <c r="B627" s="120">
        <v>624</v>
      </c>
      <c r="C627" s="122">
        <v>20261332036</v>
      </c>
      <c r="D627" s="125" t="s">
        <v>6043</v>
      </c>
      <c r="E627" s="125" t="s">
        <v>6044</v>
      </c>
      <c r="F627" s="122" t="s">
        <v>30</v>
      </c>
      <c r="G627" s="122" t="s">
        <v>30</v>
      </c>
      <c r="H627" s="122" t="s">
        <v>72</v>
      </c>
      <c r="I627" s="125" t="s">
        <v>1755</v>
      </c>
      <c r="J627" s="129" t="s">
        <v>8128</v>
      </c>
      <c r="K627" s="122" t="s">
        <v>6045</v>
      </c>
      <c r="L627" s="122" t="s">
        <v>42</v>
      </c>
      <c r="M627" s="133" t="s">
        <v>6046</v>
      </c>
      <c r="N627" s="122" t="s">
        <v>30</v>
      </c>
    </row>
    <row r="628" spans="2:14" s="9" customFormat="1" hidden="1" x14ac:dyDescent="0.25">
      <c r="B628" s="120">
        <v>625</v>
      </c>
      <c r="C628" s="122">
        <v>20565575474</v>
      </c>
      <c r="D628" s="125" t="s">
        <v>6038</v>
      </c>
      <c r="E628" s="125" t="s">
        <v>6039</v>
      </c>
      <c r="F628" s="122" t="s">
        <v>30</v>
      </c>
      <c r="G628" s="122" t="s">
        <v>30</v>
      </c>
      <c r="H628" s="122" t="s">
        <v>30</v>
      </c>
      <c r="I628" s="125" t="s">
        <v>1365</v>
      </c>
      <c r="J628" s="129" t="s">
        <v>6040</v>
      </c>
      <c r="K628" s="122" t="s">
        <v>6041</v>
      </c>
      <c r="L628" s="122" t="s">
        <v>42</v>
      </c>
      <c r="M628" s="133" t="s">
        <v>6042</v>
      </c>
      <c r="N628" s="122" t="s">
        <v>30</v>
      </c>
    </row>
    <row r="629" spans="2:14" s="9" customFormat="1" hidden="1" x14ac:dyDescent="0.25">
      <c r="B629" s="120">
        <v>626</v>
      </c>
      <c r="C629" s="122">
        <v>20517201210</v>
      </c>
      <c r="D629" s="125" t="s">
        <v>5163</v>
      </c>
      <c r="E629" s="125" t="s">
        <v>5164</v>
      </c>
      <c r="F629" s="122" t="s">
        <v>30</v>
      </c>
      <c r="G629" s="122" t="s">
        <v>30</v>
      </c>
      <c r="H629" s="122" t="s">
        <v>58</v>
      </c>
      <c r="I629" s="125" t="s">
        <v>1398</v>
      </c>
      <c r="J629" s="129" t="s">
        <v>6035</v>
      </c>
      <c r="K629" s="122" t="s">
        <v>6036</v>
      </c>
      <c r="L629" s="122" t="s">
        <v>42</v>
      </c>
      <c r="M629" s="133" t="s">
        <v>6037</v>
      </c>
      <c r="N629" s="122" t="s">
        <v>30</v>
      </c>
    </row>
    <row r="630" spans="2:14" s="9" customFormat="1" hidden="1" x14ac:dyDescent="0.25">
      <c r="B630" s="120">
        <v>627</v>
      </c>
      <c r="C630" s="122">
        <v>20519341213</v>
      </c>
      <c r="D630" s="125" t="s">
        <v>6030</v>
      </c>
      <c r="E630" s="125" t="s">
        <v>6031</v>
      </c>
      <c r="F630" s="122" t="s">
        <v>30</v>
      </c>
      <c r="G630" s="122" t="s">
        <v>30</v>
      </c>
      <c r="H630" s="122" t="s">
        <v>88</v>
      </c>
      <c r="I630" s="125" t="s">
        <v>1450</v>
      </c>
      <c r="J630" s="129" t="s">
        <v>6032</v>
      </c>
      <c r="K630" s="122" t="s">
        <v>6033</v>
      </c>
      <c r="L630" s="122" t="s">
        <v>42</v>
      </c>
      <c r="M630" s="133" t="s">
        <v>6034</v>
      </c>
      <c r="N630" s="122" t="s">
        <v>30</v>
      </c>
    </row>
    <row r="631" spans="2:14" s="9" customFormat="1" hidden="1" x14ac:dyDescent="0.25">
      <c r="B631" s="120">
        <v>628</v>
      </c>
      <c r="C631" s="122">
        <v>20522215105</v>
      </c>
      <c r="D631" s="125" t="s">
        <v>4816</v>
      </c>
      <c r="E631" s="125" t="s">
        <v>4817</v>
      </c>
      <c r="F631" s="122" t="s">
        <v>30</v>
      </c>
      <c r="G631" s="122" t="s">
        <v>30</v>
      </c>
      <c r="H631" s="122" t="s">
        <v>30</v>
      </c>
      <c r="I631" s="125" t="s">
        <v>1930</v>
      </c>
      <c r="J631" s="129" t="s">
        <v>8152</v>
      </c>
      <c r="K631" s="122" t="s">
        <v>6028</v>
      </c>
      <c r="L631" s="122" t="s">
        <v>731</v>
      </c>
      <c r="M631" s="133" t="s">
        <v>6029</v>
      </c>
      <c r="N631" s="122" t="s">
        <v>30</v>
      </c>
    </row>
    <row r="632" spans="2:14" s="9" customFormat="1" hidden="1" x14ac:dyDescent="0.25">
      <c r="B632" s="120">
        <v>629</v>
      </c>
      <c r="C632" s="122">
        <v>20147721111</v>
      </c>
      <c r="D632" s="125" t="s">
        <v>1085</v>
      </c>
      <c r="E632" s="125" t="s">
        <v>6023</v>
      </c>
      <c r="F632" s="122" t="s">
        <v>30</v>
      </c>
      <c r="G632" s="122" t="s">
        <v>30</v>
      </c>
      <c r="H632" s="122" t="s">
        <v>152</v>
      </c>
      <c r="I632" s="125" t="s">
        <v>4981</v>
      </c>
      <c r="J632" s="129" t="s">
        <v>8153</v>
      </c>
      <c r="K632" s="122" t="s">
        <v>6026</v>
      </c>
      <c r="L632" s="122" t="s">
        <v>6027</v>
      </c>
      <c r="M632" s="133" t="s">
        <v>845</v>
      </c>
      <c r="N632" s="122" t="s">
        <v>845</v>
      </c>
    </row>
    <row r="633" spans="2:14" s="9" customFormat="1" hidden="1" x14ac:dyDescent="0.25">
      <c r="B633" s="120">
        <v>630</v>
      </c>
      <c r="C633" s="122">
        <v>20147721111</v>
      </c>
      <c r="D633" s="125" t="s">
        <v>1085</v>
      </c>
      <c r="E633" s="125" t="s">
        <v>6023</v>
      </c>
      <c r="F633" s="122" t="s">
        <v>30</v>
      </c>
      <c r="G633" s="122" t="s">
        <v>30</v>
      </c>
      <c r="H633" s="122" t="s">
        <v>152</v>
      </c>
      <c r="I633" s="125" t="s">
        <v>4981</v>
      </c>
      <c r="J633" s="129" t="s">
        <v>6024</v>
      </c>
      <c r="K633" s="122" t="s">
        <v>6025</v>
      </c>
      <c r="L633" s="122" t="s">
        <v>119</v>
      </c>
      <c r="M633" s="133" t="s">
        <v>845</v>
      </c>
      <c r="N633" s="122" t="s">
        <v>845</v>
      </c>
    </row>
    <row r="634" spans="2:14" s="9" customFormat="1" hidden="1" x14ac:dyDescent="0.25">
      <c r="B634" s="120">
        <v>631</v>
      </c>
      <c r="C634" s="122">
        <v>20508807377</v>
      </c>
      <c r="D634" s="125" t="s">
        <v>5354</v>
      </c>
      <c r="E634" s="125" t="s">
        <v>5355</v>
      </c>
      <c r="F634" s="122" t="s">
        <v>30</v>
      </c>
      <c r="G634" s="122" t="s">
        <v>30</v>
      </c>
      <c r="H634" s="122" t="s">
        <v>35</v>
      </c>
      <c r="I634" s="125" t="s">
        <v>1450</v>
      </c>
      <c r="J634" s="129" t="s">
        <v>6021</v>
      </c>
      <c r="K634" s="122" t="s">
        <v>6022</v>
      </c>
      <c r="L634" s="122" t="s">
        <v>36</v>
      </c>
      <c r="M634" s="133" t="s">
        <v>845</v>
      </c>
      <c r="N634" s="122" t="s">
        <v>845</v>
      </c>
    </row>
    <row r="635" spans="2:14" s="9" customFormat="1" hidden="1" x14ac:dyDescent="0.25">
      <c r="B635" s="120">
        <v>632</v>
      </c>
      <c r="C635" s="122">
        <v>20609445964</v>
      </c>
      <c r="D635" s="125" t="s">
        <v>5366</v>
      </c>
      <c r="E635" s="125" t="s">
        <v>5367</v>
      </c>
      <c r="F635" s="122" t="s">
        <v>30</v>
      </c>
      <c r="G635" s="122" t="s">
        <v>30</v>
      </c>
      <c r="H635" s="122" t="s">
        <v>50</v>
      </c>
      <c r="I635" s="125" t="s">
        <v>1694</v>
      </c>
      <c r="J635" s="129" t="s">
        <v>6018</v>
      </c>
      <c r="K635" s="122" t="s">
        <v>6019</v>
      </c>
      <c r="L635" s="122" t="s">
        <v>42</v>
      </c>
      <c r="M635" s="133" t="s">
        <v>6020</v>
      </c>
      <c r="N635" s="122" t="s">
        <v>30</v>
      </c>
    </row>
    <row r="636" spans="2:14" s="9" customFormat="1" hidden="1" x14ac:dyDescent="0.25">
      <c r="B636" s="120">
        <v>633</v>
      </c>
      <c r="C636" s="122">
        <v>20536437011</v>
      </c>
      <c r="D636" s="125" t="s">
        <v>6013</v>
      </c>
      <c r="E636" s="125" t="s">
        <v>6014</v>
      </c>
      <c r="F636" s="122" t="s">
        <v>30</v>
      </c>
      <c r="G636" s="122" t="s">
        <v>30</v>
      </c>
      <c r="H636" s="122" t="s">
        <v>30</v>
      </c>
      <c r="I636" s="125" t="s">
        <v>1365</v>
      </c>
      <c r="J636" s="129" t="s">
        <v>6015</v>
      </c>
      <c r="K636" s="122" t="s">
        <v>6016</v>
      </c>
      <c r="L636" s="122" t="s">
        <v>42</v>
      </c>
      <c r="M636" s="133" t="s">
        <v>6017</v>
      </c>
      <c r="N636" s="122" t="s">
        <v>30</v>
      </c>
    </row>
    <row r="637" spans="2:14" s="9" customFormat="1" hidden="1" x14ac:dyDescent="0.25">
      <c r="B637" s="120">
        <v>634</v>
      </c>
      <c r="C637" s="122">
        <v>20535766640</v>
      </c>
      <c r="D637" s="125" t="s">
        <v>4553</v>
      </c>
      <c r="E637" s="125" t="s">
        <v>4554</v>
      </c>
      <c r="F637" s="122" t="s">
        <v>30</v>
      </c>
      <c r="G637" s="122" t="s">
        <v>30</v>
      </c>
      <c r="H637" s="122" t="s">
        <v>135</v>
      </c>
      <c r="I637" s="125" t="s">
        <v>5207</v>
      </c>
      <c r="J637" s="129" t="s">
        <v>6010</v>
      </c>
      <c r="K637" s="122" t="s">
        <v>6011</v>
      </c>
      <c r="L637" s="122" t="s">
        <v>42</v>
      </c>
      <c r="M637" s="133" t="s">
        <v>6012</v>
      </c>
      <c r="N637" s="122" t="s">
        <v>30</v>
      </c>
    </row>
    <row r="638" spans="2:14" s="9" customFormat="1" hidden="1" x14ac:dyDescent="0.25">
      <c r="B638" s="120">
        <v>635</v>
      </c>
      <c r="C638" s="122">
        <v>20600289773</v>
      </c>
      <c r="D638" s="125" t="s">
        <v>6005</v>
      </c>
      <c r="E638" s="125" t="s">
        <v>6006</v>
      </c>
      <c r="F638" s="122" t="s">
        <v>30</v>
      </c>
      <c r="G638" s="122" t="s">
        <v>30</v>
      </c>
      <c r="H638" s="122" t="s">
        <v>72</v>
      </c>
      <c r="I638" s="125" t="s">
        <v>1365</v>
      </c>
      <c r="J638" s="129" t="s">
        <v>6007</v>
      </c>
      <c r="K638" s="122" t="s">
        <v>6008</v>
      </c>
      <c r="L638" s="122" t="s">
        <v>1577</v>
      </c>
      <c r="M638" s="133" t="s">
        <v>6009</v>
      </c>
      <c r="N638" s="122" t="s">
        <v>30</v>
      </c>
    </row>
    <row r="639" spans="2:14" s="9" customFormat="1" hidden="1" x14ac:dyDescent="0.25">
      <c r="B639" s="120">
        <v>636</v>
      </c>
      <c r="C639" s="122">
        <v>20607307416</v>
      </c>
      <c r="D639" s="125" t="s">
        <v>4890</v>
      </c>
      <c r="E639" s="125" t="s">
        <v>4891</v>
      </c>
      <c r="F639" s="122" t="s">
        <v>30</v>
      </c>
      <c r="G639" s="122" t="s">
        <v>30</v>
      </c>
      <c r="H639" s="122" t="s">
        <v>50</v>
      </c>
      <c r="I639" s="125" t="s">
        <v>1424</v>
      </c>
      <c r="J639" s="129" t="s">
        <v>6002</v>
      </c>
      <c r="K639" s="122" t="s">
        <v>6003</v>
      </c>
      <c r="L639" s="122" t="s">
        <v>42</v>
      </c>
      <c r="M639" s="133" t="s">
        <v>6004</v>
      </c>
      <c r="N639" s="122" t="s">
        <v>30</v>
      </c>
    </row>
    <row r="640" spans="2:14" s="9" customFormat="1" hidden="1" x14ac:dyDescent="0.25">
      <c r="B640" s="120">
        <v>637</v>
      </c>
      <c r="C640" s="122">
        <v>20608847546</v>
      </c>
      <c r="D640" s="125" t="s">
        <v>5997</v>
      </c>
      <c r="E640" s="125" t="s">
        <v>5998</v>
      </c>
      <c r="F640" s="122" t="s">
        <v>30</v>
      </c>
      <c r="G640" s="122" t="s">
        <v>30</v>
      </c>
      <c r="H640" s="122" t="s">
        <v>64</v>
      </c>
      <c r="I640" s="125" t="s">
        <v>1450</v>
      </c>
      <c r="J640" s="129" t="s">
        <v>5999</v>
      </c>
      <c r="K640" s="122" t="s">
        <v>6000</v>
      </c>
      <c r="L640" s="122" t="s">
        <v>731</v>
      </c>
      <c r="M640" s="133" t="s">
        <v>6001</v>
      </c>
      <c r="N640" s="122" t="s">
        <v>30</v>
      </c>
    </row>
    <row r="641" spans="2:14" s="9" customFormat="1" hidden="1" x14ac:dyDescent="0.25">
      <c r="B641" s="120">
        <v>638</v>
      </c>
      <c r="C641" s="122">
        <v>20392866613</v>
      </c>
      <c r="D641" s="125" t="s">
        <v>5993</v>
      </c>
      <c r="E641" s="125" t="s">
        <v>8366</v>
      </c>
      <c r="F641" s="122" t="s">
        <v>30</v>
      </c>
      <c r="G641" s="122" t="s">
        <v>30</v>
      </c>
      <c r="H641" s="122" t="s">
        <v>35</v>
      </c>
      <c r="I641" s="125" t="s">
        <v>1398</v>
      </c>
      <c r="J641" s="129" t="s">
        <v>5994</v>
      </c>
      <c r="K641" s="122" t="s">
        <v>5995</v>
      </c>
      <c r="L641" s="122" t="s">
        <v>42</v>
      </c>
      <c r="M641" s="133" t="s">
        <v>5996</v>
      </c>
      <c r="N641" s="122" t="s">
        <v>30</v>
      </c>
    </row>
    <row r="642" spans="2:14" s="9" customFormat="1" hidden="1" x14ac:dyDescent="0.25">
      <c r="B642" s="120">
        <v>639</v>
      </c>
      <c r="C642" s="122">
        <v>20600631072</v>
      </c>
      <c r="D642" s="125" t="s">
        <v>5989</v>
      </c>
      <c r="E642" s="125" t="s">
        <v>5990</v>
      </c>
      <c r="F642" s="122" t="s">
        <v>30</v>
      </c>
      <c r="G642" s="122" t="s">
        <v>30</v>
      </c>
      <c r="H642" s="122" t="s">
        <v>72</v>
      </c>
      <c r="I642" s="125" t="s">
        <v>1450</v>
      </c>
      <c r="J642" s="129" t="s">
        <v>8166</v>
      </c>
      <c r="K642" s="122" t="s">
        <v>5991</v>
      </c>
      <c r="L642" s="122" t="s">
        <v>42</v>
      </c>
      <c r="M642" s="133" t="s">
        <v>5992</v>
      </c>
      <c r="N642" s="122" t="s">
        <v>30</v>
      </c>
    </row>
    <row r="643" spans="2:14" s="9" customFormat="1" hidden="1" x14ac:dyDescent="0.25">
      <c r="B643" s="120">
        <v>640</v>
      </c>
      <c r="C643" s="122">
        <v>20602485944</v>
      </c>
      <c r="D643" s="125" t="s">
        <v>5985</v>
      </c>
      <c r="E643" s="125" t="s">
        <v>5986</v>
      </c>
      <c r="F643" s="122" t="s">
        <v>30</v>
      </c>
      <c r="G643" s="122" t="s">
        <v>30</v>
      </c>
      <c r="H643" s="122" t="s">
        <v>88</v>
      </c>
      <c r="I643" s="125" t="s">
        <v>1519</v>
      </c>
      <c r="J643" s="129" t="s">
        <v>8167</v>
      </c>
      <c r="K643" s="122" t="s">
        <v>5987</v>
      </c>
      <c r="L643" s="122" t="s">
        <v>42</v>
      </c>
      <c r="M643" s="133" t="s">
        <v>5988</v>
      </c>
      <c r="N643" s="122" t="s">
        <v>30</v>
      </c>
    </row>
    <row r="644" spans="2:14" s="9" customFormat="1" hidden="1" x14ac:dyDescent="0.25">
      <c r="B644" s="120">
        <v>641</v>
      </c>
      <c r="C644" s="122">
        <v>20600547845</v>
      </c>
      <c r="D644" s="125" t="s">
        <v>5980</v>
      </c>
      <c r="E644" s="125" t="s">
        <v>5981</v>
      </c>
      <c r="F644" s="122" t="s">
        <v>30</v>
      </c>
      <c r="G644" s="122" t="s">
        <v>30</v>
      </c>
      <c r="H644" s="122" t="s">
        <v>43</v>
      </c>
      <c r="I644" s="125" t="s">
        <v>2803</v>
      </c>
      <c r="J644" s="129" t="s">
        <v>5982</v>
      </c>
      <c r="K644" s="122" t="s">
        <v>5983</v>
      </c>
      <c r="L644" s="122" t="s">
        <v>731</v>
      </c>
      <c r="M644" s="133" t="s">
        <v>5984</v>
      </c>
      <c r="N644" s="122" t="s">
        <v>30</v>
      </c>
    </row>
    <row r="645" spans="2:14" s="9" customFormat="1" hidden="1" x14ac:dyDescent="0.25">
      <c r="B645" s="120">
        <v>642</v>
      </c>
      <c r="C645" s="122">
        <v>10097972368</v>
      </c>
      <c r="D645" s="125" t="s">
        <v>1081</v>
      </c>
      <c r="E645" s="125" t="s">
        <v>5411</v>
      </c>
      <c r="F645" s="122" t="s">
        <v>30</v>
      </c>
      <c r="G645" s="122" t="s">
        <v>30</v>
      </c>
      <c r="H645" s="122" t="s">
        <v>50</v>
      </c>
      <c r="I645" s="125" t="s">
        <v>1424</v>
      </c>
      <c r="J645" s="129" t="s">
        <v>5410</v>
      </c>
      <c r="K645" s="122" t="s">
        <v>5409</v>
      </c>
      <c r="L645" s="122" t="s">
        <v>100</v>
      </c>
      <c r="M645" s="133" t="s">
        <v>845</v>
      </c>
      <c r="N645" s="122" t="s">
        <v>845</v>
      </c>
    </row>
    <row r="646" spans="2:14" s="9" customFormat="1" hidden="1" x14ac:dyDescent="0.25">
      <c r="B646" s="120">
        <v>643</v>
      </c>
      <c r="C646" s="122">
        <v>20602497179</v>
      </c>
      <c r="D646" s="125" t="s">
        <v>5404</v>
      </c>
      <c r="E646" s="125" t="s">
        <v>5405</v>
      </c>
      <c r="F646" s="122" t="s">
        <v>30</v>
      </c>
      <c r="G646" s="122" t="s">
        <v>30</v>
      </c>
      <c r="H646" s="122" t="s">
        <v>135</v>
      </c>
      <c r="I646" s="125" t="s">
        <v>1398</v>
      </c>
      <c r="J646" s="129" t="s">
        <v>5406</v>
      </c>
      <c r="K646" s="122" t="s">
        <v>5407</v>
      </c>
      <c r="L646" s="122" t="s">
        <v>42</v>
      </c>
      <c r="M646" s="133" t="s">
        <v>5408</v>
      </c>
      <c r="N646" s="122" t="s">
        <v>30</v>
      </c>
    </row>
    <row r="647" spans="2:14" s="9" customFormat="1" hidden="1" x14ac:dyDescent="0.25">
      <c r="B647" s="120">
        <v>644</v>
      </c>
      <c r="C647" s="122">
        <v>20100630274</v>
      </c>
      <c r="D647" s="125" t="s">
        <v>5399</v>
      </c>
      <c r="E647" s="125" t="s">
        <v>5400</v>
      </c>
      <c r="F647" s="122" t="s">
        <v>30</v>
      </c>
      <c r="G647" s="122" t="s">
        <v>30</v>
      </c>
      <c r="H647" s="122" t="s">
        <v>30</v>
      </c>
      <c r="I647" s="125" t="s">
        <v>1374</v>
      </c>
      <c r="J647" s="129" t="s">
        <v>5401</v>
      </c>
      <c r="K647" s="122" t="s">
        <v>5402</v>
      </c>
      <c r="L647" s="122" t="s">
        <v>42</v>
      </c>
      <c r="M647" s="133" t="s">
        <v>5403</v>
      </c>
      <c r="N647" s="122" t="s">
        <v>30</v>
      </c>
    </row>
    <row r="648" spans="2:14" s="9" customFormat="1" hidden="1" x14ac:dyDescent="0.25">
      <c r="B648" s="120">
        <v>645</v>
      </c>
      <c r="C648" s="122">
        <v>20605602348</v>
      </c>
      <c r="D648" s="125" t="s">
        <v>5394</v>
      </c>
      <c r="E648" s="125" t="s">
        <v>5395</v>
      </c>
      <c r="F648" s="122" t="s">
        <v>30</v>
      </c>
      <c r="G648" s="122" t="s">
        <v>30</v>
      </c>
      <c r="H648" s="122" t="s">
        <v>80</v>
      </c>
      <c r="I648" s="125" t="s">
        <v>1450</v>
      </c>
      <c r="J648" s="129" t="s">
        <v>5397</v>
      </c>
      <c r="K648" s="122" t="s">
        <v>5398</v>
      </c>
      <c r="L648" s="122" t="s">
        <v>42</v>
      </c>
      <c r="M648" s="133" t="s">
        <v>5396</v>
      </c>
      <c r="N648" s="122" t="s">
        <v>30</v>
      </c>
    </row>
    <row r="649" spans="2:14" s="9" customFormat="1" hidden="1" x14ac:dyDescent="0.25">
      <c r="B649" s="120">
        <v>646</v>
      </c>
      <c r="C649" s="122">
        <v>20601968194</v>
      </c>
      <c r="D649" s="125" t="s">
        <v>5360</v>
      </c>
      <c r="E649" s="125" t="s">
        <v>5390</v>
      </c>
      <c r="F649" s="122" t="s">
        <v>30</v>
      </c>
      <c r="G649" s="122" t="s">
        <v>30</v>
      </c>
      <c r="H649" s="122" t="s">
        <v>75</v>
      </c>
      <c r="I649" s="125" t="s">
        <v>1394</v>
      </c>
      <c r="J649" s="129" t="s">
        <v>5391</v>
      </c>
      <c r="K649" s="122" t="s">
        <v>5392</v>
      </c>
      <c r="L649" s="122" t="s">
        <v>57</v>
      </c>
      <c r="M649" s="133" t="s">
        <v>5393</v>
      </c>
      <c r="N649" s="122" t="s">
        <v>30</v>
      </c>
    </row>
    <row r="650" spans="2:14" s="9" customFormat="1" hidden="1" x14ac:dyDescent="0.25">
      <c r="B650" s="120">
        <v>647</v>
      </c>
      <c r="C650" s="122">
        <v>20604711461</v>
      </c>
      <c r="D650" s="125" t="s">
        <v>5384</v>
      </c>
      <c r="E650" s="125" t="s">
        <v>5385</v>
      </c>
      <c r="F650" s="122" t="s">
        <v>183</v>
      </c>
      <c r="G650" s="122" t="s">
        <v>184</v>
      </c>
      <c r="H650" s="122" t="s">
        <v>185</v>
      </c>
      <c r="I650" s="125" t="s">
        <v>5386</v>
      </c>
      <c r="J650" s="129" t="s">
        <v>5387</v>
      </c>
      <c r="K650" s="122" t="s">
        <v>5388</v>
      </c>
      <c r="L650" s="122" t="s">
        <v>57</v>
      </c>
      <c r="M650" s="133" t="s">
        <v>5389</v>
      </c>
      <c r="N650" s="122" t="s">
        <v>30</v>
      </c>
    </row>
    <row r="651" spans="2:14" s="9" customFormat="1" hidden="1" x14ac:dyDescent="0.25">
      <c r="B651" s="120">
        <v>648</v>
      </c>
      <c r="C651" s="122">
        <v>20605688960</v>
      </c>
      <c r="D651" s="125" t="s">
        <v>5379</v>
      </c>
      <c r="E651" s="125" t="s">
        <v>5380</v>
      </c>
      <c r="F651" s="122" t="s">
        <v>285</v>
      </c>
      <c r="G651" s="122" t="s">
        <v>286</v>
      </c>
      <c r="H651" s="122" t="s">
        <v>286</v>
      </c>
      <c r="I651" s="125" t="s">
        <v>1561</v>
      </c>
      <c r="J651" s="129" t="s">
        <v>5381</v>
      </c>
      <c r="K651" s="122" t="s">
        <v>5382</v>
      </c>
      <c r="L651" s="122" t="s">
        <v>57</v>
      </c>
      <c r="M651" s="133" t="s">
        <v>5383</v>
      </c>
      <c r="N651" s="122" t="s">
        <v>286</v>
      </c>
    </row>
    <row r="652" spans="2:14" s="9" customFormat="1" hidden="1" x14ac:dyDescent="0.25">
      <c r="B652" s="120">
        <v>649</v>
      </c>
      <c r="C652" s="122">
        <v>20549367535</v>
      </c>
      <c r="D652" s="125" t="s">
        <v>5374</v>
      </c>
      <c r="E652" s="125" t="s">
        <v>5375</v>
      </c>
      <c r="F652" s="122" t="s">
        <v>67</v>
      </c>
      <c r="G652" s="122" t="s">
        <v>67</v>
      </c>
      <c r="H652" s="122" t="s">
        <v>81</v>
      </c>
      <c r="I652" s="125" t="s">
        <v>1377</v>
      </c>
      <c r="J652" s="129" t="s">
        <v>5376</v>
      </c>
      <c r="K652" s="122" t="s">
        <v>5377</v>
      </c>
      <c r="L652" s="122" t="s">
        <v>731</v>
      </c>
      <c r="M652" s="133" t="s">
        <v>5378</v>
      </c>
      <c r="N652" s="122" t="s">
        <v>30</v>
      </c>
    </row>
    <row r="653" spans="2:14" s="9" customFormat="1" hidden="1" x14ac:dyDescent="0.25">
      <c r="B653" s="120">
        <v>650</v>
      </c>
      <c r="C653" s="122">
        <v>20514764094</v>
      </c>
      <c r="D653" s="125" t="s">
        <v>5342</v>
      </c>
      <c r="E653" s="125" t="s">
        <v>5343</v>
      </c>
      <c r="F653" s="122" t="s">
        <v>67</v>
      </c>
      <c r="G653" s="122" t="s">
        <v>67</v>
      </c>
      <c r="H653" s="122" t="s">
        <v>67</v>
      </c>
      <c r="I653" s="125" t="s">
        <v>1394</v>
      </c>
      <c r="J653" s="129" t="s">
        <v>5344</v>
      </c>
      <c r="K653" s="122" t="s">
        <v>5345</v>
      </c>
      <c r="L653" s="122" t="s">
        <v>731</v>
      </c>
      <c r="M653" s="120">
        <v>11958094</v>
      </c>
      <c r="N653" s="122" t="s">
        <v>30</v>
      </c>
    </row>
    <row r="654" spans="2:14" s="9" customFormat="1" hidden="1" x14ac:dyDescent="0.25">
      <c r="B654" s="120">
        <v>651</v>
      </c>
      <c r="C654" s="122">
        <v>20520662716</v>
      </c>
      <c r="D654" s="125" t="s">
        <v>1092</v>
      </c>
      <c r="E654" s="125" t="s">
        <v>5338</v>
      </c>
      <c r="F654" s="122" t="s">
        <v>30</v>
      </c>
      <c r="G654" s="122" t="s">
        <v>30</v>
      </c>
      <c r="H654" s="122" t="s">
        <v>39</v>
      </c>
      <c r="I654" s="125" t="s">
        <v>1706</v>
      </c>
      <c r="J654" s="129" t="s">
        <v>5339</v>
      </c>
      <c r="K654" s="122" t="s">
        <v>5340</v>
      </c>
      <c r="L654" s="122" t="s">
        <v>42</v>
      </c>
      <c r="M654" s="133" t="s">
        <v>5341</v>
      </c>
      <c r="N654" s="122" t="s">
        <v>30</v>
      </c>
    </row>
    <row r="655" spans="2:14" s="9" customFormat="1" hidden="1" x14ac:dyDescent="0.25">
      <c r="B655" s="120">
        <v>652</v>
      </c>
      <c r="C655" s="122">
        <v>20523317220</v>
      </c>
      <c r="D655" s="125" t="s">
        <v>5333</v>
      </c>
      <c r="E655" s="125" t="s">
        <v>5334</v>
      </c>
      <c r="F655" s="122" t="s">
        <v>30</v>
      </c>
      <c r="G655" s="122" t="s">
        <v>30</v>
      </c>
      <c r="H655" s="122" t="s">
        <v>86</v>
      </c>
      <c r="I655" s="125" t="s">
        <v>1706</v>
      </c>
      <c r="J655" s="129" t="s">
        <v>5335</v>
      </c>
      <c r="K655" s="122" t="s">
        <v>5336</v>
      </c>
      <c r="L655" s="122" t="s">
        <v>42</v>
      </c>
      <c r="M655" s="133" t="s">
        <v>5337</v>
      </c>
      <c r="N655" s="122" t="s">
        <v>30</v>
      </c>
    </row>
    <row r="656" spans="2:14" s="9" customFormat="1" hidden="1" x14ac:dyDescent="0.25">
      <c r="B656" s="120">
        <v>653</v>
      </c>
      <c r="C656" s="122">
        <v>10453462043</v>
      </c>
      <c r="D656" s="125" t="s">
        <v>5326</v>
      </c>
      <c r="E656" s="125" t="s">
        <v>5328</v>
      </c>
      <c r="F656" s="122" t="s">
        <v>30</v>
      </c>
      <c r="G656" s="122" t="s">
        <v>30</v>
      </c>
      <c r="H656" s="122" t="s">
        <v>75</v>
      </c>
      <c r="I656" s="125" t="s">
        <v>1564</v>
      </c>
      <c r="J656" s="129" t="s">
        <v>6115</v>
      </c>
      <c r="K656" s="122" t="s">
        <v>5327</v>
      </c>
      <c r="L656" s="122" t="s">
        <v>100</v>
      </c>
      <c r="M656" s="133" t="s">
        <v>845</v>
      </c>
      <c r="N656" s="122" t="s">
        <v>845</v>
      </c>
    </row>
    <row r="657" spans="2:14" s="9" customFormat="1" hidden="1" x14ac:dyDescent="0.25">
      <c r="B657" s="120">
        <v>654</v>
      </c>
      <c r="C657" s="122">
        <v>20556555452</v>
      </c>
      <c r="D657" s="125" t="s">
        <v>5321</v>
      </c>
      <c r="E657" s="125" t="s">
        <v>5322</v>
      </c>
      <c r="F657" s="122" t="s">
        <v>67</v>
      </c>
      <c r="G657" s="122" t="s">
        <v>67</v>
      </c>
      <c r="H657" s="122" t="s">
        <v>67</v>
      </c>
      <c r="I657" s="125" t="s">
        <v>1424</v>
      </c>
      <c r="J657" s="129" t="s">
        <v>5323</v>
      </c>
      <c r="K657" s="122" t="s">
        <v>5324</v>
      </c>
      <c r="L657" s="122" t="s">
        <v>42</v>
      </c>
      <c r="M657" s="133" t="s">
        <v>5325</v>
      </c>
      <c r="N657" s="122" t="s">
        <v>67</v>
      </c>
    </row>
    <row r="658" spans="2:14" s="9" customFormat="1" hidden="1" x14ac:dyDescent="0.25">
      <c r="B658" s="120">
        <v>655</v>
      </c>
      <c r="C658" s="122">
        <v>20509607657</v>
      </c>
      <c r="D658" s="125" t="s">
        <v>5316</v>
      </c>
      <c r="E658" s="125" t="s">
        <v>5317</v>
      </c>
      <c r="F658" s="122" t="s">
        <v>30</v>
      </c>
      <c r="G658" s="122" t="s">
        <v>30</v>
      </c>
      <c r="H658" s="122" t="s">
        <v>30</v>
      </c>
      <c r="I658" s="125" t="s">
        <v>1967</v>
      </c>
      <c r="J658" s="129" t="s">
        <v>5318</v>
      </c>
      <c r="K658" s="122" t="s">
        <v>5319</v>
      </c>
      <c r="L658" s="122" t="s">
        <v>42</v>
      </c>
      <c r="M658" s="133" t="s">
        <v>5320</v>
      </c>
      <c r="N658" s="122" t="s">
        <v>30</v>
      </c>
    </row>
    <row r="659" spans="2:14" s="9" customFormat="1" hidden="1" x14ac:dyDescent="0.25">
      <c r="B659" s="120">
        <v>656</v>
      </c>
      <c r="C659" s="122">
        <v>20107481860</v>
      </c>
      <c r="D659" s="125" t="s">
        <v>5307</v>
      </c>
      <c r="E659" s="125" t="s">
        <v>5308</v>
      </c>
      <c r="F659" s="122" t="s">
        <v>30</v>
      </c>
      <c r="G659" s="122" t="s">
        <v>30</v>
      </c>
      <c r="H659" s="122" t="s">
        <v>79</v>
      </c>
      <c r="I659" s="125" t="s">
        <v>1365</v>
      </c>
      <c r="J659" s="129" t="s">
        <v>5314</v>
      </c>
      <c r="K659" s="122" t="s">
        <v>5315</v>
      </c>
      <c r="L659" s="122" t="s">
        <v>209</v>
      </c>
      <c r="M659" s="133" t="s">
        <v>5311</v>
      </c>
      <c r="N659" s="122" t="s">
        <v>30</v>
      </c>
    </row>
    <row r="660" spans="2:14" s="9" customFormat="1" hidden="1" x14ac:dyDescent="0.25">
      <c r="B660" s="120">
        <v>657</v>
      </c>
      <c r="C660" s="122">
        <v>20107481860</v>
      </c>
      <c r="D660" s="125" t="s">
        <v>5307</v>
      </c>
      <c r="E660" s="125" t="s">
        <v>5308</v>
      </c>
      <c r="F660" s="122" t="s">
        <v>30</v>
      </c>
      <c r="G660" s="122" t="s">
        <v>30</v>
      </c>
      <c r="H660" s="122" t="s">
        <v>79</v>
      </c>
      <c r="I660" s="125" t="s">
        <v>1365</v>
      </c>
      <c r="J660" s="129" t="s">
        <v>5312</v>
      </c>
      <c r="K660" s="122" t="s">
        <v>5313</v>
      </c>
      <c r="L660" s="122" t="s">
        <v>731</v>
      </c>
      <c r="M660" s="133" t="s">
        <v>5311</v>
      </c>
      <c r="N660" s="122" t="s">
        <v>30</v>
      </c>
    </row>
    <row r="661" spans="2:14" s="9" customFormat="1" hidden="1" x14ac:dyDescent="0.25">
      <c r="B661" s="120">
        <v>658</v>
      </c>
      <c r="C661" s="122">
        <v>20107481860</v>
      </c>
      <c r="D661" s="125" t="s">
        <v>5307</v>
      </c>
      <c r="E661" s="125" t="s">
        <v>5308</v>
      </c>
      <c r="F661" s="122" t="s">
        <v>30</v>
      </c>
      <c r="G661" s="122" t="s">
        <v>30</v>
      </c>
      <c r="H661" s="122" t="s">
        <v>79</v>
      </c>
      <c r="I661" s="125" t="s">
        <v>1365</v>
      </c>
      <c r="J661" s="129" t="s">
        <v>5309</v>
      </c>
      <c r="K661" s="122" t="s">
        <v>5310</v>
      </c>
      <c r="L661" s="122" t="s">
        <v>209</v>
      </c>
      <c r="M661" s="133" t="s">
        <v>5311</v>
      </c>
      <c r="N661" s="122" t="s">
        <v>30</v>
      </c>
    </row>
    <row r="662" spans="2:14" s="9" customFormat="1" hidden="1" x14ac:dyDescent="0.25">
      <c r="B662" s="120">
        <v>659</v>
      </c>
      <c r="C662" s="122">
        <v>20610539590</v>
      </c>
      <c r="D662" s="125" t="s">
        <v>5302</v>
      </c>
      <c r="E662" s="125" t="s">
        <v>5303</v>
      </c>
      <c r="F662" s="122" t="s">
        <v>30</v>
      </c>
      <c r="G662" s="122" t="s">
        <v>30</v>
      </c>
      <c r="H662" s="122" t="s">
        <v>50</v>
      </c>
      <c r="I662" s="125" t="s">
        <v>1961</v>
      </c>
      <c r="J662" s="129" t="s">
        <v>5304</v>
      </c>
      <c r="K662" s="122" t="s">
        <v>5305</v>
      </c>
      <c r="L662" s="122" t="s">
        <v>42</v>
      </c>
      <c r="M662" s="133" t="s">
        <v>5306</v>
      </c>
      <c r="N662" s="122" t="s">
        <v>30</v>
      </c>
    </row>
    <row r="663" spans="2:14" s="9" customFormat="1" hidden="1" x14ac:dyDescent="0.25">
      <c r="B663" s="120">
        <v>660</v>
      </c>
      <c r="C663" s="122">
        <v>20601678374</v>
      </c>
      <c r="D663" s="125" t="s">
        <v>5297</v>
      </c>
      <c r="E663" s="125" t="s">
        <v>5298</v>
      </c>
      <c r="F663" s="122" t="s">
        <v>30</v>
      </c>
      <c r="G663" s="122" t="s">
        <v>30</v>
      </c>
      <c r="H663" s="122" t="s">
        <v>50</v>
      </c>
      <c r="I663" s="125" t="s">
        <v>1384</v>
      </c>
      <c r="J663" s="129" t="s">
        <v>5299</v>
      </c>
      <c r="K663" s="122" t="s">
        <v>5300</v>
      </c>
      <c r="L663" s="122" t="s">
        <v>42</v>
      </c>
      <c r="M663" s="133" t="s">
        <v>5301</v>
      </c>
      <c r="N663" s="122" t="s">
        <v>30</v>
      </c>
    </row>
    <row r="664" spans="2:14" s="9" customFormat="1" hidden="1" x14ac:dyDescent="0.25">
      <c r="B664" s="120">
        <v>661</v>
      </c>
      <c r="C664" s="122">
        <v>20601298768</v>
      </c>
      <c r="D664" s="125" t="s">
        <v>5279</v>
      </c>
      <c r="E664" s="125" t="s">
        <v>5280</v>
      </c>
      <c r="F664" s="122" t="s">
        <v>30</v>
      </c>
      <c r="G664" s="122" t="s">
        <v>30</v>
      </c>
      <c r="H664" s="122" t="s">
        <v>30</v>
      </c>
      <c r="I664" s="125" t="s">
        <v>1365</v>
      </c>
      <c r="J664" s="129" t="s">
        <v>5281</v>
      </c>
      <c r="K664" s="122" t="s">
        <v>5282</v>
      </c>
      <c r="L664" s="122" t="s">
        <v>42</v>
      </c>
      <c r="M664" s="133" t="s">
        <v>5283</v>
      </c>
      <c r="N664" s="122" t="s">
        <v>30</v>
      </c>
    </row>
    <row r="665" spans="2:14" s="9" customFormat="1" hidden="1" x14ac:dyDescent="0.25">
      <c r="B665" s="120">
        <v>662</v>
      </c>
      <c r="C665" s="122">
        <v>20451809050</v>
      </c>
      <c r="D665" s="125" t="s">
        <v>1106</v>
      </c>
      <c r="E665" s="125" t="s">
        <v>5275</v>
      </c>
      <c r="F665" s="122" t="s">
        <v>30</v>
      </c>
      <c r="G665" s="122" t="s">
        <v>30</v>
      </c>
      <c r="H665" s="122" t="s">
        <v>152</v>
      </c>
      <c r="I665" s="125" t="s">
        <v>1974</v>
      </c>
      <c r="J665" s="129" t="s">
        <v>5276</v>
      </c>
      <c r="K665" s="122" t="s">
        <v>5277</v>
      </c>
      <c r="L665" s="122" t="s">
        <v>42</v>
      </c>
      <c r="M665" s="133" t="s">
        <v>5278</v>
      </c>
      <c r="N665" s="122" t="s">
        <v>30</v>
      </c>
    </row>
    <row r="666" spans="2:14" s="9" customFormat="1" hidden="1" x14ac:dyDescent="0.25">
      <c r="B666" s="120">
        <v>663</v>
      </c>
      <c r="C666" s="122">
        <v>20603866810</v>
      </c>
      <c r="D666" s="125" t="s">
        <v>5270</v>
      </c>
      <c r="E666" s="125" t="s">
        <v>5271</v>
      </c>
      <c r="F666" s="122" t="s">
        <v>30</v>
      </c>
      <c r="G666" s="122" t="s">
        <v>30</v>
      </c>
      <c r="H666" s="122" t="s">
        <v>30</v>
      </c>
      <c r="I666" s="125" t="s">
        <v>1561</v>
      </c>
      <c r="J666" s="129" t="s">
        <v>5272</v>
      </c>
      <c r="K666" s="122" t="s">
        <v>5273</v>
      </c>
      <c r="L666" s="122" t="s">
        <v>42</v>
      </c>
      <c r="M666" s="133" t="s">
        <v>5274</v>
      </c>
      <c r="N666" s="122" t="s">
        <v>30</v>
      </c>
    </row>
    <row r="667" spans="2:14" s="9" customFormat="1" hidden="1" x14ac:dyDescent="0.25">
      <c r="B667" s="120">
        <v>664</v>
      </c>
      <c r="C667" s="122">
        <v>20554200096</v>
      </c>
      <c r="D667" s="125" t="s">
        <v>695</v>
      </c>
      <c r="E667" s="125" t="s">
        <v>5267</v>
      </c>
      <c r="F667" s="122" t="s">
        <v>30</v>
      </c>
      <c r="G667" s="122" t="s">
        <v>30</v>
      </c>
      <c r="H667" s="122" t="s">
        <v>110</v>
      </c>
      <c r="I667" s="125" t="s">
        <v>1368</v>
      </c>
      <c r="J667" s="129" t="s">
        <v>8240</v>
      </c>
      <c r="K667" s="122" t="s">
        <v>5268</v>
      </c>
      <c r="L667" s="122" t="s">
        <v>42</v>
      </c>
      <c r="M667" s="133" t="s">
        <v>5269</v>
      </c>
      <c r="N667" s="122" t="s">
        <v>30</v>
      </c>
    </row>
    <row r="668" spans="2:14" s="9" customFormat="1" hidden="1" x14ac:dyDescent="0.25">
      <c r="B668" s="120">
        <v>665</v>
      </c>
      <c r="C668" s="122">
        <v>20122593101</v>
      </c>
      <c r="D668" s="125" t="s">
        <v>5262</v>
      </c>
      <c r="E668" s="125" t="s">
        <v>5263</v>
      </c>
      <c r="F668" s="122" t="s">
        <v>30</v>
      </c>
      <c r="G668" s="122" t="s">
        <v>30</v>
      </c>
      <c r="H668" s="122" t="s">
        <v>51</v>
      </c>
      <c r="I668" s="125" t="s">
        <v>1464</v>
      </c>
      <c r="J668" s="129" t="s">
        <v>5264</v>
      </c>
      <c r="K668" s="122" t="s">
        <v>5265</v>
      </c>
      <c r="L668" s="122" t="s">
        <v>36</v>
      </c>
      <c r="M668" s="133" t="s">
        <v>845</v>
      </c>
      <c r="N668" s="122" t="s">
        <v>5266</v>
      </c>
    </row>
    <row r="669" spans="2:14" s="9" customFormat="1" hidden="1" x14ac:dyDescent="0.25">
      <c r="B669" s="120">
        <v>666</v>
      </c>
      <c r="C669" s="122">
        <v>10159710861</v>
      </c>
      <c r="D669" s="125" t="s">
        <v>5259</v>
      </c>
      <c r="E669" s="125" t="s">
        <v>5260</v>
      </c>
      <c r="F669" s="122" t="s">
        <v>30</v>
      </c>
      <c r="G669" s="122" t="s">
        <v>54</v>
      </c>
      <c r="H669" s="122" t="s">
        <v>54</v>
      </c>
      <c r="I669" s="125" t="s">
        <v>1424</v>
      </c>
      <c r="J669" s="129" t="s">
        <v>8195</v>
      </c>
      <c r="K669" s="122" t="s">
        <v>5261</v>
      </c>
      <c r="L669" s="122" t="s">
        <v>100</v>
      </c>
      <c r="M669" s="133" t="s">
        <v>845</v>
      </c>
      <c r="N669" s="122" t="s">
        <v>845</v>
      </c>
    </row>
    <row r="670" spans="2:14" s="9" customFormat="1" hidden="1" x14ac:dyDescent="0.25">
      <c r="B670" s="120">
        <v>667</v>
      </c>
      <c r="C670" s="122">
        <v>20557543571</v>
      </c>
      <c r="D670" s="125" t="s">
        <v>3662</v>
      </c>
      <c r="E670" s="125" t="s">
        <v>5242</v>
      </c>
      <c r="F670" s="122" t="s">
        <v>30</v>
      </c>
      <c r="G670" s="122" t="s">
        <v>31</v>
      </c>
      <c r="H670" s="122" t="s">
        <v>92</v>
      </c>
      <c r="I670" s="125" t="s">
        <v>5243</v>
      </c>
      <c r="J670" s="129" t="s">
        <v>5244</v>
      </c>
      <c r="K670" s="122" t="s">
        <v>5245</v>
      </c>
      <c r="L670" s="122" t="s">
        <v>42</v>
      </c>
      <c r="M670" s="133" t="s">
        <v>5246</v>
      </c>
      <c r="N670" s="122" t="s">
        <v>30</v>
      </c>
    </row>
    <row r="671" spans="2:14" s="9" customFormat="1" hidden="1" x14ac:dyDescent="0.25">
      <c r="B671" s="120">
        <v>668</v>
      </c>
      <c r="C671" s="122">
        <v>20608718061</v>
      </c>
      <c r="D671" s="125" t="s">
        <v>3611</v>
      </c>
      <c r="E671" s="125" t="s">
        <v>5238</v>
      </c>
      <c r="F671" s="122" t="s">
        <v>30</v>
      </c>
      <c r="G671" s="122" t="s">
        <v>30</v>
      </c>
      <c r="H671" s="122" t="s">
        <v>65</v>
      </c>
      <c r="I671" s="125" t="s">
        <v>1377</v>
      </c>
      <c r="J671" s="129" t="s">
        <v>5239</v>
      </c>
      <c r="K671" s="122" t="s">
        <v>5240</v>
      </c>
      <c r="L671" s="122" t="s">
        <v>57</v>
      </c>
      <c r="M671" s="133" t="s">
        <v>5241</v>
      </c>
      <c r="N671" s="122" t="s">
        <v>30</v>
      </c>
    </row>
    <row r="672" spans="2:14" s="9" customFormat="1" hidden="1" x14ac:dyDescent="0.25">
      <c r="B672" s="120">
        <v>669</v>
      </c>
      <c r="C672" s="122">
        <v>20607835501</v>
      </c>
      <c r="D672" s="125" t="s">
        <v>3666</v>
      </c>
      <c r="E672" s="125" t="s">
        <v>5234</v>
      </c>
      <c r="F672" s="122" t="s">
        <v>30</v>
      </c>
      <c r="G672" s="122" t="s">
        <v>31</v>
      </c>
      <c r="H672" s="122" t="s">
        <v>32</v>
      </c>
      <c r="I672" s="125" t="s">
        <v>1969</v>
      </c>
      <c r="J672" s="129" t="s">
        <v>5235</v>
      </c>
      <c r="K672" s="122" t="s">
        <v>5236</v>
      </c>
      <c r="L672" s="122" t="s">
        <v>57</v>
      </c>
      <c r="M672" s="133" t="s">
        <v>5237</v>
      </c>
      <c r="N672" s="122" t="s">
        <v>31</v>
      </c>
    </row>
    <row r="673" spans="2:14" s="9" customFormat="1" hidden="1" x14ac:dyDescent="0.25">
      <c r="B673" s="120">
        <v>670</v>
      </c>
      <c r="C673" s="122">
        <v>20509429538</v>
      </c>
      <c r="D673" s="125" t="s">
        <v>3519</v>
      </c>
      <c r="E673" s="125" t="s">
        <v>5230</v>
      </c>
      <c r="F673" s="122" t="s">
        <v>30</v>
      </c>
      <c r="G673" s="122" t="s">
        <v>30</v>
      </c>
      <c r="H673" s="122" t="s">
        <v>39</v>
      </c>
      <c r="I673" s="125" t="s">
        <v>1706</v>
      </c>
      <c r="J673" s="129" t="s">
        <v>5231</v>
      </c>
      <c r="K673" s="122" t="s">
        <v>5232</v>
      </c>
      <c r="L673" s="122" t="s">
        <v>42</v>
      </c>
      <c r="M673" s="133" t="s">
        <v>5233</v>
      </c>
      <c r="N673" s="122" t="s">
        <v>30</v>
      </c>
    </row>
    <row r="674" spans="2:14" s="9" customFormat="1" hidden="1" x14ac:dyDescent="0.25">
      <c r="B674" s="120">
        <v>671</v>
      </c>
      <c r="C674" s="122">
        <v>20603526962</v>
      </c>
      <c r="D674" s="125" t="s">
        <v>3578</v>
      </c>
      <c r="E674" s="125" t="s">
        <v>5221</v>
      </c>
      <c r="F674" s="122" t="s">
        <v>30</v>
      </c>
      <c r="G674" s="122" t="s">
        <v>30</v>
      </c>
      <c r="H674" s="122" t="s">
        <v>58</v>
      </c>
      <c r="I674" s="125" t="s">
        <v>5222</v>
      </c>
      <c r="J674" s="129" t="s">
        <v>5228</v>
      </c>
      <c r="K674" s="122" t="s">
        <v>5229</v>
      </c>
      <c r="L674" s="122" t="s">
        <v>42</v>
      </c>
      <c r="M674" s="133" t="s">
        <v>5225</v>
      </c>
      <c r="N674" s="122" t="s">
        <v>30</v>
      </c>
    </row>
    <row r="675" spans="2:14" s="9" customFormat="1" hidden="1" x14ac:dyDescent="0.25">
      <c r="B675" s="120">
        <v>672</v>
      </c>
      <c r="C675" s="122">
        <v>20603526962</v>
      </c>
      <c r="D675" s="125" t="s">
        <v>3578</v>
      </c>
      <c r="E675" s="125" t="s">
        <v>5221</v>
      </c>
      <c r="F675" s="122" t="s">
        <v>30</v>
      </c>
      <c r="G675" s="122" t="s">
        <v>30</v>
      </c>
      <c r="H675" s="122" t="s">
        <v>58</v>
      </c>
      <c r="I675" s="125" t="s">
        <v>5222</v>
      </c>
      <c r="J675" s="129" t="s">
        <v>5226</v>
      </c>
      <c r="K675" s="122" t="s">
        <v>5227</v>
      </c>
      <c r="L675" s="122" t="s">
        <v>619</v>
      </c>
      <c r="M675" s="133" t="s">
        <v>5225</v>
      </c>
      <c r="N675" s="122" t="s">
        <v>30</v>
      </c>
    </row>
    <row r="676" spans="2:14" s="9" customFormat="1" hidden="1" x14ac:dyDescent="0.25">
      <c r="B676" s="120">
        <v>673</v>
      </c>
      <c r="C676" s="122">
        <v>20603526962</v>
      </c>
      <c r="D676" s="125" t="s">
        <v>3578</v>
      </c>
      <c r="E676" s="125" t="s">
        <v>5221</v>
      </c>
      <c r="F676" s="122" t="s">
        <v>30</v>
      </c>
      <c r="G676" s="122" t="s">
        <v>30</v>
      </c>
      <c r="H676" s="122" t="s">
        <v>58</v>
      </c>
      <c r="I676" s="125" t="s">
        <v>5222</v>
      </c>
      <c r="J676" s="129" t="s">
        <v>5223</v>
      </c>
      <c r="K676" s="122" t="s">
        <v>5224</v>
      </c>
      <c r="L676" s="122" t="s">
        <v>140</v>
      </c>
      <c r="M676" s="133" t="s">
        <v>5225</v>
      </c>
      <c r="N676" s="122" t="s">
        <v>30</v>
      </c>
    </row>
    <row r="677" spans="2:14" s="9" customFormat="1" hidden="1" x14ac:dyDescent="0.25">
      <c r="B677" s="120">
        <v>674</v>
      </c>
      <c r="C677" s="122">
        <v>20478158948</v>
      </c>
      <c r="D677" s="125" t="s">
        <v>3503</v>
      </c>
      <c r="E677" s="125" t="s">
        <v>5215</v>
      </c>
      <c r="F677" s="122" t="s">
        <v>30</v>
      </c>
      <c r="G677" s="122" t="s">
        <v>30</v>
      </c>
      <c r="H677" s="122" t="s">
        <v>40</v>
      </c>
      <c r="I677" s="125" t="s">
        <v>1359</v>
      </c>
      <c r="J677" s="129" t="s">
        <v>5219</v>
      </c>
      <c r="K677" s="122" t="s">
        <v>5220</v>
      </c>
      <c r="L677" s="122" t="s">
        <v>76</v>
      </c>
      <c r="M677" s="133" t="s">
        <v>5218</v>
      </c>
      <c r="N677" s="122" t="s">
        <v>30</v>
      </c>
    </row>
    <row r="678" spans="2:14" s="9" customFormat="1" hidden="1" x14ac:dyDescent="0.25">
      <c r="B678" s="120">
        <v>675</v>
      </c>
      <c r="C678" s="122">
        <v>20478158948</v>
      </c>
      <c r="D678" s="125" t="s">
        <v>3503</v>
      </c>
      <c r="E678" s="125" t="s">
        <v>5215</v>
      </c>
      <c r="F678" s="122" t="s">
        <v>30</v>
      </c>
      <c r="G678" s="122" t="s">
        <v>30</v>
      </c>
      <c r="H678" s="122" t="s">
        <v>40</v>
      </c>
      <c r="I678" s="125" t="s">
        <v>1359</v>
      </c>
      <c r="J678" s="129" t="s">
        <v>5216</v>
      </c>
      <c r="K678" s="122" t="s">
        <v>5217</v>
      </c>
      <c r="L678" s="122" t="s">
        <v>42</v>
      </c>
      <c r="M678" s="133" t="s">
        <v>5218</v>
      </c>
      <c r="N678" s="122" t="s">
        <v>30</v>
      </c>
    </row>
    <row r="679" spans="2:14" s="9" customFormat="1" hidden="1" x14ac:dyDescent="0.25">
      <c r="B679" s="120">
        <v>676</v>
      </c>
      <c r="C679" s="122">
        <v>20600315146</v>
      </c>
      <c r="D679" s="125" t="s">
        <v>3569</v>
      </c>
      <c r="E679" s="125" t="s">
        <v>5211</v>
      </c>
      <c r="F679" s="122" t="s">
        <v>30</v>
      </c>
      <c r="G679" s="122" t="s">
        <v>30</v>
      </c>
      <c r="H679" s="122" t="s">
        <v>45</v>
      </c>
      <c r="I679" s="125" t="s">
        <v>1940</v>
      </c>
      <c r="J679" s="129" t="s">
        <v>5212</v>
      </c>
      <c r="K679" s="122" t="s">
        <v>5213</v>
      </c>
      <c r="L679" s="122" t="s">
        <v>42</v>
      </c>
      <c r="M679" s="133" t="s">
        <v>5214</v>
      </c>
      <c r="N679" s="122" t="s">
        <v>30</v>
      </c>
    </row>
    <row r="680" spans="2:14" s="9" customFormat="1" hidden="1" x14ac:dyDescent="0.25">
      <c r="B680" s="120">
        <v>677</v>
      </c>
      <c r="C680" s="122">
        <v>20565567706</v>
      </c>
      <c r="D680" s="125" t="s">
        <v>3502</v>
      </c>
      <c r="E680" s="125" t="s">
        <v>5206</v>
      </c>
      <c r="F680" s="122" t="s">
        <v>30</v>
      </c>
      <c r="G680" s="122" t="s">
        <v>30</v>
      </c>
      <c r="H680" s="122" t="s">
        <v>80</v>
      </c>
      <c r="I680" s="125" t="s">
        <v>5207</v>
      </c>
      <c r="J680" s="129" t="s">
        <v>5208</v>
      </c>
      <c r="K680" s="122" t="s">
        <v>5209</v>
      </c>
      <c r="L680" s="122" t="s">
        <v>42</v>
      </c>
      <c r="M680" s="133" t="s">
        <v>5210</v>
      </c>
      <c r="N680" s="122" t="s">
        <v>30</v>
      </c>
    </row>
    <row r="681" spans="2:14" s="9" customFormat="1" hidden="1" x14ac:dyDescent="0.25">
      <c r="B681" s="120">
        <v>678</v>
      </c>
      <c r="C681" s="122">
        <v>20602978002</v>
      </c>
      <c r="D681" s="125" t="s">
        <v>325</v>
      </c>
      <c r="E681" s="125" t="s">
        <v>5201</v>
      </c>
      <c r="F681" s="122" t="s">
        <v>30</v>
      </c>
      <c r="G681" s="122" t="s">
        <v>30</v>
      </c>
      <c r="H681" s="122" t="s">
        <v>88</v>
      </c>
      <c r="I681" s="125" t="s">
        <v>5202</v>
      </c>
      <c r="J681" s="129" t="s">
        <v>5203</v>
      </c>
      <c r="K681" s="122" t="s">
        <v>5204</v>
      </c>
      <c r="L681" s="122" t="s">
        <v>42</v>
      </c>
      <c r="M681" s="133" t="s">
        <v>5205</v>
      </c>
      <c r="N681" s="122" t="s">
        <v>30</v>
      </c>
    </row>
    <row r="682" spans="2:14" s="9" customFormat="1" hidden="1" x14ac:dyDescent="0.25">
      <c r="B682" s="120">
        <v>679</v>
      </c>
      <c r="C682" s="122">
        <v>20511995028</v>
      </c>
      <c r="D682" s="125" t="s">
        <v>3513</v>
      </c>
      <c r="E682" s="125" t="s">
        <v>5191</v>
      </c>
      <c r="F682" s="122" t="s">
        <v>30</v>
      </c>
      <c r="G682" s="122" t="s">
        <v>30</v>
      </c>
      <c r="H682" s="122" t="s">
        <v>135</v>
      </c>
      <c r="I682" s="125" t="s">
        <v>1969</v>
      </c>
      <c r="J682" s="129" t="s">
        <v>5199</v>
      </c>
      <c r="K682" s="122" t="s">
        <v>5200</v>
      </c>
      <c r="L682" s="122" t="s">
        <v>209</v>
      </c>
      <c r="M682" s="133" t="s">
        <v>5194</v>
      </c>
      <c r="N682" s="122" t="s">
        <v>30</v>
      </c>
    </row>
    <row r="683" spans="2:14" s="9" customFormat="1" hidden="1" x14ac:dyDescent="0.25">
      <c r="B683" s="120">
        <v>680</v>
      </c>
      <c r="C683" s="122">
        <v>20511995028</v>
      </c>
      <c r="D683" s="125" t="s">
        <v>3513</v>
      </c>
      <c r="E683" s="125" t="s">
        <v>5191</v>
      </c>
      <c r="F683" s="122" t="s">
        <v>30</v>
      </c>
      <c r="G683" s="122" t="s">
        <v>30</v>
      </c>
      <c r="H683" s="122" t="s">
        <v>135</v>
      </c>
      <c r="I683" s="125" t="s">
        <v>1969</v>
      </c>
      <c r="J683" s="129" t="s">
        <v>8091</v>
      </c>
      <c r="K683" s="122" t="s">
        <v>8092</v>
      </c>
      <c r="L683" s="122" t="s">
        <v>42</v>
      </c>
      <c r="M683" s="133" t="s">
        <v>5194</v>
      </c>
      <c r="N683" s="122" t="s">
        <v>30</v>
      </c>
    </row>
    <row r="684" spans="2:14" s="9" customFormat="1" hidden="1" x14ac:dyDescent="0.25">
      <c r="B684" s="120">
        <v>681</v>
      </c>
      <c r="C684" s="122">
        <v>20511995028</v>
      </c>
      <c r="D684" s="125" t="s">
        <v>3513</v>
      </c>
      <c r="E684" s="125" t="s">
        <v>5191</v>
      </c>
      <c r="F684" s="122" t="s">
        <v>30</v>
      </c>
      <c r="G684" s="122" t="s">
        <v>30</v>
      </c>
      <c r="H684" s="122" t="s">
        <v>135</v>
      </c>
      <c r="I684" s="125" t="s">
        <v>1969</v>
      </c>
      <c r="J684" s="129" t="s">
        <v>5197</v>
      </c>
      <c r="K684" s="122" t="s">
        <v>5198</v>
      </c>
      <c r="L684" s="122" t="s">
        <v>209</v>
      </c>
      <c r="M684" s="133" t="s">
        <v>5194</v>
      </c>
      <c r="N684" s="122" t="s">
        <v>30</v>
      </c>
    </row>
    <row r="685" spans="2:14" s="9" customFormat="1" hidden="1" x14ac:dyDescent="0.25">
      <c r="B685" s="120">
        <v>682</v>
      </c>
      <c r="C685" s="122">
        <v>20511995028</v>
      </c>
      <c r="D685" s="125" t="s">
        <v>3513</v>
      </c>
      <c r="E685" s="125" t="s">
        <v>5191</v>
      </c>
      <c r="F685" s="122" t="s">
        <v>30</v>
      </c>
      <c r="G685" s="122" t="s">
        <v>30</v>
      </c>
      <c r="H685" s="122" t="s">
        <v>135</v>
      </c>
      <c r="I685" s="125" t="s">
        <v>1969</v>
      </c>
      <c r="J685" s="129" t="s">
        <v>5195</v>
      </c>
      <c r="K685" s="122" t="s">
        <v>5196</v>
      </c>
      <c r="L685" s="122" t="s">
        <v>209</v>
      </c>
      <c r="M685" s="133" t="s">
        <v>5194</v>
      </c>
      <c r="N685" s="122" t="s">
        <v>30</v>
      </c>
    </row>
    <row r="686" spans="2:14" s="9" customFormat="1" hidden="1" x14ac:dyDescent="0.25">
      <c r="B686" s="120">
        <v>683</v>
      </c>
      <c r="C686" s="122">
        <v>20511995028</v>
      </c>
      <c r="D686" s="125" t="s">
        <v>3513</v>
      </c>
      <c r="E686" s="125" t="s">
        <v>5191</v>
      </c>
      <c r="F686" s="122" t="s">
        <v>30</v>
      </c>
      <c r="G686" s="122" t="s">
        <v>30</v>
      </c>
      <c r="H686" s="122" t="s">
        <v>135</v>
      </c>
      <c r="I686" s="125" t="s">
        <v>1969</v>
      </c>
      <c r="J686" s="129" t="s">
        <v>5192</v>
      </c>
      <c r="K686" s="122" t="s">
        <v>5193</v>
      </c>
      <c r="L686" s="122" t="s">
        <v>209</v>
      </c>
      <c r="M686" s="133" t="s">
        <v>5194</v>
      </c>
      <c r="N686" s="122" t="s">
        <v>30</v>
      </c>
    </row>
    <row r="687" spans="2:14" s="9" customFormat="1" hidden="1" x14ac:dyDescent="0.25">
      <c r="B687" s="120">
        <v>684</v>
      </c>
      <c r="C687" s="122">
        <v>20469748597</v>
      </c>
      <c r="D687" s="125" t="s">
        <v>3652</v>
      </c>
      <c r="E687" s="125" t="s">
        <v>5188</v>
      </c>
      <c r="F687" s="122" t="s">
        <v>30</v>
      </c>
      <c r="G687" s="122" t="s">
        <v>30</v>
      </c>
      <c r="H687" s="122" t="s">
        <v>86</v>
      </c>
      <c r="I687" s="125" t="s">
        <v>1983</v>
      </c>
      <c r="J687" s="129" t="s">
        <v>8200</v>
      </c>
      <c r="K687" s="122" t="s">
        <v>5189</v>
      </c>
      <c r="L687" s="122" t="s">
        <v>42</v>
      </c>
      <c r="M687" s="133" t="s">
        <v>5190</v>
      </c>
      <c r="N687" s="122" t="s">
        <v>30</v>
      </c>
    </row>
    <row r="688" spans="2:14" s="9" customFormat="1" hidden="1" x14ac:dyDescent="0.25">
      <c r="B688" s="120">
        <v>685</v>
      </c>
      <c r="C688" s="122">
        <v>20338451033</v>
      </c>
      <c r="D688" s="125" t="s">
        <v>3527</v>
      </c>
      <c r="E688" s="125" t="s">
        <v>5185</v>
      </c>
      <c r="F688" s="122" t="s">
        <v>30</v>
      </c>
      <c r="G688" s="122" t="s">
        <v>30</v>
      </c>
      <c r="H688" s="122" t="s">
        <v>30</v>
      </c>
      <c r="I688" s="125" t="s">
        <v>1412</v>
      </c>
      <c r="J688" s="129" t="s">
        <v>8208</v>
      </c>
      <c r="K688" s="122" t="s">
        <v>5186</v>
      </c>
      <c r="L688" s="122" t="s">
        <v>42</v>
      </c>
      <c r="M688" s="133" t="s">
        <v>5187</v>
      </c>
      <c r="N688" s="122" t="s">
        <v>30</v>
      </c>
    </row>
    <row r="689" spans="2:14" s="9" customFormat="1" hidden="1" x14ac:dyDescent="0.25">
      <c r="B689" s="120">
        <v>686</v>
      </c>
      <c r="C689" s="122">
        <v>20205922149</v>
      </c>
      <c r="D689" s="125" t="s">
        <v>3491</v>
      </c>
      <c r="E689" s="125" t="s">
        <v>5177</v>
      </c>
      <c r="F689" s="122" t="s">
        <v>30</v>
      </c>
      <c r="G689" s="122" t="s">
        <v>30</v>
      </c>
      <c r="H689" s="122" t="s">
        <v>30</v>
      </c>
      <c r="I689" s="125" t="s">
        <v>5178</v>
      </c>
      <c r="J689" s="129" t="s">
        <v>5183</v>
      </c>
      <c r="K689" s="122" t="s">
        <v>5184</v>
      </c>
      <c r="L689" s="122" t="s">
        <v>119</v>
      </c>
      <c r="M689" s="133" t="s">
        <v>845</v>
      </c>
      <c r="N689" s="122" t="s">
        <v>845</v>
      </c>
    </row>
    <row r="690" spans="2:14" s="9" customFormat="1" hidden="1" x14ac:dyDescent="0.25">
      <c r="B690" s="120">
        <v>687</v>
      </c>
      <c r="C690" s="122">
        <v>20205922149</v>
      </c>
      <c r="D690" s="125" t="s">
        <v>3491</v>
      </c>
      <c r="E690" s="125" t="s">
        <v>5177</v>
      </c>
      <c r="F690" s="122" t="s">
        <v>30</v>
      </c>
      <c r="G690" s="122" t="s">
        <v>30</v>
      </c>
      <c r="H690" s="122" t="s">
        <v>30</v>
      </c>
      <c r="I690" s="125" t="s">
        <v>5178</v>
      </c>
      <c r="J690" s="129" t="s">
        <v>8210</v>
      </c>
      <c r="K690" s="122" t="s">
        <v>8209</v>
      </c>
      <c r="L690" s="122" t="s">
        <v>209</v>
      </c>
      <c r="M690" s="133" t="s">
        <v>845</v>
      </c>
      <c r="N690" s="122" t="s">
        <v>845</v>
      </c>
    </row>
    <row r="691" spans="2:14" s="9" customFormat="1" hidden="1" x14ac:dyDescent="0.25">
      <c r="B691" s="120">
        <v>688</v>
      </c>
      <c r="C691" s="122">
        <v>20205922149</v>
      </c>
      <c r="D691" s="125" t="s">
        <v>3491</v>
      </c>
      <c r="E691" s="125" t="s">
        <v>5177</v>
      </c>
      <c r="F691" s="122" t="s">
        <v>30</v>
      </c>
      <c r="G691" s="122" t="s">
        <v>30</v>
      </c>
      <c r="H691" s="122" t="s">
        <v>30</v>
      </c>
      <c r="I691" s="125" t="s">
        <v>5178</v>
      </c>
      <c r="J691" s="129" t="s">
        <v>5181</v>
      </c>
      <c r="K691" s="122" t="s">
        <v>5182</v>
      </c>
      <c r="L691" s="131" t="s">
        <v>209</v>
      </c>
      <c r="M691" s="133" t="s">
        <v>845</v>
      </c>
      <c r="N691" s="122" t="s">
        <v>845</v>
      </c>
    </row>
    <row r="692" spans="2:14" s="9" customFormat="1" hidden="1" x14ac:dyDescent="0.25">
      <c r="B692" s="120">
        <v>689</v>
      </c>
      <c r="C692" s="122">
        <v>20205922149</v>
      </c>
      <c r="D692" s="125" t="s">
        <v>3491</v>
      </c>
      <c r="E692" s="125" t="s">
        <v>5177</v>
      </c>
      <c r="F692" s="122" t="s">
        <v>30</v>
      </c>
      <c r="G692" s="122" t="s">
        <v>30</v>
      </c>
      <c r="H692" s="122" t="s">
        <v>30</v>
      </c>
      <c r="I692" s="125" t="s">
        <v>5178</v>
      </c>
      <c r="J692" s="129" t="s">
        <v>5179</v>
      </c>
      <c r="K692" s="122" t="s">
        <v>5180</v>
      </c>
      <c r="L692" s="122" t="s">
        <v>209</v>
      </c>
      <c r="M692" s="133" t="s">
        <v>845</v>
      </c>
      <c r="N692" s="122" t="s">
        <v>845</v>
      </c>
    </row>
    <row r="693" spans="2:14" s="9" customFormat="1" hidden="1" x14ac:dyDescent="0.25">
      <c r="B693" s="120">
        <v>690</v>
      </c>
      <c r="C693" s="122">
        <v>20603820925</v>
      </c>
      <c r="D693" s="125" t="s">
        <v>3574</v>
      </c>
      <c r="E693" s="125" t="s">
        <v>5174</v>
      </c>
      <c r="F693" s="122" t="s">
        <v>30</v>
      </c>
      <c r="G693" s="122" t="s">
        <v>30</v>
      </c>
      <c r="H693" s="122" t="s">
        <v>51</v>
      </c>
      <c r="I693" s="125" t="s">
        <v>2803</v>
      </c>
      <c r="J693" s="129" t="s">
        <v>8211</v>
      </c>
      <c r="K693" s="122" t="s">
        <v>5175</v>
      </c>
      <c r="L693" s="122" t="s">
        <v>57</v>
      </c>
      <c r="M693" s="133" t="s">
        <v>5176</v>
      </c>
      <c r="N693" s="122" t="s">
        <v>30</v>
      </c>
    </row>
    <row r="694" spans="2:14" s="9" customFormat="1" hidden="1" x14ac:dyDescent="0.25">
      <c r="B694" s="120">
        <v>691</v>
      </c>
      <c r="C694" s="122">
        <v>10157636893</v>
      </c>
      <c r="D694" s="125" t="s">
        <v>5171</v>
      </c>
      <c r="E694" s="125" t="s">
        <v>5173</v>
      </c>
      <c r="F694" s="122" t="s">
        <v>30</v>
      </c>
      <c r="G694" s="122" t="s">
        <v>30</v>
      </c>
      <c r="H694" s="122" t="s">
        <v>72</v>
      </c>
      <c r="I694" s="125" t="s">
        <v>1424</v>
      </c>
      <c r="J694" s="129" t="s">
        <v>8213</v>
      </c>
      <c r="K694" s="122" t="s">
        <v>5172</v>
      </c>
      <c r="L694" s="122" t="s">
        <v>100</v>
      </c>
      <c r="M694" s="133" t="s">
        <v>845</v>
      </c>
      <c r="N694" s="122" t="s">
        <v>845</v>
      </c>
    </row>
    <row r="695" spans="2:14" s="9" customFormat="1" hidden="1" x14ac:dyDescent="0.25">
      <c r="B695" s="120">
        <v>692</v>
      </c>
      <c r="C695" s="122">
        <v>20601106583</v>
      </c>
      <c r="D695" s="125" t="s">
        <v>5167</v>
      </c>
      <c r="E695" s="125" t="s">
        <v>5168</v>
      </c>
      <c r="F695" s="122" t="s">
        <v>30</v>
      </c>
      <c r="G695" s="122" t="s">
        <v>30</v>
      </c>
      <c r="H695" s="122" t="s">
        <v>43</v>
      </c>
      <c r="I695" s="125" t="s">
        <v>1694</v>
      </c>
      <c r="J695" s="129" t="s">
        <v>5169</v>
      </c>
      <c r="K695" s="122" t="s">
        <v>5170</v>
      </c>
      <c r="L695" s="122" t="s">
        <v>42</v>
      </c>
      <c r="M695" s="133" t="s">
        <v>845</v>
      </c>
      <c r="N695" s="122" t="s">
        <v>845</v>
      </c>
    </row>
    <row r="696" spans="2:14" s="9" customFormat="1" hidden="1" x14ac:dyDescent="0.25">
      <c r="B696" s="120">
        <v>693</v>
      </c>
      <c r="C696" s="122">
        <v>20519383994</v>
      </c>
      <c r="D696" s="125" t="s">
        <v>5155</v>
      </c>
      <c r="E696" s="125" t="s">
        <v>5156</v>
      </c>
      <c r="F696" s="122" t="s">
        <v>67</v>
      </c>
      <c r="G696" s="122" t="s">
        <v>67</v>
      </c>
      <c r="H696" s="122" t="s">
        <v>67</v>
      </c>
      <c r="I696" s="125" t="s">
        <v>5157</v>
      </c>
      <c r="J696" s="129" t="s">
        <v>5162</v>
      </c>
      <c r="K696" s="122" t="s">
        <v>5161</v>
      </c>
      <c r="L696" s="122" t="s">
        <v>209</v>
      </c>
      <c r="M696" s="133" t="s">
        <v>5160</v>
      </c>
      <c r="N696" s="122" t="s">
        <v>30</v>
      </c>
    </row>
    <row r="697" spans="2:14" s="9" customFormat="1" hidden="1" x14ac:dyDescent="0.25">
      <c r="B697" s="120">
        <v>694</v>
      </c>
      <c r="C697" s="122">
        <v>20519383994</v>
      </c>
      <c r="D697" s="125" t="s">
        <v>5155</v>
      </c>
      <c r="E697" s="125" t="s">
        <v>5156</v>
      </c>
      <c r="F697" s="122" t="s">
        <v>67</v>
      </c>
      <c r="G697" s="122" t="s">
        <v>67</v>
      </c>
      <c r="H697" s="122" t="s">
        <v>67</v>
      </c>
      <c r="I697" s="125" t="s">
        <v>5157</v>
      </c>
      <c r="J697" s="129" t="s">
        <v>5158</v>
      </c>
      <c r="K697" s="122" t="s">
        <v>5159</v>
      </c>
      <c r="L697" s="122" t="s">
        <v>42</v>
      </c>
      <c r="M697" s="133" t="s">
        <v>5160</v>
      </c>
      <c r="N697" s="122" t="s">
        <v>30</v>
      </c>
    </row>
    <row r="698" spans="2:14" s="9" customFormat="1" hidden="1" x14ac:dyDescent="0.25">
      <c r="B698" s="120">
        <v>695</v>
      </c>
      <c r="C698" s="122">
        <v>20601065135</v>
      </c>
      <c r="D698" s="125" t="s">
        <v>335</v>
      </c>
      <c r="E698" s="125" t="s">
        <v>5151</v>
      </c>
      <c r="F698" s="122" t="s">
        <v>30</v>
      </c>
      <c r="G698" s="122" t="s">
        <v>30</v>
      </c>
      <c r="H698" s="122" t="s">
        <v>45</v>
      </c>
      <c r="I698" s="125" t="s">
        <v>1931</v>
      </c>
      <c r="J698" s="129" t="s">
        <v>5152</v>
      </c>
      <c r="K698" s="122" t="s">
        <v>5153</v>
      </c>
      <c r="L698" s="122" t="s">
        <v>42</v>
      </c>
      <c r="M698" s="133" t="s">
        <v>5154</v>
      </c>
      <c r="N698" s="122" t="s">
        <v>30</v>
      </c>
    </row>
    <row r="699" spans="2:14" s="9" customFormat="1" hidden="1" x14ac:dyDescent="0.25">
      <c r="B699" s="120">
        <v>696</v>
      </c>
      <c r="C699" s="122">
        <v>20512217533</v>
      </c>
      <c r="D699" s="125" t="s">
        <v>314</v>
      </c>
      <c r="E699" s="125" t="s">
        <v>5143</v>
      </c>
      <c r="F699" s="122" t="s">
        <v>30</v>
      </c>
      <c r="G699" s="122" t="s">
        <v>30</v>
      </c>
      <c r="H699" s="122" t="s">
        <v>51</v>
      </c>
      <c r="I699" s="125" t="s">
        <v>1755</v>
      </c>
      <c r="J699" s="129" t="s">
        <v>5149</v>
      </c>
      <c r="K699" s="122" t="s">
        <v>5150</v>
      </c>
      <c r="L699" s="122" t="s">
        <v>209</v>
      </c>
      <c r="M699" s="133" t="s">
        <v>5146</v>
      </c>
      <c r="N699" s="122" t="s">
        <v>30</v>
      </c>
    </row>
    <row r="700" spans="2:14" s="9" customFormat="1" hidden="1" x14ac:dyDescent="0.25">
      <c r="B700" s="120">
        <v>697</v>
      </c>
      <c r="C700" s="122">
        <v>20512217533</v>
      </c>
      <c r="D700" s="125" t="s">
        <v>314</v>
      </c>
      <c r="E700" s="125" t="s">
        <v>5143</v>
      </c>
      <c r="F700" s="122" t="s">
        <v>30</v>
      </c>
      <c r="G700" s="122" t="s">
        <v>30</v>
      </c>
      <c r="H700" s="122" t="s">
        <v>51</v>
      </c>
      <c r="I700" s="125" t="s">
        <v>1755</v>
      </c>
      <c r="J700" s="129" t="s">
        <v>5147</v>
      </c>
      <c r="K700" s="122" t="s">
        <v>5148</v>
      </c>
      <c r="L700" s="122" t="s">
        <v>209</v>
      </c>
      <c r="M700" s="133" t="s">
        <v>5146</v>
      </c>
      <c r="N700" s="122" t="s">
        <v>30</v>
      </c>
    </row>
    <row r="701" spans="2:14" s="9" customFormat="1" hidden="1" x14ac:dyDescent="0.25">
      <c r="B701" s="120">
        <v>698</v>
      </c>
      <c r="C701" s="122">
        <v>20512217533</v>
      </c>
      <c r="D701" s="125" t="s">
        <v>314</v>
      </c>
      <c r="E701" s="125" t="s">
        <v>5143</v>
      </c>
      <c r="F701" s="122" t="s">
        <v>30</v>
      </c>
      <c r="G701" s="122" t="s">
        <v>30</v>
      </c>
      <c r="H701" s="122" t="s">
        <v>51</v>
      </c>
      <c r="I701" s="125" t="s">
        <v>1755</v>
      </c>
      <c r="J701" s="129" t="s">
        <v>5144</v>
      </c>
      <c r="K701" s="122" t="s">
        <v>5145</v>
      </c>
      <c r="L701" s="122" t="s">
        <v>209</v>
      </c>
      <c r="M701" s="133" t="s">
        <v>5146</v>
      </c>
      <c r="N701" s="122" t="s">
        <v>30</v>
      </c>
    </row>
    <row r="702" spans="2:14" s="9" customFormat="1" hidden="1" x14ac:dyDescent="0.25">
      <c r="B702" s="120">
        <v>699</v>
      </c>
      <c r="C702" s="122">
        <v>20521083060</v>
      </c>
      <c r="D702" s="125" t="s">
        <v>368</v>
      </c>
      <c r="E702" s="125" t="s">
        <v>5140</v>
      </c>
      <c r="F702" s="122" t="s">
        <v>30</v>
      </c>
      <c r="G702" s="122" t="s">
        <v>30</v>
      </c>
      <c r="H702" s="122" t="s">
        <v>52</v>
      </c>
      <c r="I702" s="125" t="s">
        <v>1701</v>
      </c>
      <c r="J702" s="129" t="s">
        <v>8225</v>
      </c>
      <c r="K702" s="122" t="s">
        <v>5141</v>
      </c>
      <c r="L702" s="122" t="s">
        <v>57</v>
      </c>
      <c r="M702" s="133" t="s">
        <v>5142</v>
      </c>
      <c r="N702" s="122" t="s">
        <v>30</v>
      </c>
    </row>
    <row r="703" spans="2:14" s="9" customFormat="1" hidden="1" x14ac:dyDescent="0.25">
      <c r="B703" s="120">
        <v>700</v>
      </c>
      <c r="C703" s="122">
        <v>20537871181</v>
      </c>
      <c r="D703" s="125" t="s">
        <v>3551</v>
      </c>
      <c r="E703" s="125" t="s">
        <v>5137</v>
      </c>
      <c r="F703" s="122" t="s">
        <v>30</v>
      </c>
      <c r="G703" s="122" t="s">
        <v>30</v>
      </c>
      <c r="H703" s="122" t="s">
        <v>51</v>
      </c>
      <c r="I703" s="125" t="s">
        <v>1365</v>
      </c>
      <c r="J703" s="129" t="s">
        <v>8226</v>
      </c>
      <c r="K703" s="122" t="s">
        <v>5138</v>
      </c>
      <c r="L703" s="122" t="s">
        <v>42</v>
      </c>
      <c r="M703" s="133" t="s">
        <v>5139</v>
      </c>
      <c r="N703" s="122" t="s">
        <v>30</v>
      </c>
    </row>
    <row r="704" spans="2:14" s="9" customFormat="1" hidden="1" x14ac:dyDescent="0.25">
      <c r="B704" s="120">
        <v>701</v>
      </c>
      <c r="C704" s="122">
        <v>20555372915</v>
      </c>
      <c r="D704" s="125" t="s">
        <v>3541</v>
      </c>
      <c r="E704" s="125" t="s">
        <v>5133</v>
      </c>
      <c r="F704" s="122" t="s">
        <v>30</v>
      </c>
      <c r="G704" s="122" t="s">
        <v>30</v>
      </c>
      <c r="H704" s="122" t="s">
        <v>72</v>
      </c>
      <c r="I704" s="125" t="s">
        <v>1377</v>
      </c>
      <c r="J704" s="129" t="s">
        <v>5134</v>
      </c>
      <c r="K704" s="122" t="s">
        <v>5135</v>
      </c>
      <c r="L704" s="122" t="s">
        <v>42</v>
      </c>
      <c r="M704" s="133" t="s">
        <v>5136</v>
      </c>
      <c r="N704" s="122" t="s">
        <v>30</v>
      </c>
    </row>
    <row r="705" spans="2:14" s="9" customFormat="1" hidden="1" x14ac:dyDescent="0.25">
      <c r="B705" s="120">
        <v>702</v>
      </c>
      <c r="C705" s="122">
        <v>20147897406</v>
      </c>
      <c r="D705" s="125" t="s">
        <v>310</v>
      </c>
      <c r="E705" s="125" t="s">
        <v>5124</v>
      </c>
      <c r="F705" s="122" t="s">
        <v>30</v>
      </c>
      <c r="G705" s="122" t="s">
        <v>30</v>
      </c>
      <c r="H705" s="122" t="s">
        <v>74</v>
      </c>
      <c r="I705" s="125" t="s">
        <v>4981</v>
      </c>
      <c r="J705" s="129" t="s">
        <v>5131</v>
      </c>
      <c r="K705" s="122" t="s">
        <v>5132</v>
      </c>
      <c r="L705" s="122" t="s">
        <v>209</v>
      </c>
      <c r="M705" s="133" t="s">
        <v>845</v>
      </c>
      <c r="N705" s="122" t="s">
        <v>845</v>
      </c>
    </row>
    <row r="706" spans="2:14" s="9" customFormat="1" hidden="1" x14ac:dyDescent="0.25">
      <c r="B706" s="120">
        <v>703</v>
      </c>
      <c r="C706" s="122">
        <v>20147897406</v>
      </c>
      <c r="D706" s="125" t="s">
        <v>310</v>
      </c>
      <c r="E706" s="125" t="s">
        <v>5124</v>
      </c>
      <c r="F706" s="122" t="s">
        <v>30</v>
      </c>
      <c r="G706" s="122" t="s">
        <v>30</v>
      </c>
      <c r="H706" s="122" t="s">
        <v>74</v>
      </c>
      <c r="I706" s="125" t="s">
        <v>4981</v>
      </c>
      <c r="J706" s="129" t="s">
        <v>8229</v>
      </c>
      <c r="K706" s="122" t="s">
        <v>8230</v>
      </c>
      <c r="L706" s="122" t="s">
        <v>209</v>
      </c>
      <c r="M706" s="133" t="s">
        <v>845</v>
      </c>
      <c r="N706" s="122" t="s">
        <v>845</v>
      </c>
    </row>
    <row r="707" spans="2:14" s="9" customFormat="1" hidden="1" x14ac:dyDescent="0.25">
      <c r="B707" s="120">
        <v>704</v>
      </c>
      <c r="C707" s="122">
        <v>20147897406</v>
      </c>
      <c r="D707" s="125" t="s">
        <v>310</v>
      </c>
      <c r="E707" s="125" t="s">
        <v>5124</v>
      </c>
      <c r="F707" s="122" t="s">
        <v>30</v>
      </c>
      <c r="G707" s="122" t="s">
        <v>30</v>
      </c>
      <c r="H707" s="122" t="s">
        <v>74</v>
      </c>
      <c r="I707" s="125" t="s">
        <v>4981</v>
      </c>
      <c r="J707" s="129" t="s">
        <v>5128</v>
      </c>
      <c r="K707" s="122" t="s">
        <v>5129</v>
      </c>
      <c r="L707" s="131" t="s">
        <v>5130</v>
      </c>
      <c r="M707" s="133" t="s">
        <v>845</v>
      </c>
      <c r="N707" s="122" t="s">
        <v>845</v>
      </c>
    </row>
    <row r="708" spans="2:14" s="9" customFormat="1" hidden="1" x14ac:dyDescent="0.25">
      <c r="B708" s="120">
        <v>705</v>
      </c>
      <c r="C708" s="122">
        <v>20147897406</v>
      </c>
      <c r="D708" s="125" t="s">
        <v>310</v>
      </c>
      <c r="E708" s="125" t="s">
        <v>5124</v>
      </c>
      <c r="F708" s="122" t="s">
        <v>30</v>
      </c>
      <c r="G708" s="122" t="s">
        <v>30</v>
      </c>
      <c r="H708" s="122" t="s">
        <v>74</v>
      </c>
      <c r="I708" s="125" t="s">
        <v>4981</v>
      </c>
      <c r="J708" s="129" t="s">
        <v>5125</v>
      </c>
      <c r="K708" s="122" t="s">
        <v>5126</v>
      </c>
      <c r="L708" s="122" t="s">
        <v>5127</v>
      </c>
      <c r="M708" s="133" t="s">
        <v>845</v>
      </c>
      <c r="N708" s="122" t="s">
        <v>845</v>
      </c>
    </row>
    <row r="709" spans="2:14" s="9" customFormat="1" hidden="1" x14ac:dyDescent="0.25">
      <c r="B709" s="120">
        <v>706</v>
      </c>
      <c r="C709" s="122">
        <v>20520987186</v>
      </c>
      <c r="D709" s="125" t="s">
        <v>306</v>
      </c>
      <c r="E709" s="125" t="s">
        <v>5120</v>
      </c>
      <c r="F709" s="122" t="s">
        <v>30</v>
      </c>
      <c r="G709" s="122" t="s">
        <v>30</v>
      </c>
      <c r="H709" s="122" t="s">
        <v>72</v>
      </c>
      <c r="I709" s="125" t="s">
        <v>1365</v>
      </c>
      <c r="J709" s="129" t="s">
        <v>5121</v>
      </c>
      <c r="K709" s="122" t="s">
        <v>5122</v>
      </c>
      <c r="L709" s="122" t="s">
        <v>42</v>
      </c>
      <c r="M709" s="133" t="s">
        <v>5123</v>
      </c>
      <c r="N709" s="122" t="s">
        <v>30</v>
      </c>
    </row>
    <row r="710" spans="2:14" s="9" customFormat="1" hidden="1" x14ac:dyDescent="0.25">
      <c r="B710" s="120">
        <v>707</v>
      </c>
      <c r="C710" s="122">
        <v>20125865071</v>
      </c>
      <c r="D710" s="125" t="s">
        <v>3516</v>
      </c>
      <c r="E710" s="125" t="s">
        <v>5116</v>
      </c>
      <c r="F710" s="122" t="s">
        <v>30</v>
      </c>
      <c r="G710" s="122" t="s">
        <v>30</v>
      </c>
      <c r="H710" s="122" t="s">
        <v>110</v>
      </c>
      <c r="I710" s="125" t="s">
        <v>1398</v>
      </c>
      <c r="J710" s="129" t="s">
        <v>5117</v>
      </c>
      <c r="K710" s="122" t="s">
        <v>5118</v>
      </c>
      <c r="L710" s="122" t="s">
        <v>42</v>
      </c>
      <c r="M710" s="133" t="s">
        <v>5119</v>
      </c>
      <c r="N710" s="122" t="s">
        <v>30</v>
      </c>
    </row>
    <row r="711" spans="2:14" s="9" customFormat="1" hidden="1" x14ac:dyDescent="0.25">
      <c r="B711" s="120">
        <v>708</v>
      </c>
      <c r="C711" s="122">
        <v>20605788298</v>
      </c>
      <c r="D711" s="125" t="s">
        <v>388</v>
      </c>
      <c r="E711" s="125" t="s">
        <v>5109</v>
      </c>
      <c r="F711" s="122" t="s">
        <v>30</v>
      </c>
      <c r="G711" s="122" t="s">
        <v>30</v>
      </c>
      <c r="H711" s="122" t="s">
        <v>110</v>
      </c>
      <c r="I711" s="125" t="s">
        <v>1368</v>
      </c>
      <c r="J711" s="129" t="s">
        <v>5113</v>
      </c>
      <c r="K711" s="122" t="s">
        <v>5114</v>
      </c>
      <c r="L711" s="122" t="s">
        <v>5115</v>
      </c>
      <c r="M711" s="133" t="s">
        <v>5112</v>
      </c>
      <c r="N711" s="122" t="s">
        <v>30</v>
      </c>
    </row>
    <row r="712" spans="2:14" s="9" customFormat="1" hidden="1" x14ac:dyDescent="0.25">
      <c r="B712" s="120">
        <v>709</v>
      </c>
      <c r="C712" s="122">
        <v>20605788298</v>
      </c>
      <c r="D712" s="125" t="s">
        <v>388</v>
      </c>
      <c r="E712" s="125" t="s">
        <v>5109</v>
      </c>
      <c r="F712" s="122" t="s">
        <v>30</v>
      </c>
      <c r="G712" s="122" t="s">
        <v>30</v>
      </c>
      <c r="H712" s="122" t="s">
        <v>110</v>
      </c>
      <c r="I712" s="125" t="s">
        <v>1368</v>
      </c>
      <c r="J712" s="129" t="s">
        <v>5110</v>
      </c>
      <c r="K712" s="122" t="s">
        <v>5111</v>
      </c>
      <c r="L712" s="122" t="s">
        <v>42</v>
      </c>
      <c r="M712" s="133" t="s">
        <v>5112</v>
      </c>
      <c r="N712" s="122" t="s">
        <v>30</v>
      </c>
    </row>
    <row r="713" spans="2:14" s="9" customFormat="1" hidden="1" x14ac:dyDescent="0.25">
      <c r="B713" s="120">
        <v>710</v>
      </c>
      <c r="C713" s="122">
        <v>20605334408</v>
      </c>
      <c r="D713" s="125" t="s">
        <v>3654</v>
      </c>
      <c r="E713" s="125" t="s">
        <v>5105</v>
      </c>
      <c r="F713" s="122" t="s">
        <v>30</v>
      </c>
      <c r="G713" s="122" t="s">
        <v>30</v>
      </c>
      <c r="H713" s="122" t="s">
        <v>45</v>
      </c>
      <c r="I713" s="125" t="s">
        <v>1551</v>
      </c>
      <c r="J713" s="129" t="s">
        <v>5106</v>
      </c>
      <c r="K713" s="122" t="s">
        <v>5107</v>
      </c>
      <c r="L713" s="122" t="s">
        <v>57</v>
      </c>
      <c r="M713" s="133" t="s">
        <v>5108</v>
      </c>
      <c r="N713" s="122" t="s">
        <v>30</v>
      </c>
    </row>
    <row r="714" spans="2:14" s="9" customFormat="1" hidden="1" x14ac:dyDescent="0.25">
      <c r="B714" s="120">
        <v>711</v>
      </c>
      <c r="C714" s="122">
        <v>20507070249</v>
      </c>
      <c r="D714" s="125" t="s">
        <v>3564</v>
      </c>
      <c r="E714" s="125" t="s">
        <v>5101</v>
      </c>
      <c r="F714" s="122" t="s">
        <v>67</v>
      </c>
      <c r="G714" s="122" t="s">
        <v>67</v>
      </c>
      <c r="H714" s="122" t="s">
        <v>67</v>
      </c>
      <c r="I714" s="125" t="s">
        <v>1551</v>
      </c>
      <c r="J714" s="129" t="s">
        <v>5102</v>
      </c>
      <c r="K714" s="122" t="s">
        <v>5103</v>
      </c>
      <c r="L714" s="122" t="s">
        <v>42</v>
      </c>
      <c r="M714" s="133" t="s">
        <v>5104</v>
      </c>
      <c r="N714" s="122" t="s">
        <v>30</v>
      </c>
    </row>
    <row r="715" spans="2:14" s="9" customFormat="1" hidden="1" x14ac:dyDescent="0.25">
      <c r="B715" s="120">
        <v>712</v>
      </c>
      <c r="C715" s="122">
        <v>20605320512</v>
      </c>
      <c r="D715" s="125" t="s">
        <v>3582</v>
      </c>
      <c r="E715" s="125" t="s">
        <v>5097</v>
      </c>
      <c r="F715" s="122" t="s">
        <v>30</v>
      </c>
      <c r="G715" s="122" t="s">
        <v>30</v>
      </c>
      <c r="H715" s="122" t="s">
        <v>75</v>
      </c>
      <c r="I715" s="125" t="s">
        <v>1424</v>
      </c>
      <c r="J715" s="129" t="s">
        <v>5099</v>
      </c>
      <c r="K715" s="122" t="s">
        <v>5098</v>
      </c>
      <c r="L715" s="122" t="s">
        <v>36</v>
      </c>
      <c r="M715" s="133" t="s">
        <v>5100</v>
      </c>
      <c r="N715" s="122" t="s">
        <v>30</v>
      </c>
    </row>
    <row r="716" spans="2:14" s="9" customFormat="1" hidden="1" x14ac:dyDescent="0.25">
      <c r="B716" s="120">
        <v>713</v>
      </c>
      <c r="C716" s="122">
        <v>20605239421</v>
      </c>
      <c r="D716" s="125" t="s">
        <v>3624</v>
      </c>
      <c r="E716" s="125" t="s">
        <v>5093</v>
      </c>
      <c r="F716" s="122" t="s">
        <v>30</v>
      </c>
      <c r="G716" s="122" t="s">
        <v>30</v>
      </c>
      <c r="H716" s="122" t="s">
        <v>45</v>
      </c>
      <c r="I716" s="125" t="s">
        <v>1946</v>
      </c>
      <c r="J716" s="129" t="s">
        <v>5094</v>
      </c>
      <c r="K716" s="122" t="s">
        <v>5095</v>
      </c>
      <c r="L716" s="122" t="s">
        <v>42</v>
      </c>
      <c r="M716" s="133" t="s">
        <v>5096</v>
      </c>
      <c r="N716" s="122" t="s">
        <v>30</v>
      </c>
    </row>
    <row r="717" spans="2:14" s="9" customFormat="1" hidden="1" x14ac:dyDescent="0.25">
      <c r="B717" s="120">
        <v>714</v>
      </c>
      <c r="C717" s="122">
        <v>20558004992</v>
      </c>
      <c r="D717" s="125" t="s">
        <v>3532</v>
      </c>
      <c r="E717" s="125" t="s">
        <v>5089</v>
      </c>
      <c r="F717" s="122" t="s">
        <v>30</v>
      </c>
      <c r="G717" s="122" t="s">
        <v>30</v>
      </c>
      <c r="H717" s="122" t="s">
        <v>43</v>
      </c>
      <c r="I717" s="125" t="s">
        <v>1374</v>
      </c>
      <c r="J717" s="129" t="s">
        <v>5090</v>
      </c>
      <c r="K717" s="122" t="s">
        <v>5091</v>
      </c>
      <c r="L717" s="122" t="s">
        <v>42</v>
      </c>
      <c r="M717" s="133" t="s">
        <v>5092</v>
      </c>
      <c r="N717" s="122" t="s">
        <v>30</v>
      </c>
    </row>
    <row r="718" spans="2:14" s="9" customFormat="1" hidden="1" x14ac:dyDescent="0.25">
      <c r="B718" s="120">
        <v>715</v>
      </c>
      <c r="C718" s="122">
        <v>20512770828</v>
      </c>
      <c r="D718" s="125" t="s">
        <v>327</v>
      </c>
      <c r="E718" s="125" t="s">
        <v>328</v>
      </c>
      <c r="F718" s="122" t="s">
        <v>30</v>
      </c>
      <c r="G718" s="122" t="s">
        <v>30</v>
      </c>
      <c r="H718" s="122" t="s">
        <v>35</v>
      </c>
      <c r="I718" s="125" t="s">
        <v>5085</v>
      </c>
      <c r="J718" s="129" t="s">
        <v>5086</v>
      </c>
      <c r="K718" s="122" t="s">
        <v>5087</v>
      </c>
      <c r="L718" s="122" t="s">
        <v>42</v>
      </c>
      <c r="M718" s="133" t="s">
        <v>5088</v>
      </c>
      <c r="N718" s="122" t="s">
        <v>30</v>
      </c>
    </row>
    <row r="719" spans="2:14" s="9" customFormat="1" hidden="1" x14ac:dyDescent="0.25">
      <c r="B719" s="120">
        <v>716</v>
      </c>
      <c r="C719" s="122">
        <v>20491335026</v>
      </c>
      <c r="D719" s="125" t="s">
        <v>3577</v>
      </c>
      <c r="E719" s="125" t="s">
        <v>5081</v>
      </c>
      <c r="F719" s="122" t="s">
        <v>30</v>
      </c>
      <c r="G719" s="122" t="s">
        <v>31</v>
      </c>
      <c r="H719" s="122" t="s">
        <v>139</v>
      </c>
      <c r="I719" s="125" t="s">
        <v>1974</v>
      </c>
      <c r="J719" s="129" t="s">
        <v>5082</v>
      </c>
      <c r="K719" s="122" t="s">
        <v>5083</v>
      </c>
      <c r="L719" s="122" t="s">
        <v>42</v>
      </c>
      <c r="M719" s="133" t="s">
        <v>5084</v>
      </c>
      <c r="N719" s="122" t="s">
        <v>31</v>
      </c>
    </row>
    <row r="720" spans="2:14" s="9" customFormat="1" hidden="1" x14ac:dyDescent="0.25">
      <c r="B720" s="120">
        <v>717</v>
      </c>
      <c r="C720" s="122">
        <v>20510771649</v>
      </c>
      <c r="D720" s="125" t="s">
        <v>332</v>
      </c>
      <c r="E720" s="125" t="s">
        <v>5077</v>
      </c>
      <c r="F720" s="122" t="s">
        <v>30</v>
      </c>
      <c r="G720" s="122" t="s">
        <v>30</v>
      </c>
      <c r="H720" s="122" t="s">
        <v>45</v>
      </c>
      <c r="I720" s="125" t="s">
        <v>1377</v>
      </c>
      <c r="J720" s="129" t="s">
        <v>5078</v>
      </c>
      <c r="K720" s="122" t="s">
        <v>5079</v>
      </c>
      <c r="L720" s="122" t="s">
        <v>42</v>
      </c>
      <c r="M720" s="133" t="s">
        <v>5080</v>
      </c>
      <c r="N720" s="122" t="s">
        <v>30</v>
      </c>
    </row>
    <row r="721" spans="2:14" s="9" customFormat="1" hidden="1" x14ac:dyDescent="0.25">
      <c r="B721" s="120">
        <v>718</v>
      </c>
      <c r="C721" s="122">
        <v>20608531018</v>
      </c>
      <c r="D721" s="125" t="s">
        <v>331</v>
      </c>
      <c r="E721" s="125" t="s">
        <v>5073</v>
      </c>
      <c r="F721" s="122" t="s">
        <v>30</v>
      </c>
      <c r="G721" s="122" t="s">
        <v>30</v>
      </c>
      <c r="H721" s="122" t="s">
        <v>58</v>
      </c>
      <c r="I721" s="125" t="s">
        <v>1967</v>
      </c>
      <c r="J721" s="129" t="s">
        <v>5074</v>
      </c>
      <c r="K721" s="122" t="s">
        <v>5075</v>
      </c>
      <c r="L721" s="122" t="s">
        <v>57</v>
      </c>
      <c r="M721" s="133" t="s">
        <v>5076</v>
      </c>
      <c r="N721" s="122" t="s">
        <v>30</v>
      </c>
    </row>
    <row r="722" spans="2:14" s="9" customFormat="1" hidden="1" x14ac:dyDescent="0.25">
      <c r="B722" s="120">
        <v>719</v>
      </c>
      <c r="C722" s="122">
        <v>20260191765</v>
      </c>
      <c r="D722" s="125" t="s">
        <v>118</v>
      </c>
      <c r="E722" s="125" t="s">
        <v>5069</v>
      </c>
      <c r="F722" s="122" t="s">
        <v>67</v>
      </c>
      <c r="G722" s="122" t="s">
        <v>67</v>
      </c>
      <c r="H722" s="122" t="s">
        <v>67</v>
      </c>
      <c r="I722" s="125" t="s">
        <v>1398</v>
      </c>
      <c r="J722" s="129" t="s">
        <v>5070</v>
      </c>
      <c r="K722" s="122" t="s">
        <v>5071</v>
      </c>
      <c r="L722" s="122" t="s">
        <v>42</v>
      </c>
      <c r="M722" s="133" t="s">
        <v>5072</v>
      </c>
      <c r="N722" s="122" t="s">
        <v>3831</v>
      </c>
    </row>
    <row r="723" spans="2:14" s="9" customFormat="1" hidden="1" x14ac:dyDescent="0.25">
      <c r="B723" s="120">
        <v>720</v>
      </c>
      <c r="C723" s="122">
        <v>20602395767</v>
      </c>
      <c r="D723" s="125" t="s">
        <v>319</v>
      </c>
      <c r="E723" s="125" t="s">
        <v>5065</v>
      </c>
      <c r="F723" s="122" t="s">
        <v>30</v>
      </c>
      <c r="G723" s="122" t="s">
        <v>30</v>
      </c>
      <c r="H723" s="122" t="s">
        <v>58</v>
      </c>
      <c r="I723" s="125" t="s">
        <v>1398</v>
      </c>
      <c r="J723" s="129" t="s">
        <v>5066</v>
      </c>
      <c r="K723" s="122" t="s">
        <v>5067</v>
      </c>
      <c r="L723" s="122" t="s">
        <v>42</v>
      </c>
      <c r="M723" s="133" t="s">
        <v>5068</v>
      </c>
      <c r="N723" s="122" t="s">
        <v>30</v>
      </c>
    </row>
    <row r="724" spans="2:14" s="9" customFormat="1" hidden="1" x14ac:dyDescent="0.25">
      <c r="B724" s="120">
        <v>721</v>
      </c>
      <c r="C724" s="122">
        <v>20604263981</v>
      </c>
      <c r="D724" s="125" t="s">
        <v>5060</v>
      </c>
      <c r="E724" s="125" t="s">
        <v>5061</v>
      </c>
      <c r="F724" s="122" t="s">
        <v>67</v>
      </c>
      <c r="G724" s="122" t="s">
        <v>67</v>
      </c>
      <c r="H724" s="122" t="s">
        <v>81</v>
      </c>
      <c r="I724" s="125" t="s">
        <v>1643</v>
      </c>
      <c r="J724" s="129" t="s">
        <v>5062</v>
      </c>
      <c r="K724" s="122" t="s">
        <v>5063</v>
      </c>
      <c r="L724" s="122" t="s">
        <v>42</v>
      </c>
      <c r="M724" s="133" t="s">
        <v>5064</v>
      </c>
      <c r="N724" s="122" t="s">
        <v>67</v>
      </c>
    </row>
    <row r="725" spans="2:14" s="9" customFormat="1" hidden="1" x14ac:dyDescent="0.25">
      <c r="B725" s="120">
        <v>722</v>
      </c>
      <c r="C725" s="122">
        <v>20550809096</v>
      </c>
      <c r="D725" s="125" t="s">
        <v>3537</v>
      </c>
      <c r="E725" s="125" t="s">
        <v>5056</v>
      </c>
      <c r="F725" s="122" t="s">
        <v>30</v>
      </c>
      <c r="G725" s="122" t="s">
        <v>30</v>
      </c>
      <c r="H725" s="122" t="s">
        <v>75</v>
      </c>
      <c r="I725" s="125" t="s">
        <v>1551</v>
      </c>
      <c r="J725" s="129" t="s">
        <v>5057</v>
      </c>
      <c r="K725" s="122" t="s">
        <v>5058</v>
      </c>
      <c r="L725" s="122" t="s">
        <v>36</v>
      </c>
      <c r="M725" s="133" t="s">
        <v>5059</v>
      </c>
      <c r="N725" s="122" t="s">
        <v>30</v>
      </c>
    </row>
    <row r="726" spans="2:14" s="9" customFormat="1" hidden="1" x14ac:dyDescent="0.25">
      <c r="B726" s="120">
        <v>723</v>
      </c>
      <c r="C726" s="122">
        <v>20605236791</v>
      </c>
      <c r="D726" s="125" t="s">
        <v>3486</v>
      </c>
      <c r="E726" s="125" t="s">
        <v>5053</v>
      </c>
      <c r="F726" s="122" t="s">
        <v>67</v>
      </c>
      <c r="G726" s="122" t="s">
        <v>67</v>
      </c>
      <c r="H726" s="122" t="s">
        <v>94</v>
      </c>
      <c r="I726" s="125" t="s">
        <v>1809</v>
      </c>
      <c r="J726" s="129" t="s">
        <v>8219</v>
      </c>
      <c r="K726" s="122" t="s">
        <v>5054</v>
      </c>
      <c r="L726" s="122" t="s">
        <v>57</v>
      </c>
      <c r="M726" s="133" t="s">
        <v>5055</v>
      </c>
      <c r="N726" s="122" t="s">
        <v>30</v>
      </c>
    </row>
    <row r="727" spans="2:14" s="9" customFormat="1" hidden="1" x14ac:dyDescent="0.25">
      <c r="B727" s="120">
        <v>724</v>
      </c>
      <c r="C727" s="122">
        <v>20392694812</v>
      </c>
      <c r="D727" s="125" t="s">
        <v>323</v>
      </c>
      <c r="E727" s="125" t="s">
        <v>5049</v>
      </c>
      <c r="F727" s="122" t="s">
        <v>30</v>
      </c>
      <c r="G727" s="122" t="s">
        <v>30</v>
      </c>
      <c r="H727" s="122" t="s">
        <v>75</v>
      </c>
      <c r="I727" s="125" t="s">
        <v>1450</v>
      </c>
      <c r="J727" s="129" t="s">
        <v>5050</v>
      </c>
      <c r="K727" s="122" t="s">
        <v>5051</v>
      </c>
      <c r="L727" s="122" t="s">
        <v>42</v>
      </c>
      <c r="M727" s="133" t="s">
        <v>5052</v>
      </c>
      <c r="N727" s="122" t="s">
        <v>30</v>
      </c>
    </row>
    <row r="728" spans="2:14" s="9" customFormat="1" hidden="1" x14ac:dyDescent="0.25">
      <c r="B728" s="120">
        <v>725</v>
      </c>
      <c r="C728" s="122">
        <v>20111901628</v>
      </c>
      <c r="D728" s="125" t="s">
        <v>3646</v>
      </c>
      <c r="E728" s="125" t="s">
        <v>5036</v>
      </c>
      <c r="F728" s="122" t="s">
        <v>67</v>
      </c>
      <c r="G728" s="122" t="s">
        <v>67</v>
      </c>
      <c r="H728" s="122" t="s">
        <v>67</v>
      </c>
      <c r="I728" s="125" t="s">
        <v>1561</v>
      </c>
      <c r="J728" s="129" t="s">
        <v>8187</v>
      </c>
      <c r="K728" s="122" t="s">
        <v>8186</v>
      </c>
      <c r="L728" s="122" t="s">
        <v>209</v>
      </c>
      <c r="M728" s="133" t="s">
        <v>5039</v>
      </c>
      <c r="N728" s="122" t="s">
        <v>30</v>
      </c>
    </row>
    <row r="729" spans="2:14" s="9" customFormat="1" hidden="1" x14ac:dyDescent="0.25">
      <c r="B729" s="120">
        <v>726</v>
      </c>
      <c r="C729" s="122">
        <v>20111901628</v>
      </c>
      <c r="D729" s="125" t="s">
        <v>3646</v>
      </c>
      <c r="E729" s="125" t="s">
        <v>5036</v>
      </c>
      <c r="F729" s="122" t="s">
        <v>67</v>
      </c>
      <c r="G729" s="122" t="s">
        <v>67</v>
      </c>
      <c r="H729" s="122" t="s">
        <v>67</v>
      </c>
      <c r="I729" s="125" t="s">
        <v>1561</v>
      </c>
      <c r="J729" s="129" t="s">
        <v>8188</v>
      </c>
      <c r="K729" s="122" t="s">
        <v>8185</v>
      </c>
      <c r="L729" s="122" t="s">
        <v>209</v>
      </c>
      <c r="M729" s="133" t="s">
        <v>5039</v>
      </c>
      <c r="N729" s="122" t="s">
        <v>30</v>
      </c>
    </row>
    <row r="730" spans="2:14" s="9" customFormat="1" hidden="1" x14ac:dyDescent="0.25">
      <c r="B730" s="120">
        <v>727</v>
      </c>
      <c r="C730" s="122">
        <v>20111901628</v>
      </c>
      <c r="D730" s="125" t="s">
        <v>3646</v>
      </c>
      <c r="E730" s="125" t="s">
        <v>5036</v>
      </c>
      <c r="F730" s="122" t="s">
        <v>67</v>
      </c>
      <c r="G730" s="122" t="s">
        <v>67</v>
      </c>
      <c r="H730" s="122" t="s">
        <v>67</v>
      </c>
      <c r="I730" s="125" t="s">
        <v>1561</v>
      </c>
      <c r="J730" s="129" t="s">
        <v>5047</v>
      </c>
      <c r="K730" s="122" t="s">
        <v>5048</v>
      </c>
      <c r="L730" s="122" t="s">
        <v>209</v>
      </c>
      <c r="M730" s="133" t="s">
        <v>5039</v>
      </c>
      <c r="N730" s="122" t="s">
        <v>30</v>
      </c>
    </row>
    <row r="731" spans="2:14" s="9" customFormat="1" hidden="1" x14ac:dyDescent="0.25">
      <c r="B731" s="120">
        <v>728</v>
      </c>
      <c r="C731" s="122">
        <v>20111901628</v>
      </c>
      <c r="D731" s="125" t="s">
        <v>3646</v>
      </c>
      <c r="E731" s="125" t="s">
        <v>5036</v>
      </c>
      <c r="F731" s="122" t="s">
        <v>67</v>
      </c>
      <c r="G731" s="122" t="s">
        <v>67</v>
      </c>
      <c r="H731" s="122" t="s">
        <v>67</v>
      </c>
      <c r="I731" s="125" t="s">
        <v>1561</v>
      </c>
      <c r="J731" s="129" t="s">
        <v>5045</v>
      </c>
      <c r="K731" s="122" t="s">
        <v>5046</v>
      </c>
      <c r="L731" s="122" t="s">
        <v>42</v>
      </c>
      <c r="M731" s="133" t="s">
        <v>5039</v>
      </c>
      <c r="N731" s="122" t="s">
        <v>30</v>
      </c>
    </row>
    <row r="732" spans="2:14" s="9" customFormat="1" hidden="1" x14ac:dyDescent="0.25">
      <c r="B732" s="120">
        <v>729</v>
      </c>
      <c r="C732" s="122">
        <v>20111901628</v>
      </c>
      <c r="D732" s="125" t="s">
        <v>3646</v>
      </c>
      <c r="E732" s="125" t="s">
        <v>5036</v>
      </c>
      <c r="F732" s="122" t="s">
        <v>67</v>
      </c>
      <c r="G732" s="122" t="s">
        <v>67</v>
      </c>
      <c r="H732" s="122" t="s">
        <v>67</v>
      </c>
      <c r="I732" s="125" t="s">
        <v>1561</v>
      </c>
      <c r="J732" s="129" t="s">
        <v>5043</v>
      </c>
      <c r="K732" s="122" t="s">
        <v>5044</v>
      </c>
      <c r="L732" s="122" t="s">
        <v>209</v>
      </c>
      <c r="M732" s="133" t="s">
        <v>5039</v>
      </c>
      <c r="N732" s="122" t="s">
        <v>30</v>
      </c>
    </row>
    <row r="733" spans="2:14" s="9" customFormat="1" hidden="1" x14ac:dyDescent="0.25">
      <c r="B733" s="120">
        <v>730</v>
      </c>
      <c r="C733" s="122">
        <v>20111901628</v>
      </c>
      <c r="D733" s="125" t="s">
        <v>3646</v>
      </c>
      <c r="E733" s="125" t="s">
        <v>5036</v>
      </c>
      <c r="F733" s="122" t="s">
        <v>67</v>
      </c>
      <c r="G733" s="122" t="s">
        <v>67</v>
      </c>
      <c r="H733" s="122" t="s">
        <v>67</v>
      </c>
      <c r="I733" s="125" t="s">
        <v>1561</v>
      </c>
      <c r="J733" s="129" t="s">
        <v>5040</v>
      </c>
      <c r="K733" s="122" t="s">
        <v>5041</v>
      </c>
      <c r="L733" s="122" t="s">
        <v>5042</v>
      </c>
      <c r="M733" s="133" t="s">
        <v>5039</v>
      </c>
      <c r="N733" s="122" t="s">
        <v>30</v>
      </c>
    </row>
    <row r="734" spans="2:14" s="9" customFormat="1" hidden="1" x14ac:dyDescent="0.25">
      <c r="B734" s="120">
        <v>731</v>
      </c>
      <c r="C734" s="122">
        <v>20111901628</v>
      </c>
      <c r="D734" s="125" t="s">
        <v>3646</v>
      </c>
      <c r="E734" s="125" t="s">
        <v>5036</v>
      </c>
      <c r="F734" s="122" t="s">
        <v>67</v>
      </c>
      <c r="G734" s="122" t="s">
        <v>67</v>
      </c>
      <c r="H734" s="122" t="s">
        <v>67</v>
      </c>
      <c r="I734" s="125" t="s">
        <v>1561</v>
      </c>
      <c r="J734" s="129" t="s">
        <v>5037</v>
      </c>
      <c r="K734" s="122" t="s">
        <v>5038</v>
      </c>
      <c r="L734" s="122" t="s">
        <v>209</v>
      </c>
      <c r="M734" s="133" t="s">
        <v>5039</v>
      </c>
      <c r="N734" s="122" t="s">
        <v>30</v>
      </c>
    </row>
    <row r="735" spans="2:14" s="9" customFormat="1" hidden="1" x14ac:dyDescent="0.25">
      <c r="B735" s="120">
        <v>732</v>
      </c>
      <c r="C735" s="122">
        <v>20100014395</v>
      </c>
      <c r="D735" s="125" t="s">
        <v>355</v>
      </c>
      <c r="E735" s="125" t="s">
        <v>5024</v>
      </c>
      <c r="F735" s="122" t="s">
        <v>67</v>
      </c>
      <c r="G735" s="122" t="s">
        <v>67</v>
      </c>
      <c r="H735" s="122" t="s">
        <v>81</v>
      </c>
      <c r="I735" s="125" t="s">
        <v>1946</v>
      </c>
      <c r="J735" s="129" t="s">
        <v>5034</v>
      </c>
      <c r="K735" s="122" t="s">
        <v>5035</v>
      </c>
      <c r="L735" s="122" t="s">
        <v>209</v>
      </c>
      <c r="M735" s="133" t="s">
        <v>5027</v>
      </c>
      <c r="N735" s="122" t="s">
        <v>67</v>
      </c>
    </row>
    <row r="736" spans="2:14" s="9" customFormat="1" hidden="1" x14ac:dyDescent="0.25">
      <c r="B736" s="120">
        <v>733</v>
      </c>
      <c r="C736" s="122">
        <v>20100014395</v>
      </c>
      <c r="D736" s="125" t="s">
        <v>355</v>
      </c>
      <c r="E736" s="125" t="s">
        <v>5024</v>
      </c>
      <c r="F736" s="122" t="s">
        <v>67</v>
      </c>
      <c r="G736" s="122" t="s">
        <v>67</v>
      </c>
      <c r="H736" s="122" t="s">
        <v>81</v>
      </c>
      <c r="I736" s="125" t="s">
        <v>1946</v>
      </c>
      <c r="J736" s="129" t="s">
        <v>5032</v>
      </c>
      <c r="K736" s="122" t="s">
        <v>5033</v>
      </c>
      <c r="L736" s="122" t="s">
        <v>209</v>
      </c>
      <c r="M736" s="133" t="s">
        <v>5027</v>
      </c>
      <c r="N736" s="122" t="s">
        <v>67</v>
      </c>
    </row>
    <row r="737" spans="2:14" s="9" customFormat="1" hidden="1" x14ac:dyDescent="0.25">
      <c r="B737" s="120">
        <v>734</v>
      </c>
      <c r="C737" s="122">
        <v>20100014395</v>
      </c>
      <c r="D737" s="125" t="s">
        <v>355</v>
      </c>
      <c r="E737" s="125" t="s">
        <v>5024</v>
      </c>
      <c r="F737" s="122" t="s">
        <v>67</v>
      </c>
      <c r="G737" s="122" t="s">
        <v>67</v>
      </c>
      <c r="H737" s="122" t="s">
        <v>81</v>
      </c>
      <c r="I737" s="125" t="s">
        <v>1946</v>
      </c>
      <c r="J737" s="129" t="s">
        <v>5030</v>
      </c>
      <c r="K737" s="122" t="s">
        <v>5031</v>
      </c>
      <c r="L737" s="122" t="s">
        <v>209</v>
      </c>
      <c r="M737" s="133" t="s">
        <v>5027</v>
      </c>
      <c r="N737" s="122" t="s">
        <v>67</v>
      </c>
    </row>
    <row r="738" spans="2:14" s="9" customFormat="1" hidden="1" x14ac:dyDescent="0.25">
      <c r="B738" s="120">
        <v>735</v>
      </c>
      <c r="C738" s="122">
        <v>20100014395</v>
      </c>
      <c r="D738" s="125" t="s">
        <v>355</v>
      </c>
      <c r="E738" s="125" t="s">
        <v>5024</v>
      </c>
      <c r="F738" s="122" t="s">
        <v>67</v>
      </c>
      <c r="G738" s="122" t="s">
        <v>67</v>
      </c>
      <c r="H738" s="122" t="s">
        <v>81</v>
      </c>
      <c r="I738" s="125" t="s">
        <v>1946</v>
      </c>
      <c r="J738" s="129" t="s">
        <v>5028</v>
      </c>
      <c r="K738" s="122" t="s">
        <v>5029</v>
      </c>
      <c r="L738" s="122" t="s">
        <v>42</v>
      </c>
      <c r="M738" s="133" t="s">
        <v>5027</v>
      </c>
      <c r="N738" s="122" t="s">
        <v>67</v>
      </c>
    </row>
    <row r="739" spans="2:14" s="9" customFormat="1" hidden="1" x14ac:dyDescent="0.25">
      <c r="B739" s="120">
        <v>736</v>
      </c>
      <c r="C739" s="122">
        <v>20100014395</v>
      </c>
      <c r="D739" s="125" t="s">
        <v>355</v>
      </c>
      <c r="E739" s="125" t="s">
        <v>5024</v>
      </c>
      <c r="F739" s="122" t="s">
        <v>67</v>
      </c>
      <c r="G739" s="122" t="s">
        <v>67</v>
      </c>
      <c r="H739" s="122" t="s">
        <v>81</v>
      </c>
      <c r="I739" s="125" t="s">
        <v>1946</v>
      </c>
      <c r="J739" s="129" t="s">
        <v>5025</v>
      </c>
      <c r="K739" s="122" t="s">
        <v>5026</v>
      </c>
      <c r="L739" s="122" t="s">
        <v>4322</v>
      </c>
      <c r="M739" s="133" t="s">
        <v>5027</v>
      </c>
      <c r="N739" s="122" t="s">
        <v>67</v>
      </c>
    </row>
    <row r="740" spans="2:14" s="9" customFormat="1" hidden="1" x14ac:dyDescent="0.25">
      <c r="B740" s="120">
        <v>737</v>
      </c>
      <c r="C740" s="122">
        <v>20521969653</v>
      </c>
      <c r="D740" s="125" t="s">
        <v>390</v>
      </c>
      <c r="E740" s="125" t="s">
        <v>5021</v>
      </c>
      <c r="F740" s="122" t="s">
        <v>67</v>
      </c>
      <c r="G740" s="122" t="s">
        <v>67</v>
      </c>
      <c r="H740" s="122" t="s">
        <v>67</v>
      </c>
      <c r="I740" s="125" t="s">
        <v>1387</v>
      </c>
      <c r="J740" s="129" t="s">
        <v>5022</v>
      </c>
      <c r="K740" s="122" t="s">
        <v>5023</v>
      </c>
      <c r="L740" s="122" t="s">
        <v>42</v>
      </c>
      <c r="M740" s="133" t="s">
        <v>845</v>
      </c>
      <c r="N740" s="122" t="s">
        <v>845</v>
      </c>
    </row>
    <row r="741" spans="2:14" s="9" customFormat="1" hidden="1" x14ac:dyDescent="0.25">
      <c r="B741" s="120">
        <v>738</v>
      </c>
      <c r="C741" s="122">
        <v>20531014708</v>
      </c>
      <c r="D741" s="125" t="s">
        <v>5014</v>
      </c>
      <c r="E741" s="125" t="s">
        <v>5015</v>
      </c>
      <c r="F741" s="122" t="s">
        <v>30</v>
      </c>
      <c r="G741" s="122" t="s">
        <v>30</v>
      </c>
      <c r="H741" s="122" t="s">
        <v>35</v>
      </c>
      <c r="I741" s="125" t="s">
        <v>5016</v>
      </c>
      <c r="J741" s="129" t="s">
        <v>5017</v>
      </c>
      <c r="K741" s="122" t="s">
        <v>5018</v>
      </c>
      <c r="L741" s="122" t="s">
        <v>42</v>
      </c>
      <c r="M741" s="133" t="s">
        <v>5019</v>
      </c>
      <c r="N741" s="122" t="s">
        <v>5020</v>
      </c>
    </row>
    <row r="742" spans="2:14" s="9" customFormat="1" hidden="1" x14ac:dyDescent="0.25">
      <c r="B742" s="120">
        <v>739</v>
      </c>
      <c r="C742" s="122">
        <v>20602078672</v>
      </c>
      <c r="D742" s="125" t="s">
        <v>5003</v>
      </c>
      <c r="E742" s="125" t="s">
        <v>5004</v>
      </c>
      <c r="F742" s="122" t="s">
        <v>67</v>
      </c>
      <c r="G742" s="122" t="s">
        <v>67</v>
      </c>
      <c r="H742" s="122" t="s">
        <v>67</v>
      </c>
      <c r="I742" s="125" t="s">
        <v>1365</v>
      </c>
      <c r="J742" s="129" t="s">
        <v>5012</v>
      </c>
      <c r="K742" s="122" t="s">
        <v>5013</v>
      </c>
      <c r="L742" s="122" t="s">
        <v>209</v>
      </c>
      <c r="M742" s="133" t="s">
        <v>5007</v>
      </c>
      <c r="N742" s="122" t="s">
        <v>30</v>
      </c>
    </row>
    <row r="743" spans="2:14" s="9" customFormat="1" hidden="1" x14ac:dyDescent="0.25">
      <c r="B743" s="120">
        <v>740</v>
      </c>
      <c r="C743" s="122">
        <v>20602078672</v>
      </c>
      <c r="D743" s="125" t="s">
        <v>5003</v>
      </c>
      <c r="E743" s="125" t="s">
        <v>5004</v>
      </c>
      <c r="F743" s="122" t="s">
        <v>67</v>
      </c>
      <c r="G743" s="122" t="s">
        <v>67</v>
      </c>
      <c r="H743" s="122" t="s">
        <v>67</v>
      </c>
      <c r="I743" s="125" t="s">
        <v>1365</v>
      </c>
      <c r="J743" s="129" t="s">
        <v>5010</v>
      </c>
      <c r="K743" s="122" t="s">
        <v>5011</v>
      </c>
      <c r="L743" s="122" t="s">
        <v>209</v>
      </c>
      <c r="M743" s="133" t="s">
        <v>5007</v>
      </c>
      <c r="N743" s="122" t="s">
        <v>30</v>
      </c>
    </row>
    <row r="744" spans="2:14" s="9" customFormat="1" hidden="1" x14ac:dyDescent="0.25">
      <c r="B744" s="120">
        <v>741</v>
      </c>
      <c r="C744" s="122">
        <v>20602078672</v>
      </c>
      <c r="D744" s="125" t="s">
        <v>5003</v>
      </c>
      <c r="E744" s="125" t="s">
        <v>5004</v>
      </c>
      <c r="F744" s="122" t="s">
        <v>67</v>
      </c>
      <c r="G744" s="122" t="s">
        <v>67</v>
      </c>
      <c r="H744" s="122" t="s">
        <v>67</v>
      </c>
      <c r="I744" s="125" t="s">
        <v>1365</v>
      </c>
      <c r="J744" s="129" t="s">
        <v>8067</v>
      </c>
      <c r="K744" s="122" t="s">
        <v>8066</v>
      </c>
      <c r="L744" s="122" t="s">
        <v>209</v>
      </c>
      <c r="M744" s="133" t="s">
        <v>5007</v>
      </c>
      <c r="N744" s="122" t="s">
        <v>30</v>
      </c>
    </row>
    <row r="745" spans="2:14" s="9" customFormat="1" hidden="1" x14ac:dyDescent="0.25">
      <c r="B745" s="120">
        <v>742</v>
      </c>
      <c r="C745" s="122">
        <v>20602078672</v>
      </c>
      <c r="D745" s="125" t="s">
        <v>5003</v>
      </c>
      <c r="E745" s="125" t="s">
        <v>5004</v>
      </c>
      <c r="F745" s="122" t="s">
        <v>67</v>
      </c>
      <c r="G745" s="122" t="s">
        <v>67</v>
      </c>
      <c r="H745" s="122" t="s">
        <v>67</v>
      </c>
      <c r="I745" s="125" t="s">
        <v>1365</v>
      </c>
      <c r="J745" s="129" t="s">
        <v>5008</v>
      </c>
      <c r="K745" s="122" t="s">
        <v>5009</v>
      </c>
      <c r="L745" s="122" t="s">
        <v>209</v>
      </c>
      <c r="M745" s="133" t="s">
        <v>5007</v>
      </c>
      <c r="N745" s="122" t="s">
        <v>30</v>
      </c>
    </row>
    <row r="746" spans="2:14" s="9" customFormat="1" hidden="1" x14ac:dyDescent="0.25">
      <c r="B746" s="120">
        <v>743</v>
      </c>
      <c r="C746" s="122">
        <v>20602078672</v>
      </c>
      <c r="D746" s="125" t="s">
        <v>5003</v>
      </c>
      <c r="E746" s="125" t="s">
        <v>5004</v>
      </c>
      <c r="F746" s="122" t="s">
        <v>67</v>
      </c>
      <c r="G746" s="122" t="s">
        <v>67</v>
      </c>
      <c r="H746" s="122" t="s">
        <v>67</v>
      </c>
      <c r="I746" s="125" t="s">
        <v>1365</v>
      </c>
      <c r="J746" s="129" t="s">
        <v>5005</v>
      </c>
      <c r="K746" s="122" t="s">
        <v>5006</v>
      </c>
      <c r="L746" s="122" t="s">
        <v>42</v>
      </c>
      <c r="M746" s="133" t="s">
        <v>5007</v>
      </c>
      <c r="N746" s="122" t="s">
        <v>30</v>
      </c>
    </row>
    <row r="747" spans="2:14" s="9" customFormat="1" hidden="1" x14ac:dyDescent="0.25">
      <c r="B747" s="120">
        <v>744</v>
      </c>
      <c r="C747" s="122">
        <v>20536784081</v>
      </c>
      <c r="D747" s="125" t="s">
        <v>1097</v>
      </c>
      <c r="E747" s="125" t="s">
        <v>4999</v>
      </c>
      <c r="F747" s="122" t="s">
        <v>30</v>
      </c>
      <c r="G747" s="122" t="s">
        <v>30</v>
      </c>
      <c r="H747" s="122" t="s">
        <v>51</v>
      </c>
      <c r="I747" s="125" t="s">
        <v>1551</v>
      </c>
      <c r="J747" s="129" t="s">
        <v>8175</v>
      </c>
      <c r="K747" s="122" t="s">
        <v>5002</v>
      </c>
      <c r="L747" s="122" t="s">
        <v>209</v>
      </c>
      <c r="M747" s="133" t="s">
        <v>5001</v>
      </c>
      <c r="N747" s="122" t="s">
        <v>30</v>
      </c>
    </row>
    <row r="748" spans="2:14" s="9" customFormat="1" hidden="1" x14ac:dyDescent="0.25">
      <c r="B748" s="120">
        <v>745</v>
      </c>
      <c r="C748" s="122">
        <v>20536784081</v>
      </c>
      <c r="D748" s="125" t="s">
        <v>1097</v>
      </c>
      <c r="E748" s="125" t="s">
        <v>4999</v>
      </c>
      <c r="F748" s="122" t="s">
        <v>30</v>
      </c>
      <c r="G748" s="122" t="s">
        <v>30</v>
      </c>
      <c r="H748" s="122" t="s">
        <v>51</v>
      </c>
      <c r="I748" s="125" t="s">
        <v>1551</v>
      </c>
      <c r="J748" s="129" t="s">
        <v>8176</v>
      </c>
      <c r="K748" s="122" t="s">
        <v>5000</v>
      </c>
      <c r="L748" s="122" t="s">
        <v>42</v>
      </c>
      <c r="M748" s="133" t="s">
        <v>5001</v>
      </c>
      <c r="N748" s="122" t="s">
        <v>30</v>
      </c>
    </row>
    <row r="749" spans="2:14" s="9" customFormat="1" hidden="1" x14ac:dyDescent="0.25">
      <c r="B749" s="120">
        <v>746</v>
      </c>
      <c r="C749" s="122">
        <v>20566603994</v>
      </c>
      <c r="D749" s="125" t="s">
        <v>3542</v>
      </c>
      <c r="E749" s="125" t="s">
        <v>4995</v>
      </c>
      <c r="F749" s="122" t="s">
        <v>30</v>
      </c>
      <c r="G749" s="122" t="s">
        <v>30</v>
      </c>
      <c r="H749" s="122" t="s">
        <v>152</v>
      </c>
      <c r="I749" s="125" t="s">
        <v>1450</v>
      </c>
      <c r="J749" s="129" t="s">
        <v>4996</v>
      </c>
      <c r="K749" s="122" t="s">
        <v>4997</v>
      </c>
      <c r="L749" s="122" t="s">
        <v>42</v>
      </c>
      <c r="M749" s="133" t="s">
        <v>4998</v>
      </c>
      <c r="N749" s="122" t="s">
        <v>30</v>
      </c>
    </row>
    <row r="750" spans="2:14" s="9" customFormat="1" hidden="1" x14ac:dyDescent="0.25">
      <c r="B750" s="120">
        <v>747</v>
      </c>
      <c r="C750" s="122">
        <v>20538347524</v>
      </c>
      <c r="D750" s="125" t="s">
        <v>3568</v>
      </c>
      <c r="E750" s="125" t="s">
        <v>4989</v>
      </c>
      <c r="F750" s="122" t="s">
        <v>30</v>
      </c>
      <c r="G750" s="122" t="s">
        <v>30</v>
      </c>
      <c r="H750" s="122" t="s">
        <v>72</v>
      </c>
      <c r="I750" s="125" t="s">
        <v>1561</v>
      </c>
      <c r="J750" s="129" t="s">
        <v>4993</v>
      </c>
      <c r="K750" s="122" t="s">
        <v>4994</v>
      </c>
      <c r="L750" s="122" t="s">
        <v>4438</v>
      </c>
      <c r="M750" s="133" t="s">
        <v>4992</v>
      </c>
      <c r="N750" s="122" t="s">
        <v>30</v>
      </c>
    </row>
    <row r="751" spans="2:14" s="9" customFormat="1" hidden="1" x14ac:dyDescent="0.25">
      <c r="B751" s="120">
        <v>748</v>
      </c>
      <c r="C751" s="122">
        <v>20538347524</v>
      </c>
      <c r="D751" s="125" t="s">
        <v>3568</v>
      </c>
      <c r="E751" s="125" t="s">
        <v>4989</v>
      </c>
      <c r="F751" s="122" t="s">
        <v>30</v>
      </c>
      <c r="G751" s="122" t="s">
        <v>30</v>
      </c>
      <c r="H751" s="122" t="s">
        <v>72</v>
      </c>
      <c r="I751" s="125" t="s">
        <v>1561</v>
      </c>
      <c r="J751" s="129" t="s">
        <v>4990</v>
      </c>
      <c r="K751" s="122" t="s">
        <v>4991</v>
      </c>
      <c r="L751" s="122" t="s">
        <v>42</v>
      </c>
      <c r="M751" s="133" t="s">
        <v>4992</v>
      </c>
      <c r="N751" s="122" t="s">
        <v>30</v>
      </c>
    </row>
    <row r="752" spans="2:14" s="9" customFormat="1" hidden="1" x14ac:dyDescent="0.25">
      <c r="B752" s="120">
        <v>749</v>
      </c>
      <c r="C752" s="122">
        <v>20549751807</v>
      </c>
      <c r="D752" s="125" t="s">
        <v>3622</v>
      </c>
      <c r="E752" s="125" t="s">
        <v>4985</v>
      </c>
      <c r="F752" s="122" t="s">
        <v>30</v>
      </c>
      <c r="G752" s="122" t="s">
        <v>30</v>
      </c>
      <c r="H752" s="122" t="s">
        <v>75</v>
      </c>
      <c r="I752" s="125" t="s">
        <v>1970</v>
      </c>
      <c r="J752" s="129" t="s">
        <v>4986</v>
      </c>
      <c r="K752" s="122" t="s">
        <v>4987</v>
      </c>
      <c r="L752" s="122" t="s">
        <v>42</v>
      </c>
      <c r="M752" s="133" t="s">
        <v>4988</v>
      </c>
      <c r="N752" s="122" t="s">
        <v>30</v>
      </c>
    </row>
    <row r="753" spans="2:14" s="9" customFormat="1" hidden="1" x14ac:dyDescent="0.25">
      <c r="B753" s="120">
        <v>750</v>
      </c>
      <c r="C753" s="122">
        <v>20507198555</v>
      </c>
      <c r="D753" s="125" t="s">
        <v>4979</v>
      </c>
      <c r="E753" s="125" t="s">
        <v>4980</v>
      </c>
      <c r="F753" s="122" t="s">
        <v>30</v>
      </c>
      <c r="G753" s="122" t="s">
        <v>30</v>
      </c>
      <c r="H753" s="122" t="s">
        <v>74</v>
      </c>
      <c r="I753" s="125" t="s">
        <v>4981</v>
      </c>
      <c r="J753" s="129" t="s">
        <v>4982</v>
      </c>
      <c r="K753" s="122" t="s">
        <v>4983</v>
      </c>
      <c r="L753" s="122" t="s">
        <v>42</v>
      </c>
      <c r="M753" s="133" t="s">
        <v>4984</v>
      </c>
      <c r="N753" s="122" t="s">
        <v>30</v>
      </c>
    </row>
    <row r="754" spans="2:14" s="9" customFormat="1" hidden="1" x14ac:dyDescent="0.25">
      <c r="B754" s="120">
        <v>751</v>
      </c>
      <c r="C754" s="122">
        <v>20379331042</v>
      </c>
      <c r="D754" s="125" t="s">
        <v>3630</v>
      </c>
      <c r="E754" s="125" t="s">
        <v>4962</v>
      </c>
      <c r="F754" s="122" t="s">
        <v>30</v>
      </c>
      <c r="G754" s="122" t="s">
        <v>30</v>
      </c>
      <c r="H754" s="122" t="s">
        <v>30</v>
      </c>
      <c r="I754" s="125" t="s">
        <v>4963</v>
      </c>
      <c r="J754" s="129" t="s">
        <v>4977</v>
      </c>
      <c r="K754" s="122" t="s">
        <v>4978</v>
      </c>
      <c r="L754" s="122" t="s">
        <v>119</v>
      </c>
      <c r="M754" s="133" t="s">
        <v>4966</v>
      </c>
      <c r="N754" s="122" t="s">
        <v>30</v>
      </c>
    </row>
    <row r="755" spans="2:14" s="9" customFormat="1" hidden="1" x14ac:dyDescent="0.25">
      <c r="B755" s="120">
        <v>752</v>
      </c>
      <c r="C755" s="122">
        <v>20379331042</v>
      </c>
      <c r="D755" s="125" t="s">
        <v>3630</v>
      </c>
      <c r="E755" s="125" t="s">
        <v>4962</v>
      </c>
      <c r="F755" s="122" t="s">
        <v>30</v>
      </c>
      <c r="G755" s="122" t="s">
        <v>30</v>
      </c>
      <c r="H755" s="122" t="s">
        <v>30</v>
      </c>
      <c r="I755" s="125" t="s">
        <v>4963</v>
      </c>
      <c r="J755" s="129" t="s">
        <v>4975</v>
      </c>
      <c r="K755" s="122" t="s">
        <v>4976</v>
      </c>
      <c r="L755" s="122" t="s">
        <v>4969</v>
      </c>
      <c r="M755" s="133" t="s">
        <v>4966</v>
      </c>
      <c r="N755" s="122" t="s">
        <v>30</v>
      </c>
    </row>
    <row r="756" spans="2:14" s="9" customFormat="1" hidden="1" x14ac:dyDescent="0.25">
      <c r="B756" s="120">
        <v>753</v>
      </c>
      <c r="C756" s="122">
        <v>20379331042</v>
      </c>
      <c r="D756" s="125" t="s">
        <v>3630</v>
      </c>
      <c r="E756" s="125" t="s">
        <v>4962</v>
      </c>
      <c r="F756" s="122" t="s">
        <v>30</v>
      </c>
      <c r="G756" s="122" t="s">
        <v>30</v>
      </c>
      <c r="H756" s="122" t="s">
        <v>30</v>
      </c>
      <c r="I756" s="125" t="s">
        <v>4963</v>
      </c>
      <c r="J756" s="129" t="s">
        <v>4973</v>
      </c>
      <c r="K756" s="122" t="s">
        <v>4974</v>
      </c>
      <c r="L756" s="122" t="s">
        <v>4969</v>
      </c>
      <c r="M756" s="133" t="s">
        <v>4966</v>
      </c>
      <c r="N756" s="122" t="s">
        <v>30</v>
      </c>
    </row>
    <row r="757" spans="2:14" s="9" customFormat="1" hidden="1" x14ac:dyDescent="0.25">
      <c r="B757" s="120">
        <v>754</v>
      </c>
      <c r="C757" s="122">
        <v>20379331042</v>
      </c>
      <c r="D757" s="125" t="s">
        <v>3630</v>
      </c>
      <c r="E757" s="125" t="s">
        <v>4962</v>
      </c>
      <c r="F757" s="122" t="s">
        <v>30</v>
      </c>
      <c r="G757" s="122" t="s">
        <v>30</v>
      </c>
      <c r="H757" s="122" t="s">
        <v>30</v>
      </c>
      <c r="I757" s="125" t="s">
        <v>4963</v>
      </c>
      <c r="J757" s="129" t="s">
        <v>4970</v>
      </c>
      <c r="K757" s="122" t="s">
        <v>4971</v>
      </c>
      <c r="L757" s="122" t="s">
        <v>4972</v>
      </c>
      <c r="M757" s="133" t="s">
        <v>4966</v>
      </c>
      <c r="N757" s="122" t="s">
        <v>30</v>
      </c>
    </row>
    <row r="758" spans="2:14" s="9" customFormat="1" hidden="1" x14ac:dyDescent="0.25">
      <c r="B758" s="120">
        <v>755</v>
      </c>
      <c r="C758" s="122">
        <v>20379331042</v>
      </c>
      <c r="D758" s="125" t="s">
        <v>3630</v>
      </c>
      <c r="E758" s="125" t="s">
        <v>4962</v>
      </c>
      <c r="F758" s="122" t="s">
        <v>30</v>
      </c>
      <c r="G758" s="122" t="s">
        <v>30</v>
      </c>
      <c r="H758" s="122" t="s">
        <v>30</v>
      </c>
      <c r="I758" s="125" t="s">
        <v>4963</v>
      </c>
      <c r="J758" s="129" t="s">
        <v>4967</v>
      </c>
      <c r="K758" s="122" t="s">
        <v>4968</v>
      </c>
      <c r="L758" s="122" t="s">
        <v>4969</v>
      </c>
      <c r="M758" s="133" t="s">
        <v>4966</v>
      </c>
      <c r="N758" s="122" t="s">
        <v>30</v>
      </c>
    </row>
    <row r="759" spans="2:14" s="9" customFormat="1" hidden="1" x14ac:dyDescent="0.25">
      <c r="B759" s="120">
        <v>756</v>
      </c>
      <c r="C759" s="122">
        <v>20379331042</v>
      </c>
      <c r="D759" s="125" t="s">
        <v>3630</v>
      </c>
      <c r="E759" s="125" t="s">
        <v>4962</v>
      </c>
      <c r="F759" s="122" t="s">
        <v>30</v>
      </c>
      <c r="G759" s="122" t="s">
        <v>30</v>
      </c>
      <c r="H759" s="122" t="s">
        <v>30</v>
      </c>
      <c r="I759" s="125" t="s">
        <v>4963</v>
      </c>
      <c r="J759" s="129" t="s">
        <v>4964</v>
      </c>
      <c r="K759" s="122" t="s">
        <v>4965</v>
      </c>
      <c r="L759" s="122" t="s">
        <v>119</v>
      </c>
      <c r="M759" s="133" t="s">
        <v>4966</v>
      </c>
      <c r="N759" s="122" t="s">
        <v>30</v>
      </c>
    </row>
    <row r="760" spans="2:14" s="9" customFormat="1" hidden="1" x14ac:dyDescent="0.25">
      <c r="B760" s="120">
        <v>757</v>
      </c>
      <c r="C760" s="122">
        <v>20503062918</v>
      </c>
      <c r="D760" s="125" t="s">
        <v>330</v>
      </c>
      <c r="E760" s="125" t="s">
        <v>4959</v>
      </c>
      <c r="F760" s="122" t="s">
        <v>30</v>
      </c>
      <c r="G760" s="122" t="s">
        <v>30</v>
      </c>
      <c r="H760" s="122" t="s">
        <v>110</v>
      </c>
      <c r="I760" s="125" t="s">
        <v>1424</v>
      </c>
      <c r="J760" s="129" t="s">
        <v>8171</v>
      </c>
      <c r="K760" s="122" t="s">
        <v>4960</v>
      </c>
      <c r="L760" s="122" t="s">
        <v>42</v>
      </c>
      <c r="M760" s="133" t="s">
        <v>4961</v>
      </c>
      <c r="N760" s="122" t="s">
        <v>30</v>
      </c>
    </row>
    <row r="761" spans="2:14" s="9" customFormat="1" hidden="1" x14ac:dyDescent="0.25">
      <c r="B761" s="120">
        <v>758</v>
      </c>
      <c r="C761" s="122">
        <v>20392520075</v>
      </c>
      <c r="D761" s="125" t="s">
        <v>3613</v>
      </c>
      <c r="E761" s="125" t="s">
        <v>4956</v>
      </c>
      <c r="F761" s="122" t="s">
        <v>30</v>
      </c>
      <c r="G761" s="122" t="s">
        <v>30</v>
      </c>
      <c r="H761" s="122" t="s">
        <v>47</v>
      </c>
      <c r="I761" s="125" t="s">
        <v>1950</v>
      </c>
      <c r="J761" s="129" t="s">
        <v>8170</v>
      </c>
      <c r="K761" s="122" t="s">
        <v>4957</v>
      </c>
      <c r="L761" s="122" t="s">
        <v>42</v>
      </c>
      <c r="M761" s="133" t="s">
        <v>4958</v>
      </c>
      <c r="N761" s="122" t="s">
        <v>30</v>
      </c>
    </row>
    <row r="762" spans="2:14" s="9" customFormat="1" hidden="1" x14ac:dyDescent="0.25">
      <c r="B762" s="120">
        <v>759</v>
      </c>
      <c r="C762" s="122">
        <v>20122742114</v>
      </c>
      <c r="D762" s="125" t="s">
        <v>4682</v>
      </c>
      <c r="E762" s="125" t="s">
        <v>4683</v>
      </c>
      <c r="F762" s="122" t="s">
        <v>67</v>
      </c>
      <c r="G762" s="122" t="s">
        <v>67</v>
      </c>
      <c r="H762" s="122" t="s">
        <v>67</v>
      </c>
      <c r="I762" s="125" t="s">
        <v>2123</v>
      </c>
      <c r="J762" s="129" t="s">
        <v>4954</v>
      </c>
      <c r="K762" s="122" t="s">
        <v>4955</v>
      </c>
      <c r="L762" s="122" t="s">
        <v>119</v>
      </c>
      <c r="M762" s="133" t="s">
        <v>4951</v>
      </c>
      <c r="N762" s="122" t="s">
        <v>30</v>
      </c>
    </row>
    <row r="763" spans="2:14" s="9" customFormat="1" hidden="1" x14ac:dyDescent="0.25">
      <c r="B763" s="120">
        <v>760</v>
      </c>
      <c r="C763" s="122">
        <v>20122742114</v>
      </c>
      <c r="D763" s="125" t="s">
        <v>4682</v>
      </c>
      <c r="E763" s="125" t="s">
        <v>4683</v>
      </c>
      <c r="F763" s="122" t="s">
        <v>67</v>
      </c>
      <c r="G763" s="122" t="s">
        <v>67</v>
      </c>
      <c r="H763" s="122" t="s">
        <v>67</v>
      </c>
      <c r="I763" s="125" t="s">
        <v>2123</v>
      </c>
      <c r="J763" s="129" t="s">
        <v>4952</v>
      </c>
      <c r="K763" s="122" t="s">
        <v>4953</v>
      </c>
      <c r="L763" s="122" t="s">
        <v>119</v>
      </c>
      <c r="M763" s="133" t="s">
        <v>4951</v>
      </c>
      <c r="N763" s="122" t="s">
        <v>30</v>
      </c>
    </row>
    <row r="764" spans="2:14" s="9" customFormat="1" hidden="1" x14ac:dyDescent="0.25">
      <c r="B764" s="120">
        <v>761</v>
      </c>
      <c r="C764" s="122">
        <v>20122742114</v>
      </c>
      <c r="D764" s="125" t="s">
        <v>4682</v>
      </c>
      <c r="E764" s="125" t="s">
        <v>4683</v>
      </c>
      <c r="F764" s="122" t="s">
        <v>67</v>
      </c>
      <c r="G764" s="122" t="s">
        <v>67</v>
      </c>
      <c r="H764" s="122" t="s">
        <v>67</v>
      </c>
      <c r="I764" s="125" t="s">
        <v>2123</v>
      </c>
      <c r="J764" s="129" t="s">
        <v>4949</v>
      </c>
      <c r="K764" s="122" t="s">
        <v>4950</v>
      </c>
      <c r="L764" s="122" t="s">
        <v>42</v>
      </c>
      <c r="M764" s="133" t="s">
        <v>4951</v>
      </c>
      <c r="N764" s="122" t="s">
        <v>30</v>
      </c>
    </row>
    <row r="765" spans="2:14" s="9" customFormat="1" hidden="1" x14ac:dyDescent="0.25">
      <c r="B765" s="120">
        <v>762</v>
      </c>
      <c r="C765" s="122">
        <v>20610349308</v>
      </c>
      <c r="D765" s="125" t="s">
        <v>3667</v>
      </c>
      <c r="E765" s="125" t="s">
        <v>4946</v>
      </c>
      <c r="F765" s="122" t="s">
        <v>30</v>
      </c>
      <c r="G765" s="122" t="s">
        <v>30</v>
      </c>
      <c r="H765" s="122" t="s">
        <v>40</v>
      </c>
      <c r="I765" s="125" t="s">
        <v>3447</v>
      </c>
      <c r="J765" s="129" t="s">
        <v>8094</v>
      </c>
      <c r="K765" s="122" t="s">
        <v>4947</v>
      </c>
      <c r="L765" s="122" t="s">
        <v>42</v>
      </c>
      <c r="M765" s="133" t="s">
        <v>4948</v>
      </c>
      <c r="N765" s="122" t="s">
        <v>30</v>
      </c>
    </row>
    <row r="766" spans="2:14" s="9" customFormat="1" hidden="1" x14ac:dyDescent="0.25">
      <c r="B766" s="120">
        <v>763</v>
      </c>
      <c r="C766" s="122">
        <v>20100003512</v>
      </c>
      <c r="D766" s="125" t="s">
        <v>4936</v>
      </c>
      <c r="E766" s="125" t="s">
        <v>4937</v>
      </c>
      <c r="F766" s="122" t="s">
        <v>67</v>
      </c>
      <c r="G766" s="122" t="s">
        <v>67</v>
      </c>
      <c r="H766" s="122" t="s">
        <v>67</v>
      </c>
      <c r="I766" s="125" t="s">
        <v>1937</v>
      </c>
      <c r="J766" s="129" t="s">
        <v>8093</v>
      </c>
      <c r="K766" s="122" t="s">
        <v>4945</v>
      </c>
      <c r="L766" s="122" t="s">
        <v>1546</v>
      </c>
      <c r="M766" s="133" t="s">
        <v>4940</v>
      </c>
      <c r="N766" s="122" t="s">
        <v>30</v>
      </c>
    </row>
    <row r="767" spans="2:14" s="9" customFormat="1" hidden="1" x14ac:dyDescent="0.25">
      <c r="B767" s="120">
        <v>764</v>
      </c>
      <c r="C767" s="122">
        <v>20100003512</v>
      </c>
      <c r="D767" s="125" t="s">
        <v>4936</v>
      </c>
      <c r="E767" s="125" t="s">
        <v>4937</v>
      </c>
      <c r="F767" s="122" t="s">
        <v>67</v>
      </c>
      <c r="G767" s="122" t="s">
        <v>67</v>
      </c>
      <c r="H767" s="122" t="s">
        <v>67</v>
      </c>
      <c r="I767" s="125" t="s">
        <v>1937</v>
      </c>
      <c r="J767" s="129" t="s">
        <v>4943</v>
      </c>
      <c r="K767" s="122" t="s">
        <v>4944</v>
      </c>
      <c r="L767" s="122" t="s">
        <v>209</v>
      </c>
      <c r="M767" s="133" t="s">
        <v>4940</v>
      </c>
      <c r="N767" s="122" t="s">
        <v>30</v>
      </c>
    </row>
    <row r="768" spans="2:14" s="9" customFormat="1" hidden="1" x14ac:dyDescent="0.25">
      <c r="B768" s="120">
        <v>765</v>
      </c>
      <c r="C768" s="122">
        <v>20100003512</v>
      </c>
      <c r="D768" s="125" t="s">
        <v>4936</v>
      </c>
      <c r="E768" s="125" t="s">
        <v>4937</v>
      </c>
      <c r="F768" s="122" t="s">
        <v>67</v>
      </c>
      <c r="G768" s="122" t="s">
        <v>67</v>
      </c>
      <c r="H768" s="122" t="s">
        <v>67</v>
      </c>
      <c r="I768" s="125" t="s">
        <v>1937</v>
      </c>
      <c r="J768" s="129" t="s">
        <v>4941</v>
      </c>
      <c r="K768" s="122" t="s">
        <v>4942</v>
      </c>
      <c r="L768" s="122" t="s">
        <v>42</v>
      </c>
      <c r="M768" s="133" t="s">
        <v>4940</v>
      </c>
      <c r="N768" s="122" t="s">
        <v>30</v>
      </c>
    </row>
    <row r="769" spans="2:14" s="9" customFormat="1" hidden="1" x14ac:dyDescent="0.25">
      <c r="B769" s="120">
        <v>766</v>
      </c>
      <c r="C769" s="122">
        <v>20100003512</v>
      </c>
      <c r="D769" s="125" t="s">
        <v>4936</v>
      </c>
      <c r="E769" s="125" t="s">
        <v>4937</v>
      </c>
      <c r="F769" s="122" t="s">
        <v>67</v>
      </c>
      <c r="G769" s="122" t="s">
        <v>67</v>
      </c>
      <c r="H769" s="122" t="s">
        <v>67</v>
      </c>
      <c r="I769" s="125" t="s">
        <v>1937</v>
      </c>
      <c r="J769" s="129" t="s">
        <v>4938</v>
      </c>
      <c r="K769" s="122" t="s">
        <v>4939</v>
      </c>
      <c r="L769" s="122" t="s">
        <v>1665</v>
      </c>
      <c r="M769" s="133" t="s">
        <v>4940</v>
      </c>
      <c r="N769" s="122" t="s">
        <v>30</v>
      </c>
    </row>
    <row r="770" spans="2:14" s="9" customFormat="1" hidden="1" x14ac:dyDescent="0.25">
      <c r="B770" s="120">
        <v>767</v>
      </c>
      <c r="C770" s="122">
        <v>20557050389</v>
      </c>
      <c r="D770" s="125" t="s">
        <v>3511</v>
      </c>
      <c r="E770" s="125" t="s">
        <v>4933</v>
      </c>
      <c r="F770" s="122" t="s">
        <v>30</v>
      </c>
      <c r="G770" s="122" t="s">
        <v>30</v>
      </c>
      <c r="H770" s="122" t="s">
        <v>43</v>
      </c>
      <c r="I770" s="125" t="s">
        <v>1377</v>
      </c>
      <c r="J770" s="129" t="s">
        <v>8154</v>
      </c>
      <c r="K770" s="122" t="s">
        <v>4934</v>
      </c>
      <c r="L770" s="122" t="s">
        <v>42</v>
      </c>
      <c r="M770" s="133" t="s">
        <v>4935</v>
      </c>
      <c r="N770" s="122" t="s">
        <v>30</v>
      </c>
    </row>
    <row r="771" spans="2:14" s="9" customFormat="1" hidden="1" x14ac:dyDescent="0.25">
      <c r="B771" s="120">
        <v>768</v>
      </c>
      <c r="C771" s="122">
        <v>20603725761</v>
      </c>
      <c r="D771" s="125" t="s">
        <v>3570</v>
      </c>
      <c r="E771" s="125" t="s">
        <v>4930</v>
      </c>
      <c r="F771" s="122" t="s">
        <v>30</v>
      </c>
      <c r="G771" s="122" t="s">
        <v>30</v>
      </c>
      <c r="H771" s="122" t="s">
        <v>86</v>
      </c>
      <c r="I771" s="125" t="s">
        <v>1441</v>
      </c>
      <c r="J771" s="129" t="s">
        <v>8199</v>
      </c>
      <c r="K771" s="122" t="s">
        <v>4931</v>
      </c>
      <c r="L771" s="122" t="s">
        <v>42</v>
      </c>
      <c r="M771" s="133" t="s">
        <v>4932</v>
      </c>
      <c r="N771" s="122" t="s">
        <v>30</v>
      </c>
    </row>
    <row r="772" spans="2:14" s="9" customFormat="1" hidden="1" x14ac:dyDescent="0.25">
      <c r="B772" s="120">
        <v>769</v>
      </c>
      <c r="C772" s="122">
        <v>20604388377</v>
      </c>
      <c r="D772" s="125" t="s">
        <v>419</v>
      </c>
      <c r="E772" s="125" t="s">
        <v>4926</v>
      </c>
      <c r="F772" s="122" t="s">
        <v>30</v>
      </c>
      <c r="G772" s="122" t="s">
        <v>30</v>
      </c>
      <c r="H772" s="122" t="s">
        <v>51</v>
      </c>
      <c r="I772" s="125" t="s">
        <v>1365</v>
      </c>
      <c r="J772" s="129" t="s">
        <v>4927</v>
      </c>
      <c r="K772" s="122" t="s">
        <v>4928</v>
      </c>
      <c r="L772" s="122" t="s">
        <v>42</v>
      </c>
      <c r="M772" s="133" t="s">
        <v>4929</v>
      </c>
      <c r="N772" s="122" t="s">
        <v>30</v>
      </c>
    </row>
    <row r="773" spans="2:14" s="9" customFormat="1" hidden="1" x14ac:dyDescent="0.25">
      <c r="B773" s="120">
        <v>770</v>
      </c>
      <c r="C773" s="122">
        <v>20340854471</v>
      </c>
      <c r="D773" s="125" t="s">
        <v>3526</v>
      </c>
      <c r="E773" s="125" t="s">
        <v>4922</v>
      </c>
      <c r="F773" s="122" t="s">
        <v>30</v>
      </c>
      <c r="G773" s="122" t="s">
        <v>30</v>
      </c>
      <c r="H773" s="122" t="s">
        <v>51</v>
      </c>
      <c r="I773" s="125" t="s">
        <v>1960</v>
      </c>
      <c r="J773" s="129" t="s">
        <v>4923</v>
      </c>
      <c r="K773" s="122" t="s">
        <v>4924</v>
      </c>
      <c r="L773" s="122" t="s">
        <v>4769</v>
      </c>
      <c r="M773" s="133" t="s">
        <v>4925</v>
      </c>
      <c r="N773" s="122" t="s">
        <v>30</v>
      </c>
    </row>
    <row r="774" spans="2:14" s="9" customFormat="1" hidden="1" x14ac:dyDescent="0.25">
      <c r="B774" s="120">
        <v>771</v>
      </c>
      <c r="C774" s="122">
        <v>20504312748</v>
      </c>
      <c r="D774" s="125" t="s">
        <v>3520</v>
      </c>
      <c r="E774" s="125" t="s">
        <v>4919</v>
      </c>
      <c r="F774" s="122" t="s">
        <v>30</v>
      </c>
      <c r="G774" s="122" t="s">
        <v>30</v>
      </c>
      <c r="H774" s="122" t="s">
        <v>40</v>
      </c>
      <c r="I774" s="125" t="s">
        <v>1841</v>
      </c>
      <c r="J774" s="129" t="s">
        <v>8215</v>
      </c>
      <c r="K774" s="122" t="s">
        <v>4920</v>
      </c>
      <c r="L774" s="122" t="s">
        <v>36</v>
      </c>
      <c r="M774" s="133" t="s">
        <v>4921</v>
      </c>
      <c r="N774" s="122" t="s">
        <v>30</v>
      </c>
    </row>
    <row r="775" spans="2:14" s="9" customFormat="1" hidden="1" x14ac:dyDescent="0.25">
      <c r="B775" s="120">
        <v>772</v>
      </c>
      <c r="C775" s="122">
        <v>20566016606</v>
      </c>
      <c r="D775" s="125" t="s">
        <v>1077</v>
      </c>
      <c r="E775" s="125" t="s">
        <v>4916</v>
      </c>
      <c r="F775" s="122" t="s">
        <v>30</v>
      </c>
      <c r="G775" s="122" t="s">
        <v>30</v>
      </c>
      <c r="H775" s="122" t="s">
        <v>50</v>
      </c>
      <c r="I775" s="125" t="s">
        <v>1551</v>
      </c>
      <c r="J775" s="129" t="s">
        <v>8212</v>
      </c>
      <c r="K775" s="122" t="s">
        <v>4917</v>
      </c>
      <c r="L775" s="122" t="s">
        <v>42</v>
      </c>
      <c r="M775" s="133" t="s">
        <v>4918</v>
      </c>
      <c r="N775" s="122" t="s">
        <v>30</v>
      </c>
    </row>
    <row r="776" spans="2:14" s="9" customFormat="1" hidden="1" x14ac:dyDescent="0.25">
      <c r="B776" s="120">
        <v>773</v>
      </c>
      <c r="C776" s="122">
        <v>20604916802</v>
      </c>
      <c r="D776" s="125" t="s">
        <v>4751</v>
      </c>
      <c r="E776" s="125" t="s">
        <v>4752</v>
      </c>
      <c r="F776" s="122" t="s">
        <v>30</v>
      </c>
      <c r="G776" s="122" t="s">
        <v>30</v>
      </c>
      <c r="H776" s="122" t="s">
        <v>127</v>
      </c>
      <c r="I776" s="125" t="s">
        <v>1974</v>
      </c>
      <c r="J776" s="129" t="s">
        <v>4913</v>
      </c>
      <c r="K776" s="122" t="s">
        <v>4914</v>
      </c>
      <c r="L776" s="122" t="s">
        <v>42</v>
      </c>
      <c r="M776" s="133" t="s">
        <v>4915</v>
      </c>
      <c r="N776" s="122" t="s">
        <v>30</v>
      </c>
    </row>
    <row r="777" spans="2:14" s="9" customFormat="1" hidden="1" x14ac:dyDescent="0.25">
      <c r="B777" s="120">
        <v>774</v>
      </c>
      <c r="C777" s="122">
        <v>10470590586</v>
      </c>
      <c r="D777" s="125" t="s">
        <v>4910</v>
      </c>
      <c r="E777" s="125" t="s">
        <v>4912</v>
      </c>
      <c r="F777" s="122" t="s">
        <v>67</v>
      </c>
      <c r="G777" s="122" t="s">
        <v>67</v>
      </c>
      <c r="H777" s="122" t="s">
        <v>67</v>
      </c>
      <c r="I777" s="125" t="s">
        <v>1424</v>
      </c>
      <c r="J777" s="129" t="s">
        <v>8231</v>
      </c>
      <c r="K777" s="122" t="s">
        <v>4911</v>
      </c>
      <c r="L777" s="122" t="s">
        <v>100</v>
      </c>
      <c r="M777" s="133" t="s">
        <v>845</v>
      </c>
      <c r="N777" s="122" t="s">
        <v>845</v>
      </c>
    </row>
    <row r="778" spans="2:14" s="9" customFormat="1" hidden="1" x14ac:dyDescent="0.25">
      <c r="B778" s="120">
        <v>775</v>
      </c>
      <c r="C778" s="122">
        <v>20477857826</v>
      </c>
      <c r="D778" s="125" t="s">
        <v>4905</v>
      </c>
      <c r="E778" s="125" t="s">
        <v>4906</v>
      </c>
      <c r="F778" s="122" t="s">
        <v>30</v>
      </c>
      <c r="G778" s="122" t="s">
        <v>30</v>
      </c>
      <c r="H778" s="122" t="s">
        <v>80</v>
      </c>
      <c r="I778" s="125" t="s">
        <v>1551</v>
      </c>
      <c r="J778" s="129" t="s">
        <v>4907</v>
      </c>
      <c r="K778" s="122" t="s">
        <v>4908</v>
      </c>
      <c r="L778" s="122" t="s">
        <v>42</v>
      </c>
      <c r="M778" s="133" t="s">
        <v>4909</v>
      </c>
      <c r="N778" s="122" t="s">
        <v>30</v>
      </c>
    </row>
    <row r="779" spans="2:14" s="9" customFormat="1" hidden="1" x14ac:dyDescent="0.25">
      <c r="B779" s="120">
        <v>776</v>
      </c>
      <c r="C779" s="122">
        <v>10329748834</v>
      </c>
      <c r="D779" s="125" t="s">
        <v>4899</v>
      </c>
      <c r="E779" s="125" t="s">
        <v>4900</v>
      </c>
      <c r="F779" s="122" t="s">
        <v>183</v>
      </c>
      <c r="G779" s="122" t="s">
        <v>4901</v>
      </c>
      <c r="H779" s="122" t="s">
        <v>4902</v>
      </c>
      <c r="I779" s="125" t="s">
        <v>1938</v>
      </c>
      <c r="J779" s="129" t="s">
        <v>8246</v>
      </c>
      <c r="K779" s="122" t="s">
        <v>4903</v>
      </c>
      <c r="L779" s="122" t="s">
        <v>4904</v>
      </c>
      <c r="M779" s="133" t="s">
        <v>845</v>
      </c>
      <c r="N779" s="122" t="s">
        <v>845</v>
      </c>
    </row>
    <row r="780" spans="2:14" s="9" customFormat="1" hidden="1" x14ac:dyDescent="0.25">
      <c r="B780" s="120">
        <v>777</v>
      </c>
      <c r="C780" s="122">
        <v>20482196595</v>
      </c>
      <c r="D780" s="125" t="s">
        <v>4892</v>
      </c>
      <c r="E780" s="125" t="s">
        <v>4893</v>
      </c>
      <c r="F780" s="122" t="s">
        <v>285</v>
      </c>
      <c r="G780" s="122" t="s">
        <v>286</v>
      </c>
      <c r="H780" s="122" t="s">
        <v>4894</v>
      </c>
      <c r="I780" s="125" t="s">
        <v>1394</v>
      </c>
      <c r="J780" s="129" t="s">
        <v>4895</v>
      </c>
      <c r="K780" s="122" t="s">
        <v>4896</v>
      </c>
      <c r="L780" s="122" t="s">
        <v>42</v>
      </c>
      <c r="M780" s="133" t="s">
        <v>4897</v>
      </c>
      <c r="N780" s="122" t="s">
        <v>4898</v>
      </c>
    </row>
    <row r="781" spans="2:14" s="9" customFormat="1" hidden="1" x14ac:dyDescent="0.25">
      <c r="B781" s="120">
        <v>778</v>
      </c>
      <c r="C781" s="122">
        <v>20512976019</v>
      </c>
      <c r="D781" s="125" t="s">
        <v>4884</v>
      </c>
      <c r="E781" s="125" t="s">
        <v>4885</v>
      </c>
      <c r="F781" s="122" t="s">
        <v>30</v>
      </c>
      <c r="G781" s="122" t="s">
        <v>30</v>
      </c>
      <c r="H781" s="122" t="s">
        <v>110</v>
      </c>
      <c r="I781" s="125" t="s">
        <v>1727</v>
      </c>
      <c r="J781" s="129" t="s">
        <v>4886</v>
      </c>
      <c r="K781" s="122" t="s">
        <v>4887</v>
      </c>
      <c r="L781" s="122" t="s">
        <v>42</v>
      </c>
      <c r="M781" s="133" t="s">
        <v>4888</v>
      </c>
      <c r="N781" s="122" t="s">
        <v>30</v>
      </c>
    </row>
    <row r="782" spans="2:14" s="9" customFormat="1" hidden="1" x14ac:dyDescent="0.25">
      <c r="B782" s="120">
        <v>779</v>
      </c>
      <c r="C782" s="122">
        <v>20605242503</v>
      </c>
      <c r="D782" s="125" t="s">
        <v>3504</v>
      </c>
      <c r="E782" s="125" t="s">
        <v>4880</v>
      </c>
      <c r="F782" s="122" t="s">
        <v>30</v>
      </c>
      <c r="G782" s="122" t="s">
        <v>30</v>
      </c>
      <c r="H782" s="122" t="s">
        <v>43</v>
      </c>
      <c r="I782" s="125" t="s">
        <v>1464</v>
      </c>
      <c r="J782" s="129" t="s">
        <v>4881</v>
      </c>
      <c r="K782" s="122" t="s">
        <v>4882</v>
      </c>
      <c r="L782" s="122" t="s">
        <v>42</v>
      </c>
      <c r="M782" s="133" t="s">
        <v>4883</v>
      </c>
      <c r="N782" s="122" t="s">
        <v>30</v>
      </c>
    </row>
    <row r="783" spans="2:14" s="9" customFormat="1" hidden="1" x14ac:dyDescent="0.25">
      <c r="B783" s="120">
        <v>780</v>
      </c>
      <c r="C783" s="122">
        <v>20566383854</v>
      </c>
      <c r="D783" s="125" t="s">
        <v>4875</v>
      </c>
      <c r="E783" s="125" t="s">
        <v>4876</v>
      </c>
      <c r="F783" s="122" t="s">
        <v>30</v>
      </c>
      <c r="G783" s="122" t="s">
        <v>30</v>
      </c>
      <c r="H783" s="122" t="s">
        <v>45</v>
      </c>
      <c r="I783" s="125" t="s">
        <v>1450</v>
      </c>
      <c r="J783" s="129" t="s">
        <v>4877</v>
      </c>
      <c r="K783" s="122" t="s">
        <v>4878</v>
      </c>
      <c r="L783" s="122" t="s">
        <v>42</v>
      </c>
      <c r="M783" s="133" t="s">
        <v>4879</v>
      </c>
      <c r="N783" s="122" t="s">
        <v>30</v>
      </c>
    </row>
    <row r="784" spans="2:14" s="9" customFormat="1" hidden="1" x14ac:dyDescent="0.25">
      <c r="B784" s="120">
        <v>781</v>
      </c>
      <c r="C784" s="122">
        <v>20509556301</v>
      </c>
      <c r="D784" s="125" t="s">
        <v>4871</v>
      </c>
      <c r="E784" s="125" t="s">
        <v>3565</v>
      </c>
      <c r="F784" s="122" t="s">
        <v>67</v>
      </c>
      <c r="G784" s="122" t="s">
        <v>67</v>
      </c>
      <c r="H784" s="122" t="s">
        <v>67</v>
      </c>
      <c r="I784" s="125" t="s">
        <v>1984</v>
      </c>
      <c r="J784" s="129" t="s">
        <v>4872</v>
      </c>
      <c r="K784" s="122" t="s">
        <v>4873</v>
      </c>
      <c r="L784" s="122" t="s">
        <v>42</v>
      </c>
      <c r="M784" s="133" t="s">
        <v>4874</v>
      </c>
      <c r="N784" s="122" t="s">
        <v>30</v>
      </c>
    </row>
    <row r="785" spans="2:14" s="9" customFormat="1" hidden="1" x14ac:dyDescent="0.25">
      <c r="B785" s="120">
        <v>782</v>
      </c>
      <c r="C785" s="122">
        <v>20474902600</v>
      </c>
      <c r="D785" s="125" t="s">
        <v>4859</v>
      </c>
      <c r="E785" s="125" t="s">
        <v>4860</v>
      </c>
      <c r="F785" s="122" t="s">
        <v>30</v>
      </c>
      <c r="G785" s="122" t="s">
        <v>30</v>
      </c>
      <c r="H785" s="122" t="s">
        <v>39</v>
      </c>
      <c r="I785" s="125" t="s">
        <v>1727</v>
      </c>
      <c r="J785" s="129" t="s">
        <v>4864</v>
      </c>
      <c r="K785" s="122" t="s">
        <v>4865</v>
      </c>
      <c r="L785" s="122" t="s">
        <v>42</v>
      </c>
      <c r="M785" s="133" t="s">
        <v>4863</v>
      </c>
      <c r="N785" s="122" t="s">
        <v>30</v>
      </c>
    </row>
    <row r="786" spans="2:14" s="9" customFormat="1" hidden="1" x14ac:dyDescent="0.25">
      <c r="B786" s="120">
        <v>783</v>
      </c>
      <c r="C786" s="122">
        <v>20474902600</v>
      </c>
      <c r="D786" s="125" t="s">
        <v>4859</v>
      </c>
      <c r="E786" s="125" t="s">
        <v>4860</v>
      </c>
      <c r="F786" s="122" t="s">
        <v>30</v>
      </c>
      <c r="G786" s="122" t="s">
        <v>30</v>
      </c>
      <c r="H786" s="122" t="s">
        <v>39</v>
      </c>
      <c r="I786" s="125" t="s">
        <v>1727</v>
      </c>
      <c r="J786" s="129" t="s">
        <v>4861</v>
      </c>
      <c r="K786" s="122" t="s">
        <v>4862</v>
      </c>
      <c r="L786" s="122" t="s">
        <v>209</v>
      </c>
      <c r="M786" s="133" t="s">
        <v>4863</v>
      </c>
      <c r="N786" s="122" t="s">
        <v>30</v>
      </c>
    </row>
    <row r="787" spans="2:14" s="9" customFormat="1" hidden="1" x14ac:dyDescent="0.25">
      <c r="B787" s="120">
        <v>784</v>
      </c>
      <c r="C787" s="122">
        <v>20524716560</v>
      </c>
      <c r="D787" s="125" t="s">
        <v>4854</v>
      </c>
      <c r="E787" s="125" t="s">
        <v>4855</v>
      </c>
      <c r="F787" s="122" t="s">
        <v>67</v>
      </c>
      <c r="G787" s="122" t="s">
        <v>67</v>
      </c>
      <c r="H787" s="122" t="s">
        <v>143</v>
      </c>
      <c r="I787" s="125" t="s">
        <v>2446</v>
      </c>
      <c r="J787" s="129" t="s">
        <v>4856</v>
      </c>
      <c r="K787" s="122" t="s">
        <v>4857</v>
      </c>
      <c r="L787" s="122" t="s">
        <v>42</v>
      </c>
      <c r="M787" s="133" t="s">
        <v>4858</v>
      </c>
      <c r="N787" s="122" t="s">
        <v>30</v>
      </c>
    </row>
    <row r="788" spans="2:14" s="9" customFormat="1" hidden="1" x14ac:dyDescent="0.25">
      <c r="B788" s="120">
        <v>785</v>
      </c>
      <c r="C788" s="122">
        <v>10442532716</v>
      </c>
      <c r="D788" s="125" t="s">
        <v>4850</v>
      </c>
      <c r="E788" s="125" t="s">
        <v>4853</v>
      </c>
      <c r="F788" s="122" t="s">
        <v>30</v>
      </c>
      <c r="G788" s="122" t="s">
        <v>30</v>
      </c>
      <c r="H788" s="122" t="s">
        <v>58</v>
      </c>
      <c r="I788" s="125" t="s">
        <v>1424</v>
      </c>
      <c r="J788" s="129" t="s">
        <v>4851</v>
      </c>
      <c r="K788" s="122" t="s">
        <v>4852</v>
      </c>
      <c r="L788" s="122" t="s">
        <v>100</v>
      </c>
      <c r="M788" s="133" t="s">
        <v>845</v>
      </c>
      <c r="N788" s="122" t="s">
        <v>845</v>
      </c>
    </row>
    <row r="789" spans="2:14" s="9" customFormat="1" hidden="1" x14ac:dyDescent="0.25">
      <c r="B789" s="120">
        <v>786</v>
      </c>
      <c r="C789" s="122">
        <v>20543481000</v>
      </c>
      <c r="D789" s="125" t="s">
        <v>4845</v>
      </c>
      <c r="E789" s="125" t="s">
        <v>4846</v>
      </c>
      <c r="F789" s="122" t="s">
        <v>30</v>
      </c>
      <c r="G789" s="122" t="s">
        <v>30</v>
      </c>
      <c r="H789" s="122" t="s">
        <v>45</v>
      </c>
      <c r="I789" s="125" t="s">
        <v>1946</v>
      </c>
      <c r="J789" s="129" t="s">
        <v>4847</v>
      </c>
      <c r="K789" s="122" t="s">
        <v>4848</v>
      </c>
      <c r="L789" s="122" t="s">
        <v>42</v>
      </c>
      <c r="M789" s="133" t="s">
        <v>4849</v>
      </c>
      <c r="N789" s="122" t="s">
        <v>30</v>
      </c>
    </row>
    <row r="790" spans="2:14" s="9" customFormat="1" hidden="1" x14ac:dyDescent="0.25">
      <c r="B790" s="120">
        <v>787</v>
      </c>
      <c r="C790" s="122">
        <v>20330188945</v>
      </c>
      <c r="D790" s="125" t="s">
        <v>4840</v>
      </c>
      <c r="E790" s="125" t="s">
        <v>4841</v>
      </c>
      <c r="F790" s="122" t="s">
        <v>30</v>
      </c>
      <c r="G790" s="122" t="s">
        <v>30</v>
      </c>
      <c r="H790" s="122" t="s">
        <v>38</v>
      </c>
      <c r="I790" s="125" t="s">
        <v>1377</v>
      </c>
      <c r="J790" s="129" t="s">
        <v>4842</v>
      </c>
      <c r="K790" s="122" t="s">
        <v>4843</v>
      </c>
      <c r="L790" s="122" t="s">
        <v>4769</v>
      </c>
      <c r="M790" s="133" t="s">
        <v>4844</v>
      </c>
      <c r="N790" s="122" t="s">
        <v>30</v>
      </c>
    </row>
    <row r="791" spans="2:14" s="9" customFormat="1" hidden="1" x14ac:dyDescent="0.25">
      <c r="B791" s="120">
        <v>788</v>
      </c>
      <c r="C791" s="122">
        <v>10730670406</v>
      </c>
      <c r="D791" s="125" t="s">
        <v>4837</v>
      </c>
      <c r="E791" s="125" t="s">
        <v>4839</v>
      </c>
      <c r="F791" s="122" t="s">
        <v>30</v>
      </c>
      <c r="G791" s="122" t="s">
        <v>30</v>
      </c>
      <c r="H791" s="122" t="s">
        <v>45</v>
      </c>
      <c r="I791" s="125" t="s">
        <v>1424</v>
      </c>
      <c r="J791" s="129" t="s">
        <v>8254</v>
      </c>
      <c r="K791" s="122" t="s">
        <v>4838</v>
      </c>
      <c r="L791" s="122" t="s">
        <v>100</v>
      </c>
      <c r="M791" s="133" t="s">
        <v>845</v>
      </c>
      <c r="N791" s="122" t="s">
        <v>845</v>
      </c>
    </row>
    <row r="792" spans="2:14" s="9" customFormat="1" hidden="1" x14ac:dyDescent="0.25">
      <c r="B792" s="120">
        <v>789</v>
      </c>
      <c r="C792" s="122">
        <v>20543410676</v>
      </c>
      <c r="D792" s="125" t="s">
        <v>4832</v>
      </c>
      <c r="E792" s="125" t="s">
        <v>4833</v>
      </c>
      <c r="F792" s="122" t="s">
        <v>30</v>
      </c>
      <c r="G792" s="122" t="s">
        <v>30</v>
      </c>
      <c r="H792" s="122" t="s">
        <v>72</v>
      </c>
      <c r="I792" s="125" t="s">
        <v>1394</v>
      </c>
      <c r="J792" s="129" t="s">
        <v>4834</v>
      </c>
      <c r="K792" s="122" t="s">
        <v>4835</v>
      </c>
      <c r="L792" s="122" t="s">
        <v>57</v>
      </c>
      <c r="M792" s="133" t="s">
        <v>4836</v>
      </c>
      <c r="N792" s="122" t="s">
        <v>30</v>
      </c>
    </row>
    <row r="793" spans="2:14" s="9" customFormat="1" hidden="1" x14ac:dyDescent="0.25">
      <c r="B793" s="120">
        <v>790</v>
      </c>
      <c r="C793" s="122">
        <v>20537087731</v>
      </c>
      <c r="D793" s="125" t="s">
        <v>4825</v>
      </c>
      <c r="E793" s="125" t="s">
        <v>4826</v>
      </c>
      <c r="F793" s="122" t="s">
        <v>30</v>
      </c>
      <c r="G793" s="122" t="s">
        <v>30</v>
      </c>
      <c r="H793" s="122" t="s">
        <v>51</v>
      </c>
      <c r="I793" s="125" t="s">
        <v>1398</v>
      </c>
      <c r="J793" s="129" t="s">
        <v>4827</v>
      </c>
      <c r="K793" s="122" t="s">
        <v>4828</v>
      </c>
      <c r="L793" s="122" t="s">
        <v>42</v>
      </c>
      <c r="M793" s="133" t="s">
        <v>4829</v>
      </c>
      <c r="N793" s="122" t="s">
        <v>30</v>
      </c>
    </row>
    <row r="794" spans="2:14" s="9" customFormat="1" hidden="1" x14ac:dyDescent="0.25">
      <c r="B794" s="120">
        <v>791</v>
      </c>
      <c r="C794" s="122">
        <v>20601726191</v>
      </c>
      <c r="D794" s="125" t="s">
        <v>4820</v>
      </c>
      <c r="E794" s="125" t="s">
        <v>4821</v>
      </c>
      <c r="F794" s="122" t="s">
        <v>30</v>
      </c>
      <c r="G794" s="122" t="s">
        <v>30</v>
      </c>
      <c r="H794" s="122" t="s">
        <v>152</v>
      </c>
      <c r="I794" s="125" t="s">
        <v>1412</v>
      </c>
      <c r="J794" s="129" t="s">
        <v>4822</v>
      </c>
      <c r="K794" s="122" t="s">
        <v>4823</v>
      </c>
      <c r="L794" s="122" t="s">
        <v>42</v>
      </c>
      <c r="M794" s="133" t="s">
        <v>4824</v>
      </c>
      <c r="N794" s="122" t="s">
        <v>30</v>
      </c>
    </row>
    <row r="795" spans="2:14" s="9" customFormat="1" hidden="1" x14ac:dyDescent="0.25">
      <c r="B795" s="120">
        <v>792</v>
      </c>
      <c r="C795" s="122">
        <v>20555965223</v>
      </c>
      <c r="D795" s="125" t="s">
        <v>4805</v>
      </c>
      <c r="E795" s="125" t="s">
        <v>4806</v>
      </c>
      <c r="F795" s="122" t="s">
        <v>30</v>
      </c>
      <c r="G795" s="122" t="s">
        <v>30</v>
      </c>
      <c r="H795" s="122" t="s">
        <v>88</v>
      </c>
      <c r="I795" s="125" t="s">
        <v>1371</v>
      </c>
      <c r="J795" s="129" t="s">
        <v>4809</v>
      </c>
      <c r="K795" s="122" t="s">
        <v>4810</v>
      </c>
      <c r="L795" s="122" t="s">
        <v>209</v>
      </c>
      <c r="M795" s="133" t="s">
        <v>845</v>
      </c>
      <c r="N795" s="122" t="s">
        <v>845</v>
      </c>
    </row>
    <row r="796" spans="2:14" s="9" customFormat="1" hidden="1" x14ac:dyDescent="0.25">
      <c r="B796" s="120">
        <v>793</v>
      </c>
      <c r="C796" s="122">
        <v>20555965223</v>
      </c>
      <c r="D796" s="125" t="s">
        <v>4805</v>
      </c>
      <c r="E796" s="125" t="s">
        <v>4806</v>
      </c>
      <c r="F796" s="122" t="s">
        <v>30</v>
      </c>
      <c r="G796" s="122" t="s">
        <v>30</v>
      </c>
      <c r="H796" s="122" t="s">
        <v>88</v>
      </c>
      <c r="I796" s="125" t="s">
        <v>1371</v>
      </c>
      <c r="J796" s="129" t="s">
        <v>4807</v>
      </c>
      <c r="K796" s="122" t="s">
        <v>4808</v>
      </c>
      <c r="L796" s="122" t="s">
        <v>42</v>
      </c>
      <c r="M796" s="133" t="s">
        <v>845</v>
      </c>
      <c r="N796" s="122" t="s">
        <v>845</v>
      </c>
    </row>
    <row r="797" spans="2:14" s="9" customFormat="1" hidden="1" x14ac:dyDescent="0.25">
      <c r="B797" s="120">
        <v>794</v>
      </c>
      <c r="C797" s="122">
        <v>20600684877</v>
      </c>
      <c r="D797" s="125" t="s">
        <v>4801</v>
      </c>
      <c r="E797" s="125" t="s">
        <v>4802</v>
      </c>
      <c r="F797" s="122" t="s">
        <v>30</v>
      </c>
      <c r="G797" s="122" t="s">
        <v>30</v>
      </c>
      <c r="H797" s="122" t="s">
        <v>30</v>
      </c>
      <c r="I797" s="125" t="s">
        <v>1805</v>
      </c>
      <c r="J797" s="129" t="s">
        <v>4803</v>
      </c>
      <c r="K797" s="122" t="s">
        <v>4804</v>
      </c>
      <c r="L797" s="122" t="s">
        <v>42</v>
      </c>
      <c r="M797" s="133" t="s">
        <v>845</v>
      </c>
      <c r="N797" s="122" t="s">
        <v>845</v>
      </c>
    </row>
    <row r="798" spans="2:14" s="9" customFormat="1" hidden="1" x14ac:dyDescent="0.25">
      <c r="B798" s="120">
        <v>795</v>
      </c>
      <c r="C798" s="122">
        <v>20100247730</v>
      </c>
      <c r="D798" s="125" t="s">
        <v>4796</v>
      </c>
      <c r="E798" s="125" t="s">
        <v>4797</v>
      </c>
      <c r="F798" s="122" t="s">
        <v>30</v>
      </c>
      <c r="G798" s="122" t="s">
        <v>30</v>
      </c>
      <c r="H798" s="122" t="s">
        <v>30</v>
      </c>
      <c r="I798" s="125" t="s">
        <v>3859</v>
      </c>
      <c r="J798" s="129" t="s">
        <v>4799</v>
      </c>
      <c r="K798" s="122" t="s">
        <v>4800</v>
      </c>
      <c r="L798" s="122" t="s">
        <v>42</v>
      </c>
      <c r="M798" s="133" t="s">
        <v>4798</v>
      </c>
      <c r="N798" s="122" t="s">
        <v>30</v>
      </c>
    </row>
    <row r="799" spans="2:14" s="9" customFormat="1" hidden="1" x14ac:dyDescent="0.25">
      <c r="B799" s="120">
        <v>796</v>
      </c>
      <c r="C799" s="122">
        <v>20100247730</v>
      </c>
      <c r="D799" s="125" t="s">
        <v>4796</v>
      </c>
      <c r="E799" s="125" t="s">
        <v>4797</v>
      </c>
      <c r="F799" s="122" t="s">
        <v>30</v>
      </c>
      <c r="G799" s="122" t="s">
        <v>30</v>
      </c>
      <c r="H799" s="122" t="s">
        <v>30</v>
      </c>
      <c r="I799" s="125" t="s">
        <v>3859</v>
      </c>
      <c r="J799" s="129" t="s">
        <v>8259</v>
      </c>
      <c r="K799" s="122" t="s">
        <v>8258</v>
      </c>
      <c r="L799" s="122" t="s">
        <v>36</v>
      </c>
      <c r="M799" s="133" t="s">
        <v>4798</v>
      </c>
      <c r="N799" s="122" t="s">
        <v>30</v>
      </c>
    </row>
    <row r="800" spans="2:14" s="9" customFormat="1" hidden="1" x14ac:dyDescent="0.25">
      <c r="B800" s="120">
        <v>797</v>
      </c>
      <c r="C800" s="122">
        <v>20556874043</v>
      </c>
      <c r="D800" s="125" t="s">
        <v>4791</v>
      </c>
      <c r="E800" s="125" t="s">
        <v>4792</v>
      </c>
      <c r="F800" s="122" t="s">
        <v>30</v>
      </c>
      <c r="G800" s="122" t="s">
        <v>30</v>
      </c>
      <c r="H800" s="122" t="s">
        <v>58</v>
      </c>
      <c r="I800" s="125" t="s">
        <v>1424</v>
      </c>
      <c r="J800" s="129" t="s">
        <v>4793</v>
      </c>
      <c r="K800" s="122" t="s">
        <v>4794</v>
      </c>
      <c r="L800" s="122" t="s">
        <v>42</v>
      </c>
      <c r="M800" s="133" t="s">
        <v>4795</v>
      </c>
      <c r="N800" s="122" t="s">
        <v>30</v>
      </c>
    </row>
    <row r="801" spans="2:14" s="9" customFormat="1" hidden="1" x14ac:dyDescent="0.25">
      <c r="B801" s="120">
        <v>798</v>
      </c>
      <c r="C801" s="122">
        <v>20100302773</v>
      </c>
      <c r="D801" s="125" t="s">
        <v>4780</v>
      </c>
      <c r="E801" s="125" t="s">
        <v>4781</v>
      </c>
      <c r="F801" s="122" t="s">
        <v>30</v>
      </c>
      <c r="G801" s="122" t="s">
        <v>30</v>
      </c>
      <c r="H801" s="122" t="s">
        <v>41</v>
      </c>
      <c r="I801" s="125" t="s">
        <v>2123</v>
      </c>
      <c r="J801" s="129" t="s">
        <v>4789</v>
      </c>
      <c r="K801" s="122" t="s">
        <v>4790</v>
      </c>
      <c r="L801" s="122" t="s">
        <v>209</v>
      </c>
      <c r="M801" s="133" t="s">
        <v>4784</v>
      </c>
      <c r="N801" s="122" t="s">
        <v>30</v>
      </c>
    </row>
    <row r="802" spans="2:14" s="9" customFormat="1" hidden="1" x14ac:dyDescent="0.25">
      <c r="B802" s="120">
        <v>799</v>
      </c>
      <c r="C802" s="122">
        <v>20100302773</v>
      </c>
      <c r="D802" s="125" t="s">
        <v>4780</v>
      </c>
      <c r="E802" s="125" t="s">
        <v>4781</v>
      </c>
      <c r="F802" s="122" t="s">
        <v>30</v>
      </c>
      <c r="G802" s="122" t="s">
        <v>30</v>
      </c>
      <c r="H802" s="122" t="s">
        <v>41</v>
      </c>
      <c r="I802" s="125" t="s">
        <v>2123</v>
      </c>
      <c r="J802" s="129" t="s">
        <v>4787</v>
      </c>
      <c r="K802" s="122" t="s">
        <v>4788</v>
      </c>
      <c r="L802" s="122" t="s">
        <v>209</v>
      </c>
      <c r="M802" s="133" t="s">
        <v>4784</v>
      </c>
      <c r="N802" s="122" t="s">
        <v>30</v>
      </c>
    </row>
    <row r="803" spans="2:14" s="9" customFormat="1" hidden="1" x14ac:dyDescent="0.25">
      <c r="B803" s="120">
        <v>800</v>
      </c>
      <c r="C803" s="122">
        <v>20100302773</v>
      </c>
      <c r="D803" s="125" t="s">
        <v>4780</v>
      </c>
      <c r="E803" s="125" t="s">
        <v>4781</v>
      </c>
      <c r="F803" s="122" t="s">
        <v>30</v>
      </c>
      <c r="G803" s="122" t="s">
        <v>30</v>
      </c>
      <c r="H803" s="122" t="s">
        <v>41</v>
      </c>
      <c r="I803" s="125" t="s">
        <v>2123</v>
      </c>
      <c r="J803" s="129" t="s">
        <v>4785</v>
      </c>
      <c r="K803" s="122" t="s">
        <v>4786</v>
      </c>
      <c r="L803" s="122" t="s">
        <v>42</v>
      </c>
      <c r="M803" s="133" t="s">
        <v>4784</v>
      </c>
      <c r="N803" s="122" t="s">
        <v>30</v>
      </c>
    </row>
    <row r="804" spans="2:14" s="9" customFormat="1" hidden="1" x14ac:dyDescent="0.25">
      <c r="B804" s="120">
        <v>801</v>
      </c>
      <c r="C804" s="122">
        <v>20100302773</v>
      </c>
      <c r="D804" s="125" t="s">
        <v>4780</v>
      </c>
      <c r="E804" s="125" t="s">
        <v>4781</v>
      </c>
      <c r="F804" s="122" t="s">
        <v>30</v>
      </c>
      <c r="G804" s="122" t="s">
        <v>30</v>
      </c>
      <c r="H804" s="122" t="s">
        <v>41</v>
      </c>
      <c r="I804" s="125" t="s">
        <v>2123</v>
      </c>
      <c r="J804" s="129" t="s">
        <v>4782</v>
      </c>
      <c r="K804" s="122" t="s">
        <v>4783</v>
      </c>
      <c r="L804" s="122" t="s">
        <v>209</v>
      </c>
      <c r="M804" s="133" t="s">
        <v>4784</v>
      </c>
      <c r="N804" s="122" t="s">
        <v>30</v>
      </c>
    </row>
    <row r="805" spans="2:14" s="9" customFormat="1" hidden="1" x14ac:dyDescent="0.25">
      <c r="B805" s="120">
        <v>802</v>
      </c>
      <c r="C805" s="122">
        <v>20546064191</v>
      </c>
      <c r="D805" s="125" t="s">
        <v>4774</v>
      </c>
      <c r="E805" s="125" t="s">
        <v>4775</v>
      </c>
      <c r="F805" s="122" t="s">
        <v>30</v>
      </c>
      <c r="G805" s="122" t="s">
        <v>30</v>
      </c>
      <c r="H805" s="122" t="s">
        <v>4776</v>
      </c>
      <c r="I805" s="125" t="s">
        <v>1932</v>
      </c>
      <c r="J805" s="129" t="s">
        <v>4777</v>
      </c>
      <c r="K805" s="122" t="s">
        <v>4778</v>
      </c>
      <c r="L805" s="122" t="s">
        <v>42</v>
      </c>
      <c r="M805" s="133" t="s">
        <v>4779</v>
      </c>
      <c r="N805" s="122" t="s">
        <v>30</v>
      </c>
    </row>
    <row r="806" spans="2:14" s="9" customFormat="1" hidden="1" x14ac:dyDescent="0.25">
      <c r="B806" s="120">
        <v>803</v>
      </c>
      <c r="C806" s="122">
        <v>20602518648</v>
      </c>
      <c r="D806" s="125" t="s">
        <v>4753</v>
      </c>
      <c r="E806" s="125" t="s">
        <v>4754</v>
      </c>
      <c r="F806" s="122" t="s">
        <v>201</v>
      </c>
      <c r="G806" s="122" t="s">
        <v>201</v>
      </c>
      <c r="H806" s="122" t="s">
        <v>201</v>
      </c>
      <c r="I806" s="125" t="s">
        <v>1694</v>
      </c>
      <c r="J806" s="129" t="s">
        <v>4771</v>
      </c>
      <c r="K806" s="122" t="s">
        <v>4772</v>
      </c>
      <c r="L806" s="122" t="s">
        <v>57</v>
      </c>
      <c r="M806" s="133" t="s">
        <v>4773</v>
      </c>
      <c r="N806" s="122" t="s">
        <v>201</v>
      </c>
    </row>
    <row r="807" spans="2:14" s="9" customFormat="1" hidden="1" x14ac:dyDescent="0.25">
      <c r="B807" s="120">
        <v>804</v>
      </c>
      <c r="C807" s="122">
        <v>20118524919</v>
      </c>
      <c r="D807" s="125" t="s">
        <v>1107</v>
      </c>
      <c r="E807" s="125" t="s">
        <v>1108</v>
      </c>
      <c r="F807" s="122" t="s">
        <v>30</v>
      </c>
      <c r="G807" s="122" t="s">
        <v>30</v>
      </c>
      <c r="H807" s="122" t="s">
        <v>60</v>
      </c>
      <c r="I807" s="125" t="s">
        <v>1387</v>
      </c>
      <c r="J807" s="129" t="s">
        <v>8177</v>
      </c>
      <c r="K807" s="122" t="s">
        <v>4768</v>
      </c>
      <c r="L807" s="122" t="s">
        <v>4769</v>
      </c>
      <c r="M807" s="133" t="s">
        <v>4770</v>
      </c>
      <c r="N807" s="122" t="s">
        <v>30</v>
      </c>
    </row>
    <row r="808" spans="2:14" s="9" customFormat="1" hidden="1" x14ac:dyDescent="0.25">
      <c r="B808" s="120">
        <v>805</v>
      </c>
      <c r="C808" s="122">
        <v>20515858289</v>
      </c>
      <c r="D808" s="125" t="s">
        <v>4764</v>
      </c>
      <c r="E808" s="125" t="s">
        <v>4765</v>
      </c>
      <c r="F808" s="122" t="s">
        <v>30</v>
      </c>
      <c r="G808" s="122" t="s">
        <v>30</v>
      </c>
      <c r="H808" s="122" t="s">
        <v>43</v>
      </c>
      <c r="I808" s="125" t="s">
        <v>1961</v>
      </c>
      <c r="J808" s="129" t="s">
        <v>8179</v>
      </c>
      <c r="K808" s="122" t="s">
        <v>4766</v>
      </c>
      <c r="L808" s="122" t="s">
        <v>42</v>
      </c>
      <c r="M808" s="133" t="s">
        <v>4767</v>
      </c>
      <c r="N808" s="122" t="s">
        <v>30</v>
      </c>
    </row>
    <row r="809" spans="2:14" s="9" customFormat="1" hidden="1" x14ac:dyDescent="0.25">
      <c r="B809" s="120">
        <v>806</v>
      </c>
      <c r="C809" s="122">
        <v>20603528469</v>
      </c>
      <c r="D809" s="125" t="s">
        <v>3510</v>
      </c>
      <c r="E809" s="125" t="s">
        <v>4760</v>
      </c>
      <c r="F809" s="122" t="s">
        <v>30</v>
      </c>
      <c r="G809" s="122" t="s">
        <v>30</v>
      </c>
      <c r="H809" s="122" t="s">
        <v>64</v>
      </c>
      <c r="I809" s="125" t="s">
        <v>1371</v>
      </c>
      <c r="J809" s="129" t="s">
        <v>4761</v>
      </c>
      <c r="K809" s="122" t="s">
        <v>4762</v>
      </c>
      <c r="L809" s="122" t="s">
        <v>42</v>
      </c>
      <c r="M809" s="133" t="s">
        <v>4763</v>
      </c>
      <c r="N809" s="122" t="s">
        <v>30</v>
      </c>
    </row>
    <row r="810" spans="2:14" s="9" customFormat="1" hidden="1" x14ac:dyDescent="0.25">
      <c r="B810" s="120">
        <v>807</v>
      </c>
      <c r="C810" s="122">
        <v>20522246671</v>
      </c>
      <c r="D810" s="125" t="s">
        <v>4755</v>
      </c>
      <c r="E810" s="125" t="s">
        <v>4756</v>
      </c>
      <c r="F810" s="122" t="s">
        <v>30</v>
      </c>
      <c r="G810" s="122" t="s">
        <v>30</v>
      </c>
      <c r="H810" s="122" t="s">
        <v>43</v>
      </c>
      <c r="I810" s="125" t="s">
        <v>1384</v>
      </c>
      <c r="J810" s="129" t="s">
        <v>4757</v>
      </c>
      <c r="K810" s="122" t="s">
        <v>4758</v>
      </c>
      <c r="L810" s="122" t="s">
        <v>42</v>
      </c>
      <c r="M810" s="133" t="s">
        <v>4759</v>
      </c>
      <c r="N810" s="122" t="s">
        <v>30</v>
      </c>
    </row>
    <row r="811" spans="2:14" s="9" customFormat="1" hidden="1" x14ac:dyDescent="0.25">
      <c r="B811" s="120">
        <v>808</v>
      </c>
      <c r="C811" s="122">
        <v>20601728207</v>
      </c>
      <c r="D811" s="125" t="s">
        <v>4736</v>
      </c>
      <c r="E811" s="125" t="s">
        <v>4737</v>
      </c>
      <c r="F811" s="122" t="s">
        <v>67</v>
      </c>
      <c r="G811" s="122" t="s">
        <v>67</v>
      </c>
      <c r="H811" s="122" t="s">
        <v>67</v>
      </c>
      <c r="I811" s="125" t="s">
        <v>1450</v>
      </c>
      <c r="J811" s="129" t="s">
        <v>8218</v>
      </c>
      <c r="K811" s="122" t="s">
        <v>4738</v>
      </c>
      <c r="L811" s="122" t="s">
        <v>42</v>
      </c>
      <c r="M811" s="133" t="s">
        <v>4739</v>
      </c>
      <c r="N811" s="122" t="s">
        <v>67</v>
      </c>
    </row>
    <row r="812" spans="2:14" s="9" customFormat="1" hidden="1" x14ac:dyDescent="0.25">
      <c r="B812" s="120">
        <v>809</v>
      </c>
      <c r="C812" s="122">
        <v>20549902431</v>
      </c>
      <c r="D812" s="125" t="s">
        <v>4727</v>
      </c>
      <c r="E812" s="125" t="s">
        <v>4728</v>
      </c>
      <c r="F812" s="122" t="s">
        <v>30</v>
      </c>
      <c r="G812" s="122" t="s">
        <v>30</v>
      </c>
      <c r="H812" s="122" t="s">
        <v>52</v>
      </c>
      <c r="I812" s="125" t="s">
        <v>1412</v>
      </c>
      <c r="J812" s="129" t="s">
        <v>4729</v>
      </c>
      <c r="K812" s="122" t="s">
        <v>4730</v>
      </c>
      <c r="L812" s="122" t="s">
        <v>42</v>
      </c>
      <c r="M812" s="133" t="s">
        <v>4731</v>
      </c>
      <c r="N812" s="122" t="s">
        <v>30</v>
      </c>
    </row>
    <row r="813" spans="2:14" s="9" customFormat="1" hidden="1" x14ac:dyDescent="0.25">
      <c r="B813" s="120">
        <v>810</v>
      </c>
      <c r="C813" s="122">
        <v>20101087566</v>
      </c>
      <c r="D813" s="125" t="s">
        <v>4717</v>
      </c>
      <c r="E813" s="125" t="s">
        <v>4718</v>
      </c>
      <c r="F813" s="122" t="s">
        <v>30</v>
      </c>
      <c r="G813" s="122" t="s">
        <v>30</v>
      </c>
      <c r="H813" s="122" t="s">
        <v>86</v>
      </c>
      <c r="I813" s="125" t="s">
        <v>3859</v>
      </c>
      <c r="J813" s="129" t="s">
        <v>8158</v>
      </c>
      <c r="K813" s="122" t="s">
        <v>8159</v>
      </c>
      <c r="L813" s="122" t="s">
        <v>209</v>
      </c>
      <c r="M813" s="133" t="s">
        <v>4720</v>
      </c>
      <c r="N813" s="122" t="s">
        <v>30</v>
      </c>
    </row>
    <row r="814" spans="2:14" s="9" customFormat="1" hidden="1" x14ac:dyDescent="0.25">
      <c r="B814" s="120">
        <v>811</v>
      </c>
      <c r="C814" s="122">
        <v>20101087566</v>
      </c>
      <c r="D814" s="125" t="s">
        <v>4717</v>
      </c>
      <c r="E814" s="125" t="s">
        <v>4718</v>
      </c>
      <c r="F814" s="122" t="s">
        <v>30</v>
      </c>
      <c r="G814" s="122" t="s">
        <v>30</v>
      </c>
      <c r="H814" s="122" t="s">
        <v>86</v>
      </c>
      <c r="I814" s="125" t="s">
        <v>3859</v>
      </c>
      <c r="J814" s="129" t="s">
        <v>4725</v>
      </c>
      <c r="K814" s="122" t="s">
        <v>4726</v>
      </c>
      <c r="L814" s="122" t="s">
        <v>209</v>
      </c>
      <c r="M814" s="133" t="s">
        <v>4720</v>
      </c>
      <c r="N814" s="122" t="s">
        <v>30</v>
      </c>
    </row>
    <row r="815" spans="2:14" s="9" customFormat="1" hidden="1" x14ac:dyDescent="0.25">
      <c r="B815" s="120">
        <v>812</v>
      </c>
      <c r="C815" s="122">
        <v>20101087566</v>
      </c>
      <c r="D815" s="125" t="s">
        <v>4717</v>
      </c>
      <c r="E815" s="125" t="s">
        <v>4718</v>
      </c>
      <c r="F815" s="122" t="s">
        <v>30</v>
      </c>
      <c r="G815" s="122" t="s">
        <v>30</v>
      </c>
      <c r="H815" s="122" t="s">
        <v>86</v>
      </c>
      <c r="I815" s="125" t="s">
        <v>3859</v>
      </c>
      <c r="J815" s="129" t="s">
        <v>8157</v>
      </c>
      <c r="K815" s="122" t="s">
        <v>4724</v>
      </c>
      <c r="L815" s="122" t="s">
        <v>209</v>
      </c>
      <c r="M815" s="133" t="s">
        <v>4720</v>
      </c>
      <c r="N815" s="122" t="s">
        <v>30</v>
      </c>
    </row>
    <row r="816" spans="2:14" s="9" customFormat="1" hidden="1" x14ac:dyDescent="0.25">
      <c r="B816" s="120">
        <v>813</v>
      </c>
      <c r="C816" s="122">
        <v>20101087566</v>
      </c>
      <c r="D816" s="125" t="s">
        <v>4717</v>
      </c>
      <c r="E816" s="125" t="s">
        <v>4718</v>
      </c>
      <c r="F816" s="122" t="s">
        <v>30</v>
      </c>
      <c r="G816" s="122" t="s">
        <v>30</v>
      </c>
      <c r="H816" s="122" t="s">
        <v>86</v>
      </c>
      <c r="I816" s="125" t="s">
        <v>3859</v>
      </c>
      <c r="J816" s="129" t="s">
        <v>4722</v>
      </c>
      <c r="K816" s="122" t="s">
        <v>4723</v>
      </c>
      <c r="L816" s="122" t="s">
        <v>1665</v>
      </c>
      <c r="M816" s="133" t="s">
        <v>4720</v>
      </c>
      <c r="N816" s="122" t="s">
        <v>30</v>
      </c>
    </row>
    <row r="817" spans="2:14" s="9" customFormat="1" hidden="1" x14ac:dyDescent="0.25">
      <c r="B817" s="120">
        <v>814</v>
      </c>
      <c r="C817" s="122">
        <v>20101087566</v>
      </c>
      <c r="D817" s="125" t="s">
        <v>4717</v>
      </c>
      <c r="E817" s="125" t="s">
        <v>4718</v>
      </c>
      <c r="F817" s="122" t="s">
        <v>30</v>
      </c>
      <c r="G817" s="122" t="s">
        <v>30</v>
      </c>
      <c r="H817" s="122" t="s">
        <v>86</v>
      </c>
      <c r="I817" s="125" t="s">
        <v>3859</v>
      </c>
      <c r="J817" s="129" t="s">
        <v>8156</v>
      </c>
      <c r="K817" s="122" t="s">
        <v>4721</v>
      </c>
      <c r="L817" s="122" t="s">
        <v>1665</v>
      </c>
      <c r="M817" s="133" t="s">
        <v>4720</v>
      </c>
      <c r="N817" s="122" t="s">
        <v>30</v>
      </c>
    </row>
    <row r="818" spans="2:14" s="9" customFormat="1" hidden="1" x14ac:dyDescent="0.25">
      <c r="B818" s="120">
        <v>815</v>
      </c>
      <c r="C818" s="122">
        <v>20101087566</v>
      </c>
      <c r="D818" s="125" t="s">
        <v>4717</v>
      </c>
      <c r="E818" s="125" t="s">
        <v>4718</v>
      </c>
      <c r="F818" s="122" t="s">
        <v>30</v>
      </c>
      <c r="G818" s="122" t="s">
        <v>30</v>
      </c>
      <c r="H818" s="122" t="s">
        <v>86</v>
      </c>
      <c r="I818" s="125" t="s">
        <v>3859</v>
      </c>
      <c r="J818" s="129" t="s">
        <v>4719</v>
      </c>
      <c r="K818" s="122" t="s">
        <v>8155</v>
      </c>
      <c r="L818" s="122" t="s">
        <v>42</v>
      </c>
      <c r="M818" s="133" t="s">
        <v>4720</v>
      </c>
      <c r="N818" s="122" t="s">
        <v>30</v>
      </c>
    </row>
    <row r="819" spans="2:14" s="9" customFormat="1" hidden="1" x14ac:dyDescent="0.25">
      <c r="B819" s="120">
        <v>816</v>
      </c>
      <c r="C819" s="122">
        <v>20538302342</v>
      </c>
      <c r="D819" s="125" t="s">
        <v>4712</v>
      </c>
      <c r="E819" s="125" t="s">
        <v>4713</v>
      </c>
      <c r="F819" s="122" t="s">
        <v>30</v>
      </c>
      <c r="G819" s="122" t="s">
        <v>30</v>
      </c>
      <c r="H819" s="122" t="s">
        <v>50</v>
      </c>
      <c r="I819" s="125" t="s">
        <v>2803</v>
      </c>
      <c r="J819" s="129" t="s">
        <v>4714</v>
      </c>
      <c r="K819" s="122" t="s">
        <v>4715</v>
      </c>
      <c r="L819" s="122" t="s">
        <v>42</v>
      </c>
      <c r="M819" s="133" t="s">
        <v>4716</v>
      </c>
      <c r="N819" s="122" t="s">
        <v>30</v>
      </c>
    </row>
    <row r="820" spans="2:14" s="9" customFormat="1" hidden="1" x14ac:dyDescent="0.25">
      <c r="B820" s="120">
        <v>817</v>
      </c>
      <c r="C820" s="122">
        <v>20392889231</v>
      </c>
      <c r="D820" s="125" t="s">
        <v>4707</v>
      </c>
      <c r="E820" s="125" t="s">
        <v>4708</v>
      </c>
      <c r="F820" s="122" t="s">
        <v>30</v>
      </c>
      <c r="G820" s="122" t="s">
        <v>30</v>
      </c>
      <c r="H820" s="122" t="s">
        <v>45</v>
      </c>
      <c r="I820" s="125" t="s">
        <v>1809</v>
      </c>
      <c r="J820" s="129" t="s">
        <v>4709</v>
      </c>
      <c r="K820" s="122" t="s">
        <v>4710</v>
      </c>
      <c r="L820" s="122" t="s">
        <v>57</v>
      </c>
      <c r="M820" s="133" t="s">
        <v>4711</v>
      </c>
      <c r="N820" s="122" t="s">
        <v>30</v>
      </c>
    </row>
    <row r="821" spans="2:14" s="9" customFormat="1" hidden="1" x14ac:dyDescent="0.25">
      <c r="B821" s="120">
        <v>818</v>
      </c>
      <c r="C821" s="122">
        <v>20496029799</v>
      </c>
      <c r="D821" s="125" t="s">
        <v>4704</v>
      </c>
      <c r="E821" s="125" t="s">
        <v>4705</v>
      </c>
      <c r="F821" s="122" t="s">
        <v>285</v>
      </c>
      <c r="G821" s="122" t="s">
        <v>286</v>
      </c>
      <c r="H821" s="122" t="s">
        <v>286</v>
      </c>
      <c r="I821" s="125" t="s">
        <v>1424</v>
      </c>
      <c r="J821" s="129" t="s">
        <v>8220</v>
      </c>
      <c r="K821" s="122" t="s">
        <v>4706</v>
      </c>
      <c r="L821" s="122" t="s">
        <v>42</v>
      </c>
      <c r="M821" s="133" t="s">
        <v>845</v>
      </c>
      <c r="N821" s="122" t="s">
        <v>845</v>
      </c>
    </row>
    <row r="822" spans="2:14" s="9" customFormat="1" hidden="1" x14ac:dyDescent="0.25">
      <c r="B822" s="120">
        <v>819</v>
      </c>
      <c r="C822" s="122">
        <v>20538694089</v>
      </c>
      <c r="D822" s="125" t="s">
        <v>4698</v>
      </c>
      <c r="E822" s="125" t="s">
        <v>4699</v>
      </c>
      <c r="F822" s="122" t="s">
        <v>30</v>
      </c>
      <c r="G822" s="122" t="s">
        <v>30</v>
      </c>
      <c r="H822" s="122" t="s">
        <v>45</v>
      </c>
      <c r="I822" s="125" t="s">
        <v>1412</v>
      </c>
      <c r="J822" s="129" t="s">
        <v>8232</v>
      </c>
      <c r="K822" s="122" t="s">
        <v>4703</v>
      </c>
      <c r="L822" s="122" t="s">
        <v>36</v>
      </c>
      <c r="M822" s="133" t="s">
        <v>4702</v>
      </c>
      <c r="N822" s="122" t="s">
        <v>30</v>
      </c>
    </row>
    <row r="823" spans="2:14" s="9" customFormat="1" hidden="1" x14ac:dyDescent="0.25">
      <c r="B823" s="120">
        <v>820</v>
      </c>
      <c r="C823" s="122">
        <v>20538694089</v>
      </c>
      <c r="D823" s="125" t="s">
        <v>4698</v>
      </c>
      <c r="E823" s="125" t="s">
        <v>4699</v>
      </c>
      <c r="F823" s="122" t="s">
        <v>30</v>
      </c>
      <c r="G823" s="122" t="s">
        <v>30</v>
      </c>
      <c r="H823" s="122" t="s">
        <v>45</v>
      </c>
      <c r="I823" s="125" t="s">
        <v>1412</v>
      </c>
      <c r="J823" s="129" t="s">
        <v>4700</v>
      </c>
      <c r="K823" s="122" t="s">
        <v>4701</v>
      </c>
      <c r="L823" s="122" t="s">
        <v>42</v>
      </c>
      <c r="M823" s="133" t="s">
        <v>4702</v>
      </c>
      <c r="N823" s="122" t="s">
        <v>30</v>
      </c>
    </row>
    <row r="824" spans="2:14" s="9" customFormat="1" hidden="1" x14ac:dyDescent="0.25">
      <c r="B824" s="120">
        <v>821</v>
      </c>
      <c r="C824" s="122">
        <v>20601187389</v>
      </c>
      <c r="D824" s="125" t="s">
        <v>405</v>
      </c>
      <c r="E824" s="125" t="s">
        <v>4694</v>
      </c>
      <c r="F824" s="122" t="s">
        <v>30</v>
      </c>
      <c r="G824" s="122" t="s">
        <v>30</v>
      </c>
      <c r="H824" s="122" t="s">
        <v>50</v>
      </c>
      <c r="I824" s="125" t="s">
        <v>1737</v>
      </c>
      <c r="J824" s="129" t="s">
        <v>4695</v>
      </c>
      <c r="K824" s="122" t="s">
        <v>4696</v>
      </c>
      <c r="L824" s="122" t="s">
        <v>42</v>
      </c>
      <c r="M824" s="133" t="s">
        <v>4697</v>
      </c>
      <c r="N824" s="122" t="s">
        <v>30</v>
      </c>
    </row>
    <row r="825" spans="2:14" s="9" customFormat="1" hidden="1" x14ac:dyDescent="0.25">
      <c r="B825" s="120">
        <v>822</v>
      </c>
      <c r="C825" s="122">
        <v>20547480601</v>
      </c>
      <c r="D825" s="125" t="s">
        <v>1060</v>
      </c>
      <c r="E825" s="125" t="s">
        <v>4691</v>
      </c>
      <c r="F825" s="122" t="s">
        <v>30</v>
      </c>
      <c r="G825" s="122" t="s">
        <v>30</v>
      </c>
      <c r="H825" s="122" t="s">
        <v>72</v>
      </c>
      <c r="I825" s="125" t="s">
        <v>1374</v>
      </c>
      <c r="J825" s="129" t="s">
        <v>4692</v>
      </c>
      <c r="K825" s="122" t="s">
        <v>4693</v>
      </c>
      <c r="L825" s="122" t="s">
        <v>42</v>
      </c>
      <c r="M825" s="133" t="s">
        <v>845</v>
      </c>
      <c r="N825" s="122" t="s">
        <v>845</v>
      </c>
    </row>
    <row r="826" spans="2:14" s="9" customFormat="1" hidden="1" x14ac:dyDescent="0.25">
      <c r="B826" s="120">
        <v>823</v>
      </c>
      <c r="C826" s="122">
        <v>20522095797</v>
      </c>
      <c r="D826" s="125" t="s">
        <v>1128</v>
      </c>
      <c r="E826" s="125" t="s">
        <v>4688</v>
      </c>
      <c r="F826" s="122" t="s">
        <v>30</v>
      </c>
      <c r="G826" s="122" t="s">
        <v>30</v>
      </c>
      <c r="H826" s="122" t="s">
        <v>45</v>
      </c>
      <c r="I826" s="125" t="s">
        <v>1809</v>
      </c>
      <c r="J826" s="129" t="s">
        <v>4689</v>
      </c>
      <c r="K826" s="122" t="s">
        <v>4690</v>
      </c>
      <c r="L826" s="122" t="s">
        <v>42</v>
      </c>
      <c r="M826" s="133" t="s">
        <v>7742</v>
      </c>
      <c r="N826" s="122" t="s">
        <v>30</v>
      </c>
    </row>
    <row r="827" spans="2:14" s="9" customFormat="1" hidden="1" x14ac:dyDescent="0.25">
      <c r="B827" s="120">
        <v>824</v>
      </c>
      <c r="C827" s="122">
        <v>20546814298</v>
      </c>
      <c r="D827" s="125" t="s">
        <v>1119</v>
      </c>
      <c r="E827" s="125" t="s">
        <v>4685</v>
      </c>
      <c r="F827" s="122" t="s">
        <v>30</v>
      </c>
      <c r="G827" s="122" t="s">
        <v>30</v>
      </c>
      <c r="H827" s="122" t="s">
        <v>43</v>
      </c>
      <c r="I827" s="125" t="s">
        <v>2446</v>
      </c>
      <c r="J827" s="129" t="s">
        <v>8169</v>
      </c>
      <c r="K827" s="122" t="s">
        <v>4687</v>
      </c>
      <c r="L827" s="122" t="s">
        <v>209</v>
      </c>
      <c r="M827" s="133" t="s">
        <v>7743</v>
      </c>
      <c r="N827" s="122" t="s">
        <v>30</v>
      </c>
    </row>
    <row r="828" spans="2:14" s="9" customFormat="1" hidden="1" x14ac:dyDescent="0.25">
      <c r="B828" s="120">
        <v>825</v>
      </c>
      <c r="C828" s="122">
        <v>20546814298</v>
      </c>
      <c r="D828" s="125" t="s">
        <v>1119</v>
      </c>
      <c r="E828" s="125" t="s">
        <v>4685</v>
      </c>
      <c r="F828" s="122" t="s">
        <v>30</v>
      </c>
      <c r="G828" s="122" t="s">
        <v>30</v>
      </c>
      <c r="H828" s="122" t="s">
        <v>43</v>
      </c>
      <c r="I828" s="125" t="s">
        <v>2446</v>
      </c>
      <c r="J828" s="129" t="s">
        <v>8168</v>
      </c>
      <c r="K828" s="122" t="s">
        <v>4686</v>
      </c>
      <c r="L828" s="122" t="s">
        <v>42</v>
      </c>
      <c r="M828" s="133" t="s">
        <v>7743</v>
      </c>
      <c r="N828" s="122" t="s">
        <v>30</v>
      </c>
    </row>
    <row r="829" spans="2:14" s="9" customFormat="1" hidden="1" x14ac:dyDescent="0.25">
      <c r="B829" s="120">
        <v>826</v>
      </c>
      <c r="C829" s="122">
        <v>20602041230</v>
      </c>
      <c r="D829" s="125" t="s">
        <v>4674</v>
      </c>
      <c r="E829" s="125" t="s">
        <v>4675</v>
      </c>
      <c r="F829" s="122" t="s">
        <v>67</v>
      </c>
      <c r="G829" s="122" t="s">
        <v>67</v>
      </c>
      <c r="H829" s="122" t="s">
        <v>94</v>
      </c>
      <c r="I829" s="125" t="s">
        <v>1374</v>
      </c>
      <c r="J829" s="129" t="s">
        <v>8241</v>
      </c>
      <c r="K829" s="122" t="s">
        <v>4676</v>
      </c>
      <c r="L829" s="122" t="s">
        <v>42</v>
      </c>
      <c r="M829" s="133" t="s">
        <v>4677</v>
      </c>
      <c r="N829" s="122" t="s">
        <v>67</v>
      </c>
    </row>
    <row r="830" spans="2:14" s="9" customFormat="1" hidden="1" x14ac:dyDescent="0.25">
      <c r="B830" s="120">
        <v>827</v>
      </c>
      <c r="C830" s="122">
        <v>20600597745</v>
      </c>
      <c r="D830" s="125" t="s">
        <v>4670</v>
      </c>
      <c r="E830" s="125" t="s">
        <v>4671</v>
      </c>
      <c r="F830" s="122" t="s">
        <v>30</v>
      </c>
      <c r="G830" s="122" t="s">
        <v>30</v>
      </c>
      <c r="H830" s="122" t="s">
        <v>60</v>
      </c>
      <c r="I830" s="125" t="s">
        <v>1395</v>
      </c>
      <c r="J830" s="129" t="s">
        <v>8242</v>
      </c>
      <c r="K830" s="122" t="s">
        <v>4672</v>
      </c>
      <c r="L830" s="122" t="s">
        <v>42</v>
      </c>
      <c r="M830" s="133" t="s">
        <v>4673</v>
      </c>
      <c r="N830" s="122" t="s">
        <v>30</v>
      </c>
    </row>
    <row r="831" spans="2:14" s="9" customFormat="1" hidden="1" x14ac:dyDescent="0.25">
      <c r="B831" s="120">
        <v>828</v>
      </c>
      <c r="C831" s="122">
        <v>20600424026</v>
      </c>
      <c r="D831" s="125" t="s">
        <v>3492</v>
      </c>
      <c r="E831" s="125" t="s">
        <v>4666</v>
      </c>
      <c r="F831" s="122" t="s">
        <v>30</v>
      </c>
      <c r="G831" s="122" t="s">
        <v>30</v>
      </c>
      <c r="H831" s="122" t="s">
        <v>52</v>
      </c>
      <c r="I831" s="125" t="s">
        <v>2803</v>
      </c>
      <c r="J831" s="129" t="s">
        <v>4667</v>
      </c>
      <c r="K831" s="122" t="s">
        <v>4668</v>
      </c>
      <c r="L831" s="122" t="s">
        <v>42</v>
      </c>
      <c r="M831" s="133" t="s">
        <v>4669</v>
      </c>
      <c r="N831" s="122" t="s">
        <v>30</v>
      </c>
    </row>
    <row r="832" spans="2:14" s="9" customFormat="1" hidden="1" x14ac:dyDescent="0.25">
      <c r="B832" s="120">
        <v>829</v>
      </c>
      <c r="C832" s="122">
        <v>20332148550</v>
      </c>
      <c r="D832" s="125" t="s">
        <v>4660</v>
      </c>
      <c r="E832" s="125" t="s">
        <v>4661</v>
      </c>
      <c r="F832" s="122" t="s">
        <v>30</v>
      </c>
      <c r="G832" s="122" t="s">
        <v>30</v>
      </c>
      <c r="H832" s="122" t="s">
        <v>45</v>
      </c>
      <c r="I832" s="125" t="s">
        <v>1384</v>
      </c>
      <c r="J832" s="129" t="s">
        <v>4662</v>
      </c>
      <c r="K832" s="122" t="s">
        <v>4663</v>
      </c>
      <c r="L832" s="122" t="s">
        <v>4664</v>
      </c>
      <c r="M832" s="133" t="s">
        <v>4665</v>
      </c>
      <c r="N832" s="122" t="s">
        <v>30</v>
      </c>
    </row>
    <row r="833" spans="2:14" s="9" customFormat="1" hidden="1" x14ac:dyDescent="0.25">
      <c r="B833" s="120">
        <v>830</v>
      </c>
      <c r="C833" s="122">
        <v>20333794803</v>
      </c>
      <c r="D833" s="125" t="s">
        <v>4655</v>
      </c>
      <c r="E833" s="125" t="s">
        <v>4656</v>
      </c>
      <c r="F833" s="122" t="s">
        <v>30</v>
      </c>
      <c r="G833" s="122" t="s">
        <v>30</v>
      </c>
      <c r="H833" s="122" t="s">
        <v>30</v>
      </c>
      <c r="I833" s="125" t="s">
        <v>1619</v>
      </c>
      <c r="J833" s="129" t="s">
        <v>4657</v>
      </c>
      <c r="K833" s="122" t="s">
        <v>4658</v>
      </c>
      <c r="L833" s="122" t="s">
        <v>42</v>
      </c>
      <c r="M833" s="133" t="s">
        <v>4659</v>
      </c>
      <c r="N833" s="122" t="s">
        <v>30</v>
      </c>
    </row>
    <row r="834" spans="2:14" s="9" customFormat="1" hidden="1" x14ac:dyDescent="0.25">
      <c r="B834" s="120">
        <v>831</v>
      </c>
      <c r="C834" s="122">
        <v>20602346227</v>
      </c>
      <c r="D834" s="125" t="s">
        <v>3563</v>
      </c>
      <c r="E834" s="125" t="s">
        <v>4651</v>
      </c>
      <c r="F834" s="122" t="s">
        <v>30</v>
      </c>
      <c r="G834" s="122" t="s">
        <v>30</v>
      </c>
      <c r="H834" s="122" t="s">
        <v>72</v>
      </c>
      <c r="I834" s="125" t="s">
        <v>1961</v>
      </c>
      <c r="J834" s="129" t="s">
        <v>4652</v>
      </c>
      <c r="K834" s="122" t="s">
        <v>4653</v>
      </c>
      <c r="L834" s="122" t="s">
        <v>57</v>
      </c>
      <c r="M834" s="133" t="s">
        <v>4654</v>
      </c>
      <c r="N834" s="122" t="s">
        <v>30</v>
      </c>
    </row>
    <row r="835" spans="2:14" s="9" customFormat="1" hidden="1" x14ac:dyDescent="0.25">
      <c r="B835" s="120">
        <v>832</v>
      </c>
      <c r="C835" s="122">
        <v>20522333132</v>
      </c>
      <c r="D835" s="125" t="s">
        <v>4646</v>
      </c>
      <c r="E835" s="125" t="s">
        <v>4647</v>
      </c>
      <c r="F835" s="122" t="s">
        <v>30</v>
      </c>
      <c r="G835" s="122" t="s">
        <v>30</v>
      </c>
      <c r="H835" s="122" t="s">
        <v>72</v>
      </c>
      <c r="I835" s="125" t="s">
        <v>1377</v>
      </c>
      <c r="J835" s="129" t="s">
        <v>4648</v>
      </c>
      <c r="K835" s="122" t="s">
        <v>4649</v>
      </c>
      <c r="L835" s="122" t="s">
        <v>42</v>
      </c>
      <c r="M835" s="133" t="s">
        <v>4650</v>
      </c>
      <c r="N835" s="122" t="s">
        <v>30</v>
      </c>
    </row>
    <row r="836" spans="2:14" s="9" customFormat="1" hidden="1" x14ac:dyDescent="0.25">
      <c r="B836" s="120">
        <v>833</v>
      </c>
      <c r="C836" s="122">
        <v>20610946705</v>
      </c>
      <c r="D836" s="125" t="s">
        <v>4643</v>
      </c>
      <c r="E836" s="125" t="s">
        <v>4644</v>
      </c>
      <c r="F836" s="122" t="s">
        <v>30</v>
      </c>
      <c r="G836" s="122" t="s">
        <v>30</v>
      </c>
      <c r="H836" s="122" t="s">
        <v>34</v>
      </c>
      <c r="I836" s="125" t="s">
        <v>1377</v>
      </c>
      <c r="J836" s="129" t="s">
        <v>8248</v>
      </c>
      <c r="K836" s="122" t="s">
        <v>4645</v>
      </c>
      <c r="L836" s="122" t="s">
        <v>57</v>
      </c>
      <c r="M836" s="133" t="s">
        <v>845</v>
      </c>
      <c r="N836" s="122" t="s">
        <v>845</v>
      </c>
    </row>
    <row r="837" spans="2:14" s="9" customFormat="1" hidden="1" x14ac:dyDescent="0.25">
      <c r="B837" s="120">
        <v>834</v>
      </c>
      <c r="C837" s="122">
        <v>20254356051</v>
      </c>
      <c r="D837" s="125" t="s">
        <v>4639</v>
      </c>
      <c r="E837" s="125" t="s">
        <v>4640</v>
      </c>
      <c r="F837" s="122" t="s">
        <v>30</v>
      </c>
      <c r="G837" s="122" t="s">
        <v>30</v>
      </c>
      <c r="H837" s="122" t="s">
        <v>75</v>
      </c>
      <c r="I837" s="125" t="s">
        <v>1694</v>
      </c>
      <c r="J837" s="129" t="s">
        <v>4641</v>
      </c>
      <c r="K837" s="122" t="s">
        <v>4642</v>
      </c>
      <c r="L837" s="122" t="s">
        <v>36</v>
      </c>
      <c r="M837" s="133" t="s">
        <v>845</v>
      </c>
      <c r="N837" s="122" t="s">
        <v>845</v>
      </c>
    </row>
    <row r="838" spans="2:14" s="9" customFormat="1" hidden="1" x14ac:dyDescent="0.25">
      <c r="B838" s="120">
        <v>835</v>
      </c>
      <c r="C838" s="122">
        <v>20606587024</v>
      </c>
      <c r="D838" s="125" t="s">
        <v>4634</v>
      </c>
      <c r="E838" s="125" t="s">
        <v>4635</v>
      </c>
      <c r="F838" s="122" t="s">
        <v>30</v>
      </c>
      <c r="G838" s="122" t="s">
        <v>30</v>
      </c>
      <c r="H838" s="122" t="s">
        <v>40</v>
      </c>
      <c r="I838" s="125" t="s">
        <v>1701</v>
      </c>
      <c r="J838" s="129" t="s">
        <v>4636</v>
      </c>
      <c r="K838" s="122" t="s">
        <v>4637</v>
      </c>
      <c r="L838" s="122" t="s">
        <v>42</v>
      </c>
      <c r="M838" s="133" t="s">
        <v>4638</v>
      </c>
      <c r="N838" s="122" t="s">
        <v>30</v>
      </c>
    </row>
    <row r="839" spans="2:14" s="9" customFormat="1" hidden="1" x14ac:dyDescent="0.25">
      <c r="B839" s="120">
        <v>836</v>
      </c>
      <c r="C839" s="122">
        <v>20606271973</v>
      </c>
      <c r="D839" s="125" t="s">
        <v>448</v>
      </c>
      <c r="E839" s="125" t="s">
        <v>4630</v>
      </c>
      <c r="F839" s="122" t="s">
        <v>30</v>
      </c>
      <c r="G839" s="122" t="s">
        <v>30</v>
      </c>
      <c r="H839" s="122" t="s">
        <v>51</v>
      </c>
      <c r="I839" s="125" t="s">
        <v>1424</v>
      </c>
      <c r="J839" s="129" t="s">
        <v>4631</v>
      </c>
      <c r="K839" s="122" t="s">
        <v>4632</v>
      </c>
      <c r="L839" s="122" t="s">
        <v>42</v>
      </c>
      <c r="M839" s="133" t="s">
        <v>4633</v>
      </c>
      <c r="N839" s="122" t="s">
        <v>30</v>
      </c>
    </row>
    <row r="840" spans="2:14" s="9" customFormat="1" hidden="1" x14ac:dyDescent="0.25">
      <c r="B840" s="120">
        <v>837</v>
      </c>
      <c r="C840" s="122">
        <v>10403026382</v>
      </c>
      <c r="D840" s="125" t="s">
        <v>4627</v>
      </c>
      <c r="E840" s="125" t="s">
        <v>4628</v>
      </c>
      <c r="F840" s="122" t="s">
        <v>30</v>
      </c>
      <c r="G840" s="122" t="s">
        <v>30</v>
      </c>
      <c r="H840" s="122" t="s">
        <v>30</v>
      </c>
      <c r="I840" s="125" t="s">
        <v>1595</v>
      </c>
      <c r="J840" s="129" t="s">
        <v>8249</v>
      </c>
      <c r="K840" s="122" t="s">
        <v>4629</v>
      </c>
      <c r="L840" s="122" t="s">
        <v>100</v>
      </c>
      <c r="M840" s="133" t="s">
        <v>845</v>
      </c>
      <c r="N840" s="122" t="s">
        <v>845</v>
      </c>
    </row>
    <row r="841" spans="2:14" s="9" customFormat="1" hidden="1" x14ac:dyDescent="0.25">
      <c r="B841" s="120">
        <v>838</v>
      </c>
      <c r="C841" s="122">
        <v>20600068319</v>
      </c>
      <c r="D841" s="125" t="s">
        <v>63</v>
      </c>
      <c r="E841" s="125" t="s">
        <v>4623</v>
      </c>
      <c r="F841" s="122" t="s">
        <v>30</v>
      </c>
      <c r="G841" s="122" t="s">
        <v>30</v>
      </c>
      <c r="H841" s="122" t="s">
        <v>39</v>
      </c>
      <c r="I841" s="125" t="s">
        <v>1809</v>
      </c>
      <c r="J841" s="129" t="s">
        <v>4624</v>
      </c>
      <c r="K841" s="122" t="s">
        <v>4625</v>
      </c>
      <c r="L841" s="122" t="s">
        <v>42</v>
      </c>
      <c r="M841" s="133" t="s">
        <v>4626</v>
      </c>
      <c r="N841" s="122" t="s">
        <v>30</v>
      </c>
    </row>
    <row r="842" spans="2:14" s="9" customFormat="1" hidden="1" x14ac:dyDescent="0.25">
      <c r="B842" s="120">
        <v>839</v>
      </c>
      <c r="C842" s="122">
        <v>20611126205</v>
      </c>
      <c r="D842" s="125" t="s">
        <v>4618</v>
      </c>
      <c r="E842" s="125" t="s">
        <v>4619</v>
      </c>
      <c r="F842" s="122" t="s">
        <v>30</v>
      </c>
      <c r="G842" s="122" t="s">
        <v>30</v>
      </c>
      <c r="H842" s="122" t="s">
        <v>37</v>
      </c>
      <c r="I842" s="125" t="s">
        <v>1377</v>
      </c>
      <c r="J842" s="129" t="s">
        <v>4620</v>
      </c>
      <c r="K842" s="122" t="s">
        <v>4621</v>
      </c>
      <c r="L842" s="122" t="s">
        <v>42</v>
      </c>
      <c r="M842" s="133" t="s">
        <v>4622</v>
      </c>
      <c r="N842" s="122" t="s">
        <v>30</v>
      </c>
    </row>
    <row r="843" spans="2:14" s="9" customFormat="1" hidden="1" x14ac:dyDescent="0.25">
      <c r="B843" s="120">
        <v>840</v>
      </c>
      <c r="C843" s="122">
        <v>20550849551</v>
      </c>
      <c r="D843" s="125" t="s">
        <v>3641</v>
      </c>
      <c r="E843" s="125" t="s">
        <v>4612</v>
      </c>
      <c r="F843" s="122" t="s">
        <v>30</v>
      </c>
      <c r="G843" s="122" t="s">
        <v>30</v>
      </c>
      <c r="H843" s="122" t="s">
        <v>35</v>
      </c>
      <c r="I843" s="125" t="s">
        <v>1377</v>
      </c>
      <c r="J843" s="129" t="s">
        <v>4616</v>
      </c>
      <c r="K843" s="122" t="s">
        <v>4617</v>
      </c>
      <c r="L843" s="122" t="s">
        <v>209</v>
      </c>
      <c r="M843" s="133" t="s">
        <v>4615</v>
      </c>
      <c r="N843" s="122" t="s">
        <v>30</v>
      </c>
    </row>
    <row r="844" spans="2:14" s="9" customFormat="1" hidden="1" x14ac:dyDescent="0.25">
      <c r="B844" s="120">
        <v>841</v>
      </c>
      <c r="C844" s="122">
        <v>20550849551</v>
      </c>
      <c r="D844" s="125" t="s">
        <v>3641</v>
      </c>
      <c r="E844" s="125" t="s">
        <v>4612</v>
      </c>
      <c r="F844" s="122" t="s">
        <v>30</v>
      </c>
      <c r="G844" s="122" t="s">
        <v>30</v>
      </c>
      <c r="H844" s="122" t="s">
        <v>35</v>
      </c>
      <c r="I844" s="125" t="s">
        <v>1377</v>
      </c>
      <c r="J844" s="129" t="s">
        <v>4613</v>
      </c>
      <c r="K844" s="122" t="s">
        <v>4614</v>
      </c>
      <c r="L844" s="122" t="s">
        <v>42</v>
      </c>
      <c r="M844" s="133" t="s">
        <v>4615</v>
      </c>
      <c r="N844" s="122" t="s">
        <v>30</v>
      </c>
    </row>
    <row r="845" spans="2:14" s="9" customFormat="1" hidden="1" x14ac:dyDescent="0.25">
      <c r="B845" s="120">
        <v>842</v>
      </c>
      <c r="C845" s="122">
        <v>20606386177</v>
      </c>
      <c r="D845" s="125" t="s">
        <v>4609</v>
      </c>
      <c r="E845" s="125" t="s">
        <v>4610</v>
      </c>
      <c r="F845" s="122" t="s">
        <v>30</v>
      </c>
      <c r="G845" s="122" t="s">
        <v>30</v>
      </c>
      <c r="H845" s="122" t="s">
        <v>45</v>
      </c>
      <c r="I845" s="125" t="s">
        <v>1424</v>
      </c>
      <c r="J845" s="129" t="s">
        <v>8172</v>
      </c>
      <c r="K845" s="122" t="s">
        <v>4611</v>
      </c>
      <c r="L845" s="122" t="s">
        <v>42</v>
      </c>
      <c r="M845" s="133" t="s">
        <v>845</v>
      </c>
      <c r="N845" s="122" t="s">
        <v>845</v>
      </c>
    </row>
    <row r="846" spans="2:14" s="9" customFormat="1" hidden="1" x14ac:dyDescent="0.25">
      <c r="B846" s="120">
        <v>843</v>
      </c>
      <c r="C846" s="122">
        <v>20563563479</v>
      </c>
      <c r="D846" s="125" t="s">
        <v>4603</v>
      </c>
      <c r="E846" s="125" t="s">
        <v>4604</v>
      </c>
      <c r="F846" s="122" t="s">
        <v>30</v>
      </c>
      <c r="G846" s="122" t="s">
        <v>30</v>
      </c>
      <c r="H846" s="122" t="s">
        <v>79</v>
      </c>
      <c r="I846" s="125" t="s">
        <v>1957</v>
      </c>
      <c r="J846" s="129" t="s">
        <v>8201</v>
      </c>
      <c r="K846" s="122" t="s">
        <v>8202</v>
      </c>
      <c r="L846" s="131" t="s">
        <v>209</v>
      </c>
      <c r="M846" s="133" t="s">
        <v>4606</v>
      </c>
      <c r="N846" s="122" t="s">
        <v>30</v>
      </c>
    </row>
    <row r="847" spans="2:14" s="9" customFormat="1" hidden="1" x14ac:dyDescent="0.25">
      <c r="B847" s="120">
        <v>844</v>
      </c>
      <c r="C847" s="122">
        <v>20563563479</v>
      </c>
      <c r="D847" s="125" t="s">
        <v>4603</v>
      </c>
      <c r="E847" s="125" t="s">
        <v>4604</v>
      </c>
      <c r="F847" s="122" t="s">
        <v>30</v>
      </c>
      <c r="G847" s="122" t="s">
        <v>30</v>
      </c>
      <c r="H847" s="122" t="s">
        <v>79</v>
      </c>
      <c r="I847" s="125" t="s">
        <v>1957</v>
      </c>
      <c r="J847" s="129" t="s">
        <v>4596</v>
      </c>
      <c r="K847" s="122" t="s">
        <v>4605</v>
      </c>
      <c r="L847" s="122" t="s">
        <v>42</v>
      </c>
      <c r="M847" s="133" t="s">
        <v>4606</v>
      </c>
      <c r="N847" s="122" t="s">
        <v>30</v>
      </c>
    </row>
    <row r="848" spans="2:14" s="9" customFormat="1" hidden="1" x14ac:dyDescent="0.25">
      <c r="B848" s="120">
        <v>845</v>
      </c>
      <c r="C848" s="122">
        <v>20603040318</v>
      </c>
      <c r="D848" s="125" t="s">
        <v>4599</v>
      </c>
      <c r="E848" s="125" t="s">
        <v>4600</v>
      </c>
      <c r="F848" s="122" t="s">
        <v>30</v>
      </c>
      <c r="G848" s="122" t="s">
        <v>30</v>
      </c>
      <c r="H848" s="122" t="s">
        <v>30</v>
      </c>
      <c r="I848" s="125" t="s">
        <v>1561</v>
      </c>
      <c r="J848" s="129" t="s">
        <v>8244</v>
      </c>
      <c r="K848" s="122" t="s">
        <v>4601</v>
      </c>
      <c r="L848" s="122" t="s">
        <v>57</v>
      </c>
      <c r="M848" s="133" t="s">
        <v>4602</v>
      </c>
      <c r="N848" s="122" t="s">
        <v>30</v>
      </c>
    </row>
    <row r="849" spans="2:14" s="9" customFormat="1" hidden="1" x14ac:dyDescent="0.25">
      <c r="B849" s="120">
        <v>846</v>
      </c>
      <c r="C849" s="122">
        <v>20521990776</v>
      </c>
      <c r="D849" s="125" t="s">
        <v>4594</v>
      </c>
      <c r="E849" s="125" t="s">
        <v>4595</v>
      </c>
      <c r="F849" s="122" t="s">
        <v>30</v>
      </c>
      <c r="G849" s="122" t="s">
        <v>30</v>
      </c>
      <c r="H849" s="122" t="s">
        <v>72</v>
      </c>
      <c r="I849" s="125" t="s">
        <v>1551</v>
      </c>
      <c r="J849" s="129" t="s">
        <v>4596</v>
      </c>
      <c r="K849" s="122" t="s">
        <v>4597</v>
      </c>
      <c r="L849" s="122" t="s">
        <v>42</v>
      </c>
      <c r="M849" s="133" t="s">
        <v>4598</v>
      </c>
      <c r="N849" s="122" t="s">
        <v>30</v>
      </c>
    </row>
    <row r="850" spans="2:14" s="9" customFormat="1" hidden="1" x14ac:dyDescent="0.25">
      <c r="B850" s="120">
        <v>847</v>
      </c>
      <c r="C850" s="122">
        <v>20606862556</v>
      </c>
      <c r="D850" s="125" t="s">
        <v>4585</v>
      </c>
      <c r="E850" s="125" t="s">
        <v>4586</v>
      </c>
      <c r="F850" s="122" t="s">
        <v>30</v>
      </c>
      <c r="G850" s="122" t="s">
        <v>30</v>
      </c>
      <c r="H850" s="122" t="s">
        <v>80</v>
      </c>
      <c r="I850" s="125" t="s">
        <v>1974</v>
      </c>
      <c r="J850" s="129" t="s">
        <v>4592</v>
      </c>
      <c r="K850" s="122" t="s">
        <v>4593</v>
      </c>
      <c r="L850" s="122" t="s">
        <v>42</v>
      </c>
      <c r="M850" s="133" t="s">
        <v>4589</v>
      </c>
      <c r="N850" s="122" t="s">
        <v>30</v>
      </c>
    </row>
    <row r="851" spans="2:14" s="9" customFormat="1" hidden="1" x14ac:dyDescent="0.25">
      <c r="B851" s="120">
        <v>848</v>
      </c>
      <c r="C851" s="122">
        <v>20606862556</v>
      </c>
      <c r="D851" s="125" t="s">
        <v>4585</v>
      </c>
      <c r="E851" s="125" t="s">
        <v>4586</v>
      </c>
      <c r="F851" s="122" t="s">
        <v>30</v>
      </c>
      <c r="G851" s="122" t="s">
        <v>30</v>
      </c>
      <c r="H851" s="122" t="s">
        <v>80</v>
      </c>
      <c r="I851" s="125" t="s">
        <v>1974</v>
      </c>
      <c r="J851" s="129" t="s">
        <v>4590</v>
      </c>
      <c r="K851" s="122" t="s">
        <v>8160</v>
      </c>
      <c r="L851" s="122" t="s">
        <v>209</v>
      </c>
      <c r="M851" s="133" t="s">
        <v>4589</v>
      </c>
      <c r="N851" s="122" t="s">
        <v>30</v>
      </c>
    </row>
    <row r="852" spans="2:14" s="9" customFormat="1" hidden="1" x14ac:dyDescent="0.25">
      <c r="B852" s="120">
        <v>849</v>
      </c>
      <c r="C852" s="122">
        <v>20606862556</v>
      </c>
      <c r="D852" s="125" t="s">
        <v>4585</v>
      </c>
      <c r="E852" s="125" t="s">
        <v>4586</v>
      </c>
      <c r="F852" s="122" t="s">
        <v>30</v>
      </c>
      <c r="G852" s="122" t="s">
        <v>30</v>
      </c>
      <c r="H852" s="122" t="s">
        <v>80</v>
      </c>
      <c r="I852" s="125" t="s">
        <v>1974</v>
      </c>
      <c r="J852" s="129" t="s">
        <v>8161</v>
      </c>
      <c r="K852" s="122" t="s">
        <v>4591</v>
      </c>
      <c r="L852" s="122" t="s">
        <v>209</v>
      </c>
      <c r="M852" s="133" t="s">
        <v>4589</v>
      </c>
      <c r="N852" s="122" t="s">
        <v>30</v>
      </c>
    </row>
    <row r="853" spans="2:14" s="9" customFormat="1" hidden="1" x14ac:dyDescent="0.25">
      <c r="B853" s="120">
        <v>850</v>
      </c>
      <c r="C853" s="122">
        <v>20606862556</v>
      </c>
      <c r="D853" s="125" t="s">
        <v>4585</v>
      </c>
      <c r="E853" s="125" t="s">
        <v>4586</v>
      </c>
      <c r="F853" s="122" t="s">
        <v>30</v>
      </c>
      <c r="G853" s="122" t="s">
        <v>30</v>
      </c>
      <c r="H853" s="122" t="s">
        <v>80</v>
      </c>
      <c r="I853" s="125" t="s">
        <v>1974</v>
      </c>
      <c r="J853" s="129" t="s">
        <v>4587</v>
      </c>
      <c r="K853" s="122" t="s">
        <v>4588</v>
      </c>
      <c r="L853" s="122" t="s">
        <v>209</v>
      </c>
      <c r="M853" s="133" t="s">
        <v>4589</v>
      </c>
      <c r="N853" s="122" t="s">
        <v>30</v>
      </c>
    </row>
    <row r="854" spans="2:14" s="9" customFormat="1" hidden="1" x14ac:dyDescent="0.25">
      <c r="B854" s="120">
        <v>851</v>
      </c>
      <c r="C854" s="122">
        <v>20603274882</v>
      </c>
      <c r="D854" s="125" t="s">
        <v>4582</v>
      </c>
      <c r="E854" s="125" t="s">
        <v>4583</v>
      </c>
      <c r="F854" s="122" t="s">
        <v>30</v>
      </c>
      <c r="G854" s="122" t="s">
        <v>30</v>
      </c>
      <c r="H854" s="122" t="s">
        <v>51</v>
      </c>
      <c r="I854" s="125" t="s">
        <v>1805</v>
      </c>
      <c r="J854" s="129" t="s">
        <v>8245</v>
      </c>
      <c r="K854" s="122" t="s">
        <v>4584</v>
      </c>
      <c r="L854" s="122" t="s">
        <v>42</v>
      </c>
      <c r="M854" s="133" t="s">
        <v>845</v>
      </c>
      <c r="N854" s="122" t="s">
        <v>845</v>
      </c>
    </row>
    <row r="855" spans="2:14" s="9" customFormat="1" hidden="1" x14ac:dyDescent="0.25">
      <c r="B855" s="120">
        <v>852</v>
      </c>
      <c r="C855" s="122">
        <v>20492735842</v>
      </c>
      <c r="D855" s="125" t="s">
        <v>4577</v>
      </c>
      <c r="E855" s="125" t="s">
        <v>4578</v>
      </c>
      <c r="F855" s="122" t="s">
        <v>30</v>
      </c>
      <c r="G855" s="122" t="s">
        <v>30</v>
      </c>
      <c r="H855" s="122" t="s">
        <v>1135</v>
      </c>
      <c r="I855" s="125" t="s">
        <v>1974</v>
      </c>
      <c r="J855" s="129" t="s">
        <v>4579</v>
      </c>
      <c r="K855" s="122" t="s">
        <v>4580</v>
      </c>
      <c r="L855" s="122" t="s">
        <v>42</v>
      </c>
      <c r="M855" s="133" t="s">
        <v>4581</v>
      </c>
      <c r="N855" s="122" t="s">
        <v>30</v>
      </c>
    </row>
    <row r="856" spans="2:14" s="9" customFormat="1" hidden="1" x14ac:dyDescent="0.25">
      <c r="B856" s="120">
        <v>853</v>
      </c>
      <c r="C856" s="122">
        <v>20512927239</v>
      </c>
      <c r="D856" s="125" t="s">
        <v>151</v>
      </c>
      <c r="E856" s="125" t="s">
        <v>4573</v>
      </c>
      <c r="F856" s="122" t="s">
        <v>30</v>
      </c>
      <c r="G856" s="122" t="s">
        <v>30</v>
      </c>
      <c r="H856" s="122" t="s">
        <v>152</v>
      </c>
      <c r="I856" s="125" t="s">
        <v>2446</v>
      </c>
      <c r="J856" s="129" t="s">
        <v>4574</v>
      </c>
      <c r="K856" s="122" t="s">
        <v>4575</v>
      </c>
      <c r="L856" s="122" t="s">
        <v>36</v>
      </c>
      <c r="M856" s="133" t="s">
        <v>4576</v>
      </c>
      <c r="N856" s="122" t="s">
        <v>30</v>
      </c>
    </row>
    <row r="857" spans="2:14" s="9" customFormat="1" hidden="1" x14ac:dyDescent="0.25">
      <c r="B857" s="120">
        <v>854</v>
      </c>
      <c r="C857" s="122">
        <v>20601887887</v>
      </c>
      <c r="D857" s="125" t="s">
        <v>4569</v>
      </c>
      <c r="E857" s="125" t="s">
        <v>4570</v>
      </c>
      <c r="F857" s="122" t="s">
        <v>30</v>
      </c>
      <c r="G857" s="122" t="s">
        <v>30</v>
      </c>
      <c r="H857" s="122" t="s">
        <v>45</v>
      </c>
      <c r="I857" s="125" t="s">
        <v>1374</v>
      </c>
      <c r="J857" s="129" t="s">
        <v>8250</v>
      </c>
      <c r="K857" s="122" t="s">
        <v>4571</v>
      </c>
      <c r="L857" s="122" t="s">
        <v>731</v>
      </c>
      <c r="M857" s="133" t="s">
        <v>4572</v>
      </c>
      <c r="N857" s="122" t="s">
        <v>30</v>
      </c>
    </row>
    <row r="858" spans="2:14" s="9" customFormat="1" hidden="1" x14ac:dyDescent="0.25">
      <c r="B858" s="120">
        <v>855</v>
      </c>
      <c r="C858" s="122">
        <v>20101088295</v>
      </c>
      <c r="D858" s="125" t="s">
        <v>1073</v>
      </c>
      <c r="E858" s="125" t="s">
        <v>4561</v>
      </c>
      <c r="F858" s="122" t="s">
        <v>30</v>
      </c>
      <c r="G858" s="122" t="s">
        <v>30</v>
      </c>
      <c r="H858" s="122" t="s">
        <v>135</v>
      </c>
      <c r="I858" s="125" t="s">
        <v>2078</v>
      </c>
      <c r="J858" s="129" t="s">
        <v>4567</v>
      </c>
      <c r="K858" s="122" t="s">
        <v>4568</v>
      </c>
      <c r="L858" s="122" t="s">
        <v>1558</v>
      </c>
      <c r="M858" s="133" t="s">
        <v>4564</v>
      </c>
      <c r="N858" s="122" t="s">
        <v>30</v>
      </c>
    </row>
    <row r="859" spans="2:14" s="9" customFormat="1" hidden="1" x14ac:dyDescent="0.25">
      <c r="B859" s="120">
        <v>856</v>
      </c>
      <c r="C859" s="122">
        <v>20101088295</v>
      </c>
      <c r="D859" s="125" t="s">
        <v>1073</v>
      </c>
      <c r="E859" s="125" t="s">
        <v>4561</v>
      </c>
      <c r="F859" s="122" t="s">
        <v>30</v>
      </c>
      <c r="G859" s="122" t="s">
        <v>30</v>
      </c>
      <c r="H859" s="122" t="s">
        <v>135</v>
      </c>
      <c r="I859" s="125" t="s">
        <v>2078</v>
      </c>
      <c r="J859" s="129" t="s">
        <v>4565</v>
      </c>
      <c r="K859" s="122" t="s">
        <v>4566</v>
      </c>
      <c r="L859" s="122" t="s">
        <v>1558</v>
      </c>
      <c r="M859" s="133" t="s">
        <v>4564</v>
      </c>
      <c r="N859" s="122" t="s">
        <v>30</v>
      </c>
    </row>
    <row r="860" spans="2:14" s="9" customFormat="1" hidden="1" x14ac:dyDescent="0.25">
      <c r="B860" s="120">
        <v>857</v>
      </c>
      <c r="C860" s="122">
        <v>20101088295</v>
      </c>
      <c r="D860" s="125" t="s">
        <v>1073</v>
      </c>
      <c r="E860" s="125" t="s">
        <v>4561</v>
      </c>
      <c r="F860" s="122" t="s">
        <v>30</v>
      </c>
      <c r="G860" s="122" t="s">
        <v>30</v>
      </c>
      <c r="H860" s="122" t="s">
        <v>135</v>
      </c>
      <c r="I860" s="125" t="s">
        <v>2078</v>
      </c>
      <c r="J860" s="129" t="s">
        <v>4562</v>
      </c>
      <c r="K860" s="122" t="s">
        <v>4563</v>
      </c>
      <c r="L860" s="122" t="s">
        <v>731</v>
      </c>
      <c r="M860" s="133" t="s">
        <v>4564</v>
      </c>
      <c r="N860" s="122" t="s">
        <v>30</v>
      </c>
    </row>
    <row r="861" spans="2:14" s="9" customFormat="1" hidden="1" x14ac:dyDescent="0.25">
      <c r="B861" s="120">
        <v>858</v>
      </c>
      <c r="C861" s="122">
        <v>20563232791</v>
      </c>
      <c r="D861" s="125" t="s">
        <v>4547</v>
      </c>
      <c r="E861" s="125" t="s">
        <v>4548</v>
      </c>
      <c r="F861" s="122" t="s">
        <v>30</v>
      </c>
      <c r="G861" s="122" t="s">
        <v>30</v>
      </c>
      <c r="H861" s="122" t="s">
        <v>30</v>
      </c>
      <c r="I861" s="125" t="s">
        <v>1387</v>
      </c>
      <c r="J861" s="129" t="s">
        <v>8251</v>
      </c>
      <c r="K861" s="122" t="s">
        <v>4549</v>
      </c>
      <c r="L861" s="122" t="s">
        <v>1577</v>
      </c>
      <c r="M861" s="133" t="s">
        <v>4550</v>
      </c>
      <c r="N861" s="122" t="s">
        <v>30</v>
      </c>
    </row>
    <row r="862" spans="2:14" s="9" customFormat="1" hidden="1" x14ac:dyDescent="0.25">
      <c r="B862" s="120">
        <v>859</v>
      </c>
      <c r="C862" s="122">
        <v>20603939442</v>
      </c>
      <c r="D862" s="125" t="s">
        <v>253</v>
      </c>
      <c r="E862" s="125" t="s">
        <v>4543</v>
      </c>
      <c r="F862" s="122" t="s">
        <v>30</v>
      </c>
      <c r="G862" s="122" t="s">
        <v>30</v>
      </c>
      <c r="H862" s="122" t="s">
        <v>86</v>
      </c>
      <c r="I862" s="125" t="s">
        <v>1447</v>
      </c>
      <c r="J862" s="129" t="s">
        <v>4544</v>
      </c>
      <c r="K862" s="122" t="s">
        <v>4545</v>
      </c>
      <c r="L862" s="122" t="s">
        <v>57</v>
      </c>
      <c r="M862" s="133" t="s">
        <v>4546</v>
      </c>
      <c r="N862" s="122" t="s">
        <v>30</v>
      </c>
    </row>
    <row r="863" spans="2:14" s="9" customFormat="1" hidden="1" x14ac:dyDescent="0.25">
      <c r="B863" s="120">
        <v>860</v>
      </c>
      <c r="C863" s="122">
        <v>20533299939</v>
      </c>
      <c r="D863" s="125" t="s">
        <v>3478</v>
      </c>
      <c r="E863" s="125" t="s">
        <v>4539</v>
      </c>
      <c r="F863" s="122" t="s">
        <v>30</v>
      </c>
      <c r="G863" s="122" t="s">
        <v>30</v>
      </c>
      <c r="H863" s="122" t="s">
        <v>127</v>
      </c>
      <c r="I863" s="125" t="s">
        <v>1398</v>
      </c>
      <c r="J863" s="129" t="s">
        <v>4540</v>
      </c>
      <c r="K863" s="122" t="s">
        <v>4541</v>
      </c>
      <c r="L863" s="122" t="s">
        <v>731</v>
      </c>
      <c r="M863" s="133" t="s">
        <v>4542</v>
      </c>
      <c r="N863" s="122" t="s">
        <v>1972</v>
      </c>
    </row>
    <row r="864" spans="2:14" s="9" customFormat="1" hidden="1" x14ac:dyDescent="0.25">
      <c r="B864" s="120">
        <v>861</v>
      </c>
      <c r="C864" s="122">
        <v>20424964990</v>
      </c>
      <c r="D864" s="125" t="s">
        <v>204</v>
      </c>
      <c r="E864" s="125" t="s">
        <v>4534</v>
      </c>
      <c r="F864" s="122" t="s">
        <v>30</v>
      </c>
      <c r="G864" s="122" t="s">
        <v>30</v>
      </c>
      <c r="H864" s="122" t="s">
        <v>60</v>
      </c>
      <c r="I864" s="125" t="s">
        <v>4535</v>
      </c>
      <c r="J864" s="129" t="s">
        <v>8253</v>
      </c>
      <c r="K864" s="122" t="s">
        <v>4538</v>
      </c>
      <c r="L864" s="122" t="s">
        <v>731</v>
      </c>
      <c r="M864" s="133" t="s">
        <v>4537</v>
      </c>
      <c r="N864" s="122" t="s">
        <v>30</v>
      </c>
    </row>
    <row r="865" spans="2:14" s="9" customFormat="1" hidden="1" x14ac:dyDescent="0.25">
      <c r="B865" s="120">
        <v>862</v>
      </c>
      <c r="C865" s="122">
        <v>20424964990</v>
      </c>
      <c r="D865" s="125" t="s">
        <v>204</v>
      </c>
      <c r="E865" s="125" t="s">
        <v>4534</v>
      </c>
      <c r="F865" s="122" t="s">
        <v>30</v>
      </c>
      <c r="G865" s="122" t="s">
        <v>30</v>
      </c>
      <c r="H865" s="122" t="s">
        <v>60</v>
      </c>
      <c r="I865" s="125" t="s">
        <v>4535</v>
      </c>
      <c r="J865" s="129" t="s">
        <v>8252</v>
      </c>
      <c r="K865" s="122" t="s">
        <v>4536</v>
      </c>
      <c r="L865" s="122" t="s">
        <v>36</v>
      </c>
      <c r="M865" s="133" t="s">
        <v>4537</v>
      </c>
      <c r="N865" s="122" t="s">
        <v>30</v>
      </c>
    </row>
    <row r="866" spans="2:14" s="9" customFormat="1" hidden="1" x14ac:dyDescent="0.25">
      <c r="B866" s="120">
        <v>863</v>
      </c>
      <c r="C866" s="122">
        <v>20550845645</v>
      </c>
      <c r="D866" s="125" t="s">
        <v>396</v>
      </c>
      <c r="E866" s="125" t="s">
        <v>4266</v>
      </c>
      <c r="F866" s="122" t="s">
        <v>30</v>
      </c>
      <c r="G866" s="122" t="s">
        <v>30</v>
      </c>
      <c r="H866" s="122" t="s">
        <v>51</v>
      </c>
      <c r="I866" s="125" t="s">
        <v>1377</v>
      </c>
      <c r="J866" s="129" t="s">
        <v>4267</v>
      </c>
      <c r="K866" s="122" t="s">
        <v>4268</v>
      </c>
      <c r="L866" s="122" t="s">
        <v>42</v>
      </c>
      <c r="M866" s="133" t="s">
        <v>4269</v>
      </c>
      <c r="N866" s="122" t="s">
        <v>30</v>
      </c>
    </row>
    <row r="867" spans="2:14" s="9" customFormat="1" hidden="1" x14ac:dyDescent="0.25">
      <c r="B867" s="120">
        <v>864</v>
      </c>
      <c r="C867" s="122">
        <v>20604672288</v>
      </c>
      <c r="D867" s="125" t="s">
        <v>3540</v>
      </c>
      <c r="E867" s="125" t="s">
        <v>4270</v>
      </c>
      <c r="F867" s="122" t="s">
        <v>30</v>
      </c>
      <c r="G867" s="122" t="s">
        <v>30</v>
      </c>
      <c r="H867" s="122" t="s">
        <v>72</v>
      </c>
      <c r="I867" s="125" t="s">
        <v>1706</v>
      </c>
      <c r="J867" s="129" t="s">
        <v>4271</v>
      </c>
      <c r="K867" s="122" t="s">
        <v>4272</v>
      </c>
      <c r="L867" s="122" t="s">
        <v>1577</v>
      </c>
      <c r="M867" s="133" t="s">
        <v>4273</v>
      </c>
      <c r="N867" s="122" t="s">
        <v>30</v>
      </c>
    </row>
    <row r="868" spans="2:14" s="9" customFormat="1" hidden="1" x14ac:dyDescent="0.25">
      <c r="B868" s="120">
        <v>865</v>
      </c>
      <c r="C868" s="122">
        <v>20509174106</v>
      </c>
      <c r="D868" s="125" t="s">
        <v>579</v>
      </c>
      <c r="E868" s="125" t="s">
        <v>4274</v>
      </c>
      <c r="F868" s="122" t="s">
        <v>30</v>
      </c>
      <c r="G868" s="122" t="s">
        <v>30</v>
      </c>
      <c r="H868" s="122" t="s">
        <v>51</v>
      </c>
      <c r="I868" s="125" t="s">
        <v>1619</v>
      </c>
      <c r="J868" s="129" t="s">
        <v>4275</v>
      </c>
      <c r="K868" s="122" t="s">
        <v>4276</v>
      </c>
      <c r="L868" s="131" t="s">
        <v>36</v>
      </c>
      <c r="M868" s="133" t="s">
        <v>4277</v>
      </c>
      <c r="N868" s="122" t="s">
        <v>30</v>
      </c>
    </row>
    <row r="869" spans="2:14" s="9" customFormat="1" hidden="1" x14ac:dyDescent="0.25">
      <c r="B869" s="120">
        <v>866</v>
      </c>
      <c r="C869" s="122">
        <v>20509174106</v>
      </c>
      <c r="D869" s="125" t="s">
        <v>579</v>
      </c>
      <c r="E869" s="125" t="s">
        <v>4274</v>
      </c>
      <c r="F869" s="122" t="s">
        <v>30</v>
      </c>
      <c r="G869" s="122" t="s">
        <v>30</v>
      </c>
      <c r="H869" s="122" t="s">
        <v>51</v>
      </c>
      <c r="I869" s="125" t="s">
        <v>1619</v>
      </c>
      <c r="J869" s="129" t="s">
        <v>4278</v>
      </c>
      <c r="K869" s="122" t="s">
        <v>4279</v>
      </c>
      <c r="L869" s="131" t="s">
        <v>731</v>
      </c>
      <c r="M869" s="133" t="s">
        <v>4277</v>
      </c>
      <c r="N869" s="122" t="s">
        <v>30</v>
      </c>
    </row>
    <row r="870" spans="2:14" s="9" customFormat="1" hidden="1" x14ac:dyDescent="0.25">
      <c r="B870" s="120">
        <v>867</v>
      </c>
      <c r="C870" s="122">
        <v>20419952461</v>
      </c>
      <c r="D870" s="125" t="s">
        <v>4280</v>
      </c>
      <c r="E870" s="125" t="s">
        <v>4281</v>
      </c>
      <c r="F870" s="122" t="s">
        <v>67</v>
      </c>
      <c r="G870" s="122" t="s">
        <v>67</v>
      </c>
      <c r="H870" s="122" t="s">
        <v>67</v>
      </c>
      <c r="I870" s="125" t="s">
        <v>1985</v>
      </c>
      <c r="J870" s="129" t="s">
        <v>8086</v>
      </c>
      <c r="K870" s="122" t="s">
        <v>4282</v>
      </c>
      <c r="L870" s="131" t="s">
        <v>209</v>
      </c>
      <c r="M870" s="133" t="s">
        <v>4283</v>
      </c>
      <c r="N870" s="122" t="s">
        <v>30</v>
      </c>
    </row>
    <row r="871" spans="2:14" s="9" customFormat="1" hidden="1" x14ac:dyDescent="0.25">
      <c r="B871" s="120">
        <v>868</v>
      </c>
      <c r="C871" s="122">
        <v>20419952461</v>
      </c>
      <c r="D871" s="125" t="s">
        <v>4280</v>
      </c>
      <c r="E871" s="125" t="s">
        <v>4281</v>
      </c>
      <c r="F871" s="122" t="s">
        <v>67</v>
      </c>
      <c r="G871" s="122" t="s">
        <v>67</v>
      </c>
      <c r="H871" s="122" t="s">
        <v>67</v>
      </c>
      <c r="I871" s="125" t="s">
        <v>1985</v>
      </c>
      <c r="J871" s="129" t="s">
        <v>8087</v>
      </c>
      <c r="K871" s="122" t="s">
        <v>4284</v>
      </c>
      <c r="L871" s="131" t="s">
        <v>209</v>
      </c>
      <c r="M871" s="133" t="s">
        <v>4283</v>
      </c>
      <c r="N871" s="122" t="s">
        <v>30</v>
      </c>
    </row>
    <row r="872" spans="2:14" s="9" customFormat="1" hidden="1" x14ac:dyDescent="0.25">
      <c r="B872" s="120">
        <v>869</v>
      </c>
      <c r="C872" s="122">
        <v>20419952461</v>
      </c>
      <c r="D872" s="125" t="s">
        <v>4280</v>
      </c>
      <c r="E872" s="125" t="s">
        <v>4281</v>
      </c>
      <c r="F872" s="122" t="s">
        <v>67</v>
      </c>
      <c r="G872" s="122" t="s">
        <v>67</v>
      </c>
      <c r="H872" s="122" t="s">
        <v>67</v>
      </c>
      <c r="I872" s="125" t="s">
        <v>1985</v>
      </c>
      <c r="J872" s="129" t="s">
        <v>4285</v>
      </c>
      <c r="K872" s="122" t="s">
        <v>4286</v>
      </c>
      <c r="L872" s="131" t="s">
        <v>209</v>
      </c>
      <c r="M872" s="133" t="s">
        <v>4283</v>
      </c>
      <c r="N872" s="122" t="s">
        <v>30</v>
      </c>
    </row>
    <row r="873" spans="2:14" s="9" customFormat="1" hidden="1" x14ac:dyDescent="0.25">
      <c r="B873" s="120">
        <v>870</v>
      </c>
      <c r="C873" s="122">
        <v>20419952461</v>
      </c>
      <c r="D873" s="125" t="s">
        <v>4280</v>
      </c>
      <c r="E873" s="125" t="s">
        <v>4281</v>
      </c>
      <c r="F873" s="122" t="s">
        <v>67</v>
      </c>
      <c r="G873" s="122" t="s">
        <v>67</v>
      </c>
      <c r="H873" s="122" t="s">
        <v>67</v>
      </c>
      <c r="I873" s="125" t="s">
        <v>1985</v>
      </c>
      <c r="J873" s="129" t="s">
        <v>4287</v>
      </c>
      <c r="K873" s="122" t="s">
        <v>4288</v>
      </c>
      <c r="L873" s="131" t="s">
        <v>731</v>
      </c>
      <c r="M873" s="133" t="s">
        <v>4283</v>
      </c>
      <c r="N873" s="122" t="s">
        <v>30</v>
      </c>
    </row>
    <row r="874" spans="2:14" s="9" customFormat="1" hidden="1" x14ac:dyDescent="0.25">
      <c r="B874" s="120">
        <v>871</v>
      </c>
      <c r="C874" s="122">
        <v>20419952461</v>
      </c>
      <c r="D874" s="125" t="s">
        <v>4280</v>
      </c>
      <c r="E874" s="125" t="s">
        <v>4281</v>
      </c>
      <c r="F874" s="122" t="s">
        <v>67</v>
      </c>
      <c r="G874" s="122" t="s">
        <v>67</v>
      </c>
      <c r="H874" s="122" t="s">
        <v>67</v>
      </c>
      <c r="I874" s="125" t="s">
        <v>1985</v>
      </c>
      <c r="J874" s="129" t="s">
        <v>4289</v>
      </c>
      <c r="K874" s="122" t="s">
        <v>4290</v>
      </c>
      <c r="L874" s="131" t="s">
        <v>209</v>
      </c>
      <c r="M874" s="133" t="s">
        <v>4283</v>
      </c>
      <c r="N874" s="122" t="s">
        <v>30</v>
      </c>
    </row>
    <row r="875" spans="2:14" s="9" customFormat="1" hidden="1" x14ac:dyDescent="0.25">
      <c r="B875" s="120">
        <v>872</v>
      </c>
      <c r="C875" s="122">
        <v>20557352636</v>
      </c>
      <c r="D875" s="125" t="s">
        <v>412</v>
      </c>
      <c r="E875" s="125" t="s">
        <v>4291</v>
      </c>
      <c r="F875" s="122" t="s">
        <v>30</v>
      </c>
      <c r="G875" s="122" t="s">
        <v>30</v>
      </c>
      <c r="H875" s="122" t="s">
        <v>30</v>
      </c>
      <c r="I875" s="125" t="s">
        <v>1957</v>
      </c>
      <c r="J875" s="129" t="s">
        <v>4292</v>
      </c>
      <c r="K875" s="122" t="s">
        <v>4293</v>
      </c>
      <c r="L875" s="131" t="s">
        <v>731</v>
      </c>
      <c r="M875" s="133" t="s">
        <v>4294</v>
      </c>
      <c r="N875" s="122" t="s">
        <v>30</v>
      </c>
    </row>
    <row r="876" spans="2:14" s="9" customFormat="1" hidden="1" x14ac:dyDescent="0.25">
      <c r="B876" s="120">
        <v>873</v>
      </c>
      <c r="C876" s="122">
        <v>20553944407</v>
      </c>
      <c r="D876" s="125" t="s">
        <v>592</v>
      </c>
      <c r="E876" s="125" t="s">
        <v>4295</v>
      </c>
      <c r="F876" s="122" t="s">
        <v>30</v>
      </c>
      <c r="G876" s="122" t="s">
        <v>30</v>
      </c>
      <c r="H876" s="122" t="s">
        <v>72</v>
      </c>
      <c r="I876" s="125" t="s">
        <v>1384</v>
      </c>
      <c r="J876" s="129" t="s">
        <v>4296</v>
      </c>
      <c r="K876" s="122" t="s">
        <v>4297</v>
      </c>
      <c r="L876" s="131" t="s">
        <v>731</v>
      </c>
      <c r="M876" s="133" t="s">
        <v>4298</v>
      </c>
      <c r="N876" s="122" t="s">
        <v>30</v>
      </c>
    </row>
    <row r="877" spans="2:14" s="9" customFormat="1" hidden="1" x14ac:dyDescent="0.25">
      <c r="B877" s="120">
        <v>874</v>
      </c>
      <c r="C877" s="122">
        <v>20173136499</v>
      </c>
      <c r="D877" s="125" t="s">
        <v>486</v>
      </c>
      <c r="E877" s="125" t="s">
        <v>4299</v>
      </c>
      <c r="F877" s="122" t="s">
        <v>30</v>
      </c>
      <c r="G877" s="122" t="s">
        <v>30</v>
      </c>
      <c r="H877" s="122" t="s">
        <v>50</v>
      </c>
      <c r="I877" s="125" t="s">
        <v>1655</v>
      </c>
      <c r="J877" s="129" t="s">
        <v>8206</v>
      </c>
      <c r="K877" s="122" t="s">
        <v>4300</v>
      </c>
      <c r="L877" s="131" t="s">
        <v>731</v>
      </c>
      <c r="M877" s="133" t="s">
        <v>4301</v>
      </c>
      <c r="N877" s="122" t="s">
        <v>30</v>
      </c>
    </row>
    <row r="878" spans="2:14" s="9" customFormat="1" hidden="1" x14ac:dyDescent="0.25">
      <c r="B878" s="120">
        <v>875</v>
      </c>
      <c r="C878" s="122">
        <v>20543843432</v>
      </c>
      <c r="D878" s="125" t="s">
        <v>3610</v>
      </c>
      <c r="E878" s="125" t="s">
        <v>4302</v>
      </c>
      <c r="F878" s="122" t="s">
        <v>30</v>
      </c>
      <c r="G878" s="122" t="s">
        <v>30</v>
      </c>
      <c r="H878" s="122" t="s">
        <v>51</v>
      </c>
      <c r="I878" s="125" t="s">
        <v>1424</v>
      </c>
      <c r="J878" s="129" t="s">
        <v>8224</v>
      </c>
      <c r="K878" s="122" t="s">
        <v>4303</v>
      </c>
      <c r="L878" s="131" t="s">
        <v>1558</v>
      </c>
      <c r="M878" s="133" t="s">
        <v>4304</v>
      </c>
      <c r="N878" s="122" t="s">
        <v>30</v>
      </c>
    </row>
    <row r="879" spans="2:14" s="9" customFormat="1" hidden="1" x14ac:dyDescent="0.25">
      <c r="B879" s="120">
        <v>876</v>
      </c>
      <c r="C879" s="122">
        <v>20543843432</v>
      </c>
      <c r="D879" s="125" t="s">
        <v>3610</v>
      </c>
      <c r="E879" s="125" t="s">
        <v>4302</v>
      </c>
      <c r="F879" s="122" t="s">
        <v>30</v>
      </c>
      <c r="G879" s="122" t="s">
        <v>30</v>
      </c>
      <c r="H879" s="122" t="s">
        <v>51</v>
      </c>
      <c r="I879" s="125" t="s">
        <v>1424</v>
      </c>
      <c r="J879" s="129" t="s">
        <v>8223</v>
      </c>
      <c r="K879" s="122" t="s">
        <v>4305</v>
      </c>
      <c r="L879" s="131" t="s">
        <v>1712</v>
      </c>
      <c r="M879" s="133" t="s">
        <v>4304</v>
      </c>
      <c r="N879" s="122" t="s">
        <v>30</v>
      </c>
    </row>
    <row r="880" spans="2:14" s="9" customFormat="1" hidden="1" x14ac:dyDescent="0.25">
      <c r="B880" s="120">
        <v>877</v>
      </c>
      <c r="C880" s="122">
        <v>20602647685</v>
      </c>
      <c r="D880" s="125" t="s">
        <v>523</v>
      </c>
      <c r="E880" s="125" t="s">
        <v>4306</v>
      </c>
      <c r="F880" s="122" t="s">
        <v>30</v>
      </c>
      <c r="G880" s="122" t="s">
        <v>30</v>
      </c>
      <c r="H880" s="122" t="s">
        <v>51</v>
      </c>
      <c r="I880" s="125" t="s">
        <v>1377</v>
      </c>
      <c r="J880" s="129" t="s">
        <v>4307</v>
      </c>
      <c r="K880" s="122" t="s">
        <v>4308</v>
      </c>
      <c r="L880" s="131" t="s">
        <v>731</v>
      </c>
      <c r="M880" s="133" t="s">
        <v>4309</v>
      </c>
      <c r="N880" s="122" t="s">
        <v>30</v>
      </c>
    </row>
    <row r="881" spans="2:14" s="9" customFormat="1" hidden="1" x14ac:dyDescent="0.25">
      <c r="B881" s="120">
        <v>878</v>
      </c>
      <c r="C881" s="122">
        <v>20535868990</v>
      </c>
      <c r="D881" s="125" t="s">
        <v>605</v>
      </c>
      <c r="E881" s="125" t="s">
        <v>4310</v>
      </c>
      <c r="F881" s="122" t="s">
        <v>30</v>
      </c>
      <c r="G881" s="122" t="s">
        <v>30</v>
      </c>
      <c r="H881" s="122" t="s">
        <v>41</v>
      </c>
      <c r="I881" s="125" t="s">
        <v>1441</v>
      </c>
      <c r="J881" s="129" t="s">
        <v>4311</v>
      </c>
      <c r="K881" s="122" t="s">
        <v>4312</v>
      </c>
      <c r="L881" s="131" t="s">
        <v>731</v>
      </c>
      <c r="M881" s="133" t="s">
        <v>4313</v>
      </c>
      <c r="N881" s="122" t="s">
        <v>30</v>
      </c>
    </row>
    <row r="882" spans="2:14" s="9" customFormat="1" hidden="1" x14ac:dyDescent="0.25">
      <c r="B882" s="120">
        <v>879</v>
      </c>
      <c r="C882" s="122">
        <v>20100021847</v>
      </c>
      <c r="D882" s="125" t="s">
        <v>3625</v>
      </c>
      <c r="E882" s="125" t="s">
        <v>4314</v>
      </c>
      <c r="F882" s="122" t="s">
        <v>30</v>
      </c>
      <c r="G882" s="122" t="s">
        <v>30</v>
      </c>
      <c r="H882" s="122" t="s">
        <v>30</v>
      </c>
      <c r="I882" s="125" t="s">
        <v>2895</v>
      </c>
      <c r="J882" s="129" t="s">
        <v>4315</v>
      </c>
      <c r="K882" s="122" t="s">
        <v>4316</v>
      </c>
      <c r="L882" s="131" t="s">
        <v>731</v>
      </c>
      <c r="M882" s="133" t="s">
        <v>4317</v>
      </c>
      <c r="N882" s="122" t="s">
        <v>30</v>
      </c>
    </row>
    <row r="883" spans="2:14" s="9" customFormat="1" hidden="1" x14ac:dyDescent="0.25">
      <c r="B883" s="120">
        <v>880</v>
      </c>
      <c r="C883" s="122">
        <v>20100021847</v>
      </c>
      <c r="D883" s="125" t="s">
        <v>3625</v>
      </c>
      <c r="E883" s="125" t="s">
        <v>4314</v>
      </c>
      <c r="F883" s="122" t="s">
        <v>30</v>
      </c>
      <c r="G883" s="122" t="s">
        <v>30</v>
      </c>
      <c r="H883" s="122" t="s">
        <v>30</v>
      </c>
      <c r="I883" s="125" t="s">
        <v>2895</v>
      </c>
      <c r="J883" s="129" t="s">
        <v>4318</v>
      </c>
      <c r="K883" s="122" t="s">
        <v>4319</v>
      </c>
      <c r="L883" s="131" t="s">
        <v>1558</v>
      </c>
      <c r="M883" s="133" t="s">
        <v>4317</v>
      </c>
      <c r="N883" s="122" t="s">
        <v>30</v>
      </c>
    </row>
    <row r="884" spans="2:14" s="9" customFormat="1" hidden="1" x14ac:dyDescent="0.25">
      <c r="B884" s="120">
        <v>881</v>
      </c>
      <c r="C884" s="122">
        <v>20100021847</v>
      </c>
      <c r="D884" s="125" t="s">
        <v>3625</v>
      </c>
      <c r="E884" s="125" t="s">
        <v>4314</v>
      </c>
      <c r="F884" s="122" t="s">
        <v>30</v>
      </c>
      <c r="G884" s="122" t="s">
        <v>30</v>
      </c>
      <c r="H884" s="122" t="s">
        <v>30</v>
      </c>
      <c r="I884" s="125" t="s">
        <v>2895</v>
      </c>
      <c r="J884" s="129" t="s">
        <v>4320</v>
      </c>
      <c r="K884" s="122" t="s">
        <v>4321</v>
      </c>
      <c r="L884" s="131" t="s">
        <v>4322</v>
      </c>
      <c r="M884" s="133" t="s">
        <v>4317</v>
      </c>
      <c r="N884" s="122" t="s">
        <v>30</v>
      </c>
    </row>
    <row r="885" spans="2:14" s="9" customFormat="1" hidden="1" x14ac:dyDescent="0.25">
      <c r="B885" s="120">
        <v>882</v>
      </c>
      <c r="C885" s="122">
        <v>20100021847</v>
      </c>
      <c r="D885" s="125" t="s">
        <v>3625</v>
      </c>
      <c r="E885" s="125" t="s">
        <v>4314</v>
      </c>
      <c r="F885" s="122" t="s">
        <v>30</v>
      </c>
      <c r="G885" s="122" t="s">
        <v>30</v>
      </c>
      <c r="H885" s="122" t="s">
        <v>30</v>
      </c>
      <c r="I885" s="125" t="s">
        <v>2895</v>
      </c>
      <c r="J885" s="129" t="s">
        <v>8189</v>
      </c>
      <c r="K885" s="122" t="s">
        <v>4323</v>
      </c>
      <c r="L885" s="131" t="s">
        <v>209</v>
      </c>
      <c r="M885" s="133" t="s">
        <v>4317</v>
      </c>
      <c r="N885" s="122" t="s">
        <v>30</v>
      </c>
    </row>
    <row r="886" spans="2:14" s="9" customFormat="1" hidden="1" x14ac:dyDescent="0.25">
      <c r="B886" s="120">
        <v>883</v>
      </c>
      <c r="C886" s="122">
        <v>20602695981</v>
      </c>
      <c r="D886" s="125" t="s">
        <v>3645</v>
      </c>
      <c r="E886" s="125" t="s">
        <v>4324</v>
      </c>
      <c r="F886" s="122" t="s">
        <v>285</v>
      </c>
      <c r="G886" s="122" t="s">
        <v>286</v>
      </c>
      <c r="H886" s="122" t="s">
        <v>286</v>
      </c>
      <c r="I886" s="125" t="s">
        <v>2460</v>
      </c>
      <c r="J886" s="129" t="s">
        <v>8256</v>
      </c>
      <c r="K886" s="122" t="s">
        <v>4325</v>
      </c>
      <c r="L886" s="131" t="s">
        <v>731</v>
      </c>
      <c r="M886" s="133" t="s">
        <v>4326</v>
      </c>
      <c r="N886" s="122" t="s">
        <v>286</v>
      </c>
    </row>
    <row r="887" spans="2:14" s="9" customFormat="1" hidden="1" x14ac:dyDescent="0.25">
      <c r="B887" s="120">
        <v>884</v>
      </c>
      <c r="C887" s="122">
        <v>20555921285</v>
      </c>
      <c r="D887" s="125" t="s">
        <v>692</v>
      </c>
      <c r="E887" s="125" t="s">
        <v>4327</v>
      </c>
      <c r="F887" s="122" t="s">
        <v>30</v>
      </c>
      <c r="G887" s="122" t="s">
        <v>54</v>
      </c>
      <c r="H887" s="122" t="s">
        <v>55</v>
      </c>
      <c r="I887" s="125" t="s">
        <v>1947</v>
      </c>
      <c r="J887" s="129" t="s">
        <v>8257</v>
      </c>
      <c r="K887" s="122" t="s">
        <v>4328</v>
      </c>
      <c r="L887" s="131" t="s">
        <v>1577</v>
      </c>
      <c r="M887" s="133" t="s">
        <v>4329</v>
      </c>
      <c r="N887" s="122" t="s">
        <v>30</v>
      </c>
    </row>
    <row r="888" spans="2:14" s="9" customFormat="1" hidden="1" x14ac:dyDescent="0.25">
      <c r="B888" s="120">
        <v>885</v>
      </c>
      <c r="C888" s="122">
        <v>20556004499</v>
      </c>
      <c r="D888" s="125" t="s">
        <v>3631</v>
      </c>
      <c r="E888" s="125" t="s">
        <v>4330</v>
      </c>
      <c r="F888" s="122" t="s">
        <v>30</v>
      </c>
      <c r="G888" s="122" t="s">
        <v>30</v>
      </c>
      <c r="H888" s="122" t="s">
        <v>30</v>
      </c>
      <c r="I888" s="125" t="s">
        <v>1394</v>
      </c>
      <c r="J888" s="129" t="s">
        <v>4331</v>
      </c>
      <c r="K888" s="122" t="s">
        <v>4332</v>
      </c>
      <c r="L888" s="131" t="s">
        <v>731</v>
      </c>
      <c r="M888" s="133" t="s">
        <v>4333</v>
      </c>
      <c r="N888" s="122" t="s">
        <v>30</v>
      </c>
    </row>
    <row r="889" spans="2:14" s="9" customFormat="1" hidden="1" x14ac:dyDescent="0.25">
      <c r="B889" s="120">
        <v>886</v>
      </c>
      <c r="C889" s="122">
        <v>20478145960</v>
      </c>
      <c r="D889" s="125" t="s">
        <v>552</v>
      </c>
      <c r="E889" s="125" t="s">
        <v>4334</v>
      </c>
      <c r="F889" s="122" t="s">
        <v>30</v>
      </c>
      <c r="G889" s="122" t="s">
        <v>30</v>
      </c>
      <c r="H889" s="122" t="s">
        <v>75</v>
      </c>
      <c r="I889" s="125" t="s">
        <v>3859</v>
      </c>
      <c r="J889" s="129" t="s">
        <v>4335</v>
      </c>
      <c r="K889" s="122" t="s">
        <v>4336</v>
      </c>
      <c r="L889" s="131" t="s">
        <v>731</v>
      </c>
      <c r="M889" s="133" t="s">
        <v>4337</v>
      </c>
      <c r="N889" s="122" t="s">
        <v>30</v>
      </c>
    </row>
    <row r="890" spans="2:14" s="9" customFormat="1" hidden="1" x14ac:dyDescent="0.25">
      <c r="B890" s="120">
        <v>887</v>
      </c>
      <c r="C890" s="122">
        <v>20601971365</v>
      </c>
      <c r="D890" s="125" t="s">
        <v>466</v>
      </c>
      <c r="E890" s="125" t="s">
        <v>4338</v>
      </c>
      <c r="F890" s="122" t="s">
        <v>30</v>
      </c>
      <c r="G890" s="122" t="s">
        <v>30</v>
      </c>
      <c r="H890" s="122" t="s">
        <v>75</v>
      </c>
      <c r="I890" s="125" t="s">
        <v>1809</v>
      </c>
      <c r="J890" s="129" t="s">
        <v>4339</v>
      </c>
      <c r="K890" s="122" t="s">
        <v>4340</v>
      </c>
      <c r="L890" s="131" t="s">
        <v>731</v>
      </c>
      <c r="M890" s="133" t="s">
        <v>4341</v>
      </c>
      <c r="N890" s="122" t="s">
        <v>30</v>
      </c>
    </row>
    <row r="891" spans="2:14" s="9" customFormat="1" hidden="1" x14ac:dyDescent="0.25">
      <c r="B891" s="120">
        <v>888</v>
      </c>
      <c r="C891" s="122">
        <v>20545151546</v>
      </c>
      <c r="D891" s="125" t="s">
        <v>489</v>
      </c>
      <c r="E891" s="125" t="s">
        <v>4342</v>
      </c>
      <c r="F891" s="122" t="s">
        <v>30</v>
      </c>
      <c r="G891" s="122" t="s">
        <v>30</v>
      </c>
      <c r="H891" s="122" t="s">
        <v>88</v>
      </c>
      <c r="I891" s="125" t="s">
        <v>4343</v>
      </c>
      <c r="J891" s="129" t="s">
        <v>4344</v>
      </c>
      <c r="K891" s="122" t="s">
        <v>4345</v>
      </c>
      <c r="L891" s="131" t="s">
        <v>36</v>
      </c>
      <c r="M891" s="133" t="s">
        <v>4346</v>
      </c>
      <c r="N891" s="122" t="s">
        <v>30</v>
      </c>
    </row>
    <row r="892" spans="2:14" s="9" customFormat="1" hidden="1" x14ac:dyDescent="0.25">
      <c r="B892" s="120">
        <v>889</v>
      </c>
      <c r="C892" s="122">
        <v>20545151546</v>
      </c>
      <c r="D892" s="125" t="s">
        <v>489</v>
      </c>
      <c r="E892" s="125" t="s">
        <v>4342</v>
      </c>
      <c r="F892" s="122" t="s">
        <v>30</v>
      </c>
      <c r="G892" s="122" t="s">
        <v>30</v>
      </c>
      <c r="H892" s="122" t="s">
        <v>88</v>
      </c>
      <c r="I892" s="125" t="s">
        <v>4343</v>
      </c>
      <c r="J892" s="129" t="s">
        <v>4347</v>
      </c>
      <c r="K892" s="122" t="s">
        <v>4348</v>
      </c>
      <c r="L892" s="131" t="s">
        <v>1558</v>
      </c>
      <c r="M892" s="133" t="s">
        <v>4346</v>
      </c>
      <c r="N892" s="122" t="s">
        <v>30</v>
      </c>
    </row>
    <row r="893" spans="2:14" s="9" customFormat="1" hidden="1" x14ac:dyDescent="0.25">
      <c r="B893" s="120">
        <v>890</v>
      </c>
      <c r="C893" s="122">
        <v>20601865280</v>
      </c>
      <c r="D893" s="125" t="s">
        <v>3634</v>
      </c>
      <c r="E893" s="125" t="s">
        <v>4349</v>
      </c>
      <c r="F893" s="122" t="s">
        <v>30</v>
      </c>
      <c r="G893" s="122" t="s">
        <v>30</v>
      </c>
      <c r="H893" s="122" t="s">
        <v>45</v>
      </c>
      <c r="I893" s="125" t="s">
        <v>3084</v>
      </c>
      <c r="J893" s="129" t="s">
        <v>4350</v>
      </c>
      <c r="K893" s="122" t="s">
        <v>4351</v>
      </c>
      <c r="L893" s="131" t="s">
        <v>209</v>
      </c>
      <c r="M893" s="133" t="s">
        <v>4352</v>
      </c>
      <c r="N893" s="122" t="s">
        <v>30</v>
      </c>
    </row>
    <row r="894" spans="2:14" s="9" customFormat="1" hidden="1" x14ac:dyDescent="0.25">
      <c r="B894" s="120">
        <v>891</v>
      </c>
      <c r="C894" s="122">
        <v>20601865280</v>
      </c>
      <c r="D894" s="125" t="s">
        <v>3634</v>
      </c>
      <c r="E894" s="125" t="s">
        <v>4349</v>
      </c>
      <c r="F894" s="122" t="s">
        <v>30</v>
      </c>
      <c r="G894" s="122" t="s">
        <v>30</v>
      </c>
      <c r="H894" s="122" t="s">
        <v>45</v>
      </c>
      <c r="I894" s="125" t="s">
        <v>3084</v>
      </c>
      <c r="J894" s="129" t="s">
        <v>4353</v>
      </c>
      <c r="K894" s="122" t="s">
        <v>4354</v>
      </c>
      <c r="L894" s="131" t="s">
        <v>731</v>
      </c>
      <c r="M894" s="133" t="s">
        <v>4352</v>
      </c>
      <c r="N894" s="122" t="s">
        <v>30</v>
      </c>
    </row>
    <row r="895" spans="2:14" s="9" customFormat="1" hidden="1" x14ac:dyDescent="0.25">
      <c r="B895" s="120">
        <v>892</v>
      </c>
      <c r="C895" s="122">
        <v>20554209638</v>
      </c>
      <c r="D895" s="125" t="s">
        <v>4355</v>
      </c>
      <c r="E895" s="125" t="s">
        <v>4356</v>
      </c>
      <c r="F895" s="122" t="s">
        <v>30</v>
      </c>
      <c r="G895" s="122" t="s">
        <v>30</v>
      </c>
      <c r="H895" s="122" t="s">
        <v>51</v>
      </c>
      <c r="I895" s="125" t="s">
        <v>1365</v>
      </c>
      <c r="J895" s="129" t="s">
        <v>4357</v>
      </c>
      <c r="K895" s="122" t="s">
        <v>4358</v>
      </c>
      <c r="L895" s="131" t="s">
        <v>731</v>
      </c>
      <c r="M895" s="133" t="s">
        <v>4359</v>
      </c>
      <c r="N895" s="122" t="s">
        <v>30</v>
      </c>
    </row>
    <row r="896" spans="2:14" s="9" customFormat="1" hidden="1" x14ac:dyDescent="0.25">
      <c r="B896" s="120">
        <v>893</v>
      </c>
      <c r="C896" s="122">
        <v>20500794578</v>
      </c>
      <c r="D896" s="125" t="s">
        <v>3166</v>
      </c>
      <c r="E896" s="125" t="s">
        <v>4360</v>
      </c>
      <c r="F896" s="122" t="s">
        <v>30</v>
      </c>
      <c r="G896" s="122" t="s">
        <v>30</v>
      </c>
      <c r="H896" s="122" t="s">
        <v>72</v>
      </c>
      <c r="I896" s="125" t="s">
        <v>1809</v>
      </c>
      <c r="J896" s="129" t="s">
        <v>4362</v>
      </c>
      <c r="K896" s="122" t="s">
        <v>5961</v>
      </c>
      <c r="L896" s="131" t="s">
        <v>42</v>
      </c>
      <c r="M896" s="133" t="s">
        <v>4361</v>
      </c>
      <c r="N896" s="122" t="s">
        <v>30</v>
      </c>
    </row>
    <row r="897" spans="2:14" s="9" customFormat="1" hidden="1" x14ac:dyDescent="0.25">
      <c r="B897" s="120">
        <v>894</v>
      </c>
      <c r="C897" s="122">
        <v>20500794578</v>
      </c>
      <c r="D897" s="125" t="s">
        <v>3166</v>
      </c>
      <c r="E897" s="125" t="s">
        <v>4360</v>
      </c>
      <c r="F897" s="122" t="s">
        <v>30</v>
      </c>
      <c r="G897" s="122" t="s">
        <v>30</v>
      </c>
      <c r="H897" s="122" t="s">
        <v>72</v>
      </c>
      <c r="I897" s="125" t="s">
        <v>1809</v>
      </c>
      <c r="J897" s="129" t="s">
        <v>7638</v>
      </c>
      <c r="K897" s="122" t="s">
        <v>7639</v>
      </c>
      <c r="L897" s="131" t="s">
        <v>2469</v>
      </c>
      <c r="M897" s="133" t="s">
        <v>4361</v>
      </c>
      <c r="N897" s="122" t="s">
        <v>30</v>
      </c>
    </row>
    <row r="898" spans="2:14" s="9" customFormat="1" hidden="1" x14ac:dyDescent="0.25">
      <c r="B898" s="120">
        <v>895</v>
      </c>
      <c r="C898" s="122">
        <v>20557306286</v>
      </c>
      <c r="D898" s="125" t="s">
        <v>3650</v>
      </c>
      <c r="E898" s="125" t="s">
        <v>4363</v>
      </c>
      <c r="F898" s="122" t="s">
        <v>30</v>
      </c>
      <c r="G898" s="122" t="s">
        <v>30</v>
      </c>
      <c r="H898" s="122" t="s">
        <v>60</v>
      </c>
      <c r="I898" s="125" t="s">
        <v>1371</v>
      </c>
      <c r="J898" s="129" t="s">
        <v>8268</v>
      </c>
      <c r="K898" s="122" t="s">
        <v>4364</v>
      </c>
      <c r="L898" s="131" t="s">
        <v>42</v>
      </c>
      <c r="M898" s="133" t="s">
        <v>4365</v>
      </c>
      <c r="N898" s="122" t="s">
        <v>30</v>
      </c>
    </row>
    <row r="899" spans="2:14" s="9" customFormat="1" hidden="1" x14ac:dyDescent="0.25">
      <c r="B899" s="120">
        <v>896</v>
      </c>
      <c r="C899" s="122">
        <v>20101129153</v>
      </c>
      <c r="D899" s="125" t="s">
        <v>651</v>
      </c>
      <c r="E899" s="125" t="s">
        <v>652</v>
      </c>
      <c r="F899" s="122" t="s">
        <v>30</v>
      </c>
      <c r="G899" s="122" t="s">
        <v>30</v>
      </c>
      <c r="H899" s="122" t="s">
        <v>51</v>
      </c>
      <c r="I899" s="125" t="s">
        <v>2299</v>
      </c>
      <c r="J899" s="129" t="s">
        <v>8269</v>
      </c>
      <c r="K899" s="122" t="s">
        <v>4366</v>
      </c>
      <c r="L899" s="131" t="s">
        <v>209</v>
      </c>
      <c r="M899" s="133" t="s">
        <v>4367</v>
      </c>
      <c r="N899" s="122" t="s">
        <v>30</v>
      </c>
    </row>
    <row r="900" spans="2:14" s="9" customFormat="1" hidden="1" x14ac:dyDescent="0.25">
      <c r="B900" s="120">
        <v>897</v>
      </c>
      <c r="C900" s="122">
        <v>20101129153</v>
      </c>
      <c r="D900" s="125" t="s">
        <v>651</v>
      </c>
      <c r="E900" s="125" t="s">
        <v>652</v>
      </c>
      <c r="F900" s="122" t="s">
        <v>30</v>
      </c>
      <c r="G900" s="122" t="s">
        <v>30</v>
      </c>
      <c r="H900" s="122" t="s">
        <v>51</v>
      </c>
      <c r="I900" s="125" t="s">
        <v>2299</v>
      </c>
      <c r="J900" s="129" t="s">
        <v>4368</v>
      </c>
      <c r="K900" s="122" t="s">
        <v>4369</v>
      </c>
      <c r="L900" s="131" t="s">
        <v>1661</v>
      </c>
      <c r="M900" s="133" t="s">
        <v>4367</v>
      </c>
      <c r="N900" s="122" t="s">
        <v>30</v>
      </c>
    </row>
    <row r="901" spans="2:14" s="9" customFormat="1" hidden="1" x14ac:dyDescent="0.25">
      <c r="B901" s="120">
        <v>898</v>
      </c>
      <c r="C901" s="122">
        <v>20101129153</v>
      </c>
      <c r="D901" s="125" t="s">
        <v>651</v>
      </c>
      <c r="E901" s="125" t="s">
        <v>652</v>
      </c>
      <c r="F901" s="122" t="s">
        <v>30</v>
      </c>
      <c r="G901" s="122" t="s">
        <v>30</v>
      </c>
      <c r="H901" s="122" t="s">
        <v>51</v>
      </c>
      <c r="I901" s="125" t="s">
        <v>2299</v>
      </c>
      <c r="J901" s="129" t="s">
        <v>4370</v>
      </c>
      <c r="K901" s="122" t="s">
        <v>4371</v>
      </c>
      <c r="L901" s="131" t="s">
        <v>36</v>
      </c>
      <c r="M901" s="133" t="s">
        <v>4367</v>
      </c>
      <c r="N901" s="122" t="s">
        <v>30</v>
      </c>
    </row>
    <row r="902" spans="2:14" s="9" customFormat="1" hidden="1" x14ac:dyDescent="0.25">
      <c r="B902" s="120">
        <v>899</v>
      </c>
      <c r="C902" s="122">
        <v>20101129153</v>
      </c>
      <c r="D902" s="125" t="s">
        <v>651</v>
      </c>
      <c r="E902" s="125" t="s">
        <v>652</v>
      </c>
      <c r="F902" s="122" t="s">
        <v>30</v>
      </c>
      <c r="G902" s="122" t="s">
        <v>30</v>
      </c>
      <c r="H902" s="122" t="s">
        <v>51</v>
      </c>
      <c r="I902" s="125" t="s">
        <v>2299</v>
      </c>
      <c r="J902" s="129" t="s">
        <v>4372</v>
      </c>
      <c r="K902" s="122" t="s">
        <v>4373</v>
      </c>
      <c r="L902" s="131" t="s">
        <v>731</v>
      </c>
      <c r="M902" s="133" t="s">
        <v>4367</v>
      </c>
      <c r="N902" s="122" t="s">
        <v>30</v>
      </c>
    </row>
    <row r="903" spans="2:14" s="9" customFormat="1" hidden="1" x14ac:dyDescent="0.25">
      <c r="B903" s="120">
        <v>900</v>
      </c>
      <c r="C903" s="122">
        <v>20549387137</v>
      </c>
      <c r="D903" s="125" t="s">
        <v>530</v>
      </c>
      <c r="E903" s="125" t="s">
        <v>4374</v>
      </c>
      <c r="F903" s="122" t="s">
        <v>30</v>
      </c>
      <c r="G903" s="122" t="s">
        <v>30</v>
      </c>
      <c r="H903" s="122" t="s">
        <v>51</v>
      </c>
      <c r="I903" s="125" t="s">
        <v>1961</v>
      </c>
      <c r="J903" s="129" t="s">
        <v>4375</v>
      </c>
      <c r="K903" s="122" t="s">
        <v>4376</v>
      </c>
      <c r="L903" s="131" t="s">
        <v>57</v>
      </c>
      <c r="M903" s="133" t="s">
        <v>4377</v>
      </c>
      <c r="N903" s="122" t="s">
        <v>30</v>
      </c>
    </row>
    <row r="904" spans="2:14" s="9" customFormat="1" hidden="1" x14ac:dyDescent="0.25">
      <c r="B904" s="120">
        <v>901</v>
      </c>
      <c r="C904" s="122">
        <v>20602019684</v>
      </c>
      <c r="D904" s="125" t="s">
        <v>3497</v>
      </c>
      <c r="E904" s="125" t="s">
        <v>4378</v>
      </c>
      <c r="F904" s="122" t="s">
        <v>30</v>
      </c>
      <c r="G904" s="122" t="s">
        <v>30</v>
      </c>
      <c r="H904" s="122" t="s">
        <v>50</v>
      </c>
      <c r="I904" s="125" t="s">
        <v>1951</v>
      </c>
      <c r="J904" s="129" t="s">
        <v>4379</v>
      </c>
      <c r="K904" s="122" t="s">
        <v>4380</v>
      </c>
      <c r="L904" s="131" t="s">
        <v>57</v>
      </c>
      <c r="M904" s="133" t="s">
        <v>4381</v>
      </c>
      <c r="N904" s="122" t="s">
        <v>30</v>
      </c>
    </row>
    <row r="905" spans="2:14" s="9" customFormat="1" hidden="1" x14ac:dyDescent="0.25">
      <c r="B905" s="120">
        <v>902</v>
      </c>
      <c r="C905" s="122">
        <v>20537043955</v>
      </c>
      <c r="D905" s="125" t="s">
        <v>616</v>
      </c>
      <c r="E905" s="125" t="s">
        <v>4382</v>
      </c>
      <c r="F905" s="122" t="s">
        <v>30</v>
      </c>
      <c r="G905" s="122" t="s">
        <v>30</v>
      </c>
      <c r="H905" s="122" t="s">
        <v>72</v>
      </c>
      <c r="I905" s="125" t="s">
        <v>1809</v>
      </c>
      <c r="J905" s="129" t="s">
        <v>4383</v>
      </c>
      <c r="K905" s="122" t="s">
        <v>4384</v>
      </c>
      <c r="L905" s="131" t="s">
        <v>731</v>
      </c>
      <c r="M905" s="133" t="s">
        <v>4385</v>
      </c>
      <c r="N905" s="122" t="s">
        <v>30</v>
      </c>
    </row>
    <row r="906" spans="2:14" s="9" customFormat="1" hidden="1" x14ac:dyDescent="0.25">
      <c r="B906" s="120">
        <v>903</v>
      </c>
      <c r="C906" s="122">
        <v>20511043159</v>
      </c>
      <c r="D906" s="125" t="s">
        <v>3494</v>
      </c>
      <c r="E906" s="125" t="s">
        <v>4386</v>
      </c>
      <c r="F906" s="122" t="s">
        <v>30</v>
      </c>
      <c r="G906" s="122" t="s">
        <v>30</v>
      </c>
      <c r="H906" s="122" t="s">
        <v>43</v>
      </c>
      <c r="I906" s="125" t="s">
        <v>1973</v>
      </c>
      <c r="J906" s="129" t="s">
        <v>4387</v>
      </c>
      <c r="K906" s="122" t="s">
        <v>4388</v>
      </c>
      <c r="L906" s="131" t="s">
        <v>731</v>
      </c>
      <c r="M906" s="133" t="s">
        <v>4389</v>
      </c>
      <c r="N906" s="122" t="s">
        <v>30</v>
      </c>
    </row>
    <row r="907" spans="2:14" s="9" customFormat="1" hidden="1" x14ac:dyDescent="0.25">
      <c r="B907" s="120">
        <v>904</v>
      </c>
      <c r="C907" s="122">
        <v>20601884446</v>
      </c>
      <c r="D907" s="125" t="s">
        <v>329</v>
      </c>
      <c r="E907" s="125" t="s">
        <v>4390</v>
      </c>
      <c r="F907" s="122" t="s">
        <v>30</v>
      </c>
      <c r="G907" s="122" t="s">
        <v>30</v>
      </c>
      <c r="H907" s="122" t="s">
        <v>147</v>
      </c>
      <c r="I907" s="125" t="s">
        <v>1377</v>
      </c>
      <c r="J907" s="129" t="s">
        <v>4391</v>
      </c>
      <c r="K907" s="122" t="s">
        <v>4392</v>
      </c>
      <c r="L907" s="131" t="s">
        <v>42</v>
      </c>
      <c r="M907" s="133" t="s">
        <v>4393</v>
      </c>
      <c r="N907" s="122" t="s">
        <v>30</v>
      </c>
    </row>
    <row r="908" spans="2:14" s="9" customFormat="1" hidden="1" x14ac:dyDescent="0.25">
      <c r="B908" s="120">
        <v>905</v>
      </c>
      <c r="C908" s="122">
        <v>20501940195</v>
      </c>
      <c r="D908" s="125" t="s">
        <v>626</v>
      </c>
      <c r="E908" s="125" t="s">
        <v>4394</v>
      </c>
      <c r="F908" s="122" t="s">
        <v>30</v>
      </c>
      <c r="G908" s="122" t="s">
        <v>30</v>
      </c>
      <c r="H908" s="122" t="s">
        <v>110</v>
      </c>
      <c r="I908" s="125" t="s">
        <v>1365</v>
      </c>
      <c r="J908" s="129" t="s">
        <v>4395</v>
      </c>
      <c r="K908" s="122" t="s">
        <v>4396</v>
      </c>
      <c r="L908" s="131" t="s">
        <v>731</v>
      </c>
      <c r="M908" s="133" t="s">
        <v>4397</v>
      </c>
      <c r="N908" s="122" t="s">
        <v>30</v>
      </c>
    </row>
    <row r="909" spans="2:14" s="9" customFormat="1" hidden="1" x14ac:dyDescent="0.25">
      <c r="B909" s="120">
        <v>906</v>
      </c>
      <c r="C909" s="122">
        <v>20512516794</v>
      </c>
      <c r="D909" s="125" t="s">
        <v>3587</v>
      </c>
      <c r="E909" s="125" t="s">
        <v>4398</v>
      </c>
      <c r="F909" s="122" t="s">
        <v>30</v>
      </c>
      <c r="G909" s="122" t="s">
        <v>30</v>
      </c>
      <c r="H909" s="122" t="s">
        <v>30</v>
      </c>
      <c r="I909" s="125" t="s">
        <v>2196</v>
      </c>
      <c r="J909" s="129" t="s">
        <v>4399</v>
      </c>
      <c r="K909" s="122" t="s">
        <v>4400</v>
      </c>
      <c r="L909" s="131" t="s">
        <v>731</v>
      </c>
      <c r="M909" s="133" t="s">
        <v>4401</v>
      </c>
      <c r="N909" s="122" t="s">
        <v>30</v>
      </c>
    </row>
    <row r="910" spans="2:14" s="9" customFormat="1" hidden="1" x14ac:dyDescent="0.25">
      <c r="B910" s="120">
        <v>907</v>
      </c>
      <c r="C910" s="122">
        <v>20602391010</v>
      </c>
      <c r="D910" s="125" t="s">
        <v>402</v>
      </c>
      <c r="E910" s="125" t="s">
        <v>4402</v>
      </c>
      <c r="F910" s="122" t="s">
        <v>30</v>
      </c>
      <c r="G910" s="122" t="s">
        <v>30</v>
      </c>
      <c r="H910" s="122" t="s">
        <v>52</v>
      </c>
      <c r="I910" s="125" t="s">
        <v>1941</v>
      </c>
      <c r="J910" s="129" t="s">
        <v>4403</v>
      </c>
      <c r="K910" s="122" t="s">
        <v>4404</v>
      </c>
      <c r="L910" s="131" t="s">
        <v>731</v>
      </c>
      <c r="M910" s="133" t="s">
        <v>4405</v>
      </c>
      <c r="N910" s="122" t="s">
        <v>30</v>
      </c>
    </row>
    <row r="911" spans="2:14" s="9" customFormat="1" hidden="1" x14ac:dyDescent="0.25">
      <c r="B911" s="120">
        <v>908</v>
      </c>
      <c r="C911" s="122">
        <v>20603876840</v>
      </c>
      <c r="D911" s="125" t="s">
        <v>433</v>
      </c>
      <c r="E911" s="125" t="s">
        <v>4406</v>
      </c>
      <c r="F911" s="122" t="s">
        <v>30</v>
      </c>
      <c r="G911" s="122" t="s">
        <v>30</v>
      </c>
      <c r="H911" s="122" t="s">
        <v>51</v>
      </c>
      <c r="I911" s="125" t="s">
        <v>1981</v>
      </c>
      <c r="J911" s="129" t="s">
        <v>4407</v>
      </c>
      <c r="K911" s="122" t="s">
        <v>4408</v>
      </c>
      <c r="L911" s="131" t="s">
        <v>731</v>
      </c>
      <c r="M911" s="133" t="s">
        <v>4409</v>
      </c>
      <c r="N911" s="122" t="s">
        <v>30</v>
      </c>
    </row>
    <row r="912" spans="2:14" s="9" customFormat="1" hidden="1" x14ac:dyDescent="0.25">
      <c r="B912" s="120">
        <v>909</v>
      </c>
      <c r="C912" s="122">
        <v>20522061035</v>
      </c>
      <c r="D912" s="125" t="s">
        <v>3484</v>
      </c>
      <c r="E912" s="125" t="s">
        <v>4410</v>
      </c>
      <c r="F912" s="122" t="s">
        <v>30</v>
      </c>
      <c r="G912" s="122" t="s">
        <v>30</v>
      </c>
      <c r="H912" s="122" t="s">
        <v>35</v>
      </c>
      <c r="I912" s="125" t="s">
        <v>1977</v>
      </c>
      <c r="J912" s="129" t="s">
        <v>4411</v>
      </c>
      <c r="K912" s="122" t="s">
        <v>4412</v>
      </c>
      <c r="L912" s="131" t="s">
        <v>209</v>
      </c>
      <c r="M912" s="133" t="s">
        <v>4413</v>
      </c>
      <c r="N912" s="122" t="s">
        <v>30</v>
      </c>
    </row>
    <row r="913" spans="2:14" s="9" customFormat="1" hidden="1" x14ac:dyDescent="0.25">
      <c r="B913" s="120">
        <v>910</v>
      </c>
      <c r="C913" s="122">
        <v>20522061035</v>
      </c>
      <c r="D913" s="125" t="s">
        <v>3484</v>
      </c>
      <c r="E913" s="125" t="s">
        <v>4410</v>
      </c>
      <c r="F913" s="122" t="s">
        <v>30</v>
      </c>
      <c r="G913" s="122" t="s">
        <v>30</v>
      </c>
      <c r="H913" s="122" t="s">
        <v>35</v>
      </c>
      <c r="I913" s="125" t="s">
        <v>1977</v>
      </c>
      <c r="J913" s="129" t="s">
        <v>4414</v>
      </c>
      <c r="K913" s="122" t="s">
        <v>4415</v>
      </c>
      <c r="L913" s="131" t="s">
        <v>731</v>
      </c>
      <c r="M913" s="133" t="s">
        <v>4413</v>
      </c>
      <c r="N913" s="122" t="s">
        <v>30</v>
      </c>
    </row>
    <row r="914" spans="2:14" s="9" customFormat="1" hidden="1" x14ac:dyDescent="0.25">
      <c r="B914" s="120">
        <v>911</v>
      </c>
      <c r="C914" s="122">
        <v>20511846456</v>
      </c>
      <c r="D914" s="125" t="s">
        <v>3483</v>
      </c>
      <c r="E914" s="125" t="s">
        <v>4416</v>
      </c>
      <c r="F914" s="122" t="s">
        <v>30</v>
      </c>
      <c r="G914" s="122" t="s">
        <v>30</v>
      </c>
      <c r="H914" s="122" t="s">
        <v>51</v>
      </c>
      <c r="I914" s="125" t="s">
        <v>1398</v>
      </c>
      <c r="J914" s="129" t="s">
        <v>8197</v>
      </c>
      <c r="K914" s="122" t="s">
        <v>4417</v>
      </c>
      <c r="L914" s="131" t="s">
        <v>731</v>
      </c>
      <c r="M914" s="133" t="s">
        <v>4418</v>
      </c>
      <c r="N914" s="122" t="s">
        <v>30</v>
      </c>
    </row>
    <row r="915" spans="2:14" s="9" customFormat="1" hidden="1" x14ac:dyDescent="0.25">
      <c r="B915" s="120">
        <v>912</v>
      </c>
      <c r="C915" s="122">
        <v>20609164329</v>
      </c>
      <c r="D915" s="125" t="s">
        <v>3657</v>
      </c>
      <c r="E915" s="125" t="s">
        <v>4419</v>
      </c>
      <c r="F915" s="122" t="s">
        <v>67</v>
      </c>
      <c r="G915" s="122" t="s">
        <v>67</v>
      </c>
      <c r="H915" s="122" t="s">
        <v>94</v>
      </c>
      <c r="I915" s="125" t="s">
        <v>1947</v>
      </c>
      <c r="J915" s="129" t="s">
        <v>8261</v>
      </c>
      <c r="K915" s="122" t="s">
        <v>4420</v>
      </c>
      <c r="L915" s="131" t="s">
        <v>731</v>
      </c>
      <c r="M915" s="133" t="s">
        <v>4421</v>
      </c>
      <c r="N915" s="122" t="s">
        <v>67</v>
      </c>
    </row>
    <row r="916" spans="2:14" s="9" customFormat="1" hidden="1" x14ac:dyDescent="0.25">
      <c r="B916" s="120">
        <v>913</v>
      </c>
      <c r="C916" s="122">
        <v>20492816338</v>
      </c>
      <c r="D916" s="125" t="s">
        <v>354</v>
      </c>
      <c r="E916" s="125" t="s">
        <v>4422</v>
      </c>
      <c r="F916" s="122" t="s">
        <v>30</v>
      </c>
      <c r="G916" s="122" t="s">
        <v>30</v>
      </c>
      <c r="H916" s="122" t="s">
        <v>58</v>
      </c>
      <c r="I916" s="125" t="s">
        <v>1398</v>
      </c>
      <c r="J916" s="129" t="s">
        <v>8262</v>
      </c>
      <c r="K916" s="122" t="s">
        <v>4423</v>
      </c>
      <c r="L916" s="131" t="s">
        <v>36</v>
      </c>
      <c r="M916" s="133" t="s">
        <v>4424</v>
      </c>
      <c r="N916" s="122" t="s">
        <v>30</v>
      </c>
    </row>
    <row r="917" spans="2:14" s="9" customFormat="1" hidden="1" x14ac:dyDescent="0.25">
      <c r="B917" s="120">
        <v>914</v>
      </c>
      <c r="C917" s="122">
        <v>20605296867</v>
      </c>
      <c r="D917" s="125" t="s">
        <v>3668</v>
      </c>
      <c r="E917" s="125" t="s">
        <v>4425</v>
      </c>
      <c r="F917" s="122" t="s">
        <v>3669</v>
      </c>
      <c r="G917" s="122" t="s">
        <v>3669</v>
      </c>
      <c r="H917" s="122" t="s">
        <v>3669</v>
      </c>
      <c r="I917" s="125" t="s">
        <v>1694</v>
      </c>
      <c r="J917" s="129" t="s">
        <v>4426</v>
      </c>
      <c r="K917" s="122" t="s">
        <v>4427</v>
      </c>
      <c r="L917" s="131" t="s">
        <v>731</v>
      </c>
      <c r="M917" s="133" t="s">
        <v>4428</v>
      </c>
      <c r="N917" s="122" t="s">
        <v>3669</v>
      </c>
    </row>
    <row r="918" spans="2:14" s="9" customFormat="1" hidden="1" x14ac:dyDescent="0.25">
      <c r="B918" s="120">
        <v>915</v>
      </c>
      <c r="C918" s="122">
        <v>20601363641</v>
      </c>
      <c r="D918" s="125" t="s">
        <v>3656</v>
      </c>
      <c r="E918" s="125" t="s">
        <v>4429</v>
      </c>
      <c r="F918" s="122" t="s">
        <v>67</v>
      </c>
      <c r="G918" s="122" t="s">
        <v>67</v>
      </c>
      <c r="H918" s="122" t="s">
        <v>94</v>
      </c>
      <c r="I918" s="125" t="s">
        <v>1519</v>
      </c>
      <c r="J918" s="129" t="s">
        <v>4430</v>
      </c>
      <c r="K918" s="122" t="s">
        <v>4431</v>
      </c>
      <c r="L918" s="131" t="s">
        <v>1577</v>
      </c>
      <c r="M918" s="133" t="s">
        <v>4432</v>
      </c>
      <c r="N918" s="122" t="s">
        <v>30</v>
      </c>
    </row>
    <row r="919" spans="2:14" s="9" customFormat="1" hidden="1" x14ac:dyDescent="0.25">
      <c r="B919" s="120">
        <v>916</v>
      </c>
      <c r="C919" s="122">
        <v>20605982469</v>
      </c>
      <c r="D919" s="125" t="s">
        <v>3559</v>
      </c>
      <c r="E919" s="125" t="s">
        <v>4433</v>
      </c>
      <c r="F919" s="122" t="s">
        <v>3476</v>
      </c>
      <c r="G919" s="122" t="s">
        <v>4434</v>
      </c>
      <c r="H919" s="122" t="s">
        <v>4435</v>
      </c>
      <c r="I919" s="125" t="s">
        <v>1450</v>
      </c>
      <c r="J919" s="129" t="s">
        <v>4436</v>
      </c>
      <c r="K919" s="122" t="s">
        <v>4437</v>
      </c>
      <c r="L919" s="131" t="s">
        <v>4438</v>
      </c>
      <c r="M919" s="133" t="s">
        <v>845</v>
      </c>
      <c r="N919" s="122" t="s">
        <v>845</v>
      </c>
    </row>
    <row r="920" spans="2:14" s="9" customFormat="1" hidden="1" x14ac:dyDescent="0.25">
      <c r="B920" s="120">
        <v>917</v>
      </c>
      <c r="C920" s="122">
        <v>20605982469</v>
      </c>
      <c r="D920" s="125" t="s">
        <v>3559</v>
      </c>
      <c r="E920" s="125" t="s">
        <v>4433</v>
      </c>
      <c r="F920" s="122" t="s">
        <v>3476</v>
      </c>
      <c r="G920" s="122" t="s">
        <v>4434</v>
      </c>
      <c r="H920" s="122" t="s">
        <v>4435</v>
      </c>
      <c r="I920" s="125" t="s">
        <v>1450</v>
      </c>
      <c r="J920" s="129" t="s">
        <v>4439</v>
      </c>
      <c r="K920" s="122" t="s">
        <v>4440</v>
      </c>
      <c r="L920" s="131" t="s">
        <v>731</v>
      </c>
      <c r="M920" s="133" t="s">
        <v>845</v>
      </c>
      <c r="N920" s="122" t="s">
        <v>845</v>
      </c>
    </row>
    <row r="921" spans="2:14" s="9" customFormat="1" hidden="1" x14ac:dyDescent="0.25">
      <c r="B921" s="120">
        <v>918</v>
      </c>
      <c r="C921" s="122">
        <v>20508841397</v>
      </c>
      <c r="D921" s="125" t="s">
        <v>3489</v>
      </c>
      <c r="E921" s="125" t="s">
        <v>4441</v>
      </c>
      <c r="F921" s="122" t="s">
        <v>30</v>
      </c>
      <c r="G921" s="122" t="s">
        <v>30</v>
      </c>
      <c r="H921" s="122" t="s">
        <v>30</v>
      </c>
      <c r="I921" s="125" t="s">
        <v>1809</v>
      </c>
      <c r="J921" s="129" t="s">
        <v>8217</v>
      </c>
      <c r="K921" s="122" t="s">
        <v>4442</v>
      </c>
      <c r="L921" s="131" t="s">
        <v>42</v>
      </c>
      <c r="M921" s="133" t="s">
        <v>4443</v>
      </c>
      <c r="N921" s="122" t="s">
        <v>67</v>
      </c>
    </row>
    <row r="922" spans="2:14" s="9" customFormat="1" hidden="1" x14ac:dyDescent="0.25">
      <c r="B922" s="120">
        <v>919</v>
      </c>
      <c r="C922" s="122">
        <v>20508841397</v>
      </c>
      <c r="D922" s="125" t="s">
        <v>3489</v>
      </c>
      <c r="E922" s="125" t="s">
        <v>4441</v>
      </c>
      <c r="F922" s="122" t="s">
        <v>30</v>
      </c>
      <c r="G922" s="122" t="s">
        <v>30</v>
      </c>
      <c r="H922" s="122" t="s">
        <v>30</v>
      </c>
      <c r="I922" s="125" t="s">
        <v>1809</v>
      </c>
      <c r="J922" s="129" t="s">
        <v>8216</v>
      </c>
      <c r="K922" s="122" t="s">
        <v>4444</v>
      </c>
      <c r="L922" s="131" t="s">
        <v>2469</v>
      </c>
      <c r="M922" s="133" t="s">
        <v>4443</v>
      </c>
      <c r="N922" s="122" t="s">
        <v>67</v>
      </c>
    </row>
    <row r="923" spans="2:14" s="9" customFormat="1" hidden="1" x14ac:dyDescent="0.25">
      <c r="B923" s="120">
        <v>920</v>
      </c>
      <c r="C923" s="122">
        <v>20557911121</v>
      </c>
      <c r="D923" s="125" t="s">
        <v>435</v>
      </c>
      <c r="E923" s="125" t="s">
        <v>4445</v>
      </c>
      <c r="F923" s="122" t="s">
        <v>30</v>
      </c>
      <c r="G923" s="122" t="s">
        <v>30</v>
      </c>
      <c r="H923" s="122" t="s">
        <v>30</v>
      </c>
      <c r="I923" s="125" t="s">
        <v>1706</v>
      </c>
      <c r="J923" s="129" t="s">
        <v>4446</v>
      </c>
      <c r="K923" s="122" t="s">
        <v>4447</v>
      </c>
      <c r="L923" s="131" t="s">
        <v>209</v>
      </c>
      <c r="M923" s="133" t="s">
        <v>4448</v>
      </c>
      <c r="N923" s="122" t="s">
        <v>30</v>
      </c>
    </row>
    <row r="924" spans="2:14" s="9" customFormat="1" hidden="1" x14ac:dyDescent="0.25">
      <c r="B924" s="120">
        <v>921</v>
      </c>
      <c r="C924" s="122">
        <v>20511831424</v>
      </c>
      <c r="D924" s="125" t="s">
        <v>350</v>
      </c>
      <c r="E924" s="125" t="s">
        <v>4449</v>
      </c>
      <c r="F924" s="122" t="s">
        <v>30</v>
      </c>
      <c r="G924" s="122" t="s">
        <v>30</v>
      </c>
      <c r="H924" s="122" t="s">
        <v>43</v>
      </c>
      <c r="I924" s="125" t="s">
        <v>2803</v>
      </c>
      <c r="J924" s="129" t="s">
        <v>4450</v>
      </c>
      <c r="K924" s="122" t="s">
        <v>4451</v>
      </c>
      <c r="L924" s="131" t="s">
        <v>731</v>
      </c>
      <c r="M924" s="133" t="s">
        <v>4452</v>
      </c>
      <c r="N924" s="122" t="s">
        <v>30</v>
      </c>
    </row>
    <row r="925" spans="2:14" s="9" customFormat="1" hidden="1" x14ac:dyDescent="0.25">
      <c r="B925" s="120">
        <v>922</v>
      </c>
      <c r="C925" s="122">
        <v>20524017394</v>
      </c>
      <c r="D925" s="125" t="s">
        <v>632</v>
      </c>
      <c r="E925" s="125" t="s">
        <v>4453</v>
      </c>
      <c r="F925" s="122" t="s">
        <v>67</v>
      </c>
      <c r="G925" s="122" t="s">
        <v>67</v>
      </c>
      <c r="H925" s="122" t="s">
        <v>143</v>
      </c>
      <c r="I925" s="125" t="s">
        <v>2294</v>
      </c>
      <c r="J925" s="129" t="s">
        <v>4454</v>
      </c>
      <c r="K925" s="122" t="s">
        <v>4455</v>
      </c>
      <c r="L925" s="131" t="s">
        <v>1577</v>
      </c>
      <c r="M925" s="133" t="s">
        <v>845</v>
      </c>
      <c r="N925" s="122" t="s">
        <v>845</v>
      </c>
    </row>
    <row r="926" spans="2:14" s="9" customFormat="1" hidden="1" x14ac:dyDescent="0.25">
      <c r="B926" s="120">
        <v>923</v>
      </c>
      <c r="C926" s="122">
        <v>20547806302</v>
      </c>
      <c r="D926" s="125" t="s">
        <v>161</v>
      </c>
      <c r="E926" s="125" t="s">
        <v>4456</v>
      </c>
      <c r="F926" s="122" t="s">
        <v>30</v>
      </c>
      <c r="G926" s="122" t="s">
        <v>30</v>
      </c>
      <c r="H926" s="122" t="s">
        <v>52</v>
      </c>
      <c r="I926" s="125" t="s">
        <v>1398</v>
      </c>
      <c r="J926" s="129" t="s">
        <v>4457</v>
      </c>
      <c r="K926" s="122" t="s">
        <v>4458</v>
      </c>
      <c r="L926" s="131" t="s">
        <v>731</v>
      </c>
      <c r="M926" s="133" t="s">
        <v>4459</v>
      </c>
      <c r="N926" s="122" t="s">
        <v>30</v>
      </c>
    </row>
    <row r="927" spans="2:14" s="9" customFormat="1" hidden="1" x14ac:dyDescent="0.25">
      <c r="B927" s="120">
        <v>924</v>
      </c>
      <c r="C927" s="122">
        <v>20498650318</v>
      </c>
      <c r="D927" s="125" t="s">
        <v>3607</v>
      </c>
      <c r="E927" s="125" t="s">
        <v>4460</v>
      </c>
      <c r="F927" s="122" t="s">
        <v>30</v>
      </c>
      <c r="G927" s="122" t="s">
        <v>30</v>
      </c>
      <c r="H927" s="122" t="s">
        <v>37</v>
      </c>
      <c r="I927" s="125" t="s">
        <v>1930</v>
      </c>
      <c r="J927" s="129" t="s">
        <v>4461</v>
      </c>
      <c r="K927" s="122" t="s">
        <v>4462</v>
      </c>
      <c r="L927" s="131" t="s">
        <v>1558</v>
      </c>
      <c r="M927" s="133" t="s">
        <v>4463</v>
      </c>
      <c r="N927" s="122" t="s">
        <v>30</v>
      </c>
    </row>
    <row r="928" spans="2:14" s="9" customFormat="1" hidden="1" x14ac:dyDescent="0.25">
      <c r="B928" s="120">
        <v>925</v>
      </c>
      <c r="C928" s="122">
        <v>20498650318</v>
      </c>
      <c r="D928" s="125" t="s">
        <v>3607</v>
      </c>
      <c r="E928" s="125" t="s">
        <v>4460</v>
      </c>
      <c r="F928" s="122" t="s">
        <v>30</v>
      </c>
      <c r="G928" s="122" t="s">
        <v>30</v>
      </c>
      <c r="H928" s="122" t="s">
        <v>37</v>
      </c>
      <c r="I928" s="125" t="s">
        <v>1930</v>
      </c>
      <c r="J928" s="129" t="s">
        <v>4464</v>
      </c>
      <c r="K928" s="122" t="s">
        <v>4465</v>
      </c>
      <c r="L928" s="131" t="s">
        <v>1558</v>
      </c>
      <c r="M928" s="133" t="s">
        <v>4463</v>
      </c>
      <c r="N928" s="122" t="s">
        <v>30</v>
      </c>
    </row>
    <row r="929" spans="2:14" s="9" customFormat="1" hidden="1" x14ac:dyDescent="0.25">
      <c r="B929" s="120">
        <v>926</v>
      </c>
      <c r="C929" s="122">
        <v>20498650318</v>
      </c>
      <c r="D929" s="125" t="s">
        <v>3607</v>
      </c>
      <c r="E929" s="125" t="s">
        <v>4460</v>
      </c>
      <c r="F929" s="122" t="s">
        <v>30</v>
      </c>
      <c r="G929" s="122" t="s">
        <v>30</v>
      </c>
      <c r="H929" s="122" t="s">
        <v>37</v>
      </c>
      <c r="I929" s="125" t="s">
        <v>1930</v>
      </c>
      <c r="J929" s="129" t="s">
        <v>4466</v>
      </c>
      <c r="K929" s="122" t="s">
        <v>4467</v>
      </c>
      <c r="L929" s="131" t="s">
        <v>42</v>
      </c>
      <c r="M929" s="133" t="s">
        <v>4463</v>
      </c>
      <c r="N929" s="122" t="s">
        <v>30</v>
      </c>
    </row>
    <row r="930" spans="2:14" s="9" customFormat="1" hidden="1" x14ac:dyDescent="0.25">
      <c r="B930" s="120">
        <v>927</v>
      </c>
      <c r="C930" s="122">
        <v>20606531177</v>
      </c>
      <c r="D930" s="125" t="s">
        <v>646</v>
      </c>
      <c r="E930" s="125" t="s">
        <v>4468</v>
      </c>
      <c r="F930" s="122" t="s">
        <v>30</v>
      </c>
      <c r="G930" s="122" t="s">
        <v>30</v>
      </c>
      <c r="H930" s="122" t="s">
        <v>60</v>
      </c>
      <c r="I930" s="125" t="s">
        <v>1394</v>
      </c>
      <c r="J930" s="129" t="s">
        <v>8222</v>
      </c>
      <c r="K930" s="122" t="s">
        <v>4469</v>
      </c>
      <c r="L930" s="131" t="s">
        <v>731</v>
      </c>
      <c r="M930" s="133" t="s">
        <v>4470</v>
      </c>
      <c r="N930" s="122" t="s">
        <v>30</v>
      </c>
    </row>
    <row r="931" spans="2:14" s="9" customFormat="1" hidden="1" x14ac:dyDescent="0.25">
      <c r="B931" s="120">
        <v>928</v>
      </c>
      <c r="C931" s="122">
        <v>20384121838</v>
      </c>
      <c r="D931" s="125" t="s">
        <v>693</v>
      </c>
      <c r="E931" s="125" t="s">
        <v>4471</v>
      </c>
      <c r="F931" s="122" t="s">
        <v>30</v>
      </c>
      <c r="G931" s="122" t="s">
        <v>30</v>
      </c>
      <c r="H931" s="122" t="s">
        <v>51</v>
      </c>
      <c r="I931" s="125" t="s">
        <v>1374</v>
      </c>
      <c r="J931" s="129" t="s">
        <v>8239</v>
      </c>
      <c r="K931" s="122" t="s">
        <v>4472</v>
      </c>
      <c r="L931" s="131" t="s">
        <v>731</v>
      </c>
      <c r="M931" s="133" t="s">
        <v>4473</v>
      </c>
      <c r="N931" s="122" t="s">
        <v>30</v>
      </c>
    </row>
    <row r="932" spans="2:14" s="9" customFormat="1" hidden="1" x14ac:dyDescent="0.25">
      <c r="B932" s="120">
        <v>929</v>
      </c>
      <c r="C932" s="122">
        <v>20607637262</v>
      </c>
      <c r="D932" s="125" t="s">
        <v>3493</v>
      </c>
      <c r="E932" s="125" t="s">
        <v>4474</v>
      </c>
      <c r="F932" s="122" t="s">
        <v>30</v>
      </c>
      <c r="G932" s="122" t="s">
        <v>30</v>
      </c>
      <c r="H932" s="122" t="s">
        <v>43</v>
      </c>
      <c r="I932" s="125" t="s">
        <v>2460</v>
      </c>
      <c r="J932" s="129" t="s">
        <v>4475</v>
      </c>
      <c r="K932" s="122" t="s">
        <v>4476</v>
      </c>
      <c r="L932" s="131" t="s">
        <v>731</v>
      </c>
      <c r="M932" s="133" t="s">
        <v>4477</v>
      </c>
      <c r="N932" s="122" t="s">
        <v>30</v>
      </c>
    </row>
    <row r="933" spans="2:14" s="9" customFormat="1" hidden="1" x14ac:dyDescent="0.25">
      <c r="B933" s="120">
        <v>930</v>
      </c>
      <c r="C933" s="122">
        <v>20603297513</v>
      </c>
      <c r="D933" s="125" t="s">
        <v>3639</v>
      </c>
      <c r="E933" s="125" t="s">
        <v>4478</v>
      </c>
      <c r="F933" s="122" t="s">
        <v>30</v>
      </c>
      <c r="G933" s="122" t="s">
        <v>30</v>
      </c>
      <c r="H933" s="122" t="s">
        <v>4479</v>
      </c>
      <c r="I933" s="125" t="s">
        <v>1394</v>
      </c>
      <c r="J933" s="129" t="s">
        <v>4480</v>
      </c>
      <c r="K933" s="122" t="s">
        <v>4481</v>
      </c>
      <c r="L933" s="131" t="s">
        <v>1577</v>
      </c>
      <c r="M933" s="133" t="s">
        <v>4482</v>
      </c>
      <c r="N933" s="122" t="s">
        <v>30</v>
      </c>
    </row>
    <row r="934" spans="2:14" s="9" customFormat="1" hidden="1" x14ac:dyDescent="0.25">
      <c r="B934" s="120">
        <v>931</v>
      </c>
      <c r="C934" s="122">
        <v>20601450225</v>
      </c>
      <c r="D934" s="125" t="s">
        <v>3530</v>
      </c>
      <c r="E934" s="125" t="s">
        <v>4483</v>
      </c>
      <c r="F934" s="122" t="s">
        <v>30</v>
      </c>
      <c r="G934" s="122" t="s">
        <v>30</v>
      </c>
      <c r="H934" s="122" t="s">
        <v>50</v>
      </c>
      <c r="I934" s="125" t="s">
        <v>2446</v>
      </c>
      <c r="J934" s="129" t="s">
        <v>4484</v>
      </c>
      <c r="K934" s="122" t="s">
        <v>4485</v>
      </c>
      <c r="L934" s="131" t="s">
        <v>731</v>
      </c>
      <c r="M934" s="133" t="s">
        <v>4486</v>
      </c>
      <c r="N934" s="122" t="s">
        <v>30</v>
      </c>
    </row>
    <row r="935" spans="2:14" s="9" customFormat="1" hidden="1" x14ac:dyDescent="0.25">
      <c r="B935" s="120">
        <v>932</v>
      </c>
      <c r="C935" s="122">
        <v>20551047351</v>
      </c>
      <c r="D935" s="125" t="s">
        <v>549</v>
      </c>
      <c r="E935" s="125" t="s">
        <v>4487</v>
      </c>
      <c r="F935" s="122" t="s">
        <v>30</v>
      </c>
      <c r="G935" s="122" t="s">
        <v>30</v>
      </c>
      <c r="H935" s="122" t="s">
        <v>45</v>
      </c>
      <c r="I935" s="125" t="s">
        <v>1374</v>
      </c>
      <c r="J935" s="129" t="s">
        <v>4488</v>
      </c>
      <c r="K935" s="122" t="s">
        <v>4489</v>
      </c>
      <c r="L935" s="131" t="s">
        <v>731</v>
      </c>
      <c r="M935" s="133" t="s">
        <v>4490</v>
      </c>
      <c r="N935" s="122" t="s">
        <v>30</v>
      </c>
    </row>
    <row r="936" spans="2:14" s="9" customFormat="1" hidden="1" x14ac:dyDescent="0.25">
      <c r="B936" s="120">
        <v>933</v>
      </c>
      <c r="C936" s="122">
        <v>20208423003</v>
      </c>
      <c r="D936" s="125" t="s">
        <v>3567</v>
      </c>
      <c r="E936" s="125" t="s">
        <v>4491</v>
      </c>
      <c r="F936" s="122" t="s">
        <v>30</v>
      </c>
      <c r="G936" s="122" t="s">
        <v>30</v>
      </c>
      <c r="H936" s="122" t="s">
        <v>75</v>
      </c>
      <c r="I936" s="125" t="s">
        <v>4492</v>
      </c>
      <c r="J936" s="129" t="s">
        <v>4493</v>
      </c>
      <c r="K936" s="122" t="s">
        <v>4494</v>
      </c>
      <c r="L936" s="131" t="s">
        <v>1558</v>
      </c>
      <c r="M936" s="133" t="s">
        <v>4495</v>
      </c>
      <c r="N936" s="122" t="s">
        <v>30</v>
      </c>
    </row>
    <row r="937" spans="2:14" s="9" customFormat="1" hidden="1" x14ac:dyDescent="0.25">
      <c r="B937" s="120">
        <v>934</v>
      </c>
      <c r="C937" s="122">
        <v>20208423003</v>
      </c>
      <c r="D937" s="125" t="s">
        <v>3567</v>
      </c>
      <c r="E937" s="125" t="s">
        <v>4491</v>
      </c>
      <c r="F937" s="122" t="s">
        <v>30</v>
      </c>
      <c r="G937" s="122" t="s">
        <v>30</v>
      </c>
      <c r="H937" s="122" t="s">
        <v>75</v>
      </c>
      <c r="I937" s="125" t="s">
        <v>4492</v>
      </c>
      <c r="J937" s="129" t="s">
        <v>4496</v>
      </c>
      <c r="K937" s="122" t="s">
        <v>4497</v>
      </c>
      <c r="L937" s="131" t="s">
        <v>42</v>
      </c>
      <c r="M937" s="133" t="s">
        <v>4495</v>
      </c>
      <c r="N937" s="122" t="s">
        <v>30</v>
      </c>
    </row>
    <row r="938" spans="2:14" s="9" customFormat="1" hidden="1" x14ac:dyDescent="0.25">
      <c r="B938" s="120">
        <v>935</v>
      </c>
      <c r="C938" s="122">
        <v>20208423003</v>
      </c>
      <c r="D938" s="125" t="s">
        <v>3567</v>
      </c>
      <c r="E938" s="125" t="s">
        <v>4491</v>
      </c>
      <c r="F938" s="122" t="s">
        <v>30</v>
      </c>
      <c r="G938" s="122" t="s">
        <v>30</v>
      </c>
      <c r="H938" s="122" t="s">
        <v>75</v>
      </c>
      <c r="I938" s="125" t="s">
        <v>4492</v>
      </c>
      <c r="J938" s="129" t="s">
        <v>4498</v>
      </c>
      <c r="K938" s="122" t="s">
        <v>4499</v>
      </c>
      <c r="L938" s="131" t="s">
        <v>1558</v>
      </c>
      <c r="M938" s="133" t="s">
        <v>4495</v>
      </c>
      <c r="N938" s="122" t="s">
        <v>30</v>
      </c>
    </row>
    <row r="939" spans="2:14" s="9" customFormat="1" hidden="1" x14ac:dyDescent="0.25">
      <c r="B939" s="120">
        <v>936</v>
      </c>
      <c r="C939" s="122">
        <v>20508689404</v>
      </c>
      <c r="D939" s="125" t="s">
        <v>219</v>
      </c>
      <c r="E939" s="125" t="s">
        <v>4500</v>
      </c>
      <c r="F939" s="122" t="s">
        <v>30</v>
      </c>
      <c r="G939" s="122" t="s">
        <v>30</v>
      </c>
      <c r="H939" s="122" t="s">
        <v>72</v>
      </c>
      <c r="I939" s="125" t="s">
        <v>1952</v>
      </c>
      <c r="J939" s="129" t="s">
        <v>8163</v>
      </c>
      <c r="K939" s="122" t="s">
        <v>4501</v>
      </c>
      <c r="L939" s="131" t="s">
        <v>1558</v>
      </c>
      <c r="M939" s="133" t="s">
        <v>4502</v>
      </c>
      <c r="N939" s="122" t="s">
        <v>30</v>
      </c>
    </row>
    <row r="940" spans="2:14" s="9" customFormat="1" hidden="1" x14ac:dyDescent="0.25">
      <c r="B940" s="120">
        <v>937</v>
      </c>
      <c r="C940" s="122">
        <v>20508689404</v>
      </c>
      <c r="D940" s="125" t="s">
        <v>219</v>
      </c>
      <c r="E940" s="125" t="s">
        <v>4500</v>
      </c>
      <c r="F940" s="122" t="s">
        <v>30</v>
      </c>
      <c r="G940" s="122" t="s">
        <v>30</v>
      </c>
      <c r="H940" s="122" t="s">
        <v>72</v>
      </c>
      <c r="I940" s="125" t="s">
        <v>1952</v>
      </c>
      <c r="J940" s="129" t="s">
        <v>8162</v>
      </c>
      <c r="K940" s="122" t="s">
        <v>4503</v>
      </c>
      <c r="L940" s="131" t="s">
        <v>731</v>
      </c>
      <c r="M940" s="133" t="s">
        <v>4502</v>
      </c>
      <c r="N940" s="122" t="s">
        <v>30</v>
      </c>
    </row>
    <row r="941" spans="2:14" s="9" customFormat="1" hidden="1" x14ac:dyDescent="0.25">
      <c r="B941" s="120">
        <v>938</v>
      </c>
      <c r="C941" s="122">
        <v>20100248621</v>
      </c>
      <c r="D941" s="125" t="s">
        <v>98</v>
      </c>
      <c r="E941" s="125" t="s">
        <v>4504</v>
      </c>
      <c r="F941" s="122" t="s">
        <v>67</v>
      </c>
      <c r="G941" s="122" t="s">
        <v>67</v>
      </c>
      <c r="H941" s="122" t="s">
        <v>67</v>
      </c>
      <c r="I941" s="125" t="s">
        <v>1980</v>
      </c>
      <c r="J941" s="129" t="s">
        <v>4505</v>
      </c>
      <c r="K941" s="122" t="s">
        <v>4506</v>
      </c>
      <c r="L941" s="131" t="s">
        <v>1558</v>
      </c>
      <c r="M941" s="133" t="s">
        <v>4507</v>
      </c>
      <c r="N941" s="122" t="s">
        <v>67</v>
      </c>
    </row>
    <row r="942" spans="2:14" s="9" customFormat="1" hidden="1" x14ac:dyDescent="0.25">
      <c r="B942" s="120">
        <v>939</v>
      </c>
      <c r="C942" s="122">
        <v>20100248621</v>
      </c>
      <c r="D942" s="125" t="s">
        <v>98</v>
      </c>
      <c r="E942" s="125" t="s">
        <v>4504</v>
      </c>
      <c r="F942" s="122" t="s">
        <v>67</v>
      </c>
      <c r="G942" s="122" t="s">
        <v>67</v>
      </c>
      <c r="H942" s="122" t="s">
        <v>67</v>
      </c>
      <c r="I942" s="125" t="s">
        <v>1980</v>
      </c>
      <c r="J942" s="129" t="s">
        <v>4508</v>
      </c>
      <c r="K942" s="122" t="s">
        <v>4509</v>
      </c>
      <c r="L942" s="131" t="s">
        <v>1558</v>
      </c>
      <c r="M942" s="133" t="s">
        <v>4507</v>
      </c>
      <c r="N942" s="122" t="s">
        <v>67</v>
      </c>
    </row>
    <row r="943" spans="2:14" s="9" customFormat="1" hidden="1" x14ac:dyDescent="0.25">
      <c r="B943" s="120">
        <v>940</v>
      </c>
      <c r="C943" s="122">
        <v>20100248621</v>
      </c>
      <c r="D943" s="125" t="s">
        <v>98</v>
      </c>
      <c r="E943" s="125" t="s">
        <v>4504</v>
      </c>
      <c r="F943" s="122" t="s">
        <v>67</v>
      </c>
      <c r="G943" s="122" t="s">
        <v>67</v>
      </c>
      <c r="H943" s="122" t="s">
        <v>67</v>
      </c>
      <c r="I943" s="125" t="s">
        <v>1980</v>
      </c>
      <c r="J943" s="129" t="s">
        <v>4510</v>
      </c>
      <c r="K943" s="122" t="s">
        <v>4511</v>
      </c>
      <c r="L943" s="131" t="s">
        <v>1558</v>
      </c>
      <c r="M943" s="133" t="s">
        <v>4507</v>
      </c>
      <c r="N943" s="122" t="s">
        <v>67</v>
      </c>
    </row>
    <row r="944" spans="2:14" s="9" customFormat="1" hidden="1" x14ac:dyDescent="0.25">
      <c r="B944" s="120">
        <v>941</v>
      </c>
      <c r="C944" s="122">
        <v>20100248621</v>
      </c>
      <c r="D944" s="125" t="s">
        <v>98</v>
      </c>
      <c r="E944" s="125" t="s">
        <v>4504</v>
      </c>
      <c r="F944" s="122" t="s">
        <v>67</v>
      </c>
      <c r="G944" s="122" t="s">
        <v>67</v>
      </c>
      <c r="H944" s="122" t="s">
        <v>67</v>
      </c>
      <c r="I944" s="125" t="s">
        <v>1980</v>
      </c>
      <c r="J944" s="129" t="s">
        <v>4512</v>
      </c>
      <c r="K944" s="122" t="s">
        <v>4513</v>
      </c>
      <c r="L944" s="131" t="s">
        <v>731</v>
      </c>
      <c r="M944" s="133" t="s">
        <v>4507</v>
      </c>
      <c r="N944" s="122" t="s">
        <v>67</v>
      </c>
    </row>
    <row r="945" spans="2:14" s="9" customFormat="1" hidden="1" x14ac:dyDescent="0.25">
      <c r="B945" s="120">
        <v>942</v>
      </c>
      <c r="C945" s="122">
        <v>20513959134</v>
      </c>
      <c r="D945" s="125" t="s">
        <v>653</v>
      </c>
      <c r="E945" s="125" t="s">
        <v>4514</v>
      </c>
      <c r="F945" s="122" t="s">
        <v>30</v>
      </c>
      <c r="G945" s="122" t="s">
        <v>30</v>
      </c>
      <c r="H945" s="122" t="s">
        <v>4515</v>
      </c>
      <c r="I945" s="125" t="s">
        <v>4516</v>
      </c>
      <c r="J945" s="129" t="s">
        <v>8243</v>
      </c>
      <c r="K945" s="122" t="s">
        <v>4517</v>
      </c>
      <c r="L945" s="131" t="s">
        <v>731</v>
      </c>
      <c r="M945" s="133" t="s">
        <v>4518</v>
      </c>
      <c r="N945" s="122" t="s">
        <v>30</v>
      </c>
    </row>
    <row r="946" spans="2:14" s="9" customFormat="1" hidden="1" x14ac:dyDescent="0.25">
      <c r="B946" s="120">
        <v>943</v>
      </c>
      <c r="C946" s="122">
        <v>20100132916</v>
      </c>
      <c r="D946" s="125" t="s">
        <v>362</v>
      </c>
      <c r="E946" s="125" t="s">
        <v>4519</v>
      </c>
      <c r="F946" s="122" t="s">
        <v>30</v>
      </c>
      <c r="G946" s="122" t="s">
        <v>30</v>
      </c>
      <c r="H946" s="122" t="s">
        <v>135</v>
      </c>
      <c r="I946" s="125" t="s">
        <v>1356</v>
      </c>
      <c r="J946" s="129" t="s">
        <v>4520</v>
      </c>
      <c r="K946" s="122" t="s">
        <v>4521</v>
      </c>
      <c r="L946" s="131" t="s">
        <v>42</v>
      </c>
      <c r="M946" s="133" t="s">
        <v>4522</v>
      </c>
      <c r="N946" s="122" t="s">
        <v>30</v>
      </c>
    </row>
    <row r="947" spans="2:14" s="9" customFormat="1" hidden="1" x14ac:dyDescent="0.25">
      <c r="B947" s="120">
        <v>944</v>
      </c>
      <c r="C947" s="122">
        <v>20100132916</v>
      </c>
      <c r="D947" s="125" t="s">
        <v>362</v>
      </c>
      <c r="E947" s="125" t="s">
        <v>4519</v>
      </c>
      <c r="F947" s="122" t="s">
        <v>30</v>
      </c>
      <c r="G947" s="122" t="s">
        <v>30</v>
      </c>
      <c r="H947" s="122" t="s">
        <v>135</v>
      </c>
      <c r="I947" s="125" t="s">
        <v>1356</v>
      </c>
      <c r="J947" s="129" t="s">
        <v>4523</v>
      </c>
      <c r="K947" s="122" t="s">
        <v>4524</v>
      </c>
      <c r="L947" s="131" t="s">
        <v>2469</v>
      </c>
      <c r="M947" s="133" t="s">
        <v>4522</v>
      </c>
      <c r="N947" s="122" t="s">
        <v>30</v>
      </c>
    </row>
    <row r="948" spans="2:14" s="9" customFormat="1" hidden="1" x14ac:dyDescent="0.25">
      <c r="B948" s="120">
        <v>945</v>
      </c>
      <c r="C948" s="122">
        <v>20493048890</v>
      </c>
      <c r="D948" s="125" t="s">
        <v>3534</v>
      </c>
      <c r="E948" s="125" t="s">
        <v>4525</v>
      </c>
      <c r="F948" s="122" t="s">
        <v>30</v>
      </c>
      <c r="G948" s="122" t="s">
        <v>30</v>
      </c>
      <c r="H948" s="122" t="s">
        <v>75</v>
      </c>
      <c r="I948" s="125" t="s">
        <v>4526</v>
      </c>
      <c r="J948" s="129" t="s">
        <v>4527</v>
      </c>
      <c r="K948" s="122" t="s">
        <v>4528</v>
      </c>
      <c r="L948" s="131" t="s">
        <v>42</v>
      </c>
      <c r="M948" s="133" t="s">
        <v>4529</v>
      </c>
      <c r="N948" s="122" t="s">
        <v>30</v>
      </c>
    </row>
    <row r="949" spans="2:14" s="9" customFormat="1" hidden="1" x14ac:dyDescent="0.25">
      <c r="B949" s="120">
        <v>946</v>
      </c>
      <c r="C949" s="122">
        <v>20515044028</v>
      </c>
      <c r="D949" s="125" t="s">
        <v>1095</v>
      </c>
      <c r="E949" s="125" t="s">
        <v>4530</v>
      </c>
      <c r="F949" s="122" t="s">
        <v>30</v>
      </c>
      <c r="G949" s="122" t="s">
        <v>30</v>
      </c>
      <c r="H949" s="122" t="s">
        <v>86</v>
      </c>
      <c r="I949" s="125" t="s">
        <v>3723</v>
      </c>
      <c r="J949" s="129" t="s">
        <v>4531</v>
      </c>
      <c r="K949" s="122" t="s">
        <v>4532</v>
      </c>
      <c r="L949" s="131" t="s">
        <v>1712</v>
      </c>
      <c r="M949" s="133" t="s">
        <v>4533</v>
      </c>
      <c r="N949" s="122" t="s">
        <v>30</v>
      </c>
    </row>
    <row r="950" spans="2:14" s="9" customFormat="1" hidden="1" x14ac:dyDescent="0.25">
      <c r="B950" s="120">
        <v>947</v>
      </c>
      <c r="C950" s="122">
        <v>20100018625</v>
      </c>
      <c r="D950" s="125" t="s">
        <v>207</v>
      </c>
      <c r="E950" s="125" t="s">
        <v>4240</v>
      </c>
      <c r="F950" s="122" t="s">
        <v>30</v>
      </c>
      <c r="G950" s="122" t="s">
        <v>30</v>
      </c>
      <c r="H950" s="122" t="s">
        <v>30</v>
      </c>
      <c r="I950" s="125" t="s">
        <v>2299</v>
      </c>
      <c r="J950" s="129" t="s">
        <v>4264</v>
      </c>
      <c r="K950" s="122" t="s">
        <v>4265</v>
      </c>
      <c r="L950" s="122" t="s">
        <v>209</v>
      </c>
      <c r="M950" s="133" t="s">
        <v>4243</v>
      </c>
      <c r="N950" s="122" t="s">
        <v>30</v>
      </c>
    </row>
    <row r="951" spans="2:14" s="9" customFormat="1" hidden="1" x14ac:dyDescent="0.25">
      <c r="B951" s="120">
        <v>948</v>
      </c>
      <c r="C951" s="122">
        <v>20100018625</v>
      </c>
      <c r="D951" s="125" t="s">
        <v>207</v>
      </c>
      <c r="E951" s="125" t="s">
        <v>4240</v>
      </c>
      <c r="F951" s="122" t="s">
        <v>30</v>
      </c>
      <c r="G951" s="122" t="s">
        <v>30</v>
      </c>
      <c r="H951" s="122" t="s">
        <v>30</v>
      </c>
      <c r="I951" s="125" t="s">
        <v>2299</v>
      </c>
      <c r="J951" s="129" t="s">
        <v>4262</v>
      </c>
      <c r="K951" s="122" t="s">
        <v>4263</v>
      </c>
      <c r="L951" s="122" t="s">
        <v>209</v>
      </c>
      <c r="M951" s="133" t="s">
        <v>4243</v>
      </c>
      <c r="N951" s="122" t="s">
        <v>30</v>
      </c>
    </row>
    <row r="952" spans="2:14" s="9" customFormat="1" hidden="1" x14ac:dyDescent="0.25">
      <c r="B952" s="120">
        <v>949</v>
      </c>
      <c r="C952" s="122">
        <v>20100018625</v>
      </c>
      <c r="D952" s="125" t="s">
        <v>207</v>
      </c>
      <c r="E952" s="125" t="s">
        <v>4240</v>
      </c>
      <c r="F952" s="122" t="s">
        <v>30</v>
      </c>
      <c r="G952" s="122" t="s">
        <v>30</v>
      </c>
      <c r="H952" s="122" t="s">
        <v>30</v>
      </c>
      <c r="I952" s="125" t="s">
        <v>2299</v>
      </c>
      <c r="J952" s="129" t="s">
        <v>8031</v>
      </c>
      <c r="K952" s="122" t="s">
        <v>8032</v>
      </c>
      <c r="L952" s="122" t="s">
        <v>42</v>
      </c>
      <c r="M952" s="133" t="s">
        <v>4243</v>
      </c>
      <c r="N952" s="122" t="s">
        <v>30</v>
      </c>
    </row>
    <row r="953" spans="2:14" s="9" customFormat="1" hidden="1" x14ac:dyDescent="0.25">
      <c r="B953" s="120">
        <v>950</v>
      </c>
      <c r="C953" s="122">
        <v>20100018625</v>
      </c>
      <c r="D953" s="125" t="s">
        <v>207</v>
      </c>
      <c r="E953" s="125" t="s">
        <v>4240</v>
      </c>
      <c r="F953" s="122" t="s">
        <v>30</v>
      </c>
      <c r="G953" s="122" t="s">
        <v>30</v>
      </c>
      <c r="H953" s="122" t="s">
        <v>30</v>
      </c>
      <c r="I953" s="125" t="s">
        <v>2299</v>
      </c>
      <c r="J953" s="129" t="s">
        <v>4260</v>
      </c>
      <c r="K953" s="122" t="s">
        <v>4261</v>
      </c>
      <c r="L953" s="122" t="s">
        <v>209</v>
      </c>
      <c r="M953" s="133" t="s">
        <v>4243</v>
      </c>
      <c r="N953" s="122" t="s">
        <v>30</v>
      </c>
    </row>
    <row r="954" spans="2:14" s="9" customFormat="1" hidden="1" x14ac:dyDescent="0.25">
      <c r="B954" s="120">
        <v>951</v>
      </c>
      <c r="C954" s="122">
        <v>20100018625</v>
      </c>
      <c r="D954" s="125" t="s">
        <v>207</v>
      </c>
      <c r="E954" s="125" t="s">
        <v>4240</v>
      </c>
      <c r="F954" s="122" t="s">
        <v>30</v>
      </c>
      <c r="G954" s="122" t="s">
        <v>30</v>
      </c>
      <c r="H954" s="122" t="s">
        <v>30</v>
      </c>
      <c r="I954" s="125" t="s">
        <v>2299</v>
      </c>
      <c r="J954" s="129" t="s">
        <v>8029</v>
      </c>
      <c r="K954" s="122" t="s">
        <v>8030</v>
      </c>
      <c r="L954" s="122" t="s">
        <v>209</v>
      </c>
      <c r="M954" s="133" t="s">
        <v>4243</v>
      </c>
      <c r="N954" s="122" t="s">
        <v>30</v>
      </c>
    </row>
    <row r="955" spans="2:14" s="9" customFormat="1" hidden="1" x14ac:dyDescent="0.25">
      <c r="B955" s="120">
        <v>952</v>
      </c>
      <c r="C955" s="122">
        <v>20100018625</v>
      </c>
      <c r="D955" s="125" t="s">
        <v>207</v>
      </c>
      <c r="E955" s="125" t="s">
        <v>4240</v>
      </c>
      <c r="F955" s="122" t="s">
        <v>30</v>
      </c>
      <c r="G955" s="122" t="s">
        <v>30</v>
      </c>
      <c r="H955" s="122" t="s">
        <v>30</v>
      </c>
      <c r="I955" s="125" t="s">
        <v>2299</v>
      </c>
      <c r="J955" s="129" t="s">
        <v>4258</v>
      </c>
      <c r="K955" s="122" t="s">
        <v>4259</v>
      </c>
      <c r="L955" s="122" t="s">
        <v>209</v>
      </c>
      <c r="M955" s="133" t="s">
        <v>4243</v>
      </c>
      <c r="N955" s="122" t="s">
        <v>30</v>
      </c>
    </row>
    <row r="956" spans="2:14" s="9" customFormat="1" hidden="1" x14ac:dyDescent="0.25">
      <c r="B956" s="120">
        <v>953</v>
      </c>
      <c r="C956" s="122">
        <v>20100018625</v>
      </c>
      <c r="D956" s="125" t="s">
        <v>207</v>
      </c>
      <c r="E956" s="125" t="s">
        <v>4240</v>
      </c>
      <c r="F956" s="122" t="s">
        <v>30</v>
      </c>
      <c r="G956" s="122" t="s">
        <v>30</v>
      </c>
      <c r="H956" s="122" t="s">
        <v>30</v>
      </c>
      <c r="I956" s="125" t="s">
        <v>2299</v>
      </c>
      <c r="J956" s="129" t="s">
        <v>4256</v>
      </c>
      <c r="K956" s="122" t="s">
        <v>4257</v>
      </c>
      <c r="L956" s="122" t="s">
        <v>209</v>
      </c>
      <c r="M956" s="133" t="s">
        <v>4243</v>
      </c>
      <c r="N956" s="122" t="s">
        <v>30</v>
      </c>
    </row>
    <row r="957" spans="2:14" s="9" customFormat="1" hidden="1" x14ac:dyDescent="0.25">
      <c r="B957" s="120">
        <v>954</v>
      </c>
      <c r="C957" s="122">
        <v>20100018625</v>
      </c>
      <c r="D957" s="125" t="s">
        <v>207</v>
      </c>
      <c r="E957" s="125" t="s">
        <v>4240</v>
      </c>
      <c r="F957" s="122" t="s">
        <v>30</v>
      </c>
      <c r="G957" s="122" t="s">
        <v>30</v>
      </c>
      <c r="H957" s="122" t="s">
        <v>30</v>
      </c>
      <c r="I957" s="125" t="s">
        <v>2299</v>
      </c>
      <c r="J957" s="129" t="s">
        <v>4254</v>
      </c>
      <c r="K957" s="122" t="s">
        <v>4255</v>
      </c>
      <c r="L957" s="122" t="s">
        <v>209</v>
      </c>
      <c r="M957" s="133" t="s">
        <v>4243</v>
      </c>
      <c r="N957" s="122" t="s">
        <v>30</v>
      </c>
    </row>
    <row r="958" spans="2:14" s="9" customFormat="1" hidden="1" x14ac:dyDescent="0.25">
      <c r="B958" s="120">
        <v>955</v>
      </c>
      <c r="C958" s="122">
        <v>20100018625</v>
      </c>
      <c r="D958" s="125" t="s">
        <v>207</v>
      </c>
      <c r="E958" s="125" t="s">
        <v>4240</v>
      </c>
      <c r="F958" s="122" t="s">
        <v>30</v>
      </c>
      <c r="G958" s="122" t="s">
        <v>30</v>
      </c>
      <c r="H958" s="122" t="s">
        <v>30</v>
      </c>
      <c r="I958" s="125" t="s">
        <v>2299</v>
      </c>
      <c r="J958" s="129" t="s">
        <v>4252</v>
      </c>
      <c r="K958" s="122" t="s">
        <v>4253</v>
      </c>
      <c r="L958" s="122" t="s">
        <v>209</v>
      </c>
      <c r="M958" s="133" t="s">
        <v>4243</v>
      </c>
      <c r="N958" s="122" t="s">
        <v>30</v>
      </c>
    </row>
    <row r="959" spans="2:14" s="9" customFormat="1" hidden="1" x14ac:dyDescent="0.25">
      <c r="B959" s="120">
        <v>956</v>
      </c>
      <c r="C959" s="122">
        <v>20100018625</v>
      </c>
      <c r="D959" s="125" t="s">
        <v>207</v>
      </c>
      <c r="E959" s="125" t="s">
        <v>4240</v>
      </c>
      <c r="F959" s="122" t="s">
        <v>30</v>
      </c>
      <c r="G959" s="122" t="s">
        <v>30</v>
      </c>
      <c r="H959" s="122" t="s">
        <v>30</v>
      </c>
      <c r="I959" s="125" t="s">
        <v>2299</v>
      </c>
      <c r="J959" s="129" t="s">
        <v>4250</v>
      </c>
      <c r="K959" s="122" t="s">
        <v>4251</v>
      </c>
      <c r="L959" s="122" t="s">
        <v>209</v>
      </c>
      <c r="M959" s="133" t="s">
        <v>4243</v>
      </c>
      <c r="N959" s="122" t="s">
        <v>30</v>
      </c>
    </row>
    <row r="960" spans="2:14" s="9" customFormat="1" hidden="1" x14ac:dyDescent="0.25">
      <c r="B960" s="120">
        <v>957</v>
      </c>
      <c r="C960" s="122">
        <v>20100018625</v>
      </c>
      <c r="D960" s="125" t="s">
        <v>207</v>
      </c>
      <c r="E960" s="125" t="s">
        <v>4240</v>
      </c>
      <c r="F960" s="122" t="s">
        <v>30</v>
      </c>
      <c r="G960" s="122" t="s">
        <v>30</v>
      </c>
      <c r="H960" s="122" t="s">
        <v>30</v>
      </c>
      <c r="I960" s="125" t="s">
        <v>2299</v>
      </c>
      <c r="J960" s="129" t="s">
        <v>4248</v>
      </c>
      <c r="K960" s="122" t="s">
        <v>4249</v>
      </c>
      <c r="L960" s="122" t="s">
        <v>209</v>
      </c>
      <c r="M960" s="133" t="s">
        <v>4243</v>
      </c>
      <c r="N960" s="122" t="s">
        <v>30</v>
      </c>
    </row>
    <row r="961" spans="2:14" s="9" customFormat="1" hidden="1" x14ac:dyDescent="0.25">
      <c r="B961" s="120">
        <v>958</v>
      </c>
      <c r="C961" s="122">
        <v>20100018625</v>
      </c>
      <c r="D961" s="125" t="s">
        <v>207</v>
      </c>
      <c r="E961" s="125" t="s">
        <v>4240</v>
      </c>
      <c r="F961" s="122" t="s">
        <v>30</v>
      </c>
      <c r="G961" s="122" t="s">
        <v>30</v>
      </c>
      <c r="H961" s="122" t="s">
        <v>30</v>
      </c>
      <c r="I961" s="125" t="s">
        <v>2299</v>
      </c>
      <c r="J961" s="129" t="s">
        <v>4246</v>
      </c>
      <c r="K961" s="122" t="s">
        <v>4247</v>
      </c>
      <c r="L961" s="122" t="s">
        <v>209</v>
      </c>
      <c r="M961" s="133" t="s">
        <v>4243</v>
      </c>
      <c r="N961" s="122" t="s">
        <v>30</v>
      </c>
    </row>
    <row r="962" spans="2:14" s="9" customFormat="1" hidden="1" x14ac:dyDescent="0.25">
      <c r="B962" s="120">
        <v>959</v>
      </c>
      <c r="C962" s="122">
        <v>20100018625</v>
      </c>
      <c r="D962" s="125" t="s">
        <v>207</v>
      </c>
      <c r="E962" s="125" t="s">
        <v>4240</v>
      </c>
      <c r="F962" s="122" t="s">
        <v>30</v>
      </c>
      <c r="G962" s="122" t="s">
        <v>30</v>
      </c>
      <c r="H962" s="122" t="s">
        <v>30</v>
      </c>
      <c r="I962" s="125" t="s">
        <v>2299</v>
      </c>
      <c r="J962" s="129" t="s">
        <v>4244</v>
      </c>
      <c r="K962" s="122" t="s">
        <v>4245</v>
      </c>
      <c r="L962" s="122" t="s">
        <v>209</v>
      </c>
      <c r="M962" s="133" t="s">
        <v>4243</v>
      </c>
      <c r="N962" s="122" t="s">
        <v>30</v>
      </c>
    </row>
    <row r="963" spans="2:14" s="9" customFormat="1" hidden="1" x14ac:dyDescent="0.25">
      <c r="B963" s="120">
        <v>960</v>
      </c>
      <c r="C963" s="122">
        <v>20100018625</v>
      </c>
      <c r="D963" s="125" t="s">
        <v>207</v>
      </c>
      <c r="E963" s="125" t="s">
        <v>4240</v>
      </c>
      <c r="F963" s="122" t="s">
        <v>30</v>
      </c>
      <c r="G963" s="122" t="s">
        <v>30</v>
      </c>
      <c r="H963" s="122" t="s">
        <v>30</v>
      </c>
      <c r="I963" s="125" t="s">
        <v>2299</v>
      </c>
      <c r="J963" s="129" t="s">
        <v>4241</v>
      </c>
      <c r="K963" s="122" t="s">
        <v>4242</v>
      </c>
      <c r="L963" s="122" t="s">
        <v>209</v>
      </c>
      <c r="M963" s="133" t="s">
        <v>4243</v>
      </c>
      <c r="N963" s="122" t="s">
        <v>30</v>
      </c>
    </row>
    <row r="964" spans="2:14" s="9" customFormat="1" hidden="1" x14ac:dyDescent="0.25">
      <c r="B964" s="120">
        <v>961</v>
      </c>
      <c r="C964" s="122">
        <v>20100103223</v>
      </c>
      <c r="D964" s="125" t="s">
        <v>4227</v>
      </c>
      <c r="E964" s="125" t="s">
        <v>4228</v>
      </c>
      <c r="F964" s="122" t="s">
        <v>30</v>
      </c>
      <c r="G964" s="122" t="s">
        <v>30</v>
      </c>
      <c r="H964" s="122" t="s">
        <v>88</v>
      </c>
      <c r="I964" s="125" t="s">
        <v>1937</v>
      </c>
      <c r="J964" s="129" t="s">
        <v>8080</v>
      </c>
      <c r="K964" s="122" t="s">
        <v>4239</v>
      </c>
      <c r="L964" s="122" t="s">
        <v>36</v>
      </c>
      <c r="M964" s="133" t="s">
        <v>4231</v>
      </c>
      <c r="N964" s="122" t="s">
        <v>30</v>
      </c>
    </row>
    <row r="965" spans="2:14" s="9" customFormat="1" hidden="1" x14ac:dyDescent="0.25">
      <c r="B965" s="120">
        <v>962</v>
      </c>
      <c r="C965" s="122">
        <v>20100103223</v>
      </c>
      <c r="D965" s="125" t="s">
        <v>4227</v>
      </c>
      <c r="E965" s="125" t="s">
        <v>4228</v>
      </c>
      <c r="F965" s="122" t="s">
        <v>30</v>
      </c>
      <c r="G965" s="122" t="s">
        <v>30</v>
      </c>
      <c r="H965" s="122" t="s">
        <v>88</v>
      </c>
      <c r="I965" s="125" t="s">
        <v>1937</v>
      </c>
      <c r="J965" s="129" t="s">
        <v>8081</v>
      </c>
      <c r="K965" s="122" t="s">
        <v>4238</v>
      </c>
      <c r="L965" s="122" t="s">
        <v>2030</v>
      </c>
      <c r="M965" s="133" t="s">
        <v>4231</v>
      </c>
      <c r="N965" s="122" t="s">
        <v>30</v>
      </c>
    </row>
    <row r="966" spans="2:14" s="9" customFormat="1" hidden="1" x14ac:dyDescent="0.25">
      <c r="B966" s="120">
        <v>963</v>
      </c>
      <c r="C966" s="122">
        <v>20100103223</v>
      </c>
      <c r="D966" s="125" t="s">
        <v>4227</v>
      </c>
      <c r="E966" s="125" t="s">
        <v>4228</v>
      </c>
      <c r="F966" s="122" t="s">
        <v>30</v>
      </c>
      <c r="G966" s="122" t="s">
        <v>30</v>
      </c>
      <c r="H966" s="122" t="s">
        <v>88</v>
      </c>
      <c r="I966" s="125" t="s">
        <v>1937</v>
      </c>
      <c r="J966" s="129" t="s">
        <v>4236</v>
      </c>
      <c r="K966" s="122" t="s">
        <v>4237</v>
      </c>
      <c r="L966" s="122" t="s">
        <v>1558</v>
      </c>
      <c r="M966" s="133" t="s">
        <v>4231</v>
      </c>
      <c r="N966" s="122" t="s">
        <v>30</v>
      </c>
    </row>
    <row r="967" spans="2:14" s="9" customFormat="1" hidden="1" x14ac:dyDescent="0.25">
      <c r="B967" s="120">
        <v>964</v>
      </c>
      <c r="C967" s="122">
        <v>20100103223</v>
      </c>
      <c r="D967" s="125" t="s">
        <v>4227</v>
      </c>
      <c r="E967" s="125" t="s">
        <v>4228</v>
      </c>
      <c r="F967" s="122" t="s">
        <v>30</v>
      </c>
      <c r="G967" s="122" t="s">
        <v>30</v>
      </c>
      <c r="H967" s="122" t="s">
        <v>88</v>
      </c>
      <c r="I967" s="125" t="s">
        <v>1937</v>
      </c>
      <c r="J967" s="129" t="s">
        <v>4234</v>
      </c>
      <c r="K967" s="122" t="s">
        <v>4235</v>
      </c>
      <c r="L967" s="122" t="s">
        <v>2030</v>
      </c>
      <c r="M967" s="133" t="s">
        <v>4231</v>
      </c>
      <c r="N967" s="122" t="s">
        <v>30</v>
      </c>
    </row>
    <row r="968" spans="2:14" s="9" customFormat="1" hidden="1" x14ac:dyDescent="0.25">
      <c r="B968" s="120">
        <v>965</v>
      </c>
      <c r="C968" s="122">
        <v>20100103223</v>
      </c>
      <c r="D968" s="125" t="s">
        <v>4227</v>
      </c>
      <c r="E968" s="125" t="s">
        <v>4228</v>
      </c>
      <c r="F968" s="122" t="s">
        <v>30</v>
      </c>
      <c r="G968" s="122" t="s">
        <v>30</v>
      </c>
      <c r="H968" s="122" t="s">
        <v>88</v>
      </c>
      <c r="I968" s="125" t="s">
        <v>1937</v>
      </c>
      <c r="J968" s="129" t="s">
        <v>4232</v>
      </c>
      <c r="K968" s="122" t="s">
        <v>4233</v>
      </c>
      <c r="L968" s="122" t="s">
        <v>1712</v>
      </c>
      <c r="M968" s="133" t="s">
        <v>4231</v>
      </c>
      <c r="N968" s="122" t="s">
        <v>30</v>
      </c>
    </row>
    <row r="969" spans="2:14" s="9" customFormat="1" hidden="1" x14ac:dyDescent="0.25">
      <c r="B969" s="120">
        <v>966</v>
      </c>
      <c r="C969" s="122">
        <v>20100103223</v>
      </c>
      <c r="D969" s="125" t="s">
        <v>4227</v>
      </c>
      <c r="E969" s="125" t="s">
        <v>4228</v>
      </c>
      <c r="F969" s="122" t="s">
        <v>30</v>
      </c>
      <c r="G969" s="122" t="s">
        <v>30</v>
      </c>
      <c r="H969" s="122" t="s">
        <v>88</v>
      </c>
      <c r="I969" s="125" t="s">
        <v>1937</v>
      </c>
      <c r="J969" s="129" t="s">
        <v>4229</v>
      </c>
      <c r="K969" s="122" t="s">
        <v>4230</v>
      </c>
      <c r="L969" s="122" t="s">
        <v>209</v>
      </c>
      <c r="M969" s="133" t="s">
        <v>4231</v>
      </c>
      <c r="N969" s="122" t="s">
        <v>30</v>
      </c>
    </row>
    <row r="970" spans="2:14" s="9" customFormat="1" hidden="1" x14ac:dyDescent="0.25">
      <c r="B970" s="120">
        <v>967</v>
      </c>
      <c r="C970" s="122">
        <v>20513152354</v>
      </c>
      <c r="D970" s="125" t="s">
        <v>3515</v>
      </c>
      <c r="E970" s="125" t="s">
        <v>4224</v>
      </c>
      <c r="F970" s="122" t="s">
        <v>30</v>
      </c>
      <c r="G970" s="122" t="s">
        <v>30</v>
      </c>
      <c r="H970" s="122" t="s">
        <v>110</v>
      </c>
      <c r="I970" s="125" t="s">
        <v>1564</v>
      </c>
      <c r="J970" s="129" t="s">
        <v>8207</v>
      </c>
      <c r="K970" s="122" t="s">
        <v>4225</v>
      </c>
      <c r="L970" s="122" t="s">
        <v>731</v>
      </c>
      <c r="M970" s="133" t="s">
        <v>4226</v>
      </c>
      <c r="N970" s="122" t="s">
        <v>30</v>
      </c>
    </row>
    <row r="971" spans="2:14" s="9" customFormat="1" hidden="1" x14ac:dyDescent="0.25">
      <c r="B971" s="120">
        <v>968</v>
      </c>
      <c r="C971" s="122">
        <v>20602045375</v>
      </c>
      <c r="D971" s="125" t="s">
        <v>3518</v>
      </c>
      <c r="E971" s="125" t="s">
        <v>4221</v>
      </c>
      <c r="F971" s="122" t="s">
        <v>30</v>
      </c>
      <c r="G971" s="122" t="s">
        <v>30</v>
      </c>
      <c r="H971" s="122" t="s">
        <v>64</v>
      </c>
      <c r="I971" s="125" t="s">
        <v>1374</v>
      </c>
      <c r="J971" s="129" t="s">
        <v>8181</v>
      </c>
      <c r="K971" s="122" t="s">
        <v>4222</v>
      </c>
      <c r="L971" s="122" t="s">
        <v>1577</v>
      </c>
      <c r="M971" s="133" t="s">
        <v>4223</v>
      </c>
      <c r="N971" s="122" t="s">
        <v>30</v>
      </c>
    </row>
    <row r="972" spans="2:14" s="9" customFormat="1" hidden="1" x14ac:dyDescent="0.25">
      <c r="B972" s="120">
        <v>969</v>
      </c>
      <c r="C972" s="122">
        <v>20100019516</v>
      </c>
      <c r="D972" s="125" t="s">
        <v>3593</v>
      </c>
      <c r="E972" s="125" t="s">
        <v>4214</v>
      </c>
      <c r="F972" s="122" t="s">
        <v>67</v>
      </c>
      <c r="G972" s="122" t="s">
        <v>67</v>
      </c>
      <c r="H972" s="122" t="s">
        <v>67</v>
      </c>
      <c r="I972" s="125" t="s">
        <v>1970</v>
      </c>
      <c r="J972" s="129" t="s">
        <v>4219</v>
      </c>
      <c r="K972" s="122" t="s">
        <v>4220</v>
      </c>
      <c r="L972" s="122" t="s">
        <v>36</v>
      </c>
      <c r="M972" s="133" t="s">
        <v>845</v>
      </c>
      <c r="N972" s="122" t="s">
        <v>845</v>
      </c>
    </row>
    <row r="973" spans="2:14" s="9" customFormat="1" hidden="1" x14ac:dyDescent="0.25">
      <c r="B973" s="120">
        <v>970</v>
      </c>
      <c r="C973" s="122">
        <v>20100019516</v>
      </c>
      <c r="D973" s="125" t="s">
        <v>3593</v>
      </c>
      <c r="E973" s="125" t="s">
        <v>4214</v>
      </c>
      <c r="F973" s="122" t="s">
        <v>67</v>
      </c>
      <c r="G973" s="122" t="s">
        <v>67</v>
      </c>
      <c r="H973" s="122" t="s">
        <v>67</v>
      </c>
      <c r="I973" s="125" t="s">
        <v>1970</v>
      </c>
      <c r="J973" s="129" t="s">
        <v>4217</v>
      </c>
      <c r="K973" s="122" t="s">
        <v>4218</v>
      </c>
      <c r="L973" s="122" t="s">
        <v>1558</v>
      </c>
      <c r="M973" s="133" t="s">
        <v>845</v>
      </c>
      <c r="N973" s="122" t="s">
        <v>845</v>
      </c>
    </row>
    <row r="974" spans="2:14" s="9" customFormat="1" hidden="1" x14ac:dyDescent="0.25">
      <c r="B974" s="120">
        <v>971</v>
      </c>
      <c r="C974" s="122">
        <v>20100019516</v>
      </c>
      <c r="D974" s="125" t="s">
        <v>3593</v>
      </c>
      <c r="E974" s="125" t="s">
        <v>4214</v>
      </c>
      <c r="F974" s="122" t="s">
        <v>67</v>
      </c>
      <c r="G974" s="122" t="s">
        <v>67</v>
      </c>
      <c r="H974" s="122" t="s">
        <v>67</v>
      </c>
      <c r="I974" s="125" t="s">
        <v>1970</v>
      </c>
      <c r="J974" s="129" t="s">
        <v>4215</v>
      </c>
      <c r="K974" s="122" t="s">
        <v>4216</v>
      </c>
      <c r="L974" s="122" t="s">
        <v>731</v>
      </c>
      <c r="M974" s="133" t="s">
        <v>845</v>
      </c>
      <c r="N974" s="122" t="s">
        <v>845</v>
      </c>
    </row>
    <row r="975" spans="2:14" s="9" customFormat="1" hidden="1" x14ac:dyDescent="0.25">
      <c r="B975" s="120">
        <v>972</v>
      </c>
      <c r="C975" s="122">
        <v>20136435397</v>
      </c>
      <c r="D975" s="125" t="s">
        <v>247</v>
      </c>
      <c r="E975" s="125" t="s">
        <v>4205</v>
      </c>
      <c r="F975" s="122" t="s">
        <v>30</v>
      </c>
      <c r="G975" s="122" t="s">
        <v>30</v>
      </c>
      <c r="H975" s="122" t="s">
        <v>51</v>
      </c>
      <c r="I975" s="125" t="s">
        <v>2489</v>
      </c>
      <c r="J975" s="129" t="s">
        <v>4212</v>
      </c>
      <c r="K975" s="122" t="s">
        <v>4213</v>
      </c>
      <c r="L975" s="122" t="s">
        <v>1558</v>
      </c>
      <c r="M975" s="133" t="s">
        <v>4207</v>
      </c>
      <c r="N975" s="122" t="s">
        <v>30</v>
      </c>
    </row>
    <row r="976" spans="2:14" s="9" customFormat="1" hidden="1" x14ac:dyDescent="0.25">
      <c r="B976" s="120">
        <v>973</v>
      </c>
      <c r="C976" s="122">
        <v>20136435397</v>
      </c>
      <c r="D976" s="125" t="s">
        <v>247</v>
      </c>
      <c r="E976" s="125" t="s">
        <v>4205</v>
      </c>
      <c r="F976" s="122" t="s">
        <v>30</v>
      </c>
      <c r="G976" s="122" t="s">
        <v>30</v>
      </c>
      <c r="H976" s="122" t="s">
        <v>51</v>
      </c>
      <c r="I976" s="125" t="s">
        <v>2489</v>
      </c>
      <c r="J976" s="129" t="s">
        <v>4210</v>
      </c>
      <c r="K976" s="122" t="s">
        <v>4211</v>
      </c>
      <c r="L976" s="122" t="s">
        <v>1558</v>
      </c>
      <c r="M976" s="133" t="s">
        <v>4207</v>
      </c>
      <c r="N976" s="122" t="s">
        <v>30</v>
      </c>
    </row>
    <row r="977" spans="2:14" s="9" customFormat="1" hidden="1" x14ac:dyDescent="0.25">
      <c r="B977" s="120">
        <v>974</v>
      </c>
      <c r="C977" s="122">
        <v>20136435397</v>
      </c>
      <c r="D977" s="125" t="s">
        <v>247</v>
      </c>
      <c r="E977" s="125" t="s">
        <v>4205</v>
      </c>
      <c r="F977" s="122" t="s">
        <v>30</v>
      </c>
      <c r="G977" s="122" t="s">
        <v>30</v>
      </c>
      <c r="H977" s="122" t="s">
        <v>51</v>
      </c>
      <c r="I977" s="125" t="s">
        <v>2489</v>
      </c>
      <c r="J977" s="129" t="s">
        <v>4208</v>
      </c>
      <c r="K977" s="122" t="s">
        <v>4209</v>
      </c>
      <c r="L977" s="122" t="s">
        <v>1558</v>
      </c>
      <c r="M977" s="133" t="s">
        <v>4207</v>
      </c>
      <c r="N977" s="122" t="s">
        <v>30</v>
      </c>
    </row>
    <row r="978" spans="2:14" s="9" customFormat="1" hidden="1" x14ac:dyDescent="0.25">
      <c r="B978" s="120">
        <v>975</v>
      </c>
      <c r="C978" s="122">
        <v>20136435397</v>
      </c>
      <c r="D978" s="125" t="s">
        <v>247</v>
      </c>
      <c r="E978" s="125" t="s">
        <v>4205</v>
      </c>
      <c r="F978" s="122" t="s">
        <v>30</v>
      </c>
      <c r="G978" s="122" t="s">
        <v>30</v>
      </c>
      <c r="H978" s="122" t="s">
        <v>51</v>
      </c>
      <c r="I978" s="125" t="s">
        <v>2489</v>
      </c>
      <c r="J978" s="129" t="s">
        <v>3804</v>
      </c>
      <c r="K978" s="122" t="s">
        <v>4206</v>
      </c>
      <c r="L978" s="122" t="s">
        <v>1558</v>
      </c>
      <c r="M978" s="133" t="s">
        <v>4207</v>
      </c>
      <c r="N978" s="122" t="s">
        <v>30</v>
      </c>
    </row>
    <row r="979" spans="2:14" s="9" customFormat="1" hidden="1" x14ac:dyDescent="0.25">
      <c r="B979" s="120">
        <v>976</v>
      </c>
      <c r="C979" s="122">
        <v>20608196812</v>
      </c>
      <c r="D979" s="125" t="s">
        <v>353</v>
      </c>
      <c r="E979" s="125" t="s">
        <v>4198</v>
      </c>
      <c r="F979" s="122" t="s">
        <v>30</v>
      </c>
      <c r="G979" s="122" t="s">
        <v>30</v>
      </c>
      <c r="H979" s="122" t="s">
        <v>40</v>
      </c>
      <c r="I979" s="125" t="s">
        <v>4199</v>
      </c>
      <c r="J979" s="129" t="s">
        <v>8234</v>
      </c>
      <c r="K979" s="122" t="s">
        <v>4204</v>
      </c>
      <c r="L979" s="122" t="s">
        <v>42</v>
      </c>
      <c r="M979" s="133" t="s">
        <v>4202</v>
      </c>
      <c r="N979" s="122" t="s">
        <v>30</v>
      </c>
    </row>
    <row r="980" spans="2:14" s="9" customFormat="1" hidden="1" x14ac:dyDescent="0.25">
      <c r="B980" s="120">
        <v>977</v>
      </c>
      <c r="C980" s="122">
        <v>20608196812</v>
      </c>
      <c r="D980" s="125" t="s">
        <v>353</v>
      </c>
      <c r="E980" s="125" t="s">
        <v>4198</v>
      </c>
      <c r="F980" s="122" t="s">
        <v>30</v>
      </c>
      <c r="G980" s="122" t="s">
        <v>30</v>
      </c>
      <c r="H980" s="122" t="s">
        <v>40</v>
      </c>
      <c r="I980" s="125" t="s">
        <v>4199</v>
      </c>
      <c r="J980" s="129" t="s">
        <v>8233</v>
      </c>
      <c r="K980" s="122" t="s">
        <v>4203</v>
      </c>
      <c r="L980" s="122" t="s">
        <v>1558</v>
      </c>
      <c r="M980" s="133" t="s">
        <v>4202</v>
      </c>
      <c r="N980" s="122" t="s">
        <v>30</v>
      </c>
    </row>
    <row r="981" spans="2:14" s="9" customFormat="1" hidden="1" x14ac:dyDescent="0.25">
      <c r="B981" s="120">
        <v>978</v>
      </c>
      <c r="C981" s="122">
        <v>20608196812</v>
      </c>
      <c r="D981" s="125" t="s">
        <v>353</v>
      </c>
      <c r="E981" s="125" t="s">
        <v>4198</v>
      </c>
      <c r="F981" s="122" t="s">
        <v>30</v>
      </c>
      <c r="G981" s="122" t="s">
        <v>30</v>
      </c>
      <c r="H981" s="122" t="s">
        <v>40</v>
      </c>
      <c r="I981" s="125" t="s">
        <v>4199</v>
      </c>
      <c r="J981" s="129" t="s">
        <v>4200</v>
      </c>
      <c r="K981" s="122" t="s">
        <v>4201</v>
      </c>
      <c r="L981" s="122" t="s">
        <v>1558</v>
      </c>
      <c r="M981" s="133" t="s">
        <v>4202</v>
      </c>
      <c r="N981" s="122" t="s">
        <v>30</v>
      </c>
    </row>
    <row r="982" spans="2:14" s="9" customFormat="1" hidden="1" x14ac:dyDescent="0.25">
      <c r="B982" s="120">
        <v>979</v>
      </c>
      <c r="C982" s="122">
        <v>20100164010</v>
      </c>
      <c r="D982" s="125" t="s">
        <v>3599</v>
      </c>
      <c r="E982" s="125" t="s">
        <v>4180</v>
      </c>
      <c r="F982" s="122" t="s">
        <v>30</v>
      </c>
      <c r="G982" s="122" t="s">
        <v>30</v>
      </c>
      <c r="H982" s="122" t="s">
        <v>30</v>
      </c>
      <c r="I982" s="125" t="s">
        <v>2078</v>
      </c>
      <c r="J982" s="129" t="s">
        <v>8184</v>
      </c>
      <c r="K982" s="122" t="s">
        <v>8183</v>
      </c>
      <c r="L982" s="122" t="s">
        <v>1558</v>
      </c>
      <c r="M982" s="133" t="s">
        <v>4183</v>
      </c>
      <c r="N982" s="122" t="s">
        <v>30</v>
      </c>
    </row>
    <row r="983" spans="2:14" s="9" customFormat="1" hidden="1" x14ac:dyDescent="0.25">
      <c r="B983" s="120">
        <v>980</v>
      </c>
      <c r="C983" s="122">
        <v>20100164010</v>
      </c>
      <c r="D983" s="125" t="s">
        <v>3599</v>
      </c>
      <c r="E983" s="125" t="s">
        <v>4180</v>
      </c>
      <c r="F983" s="122" t="s">
        <v>30</v>
      </c>
      <c r="G983" s="122" t="s">
        <v>30</v>
      </c>
      <c r="H983" s="122" t="s">
        <v>30</v>
      </c>
      <c r="I983" s="125" t="s">
        <v>2078</v>
      </c>
      <c r="J983" s="129" t="s">
        <v>4196</v>
      </c>
      <c r="K983" s="122" t="s">
        <v>4197</v>
      </c>
      <c r="L983" s="122" t="s">
        <v>42</v>
      </c>
      <c r="M983" s="133" t="s">
        <v>4183</v>
      </c>
      <c r="N983" s="122" t="s">
        <v>30</v>
      </c>
    </row>
    <row r="984" spans="2:14" s="9" customFormat="1" hidden="1" x14ac:dyDescent="0.25">
      <c r="B984" s="120">
        <v>981</v>
      </c>
      <c r="C984" s="122">
        <v>20100164010</v>
      </c>
      <c r="D984" s="125" t="s">
        <v>3599</v>
      </c>
      <c r="E984" s="125" t="s">
        <v>4180</v>
      </c>
      <c r="F984" s="122" t="s">
        <v>30</v>
      </c>
      <c r="G984" s="122" t="s">
        <v>30</v>
      </c>
      <c r="H984" s="122" t="s">
        <v>30</v>
      </c>
      <c r="I984" s="125" t="s">
        <v>2078</v>
      </c>
      <c r="J984" s="129" t="s">
        <v>4194</v>
      </c>
      <c r="K984" s="122" t="s">
        <v>4195</v>
      </c>
      <c r="L984" s="122" t="s">
        <v>209</v>
      </c>
      <c r="M984" s="133" t="s">
        <v>4183</v>
      </c>
      <c r="N984" s="122" t="s">
        <v>30</v>
      </c>
    </row>
    <row r="985" spans="2:14" s="9" customFormat="1" hidden="1" x14ac:dyDescent="0.25">
      <c r="B985" s="120">
        <v>982</v>
      </c>
      <c r="C985" s="122">
        <v>20100164010</v>
      </c>
      <c r="D985" s="125" t="s">
        <v>3599</v>
      </c>
      <c r="E985" s="125" t="s">
        <v>4180</v>
      </c>
      <c r="F985" s="122" t="s">
        <v>30</v>
      </c>
      <c r="G985" s="122" t="s">
        <v>30</v>
      </c>
      <c r="H985" s="122" t="s">
        <v>30</v>
      </c>
      <c r="I985" s="125" t="s">
        <v>2078</v>
      </c>
      <c r="J985" s="129" t="s">
        <v>4192</v>
      </c>
      <c r="K985" s="122" t="s">
        <v>4193</v>
      </c>
      <c r="L985" s="122" t="s">
        <v>209</v>
      </c>
      <c r="M985" s="133" t="s">
        <v>4183</v>
      </c>
      <c r="N985" s="122" t="s">
        <v>30</v>
      </c>
    </row>
    <row r="986" spans="2:14" s="9" customFormat="1" hidden="1" x14ac:dyDescent="0.25">
      <c r="B986" s="120">
        <v>983</v>
      </c>
      <c r="C986" s="122">
        <v>20100164010</v>
      </c>
      <c r="D986" s="125" t="s">
        <v>3599</v>
      </c>
      <c r="E986" s="125" t="s">
        <v>4180</v>
      </c>
      <c r="F986" s="122" t="s">
        <v>30</v>
      </c>
      <c r="G986" s="122" t="s">
        <v>30</v>
      </c>
      <c r="H986" s="122" t="s">
        <v>30</v>
      </c>
      <c r="I986" s="125" t="s">
        <v>2078</v>
      </c>
      <c r="J986" s="129" t="s">
        <v>4190</v>
      </c>
      <c r="K986" s="122" t="s">
        <v>4191</v>
      </c>
      <c r="L986" s="122" t="s">
        <v>209</v>
      </c>
      <c r="M986" s="133" t="s">
        <v>4183</v>
      </c>
      <c r="N986" s="122" t="s">
        <v>30</v>
      </c>
    </row>
    <row r="987" spans="2:14" s="9" customFormat="1" hidden="1" x14ac:dyDescent="0.25">
      <c r="B987" s="120">
        <v>984</v>
      </c>
      <c r="C987" s="122">
        <v>20100164010</v>
      </c>
      <c r="D987" s="125" t="s">
        <v>3599</v>
      </c>
      <c r="E987" s="125" t="s">
        <v>4180</v>
      </c>
      <c r="F987" s="122" t="s">
        <v>30</v>
      </c>
      <c r="G987" s="122" t="s">
        <v>30</v>
      </c>
      <c r="H987" s="122" t="s">
        <v>30</v>
      </c>
      <c r="I987" s="125" t="s">
        <v>2078</v>
      </c>
      <c r="J987" s="129" t="s">
        <v>4188</v>
      </c>
      <c r="K987" s="122" t="s">
        <v>4189</v>
      </c>
      <c r="L987" s="122" t="s">
        <v>209</v>
      </c>
      <c r="M987" s="133" t="s">
        <v>4183</v>
      </c>
      <c r="N987" s="122" t="s">
        <v>30</v>
      </c>
    </row>
    <row r="988" spans="2:14" s="9" customFormat="1" hidden="1" x14ac:dyDescent="0.25">
      <c r="B988" s="120">
        <v>985</v>
      </c>
      <c r="C988" s="122">
        <v>20100164010</v>
      </c>
      <c r="D988" s="125" t="s">
        <v>3599</v>
      </c>
      <c r="E988" s="125" t="s">
        <v>4180</v>
      </c>
      <c r="F988" s="122" t="s">
        <v>30</v>
      </c>
      <c r="G988" s="122" t="s">
        <v>30</v>
      </c>
      <c r="H988" s="122" t="s">
        <v>30</v>
      </c>
      <c r="I988" s="125" t="s">
        <v>2078</v>
      </c>
      <c r="J988" s="129" t="s">
        <v>4186</v>
      </c>
      <c r="K988" s="122" t="s">
        <v>4187</v>
      </c>
      <c r="L988" s="122" t="s">
        <v>209</v>
      </c>
      <c r="M988" s="133" t="s">
        <v>4183</v>
      </c>
      <c r="N988" s="122" t="s">
        <v>30</v>
      </c>
    </row>
    <row r="989" spans="2:14" s="9" customFormat="1" hidden="1" x14ac:dyDescent="0.25">
      <c r="B989" s="120">
        <v>986</v>
      </c>
      <c r="C989" s="122">
        <v>20100164010</v>
      </c>
      <c r="D989" s="125" t="s">
        <v>3599</v>
      </c>
      <c r="E989" s="125" t="s">
        <v>4180</v>
      </c>
      <c r="F989" s="122" t="s">
        <v>30</v>
      </c>
      <c r="G989" s="122" t="s">
        <v>30</v>
      </c>
      <c r="H989" s="122" t="s">
        <v>30</v>
      </c>
      <c r="I989" s="125" t="s">
        <v>2078</v>
      </c>
      <c r="J989" s="129" t="s">
        <v>4184</v>
      </c>
      <c r="K989" s="122" t="s">
        <v>4185</v>
      </c>
      <c r="L989" s="122" t="s">
        <v>209</v>
      </c>
      <c r="M989" s="133" t="s">
        <v>4183</v>
      </c>
      <c r="N989" s="122" t="s">
        <v>30</v>
      </c>
    </row>
    <row r="990" spans="2:14" s="9" customFormat="1" hidden="1" x14ac:dyDescent="0.25">
      <c r="B990" s="120">
        <v>987</v>
      </c>
      <c r="C990" s="122">
        <v>20100164010</v>
      </c>
      <c r="D990" s="125" t="s">
        <v>3599</v>
      </c>
      <c r="E990" s="125" t="s">
        <v>4180</v>
      </c>
      <c r="F990" s="122" t="s">
        <v>30</v>
      </c>
      <c r="G990" s="122" t="s">
        <v>30</v>
      </c>
      <c r="H990" s="122" t="s">
        <v>30</v>
      </c>
      <c r="I990" s="125" t="s">
        <v>2078</v>
      </c>
      <c r="J990" s="129" t="s">
        <v>4181</v>
      </c>
      <c r="K990" s="122" t="s">
        <v>4182</v>
      </c>
      <c r="L990" s="122" t="s">
        <v>209</v>
      </c>
      <c r="M990" s="133" t="s">
        <v>4183</v>
      </c>
      <c r="N990" s="122" t="s">
        <v>30</v>
      </c>
    </row>
    <row r="991" spans="2:14" s="9" customFormat="1" hidden="1" x14ac:dyDescent="0.25">
      <c r="B991" s="120">
        <v>988</v>
      </c>
      <c r="C991" s="122">
        <v>20418453177</v>
      </c>
      <c r="D991" s="125" t="s">
        <v>3575</v>
      </c>
      <c r="E991" s="125" t="s">
        <v>4009</v>
      </c>
      <c r="F991" s="122" t="s">
        <v>30</v>
      </c>
      <c r="G991" s="122" t="s">
        <v>30</v>
      </c>
      <c r="H991" s="122" t="s">
        <v>79</v>
      </c>
      <c r="I991" s="125" t="s">
        <v>4010</v>
      </c>
      <c r="J991" s="129" t="s">
        <v>4053</v>
      </c>
      <c r="K991" s="122" t="s">
        <v>4054</v>
      </c>
      <c r="L991" s="122" t="s">
        <v>1558</v>
      </c>
      <c r="M991" s="133" t="s">
        <v>4013</v>
      </c>
      <c r="N991" s="122" t="s">
        <v>30</v>
      </c>
    </row>
    <row r="992" spans="2:14" s="9" customFormat="1" hidden="1" x14ac:dyDescent="0.25">
      <c r="B992" s="120">
        <v>989</v>
      </c>
      <c r="C992" s="122">
        <v>20418453177</v>
      </c>
      <c r="D992" s="125" t="s">
        <v>3575</v>
      </c>
      <c r="E992" s="125" t="s">
        <v>4009</v>
      </c>
      <c r="F992" s="122" t="s">
        <v>30</v>
      </c>
      <c r="G992" s="122" t="s">
        <v>30</v>
      </c>
      <c r="H992" s="122" t="s">
        <v>79</v>
      </c>
      <c r="I992" s="125" t="s">
        <v>4010</v>
      </c>
      <c r="J992" s="129" t="s">
        <v>4051</v>
      </c>
      <c r="K992" s="122" t="s">
        <v>4052</v>
      </c>
      <c r="L992" s="122" t="s">
        <v>1558</v>
      </c>
      <c r="M992" s="133" t="s">
        <v>4013</v>
      </c>
      <c r="N992" s="122" t="s">
        <v>30</v>
      </c>
    </row>
    <row r="993" spans="2:14" s="9" customFormat="1" hidden="1" x14ac:dyDescent="0.25">
      <c r="B993" s="120">
        <v>990</v>
      </c>
      <c r="C993" s="122">
        <v>20418453177</v>
      </c>
      <c r="D993" s="125" t="s">
        <v>3575</v>
      </c>
      <c r="E993" s="125" t="s">
        <v>4009</v>
      </c>
      <c r="F993" s="122" t="s">
        <v>30</v>
      </c>
      <c r="G993" s="122" t="s">
        <v>30</v>
      </c>
      <c r="H993" s="122" t="s">
        <v>79</v>
      </c>
      <c r="I993" s="125" t="s">
        <v>4010</v>
      </c>
      <c r="J993" s="129" t="s">
        <v>4049</v>
      </c>
      <c r="K993" s="122" t="s">
        <v>4050</v>
      </c>
      <c r="L993" s="122" t="s">
        <v>1558</v>
      </c>
      <c r="M993" s="133" t="s">
        <v>4013</v>
      </c>
      <c r="N993" s="122" t="s">
        <v>30</v>
      </c>
    </row>
    <row r="994" spans="2:14" s="9" customFormat="1" hidden="1" x14ac:dyDescent="0.25">
      <c r="B994" s="120">
        <v>991</v>
      </c>
      <c r="C994" s="122">
        <v>20418453177</v>
      </c>
      <c r="D994" s="125" t="s">
        <v>3575</v>
      </c>
      <c r="E994" s="125" t="s">
        <v>4009</v>
      </c>
      <c r="F994" s="122" t="s">
        <v>30</v>
      </c>
      <c r="G994" s="122" t="s">
        <v>30</v>
      </c>
      <c r="H994" s="122" t="s">
        <v>79</v>
      </c>
      <c r="I994" s="125" t="s">
        <v>4010</v>
      </c>
      <c r="J994" s="129" t="s">
        <v>4047</v>
      </c>
      <c r="K994" s="122" t="s">
        <v>4048</v>
      </c>
      <c r="L994" s="122" t="s">
        <v>1558</v>
      </c>
      <c r="M994" s="133" t="s">
        <v>4013</v>
      </c>
      <c r="N994" s="122" t="s">
        <v>30</v>
      </c>
    </row>
    <row r="995" spans="2:14" s="9" customFormat="1" hidden="1" x14ac:dyDescent="0.25">
      <c r="B995" s="120">
        <v>992</v>
      </c>
      <c r="C995" s="122">
        <v>20418453177</v>
      </c>
      <c r="D995" s="125" t="s">
        <v>3575</v>
      </c>
      <c r="E995" s="125" t="s">
        <v>4009</v>
      </c>
      <c r="F995" s="122" t="s">
        <v>30</v>
      </c>
      <c r="G995" s="122" t="s">
        <v>30</v>
      </c>
      <c r="H995" s="122" t="s">
        <v>79</v>
      </c>
      <c r="I995" s="125" t="s">
        <v>4010</v>
      </c>
      <c r="J995" s="129" t="s">
        <v>4045</v>
      </c>
      <c r="K995" s="122" t="s">
        <v>4046</v>
      </c>
      <c r="L995" s="122" t="s">
        <v>1558</v>
      </c>
      <c r="M995" s="133" t="s">
        <v>4013</v>
      </c>
      <c r="N995" s="122" t="s">
        <v>30</v>
      </c>
    </row>
    <row r="996" spans="2:14" s="9" customFormat="1" hidden="1" x14ac:dyDescent="0.25">
      <c r="B996" s="120">
        <v>993</v>
      </c>
      <c r="C996" s="122">
        <v>20418453177</v>
      </c>
      <c r="D996" s="125" t="s">
        <v>3575</v>
      </c>
      <c r="E996" s="125" t="s">
        <v>4009</v>
      </c>
      <c r="F996" s="122" t="s">
        <v>30</v>
      </c>
      <c r="G996" s="122" t="s">
        <v>30</v>
      </c>
      <c r="H996" s="122" t="s">
        <v>79</v>
      </c>
      <c r="I996" s="125" t="s">
        <v>4010</v>
      </c>
      <c r="J996" s="129" t="s">
        <v>4043</v>
      </c>
      <c r="K996" s="122" t="s">
        <v>4044</v>
      </c>
      <c r="L996" s="122" t="s">
        <v>1558</v>
      </c>
      <c r="M996" s="133" t="s">
        <v>4013</v>
      </c>
      <c r="N996" s="122" t="s">
        <v>30</v>
      </c>
    </row>
    <row r="997" spans="2:14" s="9" customFormat="1" hidden="1" x14ac:dyDescent="0.25">
      <c r="B997" s="120">
        <v>994</v>
      </c>
      <c r="C997" s="122">
        <v>20418453177</v>
      </c>
      <c r="D997" s="125" t="s">
        <v>3575</v>
      </c>
      <c r="E997" s="125" t="s">
        <v>4009</v>
      </c>
      <c r="F997" s="122" t="s">
        <v>30</v>
      </c>
      <c r="G997" s="122" t="s">
        <v>30</v>
      </c>
      <c r="H997" s="122" t="s">
        <v>79</v>
      </c>
      <c r="I997" s="125" t="s">
        <v>4010</v>
      </c>
      <c r="J997" s="129" t="s">
        <v>4041</v>
      </c>
      <c r="K997" s="122" t="s">
        <v>4042</v>
      </c>
      <c r="L997" s="122" t="s">
        <v>1558</v>
      </c>
      <c r="M997" s="133" t="s">
        <v>4013</v>
      </c>
      <c r="N997" s="122" t="s">
        <v>30</v>
      </c>
    </row>
    <row r="998" spans="2:14" s="9" customFormat="1" hidden="1" x14ac:dyDescent="0.25">
      <c r="B998" s="120">
        <v>995</v>
      </c>
      <c r="C998" s="122">
        <v>20418453177</v>
      </c>
      <c r="D998" s="125" t="s">
        <v>3575</v>
      </c>
      <c r="E998" s="125" t="s">
        <v>4009</v>
      </c>
      <c r="F998" s="122" t="s">
        <v>30</v>
      </c>
      <c r="G998" s="122" t="s">
        <v>30</v>
      </c>
      <c r="H998" s="122" t="s">
        <v>79</v>
      </c>
      <c r="I998" s="125" t="s">
        <v>4010</v>
      </c>
      <c r="J998" s="129" t="s">
        <v>4039</v>
      </c>
      <c r="K998" s="122" t="s">
        <v>4040</v>
      </c>
      <c r="L998" s="122" t="s">
        <v>1558</v>
      </c>
      <c r="M998" s="133" t="s">
        <v>4013</v>
      </c>
      <c r="N998" s="122" t="s">
        <v>30</v>
      </c>
    </row>
    <row r="999" spans="2:14" s="9" customFormat="1" hidden="1" x14ac:dyDescent="0.25">
      <c r="B999" s="120">
        <v>996</v>
      </c>
      <c r="C999" s="122">
        <v>20418453177</v>
      </c>
      <c r="D999" s="125" t="s">
        <v>3575</v>
      </c>
      <c r="E999" s="125" t="s">
        <v>4009</v>
      </c>
      <c r="F999" s="122" t="s">
        <v>30</v>
      </c>
      <c r="G999" s="122" t="s">
        <v>30</v>
      </c>
      <c r="H999" s="122" t="s">
        <v>79</v>
      </c>
      <c r="I999" s="125" t="s">
        <v>4010</v>
      </c>
      <c r="J999" s="129" t="s">
        <v>7326</v>
      </c>
      <c r="K999" s="122" t="s">
        <v>8178</v>
      </c>
      <c r="L999" s="122" t="s">
        <v>42</v>
      </c>
      <c r="M999" s="133" t="s">
        <v>4013</v>
      </c>
      <c r="N999" s="122" t="s">
        <v>30</v>
      </c>
    </row>
    <row r="1000" spans="2:14" s="9" customFormat="1" hidden="1" x14ac:dyDescent="0.25">
      <c r="B1000" s="120">
        <v>997</v>
      </c>
      <c r="C1000" s="122">
        <v>20418453177</v>
      </c>
      <c r="D1000" s="125" t="s">
        <v>3575</v>
      </c>
      <c r="E1000" s="125" t="s">
        <v>4009</v>
      </c>
      <c r="F1000" s="122" t="s">
        <v>30</v>
      </c>
      <c r="G1000" s="122" t="s">
        <v>30</v>
      </c>
      <c r="H1000" s="122" t="s">
        <v>79</v>
      </c>
      <c r="I1000" s="125" t="s">
        <v>4010</v>
      </c>
      <c r="J1000" s="129" t="s">
        <v>4037</v>
      </c>
      <c r="K1000" s="122" t="s">
        <v>4038</v>
      </c>
      <c r="L1000" s="122" t="s">
        <v>1558</v>
      </c>
      <c r="M1000" s="133" t="s">
        <v>4013</v>
      </c>
      <c r="N1000" s="122" t="s">
        <v>30</v>
      </c>
    </row>
    <row r="1001" spans="2:14" s="9" customFormat="1" hidden="1" x14ac:dyDescent="0.25">
      <c r="B1001" s="120">
        <v>998</v>
      </c>
      <c r="C1001" s="122">
        <v>20418453177</v>
      </c>
      <c r="D1001" s="125" t="s">
        <v>3575</v>
      </c>
      <c r="E1001" s="125" t="s">
        <v>4009</v>
      </c>
      <c r="F1001" s="122" t="s">
        <v>30</v>
      </c>
      <c r="G1001" s="122" t="s">
        <v>30</v>
      </c>
      <c r="H1001" s="122" t="s">
        <v>79</v>
      </c>
      <c r="I1001" s="125" t="s">
        <v>4010</v>
      </c>
      <c r="J1001" s="129" t="s">
        <v>4035</v>
      </c>
      <c r="K1001" s="122" t="s">
        <v>4036</v>
      </c>
      <c r="L1001" s="122" t="s">
        <v>1558</v>
      </c>
      <c r="M1001" s="133" t="s">
        <v>4013</v>
      </c>
      <c r="N1001" s="122" t="s">
        <v>30</v>
      </c>
    </row>
    <row r="1002" spans="2:14" s="9" customFormat="1" hidden="1" x14ac:dyDescent="0.25">
      <c r="B1002" s="120">
        <v>999</v>
      </c>
      <c r="C1002" s="122">
        <v>20418453177</v>
      </c>
      <c r="D1002" s="125" t="s">
        <v>3575</v>
      </c>
      <c r="E1002" s="125" t="s">
        <v>4009</v>
      </c>
      <c r="F1002" s="122" t="s">
        <v>30</v>
      </c>
      <c r="G1002" s="122" t="s">
        <v>30</v>
      </c>
      <c r="H1002" s="122" t="s">
        <v>79</v>
      </c>
      <c r="I1002" s="125" t="s">
        <v>4010</v>
      </c>
      <c r="J1002" s="129" t="s">
        <v>4033</v>
      </c>
      <c r="K1002" s="122" t="s">
        <v>4034</v>
      </c>
      <c r="L1002" s="122" t="s">
        <v>1558</v>
      </c>
      <c r="M1002" s="133" t="s">
        <v>4013</v>
      </c>
      <c r="N1002" s="122" t="s">
        <v>30</v>
      </c>
    </row>
    <row r="1003" spans="2:14" s="9" customFormat="1" hidden="1" x14ac:dyDescent="0.25">
      <c r="B1003" s="120">
        <v>1000</v>
      </c>
      <c r="C1003" s="122">
        <v>20418453177</v>
      </c>
      <c r="D1003" s="125" t="s">
        <v>3575</v>
      </c>
      <c r="E1003" s="125" t="s">
        <v>4009</v>
      </c>
      <c r="F1003" s="122" t="s">
        <v>30</v>
      </c>
      <c r="G1003" s="122" t="s">
        <v>30</v>
      </c>
      <c r="H1003" s="122" t="s">
        <v>79</v>
      </c>
      <c r="I1003" s="125" t="s">
        <v>4010</v>
      </c>
      <c r="J1003" s="129" t="s">
        <v>4031</v>
      </c>
      <c r="K1003" s="122" t="s">
        <v>4032</v>
      </c>
      <c r="L1003" s="122" t="s">
        <v>1558</v>
      </c>
      <c r="M1003" s="133" t="s">
        <v>4013</v>
      </c>
      <c r="N1003" s="122" t="s">
        <v>30</v>
      </c>
    </row>
    <row r="1004" spans="2:14" s="9" customFormat="1" hidden="1" x14ac:dyDescent="0.25">
      <c r="B1004" s="120">
        <v>1001</v>
      </c>
      <c r="C1004" s="122">
        <v>20418453177</v>
      </c>
      <c r="D1004" s="125" t="s">
        <v>3575</v>
      </c>
      <c r="E1004" s="125" t="s">
        <v>4009</v>
      </c>
      <c r="F1004" s="122" t="s">
        <v>30</v>
      </c>
      <c r="G1004" s="122" t="s">
        <v>30</v>
      </c>
      <c r="H1004" s="122" t="s">
        <v>79</v>
      </c>
      <c r="I1004" s="125" t="s">
        <v>4010</v>
      </c>
      <c r="J1004" s="129" t="s">
        <v>4029</v>
      </c>
      <c r="K1004" s="122" t="s">
        <v>4030</v>
      </c>
      <c r="L1004" s="122" t="s">
        <v>1558</v>
      </c>
      <c r="M1004" s="133" t="s">
        <v>4013</v>
      </c>
      <c r="N1004" s="122" t="s">
        <v>30</v>
      </c>
    </row>
    <row r="1005" spans="2:14" s="9" customFormat="1" hidden="1" x14ac:dyDescent="0.25">
      <c r="B1005" s="120">
        <v>1002</v>
      </c>
      <c r="C1005" s="122">
        <v>20418453177</v>
      </c>
      <c r="D1005" s="125" t="s">
        <v>3575</v>
      </c>
      <c r="E1005" s="125" t="s">
        <v>4009</v>
      </c>
      <c r="F1005" s="122" t="s">
        <v>30</v>
      </c>
      <c r="G1005" s="122" t="s">
        <v>30</v>
      </c>
      <c r="H1005" s="122" t="s">
        <v>79</v>
      </c>
      <c r="I1005" s="125" t="s">
        <v>4010</v>
      </c>
      <c r="J1005" s="129" t="s">
        <v>4027</v>
      </c>
      <c r="K1005" s="122" t="s">
        <v>4028</v>
      </c>
      <c r="L1005" s="122" t="s">
        <v>209</v>
      </c>
      <c r="M1005" s="133" t="s">
        <v>4013</v>
      </c>
      <c r="N1005" s="122" t="s">
        <v>30</v>
      </c>
    </row>
    <row r="1006" spans="2:14" s="9" customFormat="1" hidden="1" x14ac:dyDescent="0.25">
      <c r="B1006" s="120">
        <v>1003</v>
      </c>
      <c r="C1006" s="122">
        <v>20418453177</v>
      </c>
      <c r="D1006" s="125" t="s">
        <v>3575</v>
      </c>
      <c r="E1006" s="125" t="s">
        <v>4009</v>
      </c>
      <c r="F1006" s="122" t="s">
        <v>30</v>
      </c>
      <c r="G1006" s="122" t="s">
        <v>30</v>
      </c>
      <c r="H1006" s="122" t="s">
        <v>79</v>
      </c>
      <c r="I1006" s="125" t="s">
        <v>4010</v>
      </c>
      <c r="J1006" s="129" t="s">
        <v>4025</v>
      </c>
      <c r="K1006" s="122" t="s">
        <v>4026</v>
      </c>
      <c r="L1006" s="122" t="s">
        <v>209</v>
      </c>
      <c r="M1006" s="133" t="s">
        <v>4013</v>
      </c>
      <c r="N1006" s="122" t="s">
        <v>30</v>
      </c>
    </row>
    <row r="1007" spans="2:14" s="9" customFormat="1" hidden="1" x14ac:dyDescent="0.25">
      <c r="B1007" s="120">
        <v>1004</v>
      </c>
      <c r="C1007" s="122">
        <v>20418453177</v>
      </c>
      <c r="D1007" s="125" t="s">
        <v>3575</v>
      </c>
      <c r="E1007" s="125" t="s">
        <v>4009</v>
      </c>
      <c r="F1007" s="122" t="s">
        <v>30</v>
      </c>
      <c r="G1007" s="122" t="s">
        <v>30</v>
      </c>
      <c r="H1007" s="122" t="s">
        <v>79</v>
      </c>
      <c r="I1007" s="125" t="s">
        <v>4010</v>
      </c>
      <c r="J1007" s="129" t="s">
        <v>4023</v>
      </c>
      <c r="K1007" s="122" t="s">
        <v>4024</v>
      </c>
      <c r="L1007" s="122" t="s">
        <v>209</v>
      </c>
      <c r="M1007" s="133" t="s">
        <v>4013</v>
      </c>
      <c r="N1007" s="122" t="s">
        <v>30</v>
      </c>
    </row>
    <row r="1008" spans="2:14" s="9" customFormat="1" hidden="1" x14ac:dyDescent="0.25">
      <c r="B1008" s="120">
        <v>1005</v>
      </c>
      <c r="C1008" s="122">
        <v>20418453177</v>
      </c>
      <c r="D1008" s="125" t="s">
        <v>3575</v>
      </c>
      <c r="E1008" s="125" t="s">
        <v>4009</v>
      </c>
      <c r="F1008" s="122" t="s">
        <v>30</v>
      </c>
      <c r="G1008" s="122" t="s">
        <v>30</v>
      </c>
      <c r="H1008" s="122" t="s">
        <v>79</v>
      </c>
      <c r="I1008" s="125" t="s">
        <v>4010</v>
      </c>
      <c r="J1008" s="129" t="s">
        <v>4021</v>
      </c>
      <c r="K1008" s="122" t="s">
        <v>4022</v>
      </c>
      <c r="L1008" s="122" t="s">
        <v>209</v>
      </c>
      <c r="M1008" s="133" t="s">
        <v>4013</v>
      </c>
      <c r="N1008" s="122" t="s">
        <v>30</v>
      </c>
    </row>
    <row r="1009" spans="2:14" s="9" customFormat="1" hidden="1" x14ac:dyDescent="0.25">
      <c r="B1009" s="120">
        <v>1006</v>
      </c>
      <c r="C1009" s="122">
        <v>20418453177</v>
      </c>
      <c r="D1009" s="125" t="s">
        <v>3575</v>
      </c>
      <c r="E1009" s="125" t="s">
        <v>4009</v>
      </c>
      <c r="F1009" s="122" t="s">
        <v>30</v>
      </c>
      <c r="G1009" s="122" t="s">
        <v>30</v>
      </c>
      <c r="H1009" s="122" t="s">
        <v>79</v>
      </c>
      <c r="I1009" s="125" t="s">
        <v>4010</v>
      </c>
      <c r="J1009" s="129" t="s">
        <v>4020</v>
      </c>
      <c r="K1009" s="122" t="s">
        <v>4055</v>
      </c>
      <c r="L1009" s="122" t="s">
        <v>209</v>
      </c>
      <c r="M1009" s="133" t="s">
        <v>4013</v>
      </c>
      <c r="N1009" s="122" t="s">
        <v>30</v>
      </c>
    </row>
    <row r="1010" spans="2:14" s="9" customFormat="1" hidden="1" x14ac:dyDescent="0.25">
      <c r="B1010" s="120">
        <v>1007</v>
      </c>
      <c r="C1010" s="122">
        <v>20418453177</v>
      </c>
      <c r="D1010" s="125" t="s">
        <v>3575</v>
      </c>
      <c r="E1010" s="125" t="s">
        <v>4009</v>
      </c>
      <c r="F1010" s="122" t="s">
        <v>30</v>
      </c>
      <c r="G1010" s="122" t="s">
        <v>30</v>
      </c>
      <c r="H1010" s="122" t="s">
        <v>79</v>
      </c>
      <c r="I1010" s="125" t="s">
        <v>4010</v>
      </c>
      <c r="J1010" s="129" t="s">
        <v>4018</v>
      </c>
      <c r="K1010" s="122" t="s">
        <v>4019</v>
      </c>
      <c r="L1010" s="122" t="s">
        <v>1558</v>
      </c>
      <c r="M1010" s="133" t="s">
        <v>4013</v>
      </c>
      <c r="N1010" s="122" t="s">
        <v>30</v>
      </c>
    </row>
    <row r="1011" spans="2:14" s="9" customFormat="1" hidden="1" x14ac:dyDescent="0.25">
      <c r="B1011" s="120">
        <v>1008</v>
      </c>
      <c r="C1011" s="122">
        <v>20418453177</v>
      </c>
      <c r="D1011" s="125" t="s">
        <v>3575</v>
      </c>
      <c r="E1011" s="125" t="s">
        <v>4009</v>
      </c>
      <c r="F1011" s="122" t="s">
        <v>30</v>
      </c>
      <c r="G1011" s="122" t="s">
        <v>30</v>
      </c>
      <c r="H1011" s="122" t="s">
        <v>79</v>
      </c>
      <c r="I1011" s="125" t="s">
        <v>4010</v>
      </c>
      <c r="J1011" s="129" t="s">
        <v>4016</v>
      </c>
      <c r="K1011" s="122" t="s">
        <v>4017</v>
      </c>
      <c r="L1011" s="122" t="s">
        <v>1558</v>
      </c>
      <c r="M1011" s="133" t="s">
        <v>4013</v>
      </c>
      <c r="N1011" s="122" t="s">
        <v>30</v>
      </c>
    </row>
    <row r="1012" spans="2:14" s="9" customFormat="1" hidden="1" x14ac:dyDescent="0.25">
      <c r="B1012" s="120">
        <v>1009</v>
      </c>
      <c r="C1012" s="122">
        <v>20418453177</v>
      </c>
      <c r="D1012" s="125" t="s">
        <v>3575</v>
      </c>
      <c r="E1012" s="125" t="s">
        <v>4009</v>
      </c>
      <c r="F1012" s="122" t="s">
        <v>30</v>
      </c>
      <c r="G1012" s="122" t="s">
        <v>30</v>
      </c>
      <c r="H1012" s="122" t="s">
        <v>79</v>
      </c>
      <c r="I1012" s="125" t="s">
        <v>4010</v>
      </c>
      <c r="J1012" s="129" t="s">
        <v>4014</v>
      </c>
      <c r="K1012" s="122" t="s">
        <v>4015</v>
      </c>
      <c r="L1012" s="122" t="s">
        <v>1558</v>
      </c>
      <c r="M1012" s="133" t="s">
        <v>4013</v>
      </c>
      <c r="N1012" s="122" t="s">
        <v>30</v>
      </c>
    </row>
    <row r="1013" spans="2:14" s="9" customFormat="1" hidden="1" x14ac:dyDescent="0.25">
      <c r="B1013" s="120">
        <v>1010</v>
      </c>
      <c r="C1013" s="122">
        <v>20418453177</v>
      </c>
      <c r="D1013" s="125" t="s">
        <v>3575</v>
      </c>
      <c r="E1013" s="125" t="s">
        <v>4009</v>
      </c>
      <c r="F1013" s="122" t="s">
        <v>30</v>
      </c>
      <c r="G1013" s="122" t="s">
        <v>30</v>
      </c>
      <c r="H1013" s="122" t="s">
        <v>79</v>
      </c>
      <c r="I1013" s="125" t="s">
        <v>4010</v>
      </c>
      <c r="J1013" s="129" t="s">
        <v>4011</v>
      </c>
      <c r="K1013" s="122" t="s">
        <v>4012</v>
      </c>
      <c r="L1013" s="122" t="s">
        <v>1558</v>
      </c>
      <c r="M1013" s="133" t="s">
        <v>4013</v>
      </c>
      <c r="N1013" s="122" t="s">
        <v>30</v>
      </c>
    </row>
    <row r="1014" spans="2:14" s="9" customFormat="1" hidden="1" x14ac:dyDescent="0.25">
      <c r="B1014" s="120">
        <v>1011</v>
      </c>
      <c r="C1014" s="122">
        <v>20536733419</v>
      </c>
      <c r="D1014" s="125" t="s">
        <v>3553</v>
      </c>
      <c r="E1014" s="125" t="s">
        <v>4002</v>
      </c>
      <c r="F1014" s="122" t="s">
        <v>30</v>
      </c>
      <c r="G1014" s="122" t="s">
        <v>30</v>
      </c>
      <c r="H1014" s="122" t="s">
        <v>37</v>
      </c>
      <c r="I1014" s="125" t="s">
        <v>1930</v>
      </c>
      <c r="J1014" s="129" t="s">
        <v>8237</v>
      </c>
      <c r="K1014" s="122" t="s">
        <v>8238</v>
      </c>
      <c r="L1014" s="122" t="s">
        <v>209</v>
      </c>
      <c r="M1014" s="133" t="s">
        <v>4003</v>
      </c>
      <c r="N1014" s="122" t="s">
        <v>30</v>
      </c>
    </row>
    <row r="1015" spans="2:14" s="9" customFormat="1" hidden="1" x14ac:dyDescent="0.25">
      <c r="B1015" s="120">
        <v>1012</v>
      </c>
      <c r="C1015" s="122">
        <v>20536733419</v>
      </c>
      <c r="D1015" s="125" t="s">
        <v>3553</v>
      </c>
      <c r="E1015" s="125" t="s">
        <v>4002</v>
      </c>
      <c r="F1015" s="122" t="s">
        <v>30</v>
      </c>
      <c r="G1015" s="122" t="s">
        <v>30</v>
      </c>
      <c r="H1015" s="122" t="s">
        <v>37</v>
      </c>
      <c r="I1015" s="125" t="s">
        <v>1930</v>
      </c>
      <c r="J1015" s="129" t="s">
        <v>8235</v>
      </c>
      <c r="K1015" s="122" t="s">
        <v>8236</v>
      </c>
      <c r="L1015" s="122" t="s">
        <v>209</v>
      </c>
      <c r="M1015" s="133" t="s">
        <v>4003</v>
      </c>
      <c r="N1015" s="122" t="s">
        <v>30</v>
      </c>
    </row>
    <row r="1016" spans="2:14" s="9" customFormat="1" hidden="1" x14ac:dyDescent="0.25">
      <c r="B1016" s="120">
        <v>1013</v>
      </c>
      <c r="C1016" s="122">
        <v>20536733419</v>
      </c>
      <c r="D1016" s="125" t="s">
        <v>3553</v>
      </c>
      <c r="E1016" s="125" t="s">
        <v>4002</v>
      </c>
      <c r="F1016" s="122" t="s">
        <v>30</v>
      </c>
      <c r="G1016" s="122" t="s">
        <v>30</v>
      </c>
      <c r="H1016" s="122" t="s">
        <v>37</v>
      </c>
      <c r="I1016" s="125" t="s">
        <v>1930</v>
      </c>
      <c r="J1016" s="129" t="s">
        <v>4007</v>
      </c>
      <c r="K1016" s="122" t="s">
        <v>5962</v>
      </c>
      <c r="L1016" s="122" t="s">
        <v>209</v>
      </c>
      <c r="M1016" s="133" t="s">
        <v>4003</v>
      </c>
      <c r="N1016" s="122" t="s">
        <v>30</v>
      </c>
    </row>
    <row r="1017" spans="2:14" s="9" customFormat="1" hidden="1" x14ac:dyDescent="0.25">
      <c r="B1017" s="120">
        <v>1014</v>
      </c>
      <c r="C1017" s="122">
        <v>20536733419</v>
      </c>
      <c r="D1017" s="125" t="s">
        <v>3553</v>
      </c>
      <c r="E1017" s="125" t="s">
        <v>4002</v>
      </c>
      <c r="F1017" s="122" t="s">
        <v>30</v>
      </c>
      <c r="G1017" s="122" t="s">
        <v>30</v>
      </c>
      <c r="H1017" s="122" t="s">
        <v>37</v>
      </c>
      <c r="I1017" s="125" t="s">
        <v>1930</v>
      </c>
      <c r="J1017" s="129" t="s">
        <v>4006</v>
      </c>
      <c r="K1017" s="122" t="s">
        <v>5963</v>
      </c>
      <c r="L1017" s="122" t="s">
        <v>209</v>
      </c>
      <c r="M1017" s="133" t="s">
        <v>4003</v>
      </c>
      <c r="N1017" s="122" t="s">
        <v>30</v>
      </c>
    </row>
    <row r="1018" spans="2:14" s="9" customFormat="1" hidden="1" x14ac:dyDescent="0.25">
      <c r="B1018" s="120">
        <v>1015</v>
      </c>
      <c r="C1018" s="122">
        <v>20536733419</v>
      </c>
      <c r="D1018" s="125" t="s">
        <v>3553</v>
      </c>
      <c r="E1018" s="125" t="s">
        <v>4002</v>
      </c>
      <c r="F1018" s="122" t="s">
        <v>30</v>
      </c>
      <c r="G1018" s="122" t="s">
        <v>30</v>
      </c>
      <c r="H1018" s="122" t="s">
        <v>37</v>
      </c>
      <c r="I1018" s="125" t="s">
        <v>1930</v>
      </c>
      <c r="J1018" s="129" t="s">
        <v>4004</v>
      </c>
      <c r="K1018" s="122" t="s">
        <v>5964</v>
      </c>
      <c r="L1018" s="122" t="s">
        <v>209</v>
      </c>
      <c r="M1018" s="133" t="s">
        <v>4003</v>
      </c>
      <c r="N1018" s="122" t="s">
        <v>30</v>
      </c>
    </row>
    <row r="1019" spans="2:14" s="9" customFormat="1" hidden="1" x14ac:dyDescent="0.25">
      <c r="B1019" s="120">
        <v>1016</v>
      </c>
      <c r="C1019" s="122">
        <v>20100257298</v>
      </c>
      <c r="D1019" s="125" t="s">
        <v>3488</v>
      </c>
      <c r="E1019" s="125" t="s">
        <v>3978</v>
      </c>
      <c r="F1019" s="122" t="s">
        <v>30</v>
      </c>
      <c r="G1019" s="122" t="s">
        <v>30</v>
      </c>
      <c r="H1019" s="122" t="s">
        <v>30</v>
      </c>
      <c r="I1019" s="125" t="s">
        <v>2966</v>
      </c>
      <c r="J1019" s="129" t="s">
        <v>4000</v>
      </c>
      <c r="K1019" s="122" t="s">
        <v>4001</v>
      </c>
      <c r="L1019" s="122" t="s">
        <v>1558</v>
      </c>
      <c r="M1019" s="133" t="s">
        <v>3981</v>
      </c>
      <c r="N1019" s="122" t="s">
        <v>30</v>
      </c>
    </row>
    <row r="1020" spans="2:14" s="9" customFormat="1" hidden="1" x14ac:dyDescent="0.25">
      <c r="B1020" s="120">
        <v>1017</v>
      </c>
      <c r="C1020" s="122">
        <v>20100257298</v>
      </c>
      <c r="D1020" s="125" t="s">
        <v>3488</v>
      </c>
      <c r="E1020" s="125" t="s">
        <v>3978</v>
      </c>
      <c r="F1020" s="122" t="s">
        <v>30</v>
      </c>
      <c r="G1020" s="122" t="s">
        <v>30</v>
      </c>
      <c r="H1020" s="122" t="s">
        <v>30</v>
      </c>
      <c r="I1020" s="125" t="s">
        <v>2966</v>
      </c>
      <c r="J1020" s="129" t="s">
        <v>3998</v>
      </c>
      <c r="K1020" s="122" t="s">
        <v>3999</v>
      </c>
      <c r="L1020" s="122" t="s">
        <v>1558</v>
      </c>
      <c r="M1020" s="133" t="s">
        <v>3981</v>
      </c>
      <c r="N1020" s="122" t="s">
        <v>30</v>
      </c>
    </row>
    <row r="1021" spans="2:14" s="9" customFormat="1" hidden="1" x14ac:dyDescent="0.25">
      <c r="B1021" s="120">
        <v>1018</v>
      </c>
      <c r="C1021" s="122">
        <v>20100257298</v>
      </c>
      <c r="D1021" s="125" t="s">
        <v>3488</v>
      </c>
      <c r="E1021" s="125" t="s">
        <v>3978</v>
      </c>
      <c r="F1021" s="122" t="s">
        <v>30</v>
      </c>
      <c r="G1021" s="122" t="s">
        <v>30</v>
      </c>
      <c r="H1021" s="122" t="s">
        <v>30</v>
      </c>
      <c r="I1021" s="125" t="s">
        <v>2966</v>
      </c>
      <c r="J1021" s="129" t="s">
        <v>3996</v>
      </c>
      <c r="K1021" s="122" t="s">
        <v>3997</v>
      </c>
      <c r="L1021" s="122" t="s">
        <v>1558</v>
      </c>
      <c r="M1021" s="133" t="s">
        <v>3981</v>
      </c>
      <c r="N1021" s="122" t="s">
        <v>30</v>
      </c>
    </row>
    <row r="1022" spans="2:14" s="9" customFormat="1" hidden="1" x14ac:dyDescent="0.25">
      <c r="B1022" s="120">
        <v>1019</v>
      </c>
      <c r="C1022" s="122">
        <v>20100257298</v>
      </c>
      <c r="D1022" s="125" t="s">
        <v>3488</v>
      </c>
      <c r="E1022" s="125" t="s">
        <v>3978</v>
      </c>
      <c r="F1022" s="122" t="s">
        <v>30</v>
      </c>
      <c r="G1022" s="122" t="s">
        <v>30</v>
      </c>
      <c r="H1022" s="122" t="s">
        <v>30</v>
      </c>
      <c r="I1022" s="125" t="s">
        <v>2966</v>
      </c>
      <c r="J1022" s="129" t="s">
        <v>3994</v>
      </c>
      <c r="K1022" s="122" t="s">
        <v>3995</v>
      </c>
      <c r="L1022" s="122" t="s">
        <v>1558</v>
      </c>
      <c r="M1022" s="133" t="s">
        <v>3981</v>
      </c>
      <c r="N1022" s="122" t="s">
        <v>30</v>
      </c>
    </row>
    <row r="1023" spans="2:14" s="9" customFormat="1" hidden="1" x14ac:dyDescent="0.25">
      <c r="B1023" s="120">
        <v>1020</v>
      </c>
      <c r="C1023" s="122">
        <v>20100257298</v>
      </c>
      <c r="D1023" s="125" t="s">
        <v>3488</v>
      </c>
      <c r="E1023" s="125" t="s">
        <v>3978</v>
      </c>
      <c r="F1023" s="122" t="s">
        <v>30</v>
      </c>
      <c r="G1023" s="122" t="s">
        <v>30</v>
      </c>
      <c r="H1023" s="122" t="s">
        <v>30</v>
      </c>
      <c r="I1023" s="125" t="s">
        <v>2966</v>
      </c>
      <c r="J1023" s="129" t="s">
        <v>3992</v>
      </c>
      <c r="K1023" s="122" t="s">
        <v>3993</v>
      </c>
      <c r="L1023" s="122" t="s">
        <v>119</v>
      </c>
      <c r="M1023" s="133" t="s">
        <v>3981</v>
      </c>
      <c r="N1023" s="122" t="s">
        <v>30</v>
      </c>
    </row>
    <row r="1024" spans="2:14" s="9" customFormat="1" hidden="1" x14ac:dyDescent="0.25">
      <c r="B1024" s="120">
        <v>1021</v>
      </c>
      <c r="C1024" s="122">
        <v>20100257298</v>
      </c>
      <c r="D1024" s="125" t="s">
        <v>3488</v>
      </c>
      <c r="E1024" s="125" t="s">
        <v>3978</v>
      </c>
      <c r="F1024" s="122" t="s">
        <v>30</v>
      </c>
      <c r="G1024" s="122" t="s">
        <v>30</v>
      </c>
      <c r="H1024" s="122" t="s">
        <v>30</v>
      </c>
      <c r="I1024" s="125" t="s">
        <v>2966</v>
      </c>
      <c r="J1024" s="129" t="s">
        <v>3990</v>
      </c>
      <c r="K1024" s="122" t="s">
        <v>3991</v>
      </c>
      <c r="L1024" s="122" t="s">
        <v>1558</v>
      </c>
      <c r="M1024" s="133" t="s">
        <v>3981</v>
      </c>
      <c r="N1024" s="122" t="s">
        <v>30</v>
      </c>
    </row>
    <row r="1025" spans="2:14" s="9" customFormat="1" hidden="1" x14ac:dyDescent="0.25">
      <c r="B1025" s="120">
        <v>1022</v>
      </c>
      <c r="C1025" s="122">
        <v>20100257298</v>
      </c>
      <c r="D1025" s="125" t="s">
        <v>3488</v>
      </c>
      <c r="E1025" s="125" t="s">
        <v>3978</v>
      </c>
      <c r="F1025" s="122" t="s">
        <v>30</v>
      </c>
      <c r="G1025" s="122" t="s">
        <v>30</v>
      </c>
      <c r="H1025" s="122" t="s">
        <v>30</v>
      </c>
      <c r="I1025" s="125" t="s">
        <v>2966</v>
      </c>
      <c r="J1025" s="129" t="s">
        <v>3988</v>
      </c>
      <c r="K1025" s="122" t="s">
        <v>3989</v>
      </c>
      <c r="L1025" s="122" t="s">
        <v>1558</v>
      </c>
      <c r="M1025" s="133" t="s">
        <v>3981</v>
      </c>
      <c r="N1025" s="122" t="s">
        <v>30</v>
      </c>
    </row>
    <row r="1026" spans="2:14" s="9" customFormat="1" hidden="1" x14ac:dyDescent="0.25">
      <c r="B1026" s="120">
        <v>1023</v>
      </c>
      <c r="C1026" s="122">
        <v>20100257298</v>
      </c>
      <c r="D1026" s="125" t="s">
        <v>3488</v>
      </c>
      <c r="E1026" s="125" t="s">
        <v>3978</v>
      </c>
      <c r="F1026" s="122" t="s">
        <v>30</v>
      </c>
      <c r="G1026" s="122" t="s">
        <v>30</v>
      </c>
      <c r="H1026" s="122" t="s">
        <v>30</v>
      </c>
      <c r="I1026" s="125" t="s">
        <v>2966</v>
      </c>
      <c r="J1026" s="129" t="s">
        <v>3986</v>
      </c>
      <c r="K1026" s="122" t="s">
        <v>3987</v>
      </c>
      <c r="L1026" s="122" t="s">
        <v>1558</v>
      </c>
      <c r="M1026" s="133" t="s">
        <v>3981</v>
      </c>
      <c r="N1026" s="122" t="s">
        <v>30</v>
      </c>
    </row>
    <row r="1027" spans="2:14" s="9" customFormat="1" hidden="1" x14ac:dyDescent="0.25">
      <c r="B1027" s="120">
        <v>1024</v>
      </c>
      <c r="C1027" s="122">
        <v>20100257298</v>
      </c>
      <c r="D1027" s="125" t="s">
        <v>3488</v>
      </c>
      <c r="E1027" s="125" t="s">
        <v>3978</v>
      </c>
      <c r="F1027" s="122" t="s">
        <v>30</v>
      </c>
      <c r="G1027" s="122" t="s">
        <v>30</v>
      </c>
      <c r="H1027" s="122" t="s">
        <v>30</v>
      </c>
      <c r="I1027" s="125" t="s">
        <v>2966</v>
      </c>
      <c r="J1027" s="129" t="s">
        <v>3984</v>
      </c>
      <c r="K1027" s="122" t="s">
        <v>3985</v>
      </c>
      <c r="L1027" s="122" t="s">
        <v>1558</v>
      </c>
      <c r="M1027" s="133" t="s">
        <v>3981</v>
      </c>
      <c r="N1027" s="122" t="s">
        <v>30</v>
      </c>
    </row>
    <row r="1028" spans="2:14" s="9" customFormat="1" hidden="1" x14ac:dyDescent="0.25">
      <c r="B1028" s="120">
        <v>1025</v>
      </c>
      <c r="C1028" s="122">
        <v>20100257298</v>
      </c>
      <c r="D1028" s="125" t="s">
        <v>3488</v>
      </c>
      <c r="E1028" s="125" t="s">
        <v>3978</v>
      </c>
      <c r="F1028" s="122" t="s">
        <v>30</v>
      </c>
      <c r="G1028" s="122" t="s">
        <v>30</v>
      </c>
      <c r="H1028" s="122" t="s">
        <v>30</v>
      </c>
      <c r="I1028" s="125" t="s">
        <v>2966</v>
      </c>
      <c r="J1028" s="129" t="s">
        <v>3982</v>
      </c>
      <c r="K1028" s="122" t="s">
        <v>3983</v>
      </c>
      <c r="L1028" s="122" t="s">
        <v>731</v>
      </c>
      <c r="M1028" s="133" t="s">
        <v>3981</v>
      </c>
      <c r="N1028" s="122" t="s">
        <v>30</v>
      </c>
    </row>
    <row r="1029" spans="2:14" s="9" customFormat="1" hidden="1" x14ac:dyDescent="0.25">
      <c r="B1029" s="120">
        <v>1026</v>
      </c>
      <c r="C1029" s="122">
        <v>20100257298</v>
      </c>
      <c r="D1029" s="125" t="s">
        <v>3488</v>
      </c>
      <c r="E1029" s="125" t="s">
        <v>3978</v>
      </c>
      <c r="F1029" s="122" t="s">
        <v>30</v>
      </c>
      <c r="G1029" s="122" t="s">
        <v>30</v>
      </c>
      <c r="H1029" s="122" t="s">
        <v>30</v>
      </c>
      <c r="I1029" s="125" t="s">
        <v>2966</v>
      </c>
      <c r="J1029" s="129" t="s">
        <v>3979</v>
      </c>
      <c r="K1029" s="122" t="s">
        <v>3980</v>
      </c>
      <c r="L1029" s="122" t="s">
        <v>2030</v>
      </c>
      <c r="M1029" s="133" t="s">
        <v>3981</v>
      </c>
      <c r="N1029" s="122" t="s">
        <v>30</v>
      </c>
    </row>
    <row r="1030" spans="2:14" s="9" customFormat="1" hidden="1" x14ac:dyDescent="0.25">
      <c r="B1030" s="120">
        <v>1027</v>
      </c>
      <c r="C1030" s="122">
        <v>20507667725</v>
      </c>
      <c r="D1030" s="125" t="s">
        <v>3505</v>
      </c>
      <c r="E1030" s="125" t="s">
        <v>3974</v>
      </c>
      <c r="F1030" s="122" t="s">
        <v>30</v>
      </c>
      <c r="G1030" s="122" t="s">
        <v>30</v>
      </c>
      <c r="H1030" s="122" t="s">
        <v>60</v>
      </c>
      <c r="I1030" s="125" t="s">
        <v>1551</v>
      </c>
      <c r="J1030" s="129" t="s">
        <v>3975</v>
      </c>
      <c r="K1030" s="122" t="s">
        <v>3976</v>
      </c>
      <c r="L1030" s="122" t="s">
        <v>731</v>
      </c>
      <c r="M1030" s="133" t="s">
        <v>3977</v>
      </c>
      <c r="N1030" s="122" t="s">
        <v>30</v>
      </c>
    </row>
    <row r="1031" spans="2:14" s="9" customFormat="1" hidden="1" x14ac:dyDescent="0.25">
      <c r="B1031" s="120">
        <v>1028</v>
      </c>
      <c r="C1031" s="122">
        <v>20600807260</v>
      </c>
      <c r="D1031" s="125" t="s">
        <v>3969</v>
      </c>
      <c r="E1031" s="125" t="s">
        <v>3970</v>
      </c>
      <c r="F1031" s="122" t="s">
        <v>30</v>
      </c>
      <c r="G1031" s="122" t="s">
        <v>30</v>
      </c>
      <c r="H1031" s="122" t="s">
        <v>60</v>
      </c>
      <c r="I1031" s="125" t="s">
        <v>1956</v>
      </c>
      <c r="J1031" s="129" t="s">
        <v>3971</v>
      </c>
      <c r="K1031" s="122" t="s">
        <v>3972</v>
      </c>
      <c r="L1031" s="122" t="s">
        <v>731</v>
      </c>
      <c r="M1031" s="133" t="s">
        <v>3973</v>
      </c>
      <c r="N1031" s="122" t="s">
        <v>30</v>
      </c>
    </row>
    <row r="1032" spans="2:14" s="9" customFormat="1" hidden="1" x14ac:dyDescent="0.25">
      <c r="B1032" s="120">
        <v>1029</v>
      </c>
      <c r="C1032" s="122">
        <v>20506474397</v>
      </c>
      <c r="D1032" s="125" t="s">
        <v>3615</v>
      </c>
      <c r="E1032" s="125" t="s">
        <v>3966</v>
      </c>
      <c r="F1032" s="122" t="s">
        <v>285</v>
      </c>
      <c r="G1032" s="122" t="s">
        <v>286</v>
      </c>
      <c r="H1032" s="122" t="s">
        <v>286</v>
      </c>
      <c r="I1032" s="125" t="s">
        <v>2460</v>
      </c>
      <c r="J1032" s="129" t="s">
        <v>8278</v>
      </c>
      <c r="K1032" s="122" t="s">
        <v>3967</v>
      </c>
      <c r="L1032" s="122" t="s">
        <v>42</v>
      </c>
      <c r="M1032" s="133" t="s">
        <v>3968</v>
      </c>
      <c r="N1032" s="122" t="s">
        <v>30</v>
      </c>
    </row>
    <row r="1033" spans="2:14" s="9" customFormat="1" hidden="1" x14ac:dyDescent="0.25">
      <c r="B1033" s="120">
        <v>1030</v>
      </c>
      <c r="C1033" s="122">
        <v>20204156060</v>
      </c>
      <c r="D1033" s="125" t="s">
        <v>473</v>
      </c>
      <c r="E1033" s="125" t="s">
        <v>3960</v>
      </c>
      <c r="F1033" s="122" t="s">
        <v>30</v>
      </c>
      <c r="G1033" s="122" t="s">
        <v>30</v>
      </c>
      <c r="H1033" s="122" t="s">
        <v>51</v>
      </c>
      <c r="I1033" s="125" t="s">
        <v>1499</v>
      </c>
      <c r="J1033" s="129" t="s">
        <v>8282</v>
      </c>
      <c r="K1033" s="122" t="s">
        <v>3965</v>
      </c>
      <c r="L1033" s="122" t="s">
        <v>42</v>
      </c>
      <c r="M1033" s="133" t="s">
        <v>845</v>
      </c>
      <c r="N1033" s="122" t="s">
        <v>845</v>
      </c>
    </row>
    <row r="1034" spans="2:14" s="9" customFormat="1" hidden="1" x14ac:dyDescent="0.25">
      <c r="B1034" s="120">
        <v>1031</v>
      </c>
      <c r="C1034" s="122">
        <v>20204156060</v>
      </c>
      <c r="D1034" s="125" t="s">
        <v>473</v>
      </c>
      <c r="E1034" s="125" t="s">
        <v>3960</v>
      </c>
      <c r="F1034" s="122" t="s">
        <v>30</v>
      </c>
      <c r="G1034" s="122" t="s">
        <v>30</v>
      </c>
      <c r="H1034" s="122" t="s">
        <v>51</v>
      </c>
      <c r="I1034" s="125" t="s">
        <v>1499</v>
      </c>
      <c r="J1034" s="129" t="s">
        <v>3963</v>
      </c>
      <c r="K1034" s="122" t="s">
        <v>3964</v>
      </c>
      <c r="L1034" s="122" t="s">
        <v>209</v>
      </c>
      <c r="M1034" s="133" t="s">
        <v>845</v>
      </c>
      <c r="N1034" s="122" t="s">
        <v>845</v>
      </c>
    </row>
    <row r="1035" spans="2:14" s="9" customFormat="1" hidden="1" x14ac:dyDescent="0.25">
      <c r="B1035" s="120">
        <v>1032</v>
      </c>
      <c r="C1035" s="122">
        <v>20204156060</v>
      </c>
      <c r="D1035" s="125" t="s">
        <v>473</v>
      </c>
      <c r="E1035" s="125" t="s">
        <v>3960</v>
      </c>
      <c r="F1035" s="122" t="s">
        <v>30</v>
      </c>
      <c r="G1035" s="122" t="s">
        <v>30</v>
      </c>
      <c r="H1035" s="122" t="s">
        <v>51</v>
      </c>
      <c r="I1035" s="125" t="s">
        <v>1499</v>
      </c>
      <c r="J1035" s="129" t="s">
        <v>3961</v>
      </c>
      <c r="K1035" s="122" t="s">
        <v>3962</v>
      </c>
      <c r="L1035" s="122" t="s">
        <v>209</v>
      </c>
      <c r="M1035" s="133" t="s">
        <v>845</v>
      </c>
      <c r="N1035" s="122" t="s">
        <v>845</v>
      </c>
    </row>
    <row r="1036" spans="2:14" s="9" customFormat="1" hidden="1" x14ac:dyDescent="0.25">
      <c r="B1036" s="120">
        <v>1033</v>
      </c>
      <c r="C1036" s="122">
        <v>20563312719</v>
      </c>
      <c r="D1036" s="125" t="s">
        <v>478</v>
      </c>
      <c r="E1036" s="125" t="s">
        <v>3957</v>
      </c>
      <c r="F1036" s="122" t="s">
        <v>30</v>
      </c>
      <c r="G1036" s="122" t="s">
        <v>30</v>
      </c>
      <c r="H1036" s="122" t="s">
        <v>30</v>
      </c>
      <c r="I1036" s="125" t="s">
        <v>1450</v>
      </c>
      <c r="J1036" s="129" t="s">
        <v>3958</v>
      </c>
      <c r="K1036" s="122" t="s">
        <v>3959</v>
      </c>
      <c r="L1036" s="122" t="s">
        <v>731</v>
      </c>
      <c r="M1036" s="133" t="s">
        <v>845</v>
      </c>
      <c r="N1036" s="122" t="s">
        <v>845</v>
      </c>
    </row>
    <row r="1037" spans="2:14" s="9" customFormat="1" hidden="1" x14ac:dyDescent="0.25">
      <c r="B1037" s="120">
        <v>1034</v>
      </c>
      <c r="C1037" s="122">
        <v>20602766145</v>
      </c>
      <c r="D1037" s="125" t="s">
        <v>3950</v>
      </c>
      <c r="E1037" s="125" t="s">
        <v>3951</v>
      </c>
      <c r="F1037" s="122" t="s">
        <v>30</v>
      </c>
      <c r="G1037" s="122" t="s">
        <v>30</v>
      </c>
      <c r="H1037" s="122" t="s">
        <v>65</v>
      </c>
      <c r="I1037" s="125" t="s">
        <v>1755</v>
      </c>
      <c r="J1037" s="129" t="s">
        <v>3955</v>
      </c>
      <c r="K1037" s="122" t="s">
        <v>3956</v>
      </c>
      <c r="L1037" s="122" t="s">
        <v>209</v>
      </c>
      <c r="M1037" s="133" t="s">
        <v>3954</v>
      </c>
      <c r="N1037" s="122" t="s">
        <v>30</v>
      </c>
    </row>
    <row r="1038" spans="2:14" s="9" customFormat="1" hidden="1" x14ac:dyDescent="0.25">
      <c r="B1038" s="120">
        <v>1035</v>
      </c>
      <c r="C1038" s="122">
        <v>20602766145</v>
      </c>
      <c r="D1038" s="125" t="s">
        <v>3950</v>
      </c>
      <c r="E1038" s="125" t="s">
        <v>3951</v>
      </c>
      <c r="F1038" s="122" t="s">
        <v>30</v>
      </c>
      <c r="G1038" s="122" t="s">
        <v>30</v>
      </c>
      <c r="H1038" s="122" t="s">
        <v>65</v>
      </c>
      <c r="I1038" s="125" t="s">
        <v>1755</v>
      </c>
      <c r="J1038" s="129" t="s">
        <v>3952</v>
      </c>
      <c r="K1038" s="122" t="s">
        <v>3953</v>
      </c>
      <c r="L1038" s="122" t="s">
        <v>57</v>
      </c>
      <c r="M1038" s="133" t="s">
        <v>3954</v>
      </c>
      <c r="N1038" s="122" t="s">
        <v>30</v>
      </c>
    </row>
    <row r="1039" spans="2:14" s="9" customFormat="1" hidden="1" x14ac:dyDescent="0.25">
      <c r="B1039" s="120">
        <v>1036</v>
      </c>
      <c r="C1039" s="122">
        <v>20521895439</v>
      </c>
      <c r="D1039" s="125" t="s">
        <v>548</v>
      </c>
      <c r="E1039" s="125" t="s">
        <v>3945</v>
      </c>
      <c r="F1039" s="122" t="s">
        <v>30</v>
      </c>
      <c r="G1039" s="122" t="s">
        <v>30</v>
      </c>
      <c r="H1039" s="122" t="s">
        <v>30</v>
      </c>
      <c r="I1039" s="125" t="s">
        <v>3946</v>
      </c>
      <c r="J1039" s="129" t="s">
        <v>3947</v>
      </c>
      <c r="K1039" s="122" t="s">
        <v>3948</v>
      </c>
      <c r="L1039" s="122" t="s">
        <v>42</v>
      </c>
      <c r="M1039" s="133" t="s">
        <v>3949</v>
      </c>
      <c r="N1039" s="122" t="s">
        <v>30</v>
      </c>
    </row>
    <row r="1040" spans="2:14" s="9" customFormat="1" hidden="1" x14ac:dyDescent="0.25">
      <c r="B1040" s="120">
        <v>1037</v>
      </c>
      <c r="C1040" s="122">
        <v>20606790652</v>
      </c>
      <c r="D1040" s="125" t="s">
        <v>688</v>
      </c>
      <c r="E1040" s="125" t="s">
        <v>3941</v>
      </c>
      <c r="F1040" s="122" t="s">
        <v>30</v>
      </c>
      <c r="G1040" s="122" t="s">
        <v>30</v>
      </c>
      <c r="H1040" s="122" t="s">
        <v>45</v>
      </c>
      <c r="I1040" s="125" t="s">
        <v>3942</v>
      </c>
      <c r="J1040" s="129" t="s">
        <v>8517</v>
      </c>
      <c r="K1040" s="122" t="s">
        <v>3943</v>
      </c>
      <c r="L1040" s="122" t="s">
        <v>1577</v>
      </c>
      <c r="M1040" s="133" t="s">
        <v>3944</v>
      </c>
      <c r="N1040" s="122" t="s">
        <v>30</v>
      </c>
    </row>
    <row r="1041" spans="2:14" s="9" customFormat="1" hidden="1" x14ac:dyDescent="0.25">
      <c r="B1041" s="120">
        <v>1038</v>
      </c>
      <c r="C1041" s="122">
        <v>20537602792</v>
      </c>
      <c r="D1041" s="125" t="s">
        <v>670</v>
      </c>
      <c r="E1041" s="125" t="s">
        <v>3937</v>
      </c>
      <c r="F1041" s="122" t="s">
        <v>30</v>
      </c>
      <c r="G1041" s="122" t="s">
        <v>30</v>
      </c>
      <c r="H1041" s="122" t="s">
        <v>30</v>
      </c>
      <c r="I1041" s="125" t="s">
        <v>1377</v>
      </c>
      <c r="J1041" s="129" t="s">
        <v>3938</v>
      </c>
      <c r="K1041" s="122" t="s">
        <v>3939</v>
      </c>
      <c r="L1041" s="122" t="s">
        <v>1577</v>
      </c>
      <c r="M1041" s="133" t="s">
        <v>3940</v>
      </c>
      <c r="N1041" s="122" t="s">
        <v>30</v>
      </c>
    </row>
    <row r="1042" spans="2:14" s="9" customFormat="1" hidden="1" x14ac:dyDescent="0.25">
      <c r="B1042" s="120">
        <v>1039</v>
      </c>
      <c r="C1042" s="122">
        <v>20602150381</v>
      </c>
      <c r="D1042" s="125" t="s">
        <v>3524</v>
      </c>
      <c r="E1042" s="125" t="s">
        <v>3933</v>
      </c>
      <c r="F1042" s="122" t="s">
        <v>30</v>
      </c>
      <c r="G1042" s="122" t="s">
        <v>30</v>
      </c>
      <c r="H1042" s="122" t="s">
        <v>65</v>
      </c>
      <c r="I1042" s="125" t="s">
        <v>1809</v>
      </c>
      <c r="J1042" s="129" t="s">
        <v>3934</v>
      </c>
      <c r="K1042" s="122" t="s">
        <v>3935</v>
      </c>
      <c r="L1042" s="122" t="s">
        <v>42</v>
      </c>
      <c r="M1042" s="133" t="s">
        <v>3936</v>
      </c>
      <c r="N1042" s="122" t="s">
        <v>30</v>
      </c>
    </row>
    <row r="1043" spans="2:14" s="9" customFormat="1" hidden="1" x14ac:dyDescent="0.25">
      <c r="B1043" s="120">
        <v>1040</v>
      </c>
      <c r="C1043" s="122">
        <v>20499131331</v>
      </c>
      <c r="D1043" s="125" t="s">
        <v>1075</v>
      </c>
      <c r="E1043" s="125" t="s">
        <v>3929</v>
      </c>
      <c r="F1043" s="122" t="s">
        <v>30</v>
      </c>
      <c r="G1043" s="122" t="s">
        <v>30</v>
      </c>
      <c r="H1043" s="122" t="s">
        <v>72</v>
      </c>
      <c r="I1043" s="125" t="s">
        <v>1398</v>
      </c>
      <c r="J1043" s="129" t="s">
        <v>3930</v>
      </c>
      <c r="K1043" s="122" t="s">
        <v>3931</v>
      </c>
      <c r="L1043" s="122" t="s">
        <v>731</v>
      </c>
      <c r="M1043" s="133" t="s">
        <v>3932</v>
      </c>
      <c r="N1043" s="122" t="s">
        <v>30</v>
      </c>
    </row>
    <row r="1044" spans="2:14" s="9" customFormat="1" hidden="1" x14ac:dyDescent="0.25">
      <c r="B1044" s="120">
        <v>1041</v>
      </c>
      <c r="C1044" s="122">
        <v>20505670443</v>
      </c>
      <c r="D1044" s="125" t="s">
        <v>696</v>
      </c>
      <c r="E1044" s="125" t="s">
        <v>3918</v>
      </c>
      <c r="F1044" s="122" t="s">
        <v>30</v>
      </c>
      <c r="G1044" s="122" t="s">
        <v>30</v>
      </c>
      <c r="H1044" s="122" t="s">
        <v>86</v>
      </c>
      <c r="I1044" s="125" t="s">
        <v>3919</v>
      </c>
      <c r="J1044" s="129" t="s">
        <v>3927</v>
      </c>
      <c r="K1044" s="122" t="s">
        <v>3928</v>
      </c>
      <c r="L1044" s="122" t="s">
        <v>42</v>
      </c>
      <c r="M1044" s="133" t="s">
        <v>3922</v>
      </c>
      <c r="N1044" s="122" t="s">
        <v>30</v>
      </c>
    </row>
    <row r="1045" spans="2:14" s="9" customFormat="1" hidden="1" x14ac:dyDescent="0.25">
      <c r="B1045" s="120">
        <v>1042</v>
      </c>
      <c r="C1045" s="122">
        <v>20505670443</v>
      </c>
      <c r="D1045" s="125" t="s">
        <v>696</v>
      </c>
      <c r="E1045" s="125" t="s">
        <v>3918</v>
      </c>
      <c r="F1045" s="122" t="s">
        <v>30</v>
      </c>
      <c r="G1045" s="122" t="s">
        <v>30</v>
      </c>
      <c r="H1045" s="122" t="s">
        <v>86</v>
      </c>
      <c r="I1045" s="125" t="s">
        <v>3919</v>
      </c>
      <c r="J1045" s="129" t="s">
        <v>3925</v>
      </c>
      <c r="K1045" s="122" t="s">
        <v>3926</v>
      </c>
      <c r="L1045" s="122" t="s">
        <v>209</v>
      </c>
      <c r="M1045" s="133" t="s">
        <v>3922</v>
      </c>
      <c r="N1045" s="122" t="s">
        <v>30</v>
      </c>
    </row>
    <row r="1046" spans="2:14" s="9" customFormat="1" hidden="1" x14ac:dyDescent="0.25">
      <c r="B1046" s="120">
        <v>1043</v>
      </c>
      <c r="C1046" s="122">
        <v>20505670443</v>
      </c>
      <c r="D1046" s="125" t="s">
        <v>696</v>
      </c>
      <c r="E1046" s="125" t="s">
        <v>3918</v>
      </c>
      <c r="F1046" s="122" t="s">
        <v>30</v>
      </c>
      <c r="G1046" s="122" t="s">
        <v>30</v>
      </c>
      <c r="H1046" s="122" t="s">
        <v>86</v>
      </c>
      <c r="I1046" s="125" t="s">
        <v>3919</v>
      </c>
      <c r="J1046" s="129" t="s">
        <v>3923</v>
      </c>
      <c r="K1046" s="122" t="s">
        <v>3924</v>
      </c>
      <c r="L1046" s="122" t="s">
        <v>209</v>
      </c>
      <c r="M1046" s="133" t="s">
        <v>3922</v>
      </c>
      <c r="N1046" s="122" t="s">
        <v>30</v>
      </c>
    </row>
    <row r="1047" spans="2:14" s="9" customFormat="1" hidden="1" x14ac:dyDescent="0.25">
      <c r="B1047" s="120">
        <v>1044</v>
      </c>
      <c r="C1047" s="122">
        <v>20505670443</v>
      </c>
      <c r="D1047" s="125" t="s">
        <v>696</v>
      </c>
      <c r="E1047" s="125" t="s">
        <v>3918</v>
      </c>
      <c r="F1047" s="122" t="s">
        <v>30</v>
      </c>
      <c r="G1047" s="122" t="s">
        <v>30</v>
      </c>
      <c r="H1047" s="122" t="s">
        <v>86</v>
      </c>
      <c r="I1047" s="125" t="s">
        <v>3919</v>
      </c>
      <c r="J1047" s="129" t="s">
        <v>3920</v>
      </c>
      <c r="K1047" s="122" t="s">
        <v>3921</v>
      </c>
      <c r="L1047" s="122" t="s">
        <v>209</v>
      </c>
      <c r="M1047" s="133" t="s">
        <v>3922</v>
      </c>
      <c r="N1047" s="122" t="s">
        <v>30</v>
      </c>
    </row>
    <row r="1048" spans="2:14" s="9" customFormat="1" hidden="1" x14ac:dyDescent="0.25">
      <c r="B1048" s="120">
        <v>1045</v>
      </c>
      <c r="C1048" s="122">
        <v>20600229380</v>
      </c>
      <c r="D1048" s="125" t="s">
        <v>370</v>
      </c>
      <c r="E1048" s="125" t="s">
        <v>3915</v>
      </c>
      <c r="F1048" s="122" t="s">
        <v>67</v>
      </c>
      <c r="G1048" s="122" t="s">
        <v>67</v>
      </c>
      <c r="H1048" s="122" t="s">
        <v>67</v>
      </c>
      <c r="I1048" s="125" t="s">
        <v>1374</v>
      </c>
      <c r="J1048" s="129" t="s">
        <v>3916</v>
      </c>
      <c r="K1048" s="122" t="s">
        <v>3917</v>
      </c>
      <c r="L1048" s="122" t="s">
        <v>731</v>
      </c>
      <c r="M1048" s="133" t="s">
        <v>845</v>
      </c>
      <c r="N1048" s="122" t="s">
        <v>845</v>
      </c>
    </row>
    <row r="1049" spans="2:14" s="9" customFormat="1" hidden="1" x14ac:dyDescent="0.25">
      <c r="B1049" s="120">
        <v>1046</v>
      </c>
      <c r="C1049" s="122">
        <v>20609231140</v>
      </c>
      <c r="D1049" s="125" t="s">
        <v>593</v>
      </c>
      <c r="E1049" s="125" t="s">
        <v>3911</v>
      </c>
      <c r="F1049" s="122" t="s">
        <v>30</v>
      </c>
      <c r="G1049" s="122" t="s">
        <v>30</v>
      </c>
      <c r="H1049" s="122" t="s">
        <v>43</v>
      </c>
      <c r="I1049" s="125" t="s">
        <v>2181</v>
      </c>
      <c r="J1049" s="129" t="s">
        <v>3912</v>
      </c>
      <c r="K1049" s="122" t="s">
        <v>3913</v>
      </c>
      <c r="L1049" s="122" t="s">
        <v>57</v>
      </c>
      <c r="M1049" s="133" t="s">
        <v>3914</v>
      </c>
      <c r="N1049" s="122" t="s">
        <v>30</v>
      </c>
    </row>
    <row r="1050" spans="2:14" s="9" customFormat="1" hidden="1" x14ac:dyDescent="0.25">
      <c r="B1050" s="120">
        <v>1047</v>
      </c>
      <c r="C1050" s="122">
        <v>20514420913</v>
      </c>
      <c r="D1050" s="125" t="s">
        <v>581</v>
      </c>
      <c r="E1050" s="125" t="s">
        <v>3907</v>
      </c>
      <c r="F1050" s="122" t="s">
        <v>30</v>
      </c>
      <c r="G1050" s="122" t="s">
        <v>30</v>
      </c>
      <c r="H1050" s="122" t="s">
        <v>75</v>
      </c>
      <c r="I1050" s="125" t="s">
        <v>1809</v>
      </c>
      <c r="J1050" s="129" t="s">
        <v>3908</v>
      </c>
      <c r="K1050" s="122" t="s">
        <v>3909</v>
      </c>
      <c r="L1050" s="122" t="s">
        <v>42</v>
      </c>
      <c r="M1050" s="133" t="s">
        <v>3910</v>
      </c>
      <c r="N1050" s="122" t="s">
        <v>30</v>
      </c>
    </row>
    <row r="1051" spans="2:14" s="9" customFormat="1" hidden="1" x14ac:dyDescent="0.25">
      <c r="B1051" s="120">
        <v>1048</v>
      </c>
      <c r="C1051" s="122">
        <v>20536662058</v>
      </c>
      <c r="D1051" s="125" t="s">
        <v>562</v>
      </c>
      <c r="E1051" s="125" t="s">
        <v>3900</v>
      </c>
      <c r="F1051" s="122" t="s">
        <v>30</v>
      </c>
      <c r="G1051" s="122" t="s">
        <v>30</v>
      </c>
      <c r="H1051" s="122" t="s">
        <v>1135</v>
      </c>
      <c r="I1051" s="125" t="s">
        <v>1595</v>
      </c>
      <c r="J1051" s="129" t="s">
        <v>3904</v>
      </c>
      <c r="K1051" s="122" t="s">
        <v>3905</v>
      </c>
      <c r="L1051" s="122" t="s">
        <v>3906</v>
      </c>
      <c r="M1051" s="133" t="s">
        <v>3903</v>
      </c>
      <c r="N1051" s="122" t="s">
        <v>30</v>
      </c>
    </row>
    <row r="1052" spans="2:14" s="9" customFormat="1" hidden="1" x14ac:dyDescent="0.25">
      <c r="B1052" s="120">
        <v>1049</v>
      </c>
      <c r="C1052" s="122">
        <v>20536662058</v>
      </c>
      <c r="D1052" s="125" t="s">
        <v>562</v>
      </c>
      <c r="E1052" s="125" t="s">
        <v>3900</v>
      </c>
      <c r="F1052" s="122" t="s">
        <v>30</v>
      </c>
      <c r="G1052" s="122" t="s">
        <v>30</v>
      </c>
      <c r="H1052" s="122" t="s">
        <v>1135</v>
      </c>
      <c r="I1052" s="125" t="s">
        <v>1595</v>
      </c>
      <c r="J1052" s="129" t="s">
        <v>3901</v>
      </c>
      <c r="K1052" s="122" t="s">
        <v>3902</v>
      </c>
      <c r="L1052" s="122" t="s">
        <v>731</v>
      </c>
      <c r="M1052" s="133" t="s">
        <v>3903</v>
      </c>
      <c r="N1052" s="122" t="s">
        <v>30</v>
      </c>
    </row>
    <row r="1053" spans="2:14" s="9" customFormat="1" hidden="1" x14ac:dyDescent="0.25">
      <c r="B1053" s="120">
        <v>1050</v>
      </c>
      <c r="C1053" s="122">
        <v>20605787887</v>
      </c>
      <c r="D1053" s="125" t="s">
        <v>3596</v>
      </c>
      <c r="E1053" s="125" t="s">
        <v>3896</v>
      </c>
      <c r="F1053" s="122" t="s">
        <v>30</v>
      </c>
      <c r="G1053" s="122" t="s">
        <v>30</v>
      </c>
      <c r="H1053" s="122" t="s">
        <v>30</v>
      </c>
      <c r="I1053" s="125" t="s">
        <v>1394</v>
      </c>
      <c r="J1053" s="129" t="s">
        <v>3897</v>
      </c>
      <c r="K1053" s="122" t="s">
        <v>3898</v>
      </c>
      <c r="L1053" s="122" t="s">
        <v>731</v>
      </c>
      <c r="M1053" s="133" t="s">
        <v>3899</v>
      </c>
      <c r="N1053" s="122" t="s">
        <v>30</v>
      </c>
    </row>
    <row r="1054" spans="2:14" s="9" customFormat="1" hidden="1" x14ac:dyDescent="0.25">
      <c r="B1054" s="120">
        <v>1051</v>
      </c>
      <c r="C1054" s="122">
        <v>20602356648</v>
      </c>
      <c r="D1054" s="125" t="s">
        <v>304</v>
      </c>
      <c r="E1054" s="125" t="s">
        <v>3892</v>
      </c>
      <c r="F1054" s="122" t="s">
        <v>30</v>
      </c>
      <c r="G1054" s="122" t="s">
        <v>30</v>
      </c>
      <c r="H1054" s="122" t="s">
        <v>35</v>
      </c>
      <c r="I1054" s="125" t="s">
        <v>1727</v>
      </c>
      <c r="J1054" s="129" t="s">
        <v>3893</v>
      </c>
      <c r="K1054" s="122" t="s">
        <v>3894</v>
      </c>
      <c r="L1054" s="122" t="s">
        <v>731</v>
      </c>
      <c r="M1054" s="133" t="s">
        <v>3895</v>
      </c>
      <c r="N1054" s="122" t="s">
        <v>30</v>
      </c>
    </row>
    <row r="1055" spans="2:14" s="9" customFormat="1" hidden="1" x14ac:dyDescent="0.25">
      <c r="B1055" s="120">
        <v>1052</v>
      </c>
      <c r="C1055" s="122">
        <v>20392809903</v>
      </c>
      <c r="D1055" s="125" t="s">
        <v>1082</v>
      </c>
      <c r="E1055" s="125" t="s">
        <v>3886</v>
      </c>
      <c r="F1055" s="122" t="s">
        <v>30</v>
      </c>
      <c r="G1055" s="122" t="s">
        <v>30</v>
      </c>
      <c r="H1055" s="122" t="s">
        <v>43</v>
      </c>
      <c r="I1055" s="125" t="s">
        <v>1377</v>
      </c>
      <c r="J1055" s="129" t="s">
        <v>3890</v>
      </c>
      <c r="K1055" s="122" t="s">
        <v>3891</v>
      </c>
      <c r="L1055" s="122" t="s">
        <v>209</v>
      </c>
      <c r="M1055" s="133" t="s">
        <v>3889</v>
      </c>
      <c r="N1055" s="122" t="s">
        <v>30</v>
      </c>
    </row>
    <row r="1056" spans="2:14" s="9" customFormat="1" hidden="1" x14ac:dyDescent="0.25">
      <c r="B1056" s="120">
        <v>1053</v>
      </c>
      <c r="C1056" s="122">
        <v>20392809903</v>
      </c>
      <c r="D1056" s="125" t="s">
        <v>1082</v>
      </c>
      <c r="E1056" s="125" t="s">
        <v>3886</v>
      </c>
      <c r="F1056" s="122" t="s">
        <v>30</v>
      </c>
      <c r="G1056" s="122" t="s">
        <v>30</v>
      </c>
      <c r="H1056" s="122" t="s">
        <v>43</v>
      </c>
      <c r="I1056" s="125" t="s">
        <v>1377</v>
      </c>
      <c r="J1056" s="129" t="s">
        <v>3887</v>
      </c>
      <c r="K1056" s="122" t="s">
        <v>3888</v>
      </c>
      <c r="L1056" s="122" t="s">
        <v>731</v>
      </c>
      <c r="M1056" s="133" t="s">
        <v>3889</v>
      </c>
      <c r="N1056" s="122" t="s">
        <v>30</v>
      </c>
    </row>
    <row r="1057" spans="2:14" s="9" customFormat="1" hidden="1" x14ac:dyDescent="0.25">
      <c r="B1057" s="120">
        <v>1054</v>
      </c>
      <c r="C1057" s="122">
        <v>20518212461</v>
      </c>
      <c r="D1057" s="125" t="s">
        <v>1078</v>
      </c>
      <c r="E1057" s="125" t="s">
        <v>3882</v>
      </c>
      <c r="F1057" s="122" t="s">
        <v>30</v>
      </c>
      <c r="G1057" s="122" t="s">
        <v>30</v>
      </c>
      <c r="H1057" s="122" t="s">
        <v>45</v>
      </c>
      <c r="I1057" s="125" t="s">
        <v>1962</v>
      </c>
      <c r="J1057" s="129" t="s">
        <v>3883</v>
      </c>
      <c r="K1057" s="122" t="s">
        <v>3884</v>
      </c>
      <c r="L1057" s="122" t="s">
        <v>731</v>
      </c>
      <c r="M1057" s="133" t="s">
        <v>3885</v>
      </c>
      <c r="N1057" s="122" t="s">
        <v>30</v>
      </c>
    </row>
    <row r="1058" spans="2:14" s="9" customFormat="1" hidden="1" x14ac:dyDescent="0.25">
      <c r="B1058" s="120">
        <v>1055</v>
      </c>
      <c r="C1058" s="122">
        <v>20536839080</v>
      </c>
      <c r="D1058" s="125" t="s">
        <v>1058</v>
      </c>
      <c r="E1058" s="125" t="s">
        <v>3879</v>
      </c>
      <c r="F1058" s="122" t="s">
        <v>30</v>
      </c>
      <c r="G1058" s="122" t="s">
        <v>30</v>
      </c>
      <c r="H1058" s="122" t="s">
        <v>50</v>
      </c>
      <c r="I1058" s="125" t="s">
        <v>1395</v>
      </c>
      <c r="J1058" s="129" t="s">
        <v>3880</v>
      </c>
      <c r="K1058" s="122" t="s">
        <v>3881</v>
      </c>
      <c r="L1058" s="122" t="s">
        <v>42</v>
      </c>
      <c r="M1058" s="133" t="s">
        <v>845</v>
      </c>
      <c r="N1058" s="122" t="s">
        <v>845</v>
      </c>
    </row>
    <row r="1059" spans="2:14" s="9" customFormat="1" hidden="1" x14ac:dyDescent="0.25">
      <c r="B1059" s="120">
        <v>1056</v>
      </c>
      <c r="C1059" s="122">
        <v>20510069251</v>
      </c>
      <c r="D1059" s="125" t="s">
        <v>493</v>
      </c>
      <c r="E1059" s="125" t="s">
        <v>3871</v>
      </c>
      <c r="F1059" s="122" t="s">
        <v>30</v>
      </c>
      <c r="G1059" s="122" t="s">
        <v>30</v>
      </c>
      <c r="H1059" s="122" t="s">
        <v>35</v>
      </c>
      <c r="I1059" s="125" t="s">
        <v>1951</v>
      </c>
      <c r="J1059" s="129" t="s">
        <v>3877</v>
      </c>
      <c r="K1059" s="122" t="s">
        <v>3878</v>
      </c>
      <c r="L1059" s="122" t="s">
        <v>1558</v>
      </c>
      <c r="M1059" s="133" t="s">
        <v>3874</v>
      </c>
      <c r="N1059" s="122" t="s">
        <v>30</v>
      </c>
    </row>
    <row r="1060" spans="2:14" s="9" customFormat="1" hidden="1" x14ac:dyDescent="0.25">
      <c r="B1060" s="120">
        <v>1057</v>
      </c>
      <c r="C1060" s="122">
        <v>20510069251</v>
      </c>
      <c r="D1060" s="125" t="s">
        <v>493</v>
      </c>
      <c r="E1060" s="125" t="s">
        <v>3871</v>
      </c>
      <c r="F1060" s="122" t="s">
        <v>30</v>
      </c>
      <c r="G1060" s="122" t="s">
        <v>30</v>
      </c>
      <c r="H1060" s="122" t="s">
        <v>35</v>
      </c>
      <c r="I1060" s="125" t="s">
        <v>1951</v>
      </c>
      <c r="J1060" s="129" t="s">
        <v>3875</v>
      </c>
      <c r="K1060" s="122" t="s">
        <v>3876</v>
      </c>
      <c r="L1060" s="122" t="s">
        <v>1558</v>
      </c>
      <c r="M1060" s="133" t="s">
        <v>3874</v>
      </c>
      <c r="N1060" s="122" t="s">
        <v>30</v>
      </c>
    </row>
    <row r="1061" spans="2:14" s="9" customFormat="1" hidden="1" x14ac:dyDescent="0.25">
      <c r="B1061" s="120">
        <v>1058</v>
      </c>
      <c r="C1061" s="122">
        <v>20510069251</v>
      </c>
      <c r="D1061" s="125" t="s">
        <v>493</v>
      </c>
      <c r="E1061" s="125" t="s">
        <v>3871</v>
      </c>
      <c r="F1061" s="122" t="s">
        <v>30</v>
      </c>
      <c r="G1061" s="122" t="s">
        <v>30</v>
      </c>
      <c r="H1061" s="122" t="s">
        <v>35</v>
      </c>
      <c r="I1061" s="125" t="s">
        <v>1951</v>
      </c>
      <c r="J1061" s="129" t="s">
        <v>3872</v>
      </c>
      <c r="K1061" s="122" t="s">
        <v>3873</v>
      </c>
      <c r="L1061" s="122" t="s">
        <v>42</v>
      </c>
      <c r="M1061" s="133" t="s">
        <v>3874</v>
      </c>
      <c r="N1061" s="122" t="s">
        <v>30</v>
      </c>
    </row>
    <row r="1062" spans="2:14" s="9" customFormat="1" hidden="1" x14ac:dyDescent="0.25">
      <c r="B1062" s="120">
        <v>1059</v>
      </c>
      <c r="C1062" s="122">
        <v>20471742792</v>
      </c>
      <c r="D1062" s="125" t="s">
        <v>3598</v>
      </c>
      <c r="E1062" s="125" t="s">
        <v>3867</v>
      </c>
      <c r="F1062" s="122" t="s">
        <v>30</v>
      </c>
      <c r="G1062" s="122" t="s">
        <v>30</v>
      </c>
      <c r="H1062" s="122" t="s">
        <v>30</v>
      </c>
      <c r="I1062" s="125" t="s">
        <v>1809</v>
      </c>
      <c r="J1062" s="129" t="s">
        <v>3868</v>
      </c>
      <c r="K1062" s="122" t="s">
        <v>3869</v>
      </c>
      <c r="L1062" s="122" t="s">
        <v>731</v>
      </c>
      <c r="M1062" s="133" t="s">
        <v>3870</v>
      </c>
      <c r="N1062" s="122" t="s">
        <v>30</v>
      </c>
    </row>
    <row r="1063" spans="2:14" s="9" customFormat="1" hidden="1" x14ac:dyDescent="0.25">
      <c r="B1063" s="120">
        <v>1060</v>
      </c>
      <c r="C1063" s="122">
        <v>20609320398</v>
      </c>
      <c r="D1063" s="125" t="s">
        <v>664</v>
      </c>
      <c r="E1063" s="125" t="s">
        <v>3863</v>
      </c>
      <c r="F1063" s="122" t="s">
        <v>30</v>
      </c>
      <c r="G1063" s="122" t="s">
        <v>30</v>
      </c>
      <c r="H1063" s="122" t="s">
        <v>110</v>
      </c>
      <c r="I1063" s="125" t="s">
        <v>1809</v>
      </c>
      <c r="J1063" s="129" t="s">
        <v>3864</v>
      </c>
      <c r="K1063" s="122" t="s">
        <v>3865</v>
      </c>
      <c r="L1063" s="122" t="s">
        <v>731</v>
      </c>
      <c r="M1063" s="133" t="s">
        <v>3866</v>
      </c>
      <c r="N1063" s="122" t="s">
        <v>30</v>
      </c>
    </row>
    <row r="1064" spans="2:14" s="9" customFormat="1" hidden="1" x14ac:dyDescent="0.25">
      <c r="B1064" s="120">
        <v>1061</v>
      </c>
      <c r="C1064" s="122">
        <v>20606479680</v>
      </c>
      <c r="D1064" s="125" t="s">
        <v>3529</v>
      </c>
      <c r="E1064" s="125" t="s">
        <v>3858</v>
      </c>
      <c r="F1064" s="122" t="s">
        <v>30</v>
      </c>
      <c r="G1064" s="122" t="s">
        <v>30</v>
      </c>
      <c r="H1064" s="122" t="s">
        <v>50</v>
      </c>
      <c r="I1064" s="125" t="s">
        <v>3859</v>
      </c>
      <c r="J1064" s="129" t="s">
        <v>3860</v>
      </c>
      <c r="K1064" s="122" t="s">
        <v>3861</v>
      </c>
      <c r="L1064" s="122" t="s">
        <v>42</v>
      </c>
      <c r="M1064" s="133" t="s">
        <v>3862</v>
      </c>
      <c r="N1064" s="122" t="s">
        <v>30</v>
      </c>
    </row>
    <row r="1065" spans="2:14" s="9" customFormat="1" hidden="1" x14ac:dyDescent="0.25">
      <c r="B1065" s="120">
        <v>1062</v>
      </c>
      <c r="C1065" s="122">
        <v>20604739307</v>
      </c>
      <c r="D1065" s="125" t="s">
        <v>3661</v>
      </c>
      <c r="E1065" s="125" t="s">
        <v>3854</v>
      </c>
      <c r="F1065" s="122" t="s">
        <v>30</v>
      </c>
      <c r="G1065" s="122" t="s">
        <v>30</v>
      </c>
      <c r="H1065" s="122" t="s">
        <v>60</v>
      </c>
      <c r="I1065" s="125" t="s">
        <v>1447</v>
      </c>
      <c r="J1065" s="129" t="s">
        <v>3855</v>
      </c>
      <c r="K1065" s="122" t="s">
        <v>3856</v>
      </c>
      <c r="L1065" s="122" t="s">
        <v>731</v>
      </c>
      <c r="M1065" s="133" t="s">
        <v>3857</v>
      </c>
      <c r="N1065" s="122" t="s">
        <v>30</v>
      </c>
    </row>
    <row r="1066" spans="2:14" s="9" customFormat="1" hidden="1" x14ac:dyDescent="0.25">
      <c r="B1066" s="120">
        <v>1063</v>
      </c>
      <c r="C1066" s="122">
        <v>20601338204</v>
      </c>
      <c r="D1066" s="125" t="s">
        <v>221</v>
      </c>
      <c r="E1066" s="125" t="s">
        <v>3849</v>
      </c>
      <c r="F1066" s="122" t="s">
        <v>30</v>
      </c>
      <c r="G1066" s="122" t="s">
        <v>30</v>
      </c>
      <c r="H1066" s="122" t="s">
        <v>79</v>
      </c>
      <c r="I1066" s="125" t="s">
        <v>3850</v>
      </c>
      <c r="J1066" s="129" t="s">
        <v>3851</v>
      </c>
      <c r="K1066" s="122" t="s">
        <v>3852</v>
      </c>
      <c r="L1066" s="122" t="s">
        <v>731</v>
      </c>
      <c r="M1066" s="133" t="s">
        <v>3853</v>
      </c>
      <c r="N1066" s="122" t="s">
        <v>30</v>
      </c>
    </row>
    <row r="1067" spans="2:14" s="9" customFormat="1" hidden="1" x14ac:dyDescent="0.25">
      <c r="B1067" s="120">
        <v>1064</v>
      </c>
      <c r="C1067" s="122">
        <v>20602485332</v>
      </c>
      <c r="D1067" s="125" t="s">
        <v>3660</v>
      </c>
      <c r="E1067" s="125" t="s">
        <v>3845</v>
      </c>
      <c r="F1067" s="122" t="s">
        <v>30</v>
      </c>
      <c r="G1067" s="122" t="s">
        <v>30</v>
      </c>
      <c r="H1067" s="122" t="s">
        <v>35</v>
      </c>
      <c r="I1067" s="125" t="s">
        <v>1809</v>
      </c>
      <c r="J1067" s="129" t="s">
        <v>3846</v>
      </c>
      <c r="K1067" s="122" t="s">
        <v>3847</v>
      </c>
      <c r="L1067" s="122" t="s">
        <v>209</v>
      </c>
      <c r="M1067" s="133" t="s">
        <v>3848</v>
      </c>
      <c r="N1067" s="122" t="s">
        <v>30</v>
      </c>
    </row>
    <row r="1068" spans="2:14" s="9" customFormat="1" hidden="1" x14ac:dyDescent="0.25">
      <c r="B1068" s="120">
        <v>1065</v>
      </c>
      <c r="C1068" s="122">
        <v>20430832108</v>
      </c>
      <c r="D1068" s="125" t="s">
        <v>3840</v>
      </c>
      <c r="E1068" s="125" t="s">
        <v>3841</v>
      </c>
      <c r="F1068" s="122" t="s">
        <v>67</v>
      </c>
      <c r="G1068" s="122" t="s">
        <v>67</v>
      </c>
      <c r="H1068" s="122" t="s">
        <v>153</v>
      </c>
      <c r="I1068" s="125" t="s">
        <v>1424</v>
      </c>
      <c r="J1068" s="129" t="s">
        <v>3842</v>
      </c>
      <c r="K1068" s="122" t="s">
        <v>3843</v>
      </c>
      <c r="L1068" s="122" t="s">
        <v>731</v>
      </c>
      <c r="M1068" s="133" t="s">
        <v>3844</v>
      </c>
      <c r="N1068" s="122" t="s">
        <v>30</v>
      </c>
    </row>
    <row r="1069" spans="2:14" s="9" customFormat="1" hidden="1" x14ac:dyDescent="0.25">
      <c r="B1069" s="120">
        <v>1066</v>
      </c>
      <c r="C1069" s="122">
        <v>20382775709</v>
      </c>
      <c r="D1069" s="125" t="s">
        <v>3636</v>
      </c>
      <c r="E1069" s="125" t="s">
        <v>3836</v>
      </c>
      <c r="F1069" s="122" t="s">
        <v>30</v>
      </c>
      <c r="G1069" s="122" t="s">
        <v>30</v>
      </c>
      <c r="H1069" s="122" t="s">
        <v>127</v>
      </c>
      <c r="I1069" s="125" t="s">
        <v>1365</v>
      </c>
      <c r="J1069" s="129" t="s">
        <v>3837</v>
      </c>
      <c r="K1069" s="122" t="s">
        <v>3838</v>
      </c>
      <c r="L1069" s="122" t="s">
        <v>36</v>
      </c>
      <c r="M1069" s="133" t="s">
        <v>3839</v>
      </c>
      <c r="N1069" s="122" t="s">
        <v>30</v>
      </c>
    </row>
    <row r="1070" spans="2:14" s="9" customFormat="1" hidden="1" x14ac:dyDescent="0.25">
      <c r="B1070" s="120">
        <v>1067</v>
      </c>
      <c r="C1070" s="122">
        <v>20606470054</v>
      </c>
      <c r="D1070" s="125" t="s">
        <v>1090</v>
      </c>
      <c r="E1070" s="125" t="s">
        <v>3833</v>
      </c>
      <c r="F1070" s="122" t="s">
        <v>30</v>
      </c>
      <c r="G1070" s="122" t="s">
        <v>30</v>
      </c>
      <c r="H1070" s="122" t="s">
        <v>39</v>
      </c>
      <c r="I1070" s="125" t="s">
        <v>2460</v>
      </c>
      <c r="J1070" s="129" t="s">
        <v>8476</v>
      </c>
      <c r="K1070" s="122" t="s">
        <v>3835</v>
      </c>
      <c r="L1070" s="122" t="s">
        <v>42</v>
      </c>
      <c r="M1070" s="133" t="s">
        <v>3834</v>
      </c>
      <c r="N1070" s="122" t="s">
        <v>30</v>
      </c>
    </row>
    <row r="1071" spans="2:14" s="9" customFormat="1" hidden="1" x14ac:dyDescent="0.25">
      <c r="B1071" s="120">
        <v>1068</v>
      </c>
      <c r="C1071" s="122">
        <v>20602204309</v>
      </c>
      <c r="D1071" s="125" t="s">
        <v>1093</v>
      </c>
      <c r="E1071" s="125" t="s">
        <v>1094</v>
      </c>
      <c r="F1071" s="122" t="s">
        <v>67</v>
      </c>
      <c r="G1071" s="122" t="s">
        <v>67</v>
      </c>
      <c r="H1071" s="122" t="s">
        <v>81</v>
      </c>
      <c r="I1071" s="125" t="s">
        <v>1441</v>
      </c>
      <c r="J1071" s="129" t="s">
        <v>8518</v>
      </c>
      <c r="K1071" s="122" t="s">
        <v>3832</v>
      </c>
      <c r="L1071" s="122" t="s">
        <v>731</v>
      </c>
      <c r="M1071" s="133" t="s">
        <v>3830</v>
      </c>
      <c r="N1071" s="122" t="s">
        <v>3831</v>
      </c>
    </row>
    <row r="1072" spans="2:14" s="9" customFormat="1" hidden="1" x14ac:dyDescent="0.25">
      <c r="B1072" s="120">
        <v>1069</v>
      </c>
      <c r="C1072" s="122">
        <v>20602204309</v>
      </c>
      <c r="D1072" s="125" t="s">
        <v>1093</v>
      </c>
      <c r="E1072" s="125" t="s">
        <v>1094</v>
      </c>
      <c r="F1072" s="122" t="s">
        <v>67</v>
      </c>
      <c r="G1072" s="122" t="s">
        <v>67</v>
      </c>
      <c r="H1072" s="122" t="s">
        <v>81</v>
      </c>
      <c r="I1072" s="125" t="s">
        <v>1441</v>
      </c>
      <c r="J1072" s="129" t="s">
        <v>3827</v>
      </c>
      <c r="K1072" s="122" t="s">
        <v>3828</v>
      </c>
      <c r="L1072" s="122" t="s">
        <v>3829</v>
      </c>
      <c r="M1072" s="133" t="s">
        <v>3830</v>
      </c>
      <c r="N1072" s="122" t="s">
        <v>3831</v>
      </c>
    </row>
    <row r="1073" spans="2:14" s="9" customFormat="1" hidden="1" x14ac:dyDescent="0.25">
      <c r="B1073" s="120">
        <v>1070</v>
      </c>
      <c r="C1073" s="122">
        <v>20601864399</v>
      </c>
      <c r="D1073" s="125" t="s">
        <v>3521</v>
      </c>
      <c r="E1073" s="125" t="s">
        <v>3823</v>
      </c>
      <c r="F1073" s="122" t="s">
        <v>30</v>
      </c>
      <c r="G1073" s="122" t="s">
        <v>30</v>
      </c>
      <c r="H1073" s="122" t="s">
        <v>51</v>
      </c>
      <c r="I1073" s="125" t="s">
        <v>1377</v>
      </c>
      <c r="J1073" s="129" t="s">
        <v>3824</v>
      </c>
      <c r="K1073" s="122" t="s">
        <v>3825</v>
      </c>
      <c r="L1073" s="122" t="s">
        <v>42</v>
      </c>
      <c r="M1073" s="133" t="s">
        <v>3826</v>
      </c>
      <c r="N1073" s="122" t="s">
        <v>30</v>
      </c>
    </row>
    <row r="1074" spans="2:14" s="9" customFormat="1" hidden="1" x14ac:dyDescent="0.25">
      <c r="B1074" s="120">
        <v>1071</v>
      </c>
      <c r="C1074" s="122">
        <v>20257926371</v>
      </c>
      <c r="D1074" s="125" t="s">
        <v>3626</v>
      </c>
      <c r="E1074" s="125" t="s">
        <v>3815</v>
      </c>
      <c r="F1074" s="122" t="s">
        <v>30</v>
      </c>
      <c r="G1074" s="122" t="s">
        <v>30</v>
      </c>
      <c r="H1074" s="122" t="s">
        <v>35</v>
      </c>
      <c r="I1074" s="125" t="s">
        <v>1974</v>
      </c>
      <c r="J1074" s="129" t="s">
        <v>3821</v>
      </c>
      <c r="K1074" s="122" t="s">
        <v>3822</v>
      </c>
      <c r="L1074" s="122" t="s">
        <v>731</v>
      </c>
      <c r="M1074" s="133" t="s">
        <v>3818</v>
      </c>
      <c r="N1074" s="122" t="s">
        <v>30</v>
      </c>
    </row>
    <row r="1075" spans="2:14" s="9" customFormat="1" hidden="1" x14ac:dyDescent="0.25">
      <c r="B1075" s="120">
        <v>1072</v>
      </c>
      <c r="C1075" s="122">
        <v>20257926371</v>
      </c>
      <c r="D1075" s="125" t="s">
        <v>3626</v>
      </c>
      <c r="E1075" s="125" t="s">
        <v>3815</v>
      </c>
      <c r="F1075" s="122" t="s">
        <v>30</v>
      </c>
      <c r="G1075" s="122" t="s">
        <v>30</v>
      </c>
      <c r="H1075" s="122" t="s">
        <v>35</v>
      </c>
      <c r="I1075" s="125" t="s">
        <v>1974</v>
      </c>
      <c r="J1075" s="129" t="s">
        <v>3819</v>
      </c>
      <c r="K1075" s="122" t="s">
        <v>3820</v>
      </c>
      <c r="L1075" s="122" t="s">
        <v>1558</v>
      </c>
      <c r="M1075" s="133" t="s">
        <v>3818</v>
      </c>
      <c r="N1075" s="122" t="s">
        <v>30</v>
      </c>
    </row>
    <row r="1076" spans="2:14" s="9" customFormat="1" hidden="1" x14ac:dyDescent="0.25">
      <c r="B1076" s="120">
        <v>1073</v>
      </c>
      <c r="C1076" s="122">
        <v>20257926371</v>
      </c>
      <c r="D1076" s="125" t="s">
        <v>3626</v>
      </c>
      <c r="E1076" s="125" t="s">
        <v>3815</v>
      </c>
      <c r="F1076" s="122" t="s">
        <v>30</v>
      </c>
      <c r="G1076" s="122" t="s">
        <v>30</v>
      </c>
      <c r="H1076" s="122" t="s">
        <v>35</v>
      </c>
      <c r="I1076" s="125" t="s">
        <v>1974</v>
      </c>
      <c r="J1076" s="129" t="s">
        <v>3816</v>
      </c>
      <c r="K1076" s="122" t="s">
        <v>3817</v>
      </c>
      <c r="L1076" s="122" t="s">
        <v>1558</v>
      </c>
      <c r="M1076" s="133" t="s">
        <v>3818</v>
      </c>
      <c r="N1076" s="122" t="s">
        <v>30</v>
      </c>
    </row>
    <row r="1077" spans="2:14" s="9" customFormat="1" hidden="1" x14ac:dyDescent="0.25">
      <c r="B1077" s="120">
        <v>1074</v>
      </c>
      <c r="C1077" s="122">
        <v>20384928537</v>
      </c>
      <c r="D1077" s="125" t="s">
        <v>3808</v>
      </c>
      <c r="E1077" s="125" t="s">
        <v>3809</v>
      </c>
      <c r="F1077" s="122" t="s">
        <v>30</v>
      </c>
      <c r="G1077" s="122" t="s">
        <v>30</v>
      </c>
      <c r="H1077" s="122" t="s">
        <v>86</v>
      </c>
      <c r="I1077" s="125" t="s">
        <v>1955</v>
      </c>
      <c r="J1077" s="129" t="s">
        <v>3813</v>
      </c>
      <c r="K1077" s="122" t="s">
        <v>3814</v>
      </c>
      <c r="L1077" s="122" t="s">
        <v>731</v>
      </c>
      <c r="M1077" s="133" t="s">
        <v>3812</v>
      </c>
      <c r="N1077" s="122" t="s">
        <v>30</v>
      </c>
    </row>
    <row r="1078" spans="2:14" s="9" customFormat="1" hidden="1" x14ac:dyDescent="0.25">
      <c r="B1078" s="120">
        <v>1075</v>
      </c>
      <c r="C1078" s="122">
        <v>20384928537</v>
      </c>
      <c r="D1078" s="125" t="s">
        <v>3808</v>
      </c>
      <c r="E1078" s="125" t="s">
        <v>3809</v>
      </c>
      <c r="F1078" s="122" t="s">
        <v>30</v>
      </c>
      <c r="G1078" s="122" t="s">
        <v>30</v>
      </c>
      <c r="H1078" s="122" t="s">
        <v>86</v>
      </c>
      <c r="I1078" s="125" t="s">
        <v>1955</v>
      </c>
      <c r="J1078" s="129" t="s">
        <v>3810</v>
      </c>
      <c r="K1078" s="122" t="s">
        <v>3811</v>
      </c>
      <c r="L1078" s="122" t="s">
        <v>2030</v>
      </c>
      <c r="M1078" s="133" t="s">
        <v>3812</v>
      </c>
      <c r="N1078" s="122" t="s">
        <v>30</v>
      </c>
    </row>
    <row r="1079" spans="2:14" s="9" customFormat="1" hidden="1" x14ac:dyDescent="0.25">
      <c r="B1079" s="120">
        <v>1076</v>
      </c>
      <c r="C1079" s="122">
        <v>20265815830</v>
      </c>
      <c r="D1079" s="125" t="s">
        <v>1076</v>
      </c>
      <c r="E1079" s="125" t="s">
        <v>3803</v>
      </c>
      <c r="F1079" s="122" t="s">
        <v>30</v>
      </c>
      <c r="G1079" s="122" t="s">
        <v>30</v>
      </c>
      <c r="H1079" s="122" t="s">
        <v>86</v>
      </c>
      <c r="I1079" s="125" t="s">
        <v>2408</v>
      </c>
      <c r="J1079" s="129" t="s">
        <v>8324</v>
      </c>
      <c r="K1079" s="122" t="s">
        <v>3807</v>
      </c>
      <c r="L1079" s="122" t="s">
        <v>731</v>
      </c>
      <c r="M1079" s="133" t="s">
        <v>3805</v>
      </c>
      <c r="N1079" s="122" t="s">
        <v>30</v>
      </c>
    </row>
    <row r="1080" spans="2:14" s="9" customFormat="1" hidden="1" x14ac:dyDescent="0.25">
      <c r="B1080" s="120">
        <v>1077</v>
      </c>
      <c r="C1080" s="122">
        <v>20265815830</v>
      </c>
      <c r="D1080" s="125" t="s">
        <v>1076</v>
      </c>
      <c r="E1080" s="125" t="s">
        <v>3803</v>
      </c>
      <c r="F1080" s="122" t="s">
        <v>30</v>
      </c>
      <c r="G1080" s="122" t="s">
        <v>30</v>
      </c>
      <c r="H1080" s="122" t="s">
        <v>86</v>
      </c>
      <c r="I1080" s="125" t="s">
        <v>2408</v>
      </c>
      <c r="J1080" s="129" t="s">
        <v>8323</v>
      </c>
      <c r="K1080" s="122" t="s">
        <v>3806</v>
      </c>
      <c r="L1080" s="122" t="s">
        <v>1558</v>
      </c>
      <c r="M1080" s="133" t="s">
        <v>3805</v>
      </c>
      <c r="N1080" s="122" t="s">
        <v>30</v>
      </c>
    </row>
    <row r="1081" spans="2:14" s="9" customFormat="1" hidden="1" x14ac:dyDescent="0.25">
      <c r="B1081" s="120">
        <v>1078</v>
      </c>
      <c r="C1081" s="122">
        <v>20265815830</v>
      </c>
      <c r="D1081" s="125" t="s">
        <v>1076</v>
      </c>
      <c r="E1081" s="125" t="s">
        <v>3803</v>
      </c>
      <c r="F1081" s="122" t="s">
        <v>30</v>
      </c>
      <c r="G1081" s="122" t="s">
        <v>30</v>
      </c>
      <c r="H1081" s="122" t="s">
        <v>86</v>
      </c>
      <c r="I1081" s="125" t="s">
        <v>2408</v>
      </c>
      <c r="J1081" s="129" t="s">
        <v>3804</v>
      </c>
      <c r="K1081" s="122" t="s">
        <v>8322</v>
      </c>
      <c r="L1081" s="122" t="s">
        <v>1558</v>
      </c>
      <c r="M1081" s="133" t="s">
        <v>3805</v>
      </c>
      <c r="N1081" s="122" t="s">
        <v>30</v>
      </c>
    </row>
    <row r="1082" spans="2:14" s="9" customFormat="1" hidden="1" x14ac:dyDescent="0.25">
      <c r="B1082" s="120">
        <v>1079</v>
      </c>
      <c r="C1082" s="122">
        <v>20602846351</v>
      </c>
      <c r="D1082" s="125" t="s">
        <v>665</v>
      </c>
      <c r="E1082" s="125" t="s">
        <v>3798</v>
      </c>
      <c r="F1082" s="122" t="s">
        <v>30</v>
      </c>
      <c r="G1082" s="122" t="s">
        <v>30</v>
      </c>
      <c r="H1082" s="122" t="s">
        <v>30</v>
      </c>
      <c r="I1082" s="125" t="s">
        <v>1643</v>
      </c>
      <c r="J1082" s="129" t="s">
        <v>3799</v>
      </c>
      <c r="K1082" s="122" t="s">
        <v>3800</v>
      </c>
      <c r="L1082" s="122" t="s">
        <v>731</v>
      </c>
      <c r="M1082" s="133" t="s">
        <v>3801</v>
      </c>
      <c r="N1082" s="122" t="s">
        <v>3802</v>
      </c>
    </row>
    <row r="1083" spans="2:14" s="9" customFormat="1" hidden="1" x14ac:dyDescent="0.25">
      <c r="B1083" s="120">
        <v>1080</v>
      </c>
      <c r="C1083" s="122">
        <v>20503302650</v>
      </c>
      <c r="D1083" s="125" t="s">
        <v>686</v>
      </c>
      <c r="E1083" s="125" t="s">
        <v>3792</v>
      </c>
      <c r="F1083" s="122" t="s">
        <v>30</v>
      </c>
      <c r="G1083" s="122" t="s">
        <v>30</v>
      </c>
      <c r="H1083" s="122" t="s">
        <v>30</v>
      </c>
      <c r="I1083" s="125" t="s">
        <v>1377</v>
      </c>
      <c r="J1083" s="129" t="s">
        <v>3793</v>
      </c>
      <c r="K1083" s="122" t="s">
        <v>3794</v>
      </c>
      <c r="L1083" s="122" t="s">
        <v>3705</v>
      </c>
      <c r="M1083" s="133" t="s">
        <v>3795</v>
      </c>
      <c r="N1083" s="122" t="s">
        <v>30</v>
      </c>
    </row>
    <row r="1084" spans="2:14" s="9" customFormat="1" hidden="1" x14ac:dyDescent="0.25">
      <c r="B1084" s="120">
        <v>1081</v>
      </c>
      <c r="C1084" s="122">
        <v>20601043344</v>
      </c>
      <c r="D1084" s="125" t="s">
        <v>3573</v>
      </c>
      <c r="E1084" s="125" t="s">
        <v>3789</v>
      </c>
      <c r="F1084" s="122" t="s">
        <v>30</v>
      </c>
      <c r="G1084" s="122" t="s">
        <v>30</v>
      </c>
      <c r="H1084" s="122" t="s">
        <v>30</v>
      </c>
      <c r="I1084" s="125" t="s">
        <v>1982</v>
      </c>
      <c r="J1084" s="129" t="s">
        <v>8317</v>
      </c>
      <c r="K1084" s="122" t="s">
        <v>3790</v>
      </c>
      <c r="L1084" s="122" t="s">
        <v>42</v>
      </c>
      <c r="M1084" s="133" t="s">
        <v>3791</v>
      </c>
      <c r="N1084" s="122" t="s">
        <v>30</v>
      </c>
    </row>
    <row r="1085" spans="2:14" s="9" customFormat="1" hidden="1" x14ac:dyDescent="0.25">
      <c r="B1085" s="120">
        <v>1082</v>
      </c>
      <c r="C1085" s="122">
        <v>20600273061</v>
      </c>
      <c r="D1085" s="125" t="s">
        <v>1103</v>
      </c>
      <c r="E1085" s="125" t="s">
        <v>3785</v>
      </c>
      <c r="F1085" s="122" t="s">
        <v>30</v>
      </c>
      <c r="G1085" s="122" t="s">
        <v>30</v>
      </c>
      <c r="H1085" s="122" t="s">
        <v>58</v>
      </c>
      <c r="I1085" s="125" t="s">
        <v>1371</v>
      </c>
      <c r="J1085" s="129" t="s">
        <v>3786</v>
      </c>
      <c r="K1085" s="122" t="s">
        <v>3787</v>
      </c>
      <c r="L1085" s="122" t="s">
        <v>731</v>
      </c>
      <c r="M1085" s="133" t="s">
        <v>3788</v>
      </c>
      <c r="N1085" s="122" t="s">
        <v>30</v>
      </c>
    </row>
    <row r="1086" spans="2:14" s="9" customFormat="1" hidden="1" x14ac:dyDescent="0.25">
      <c r="B1086" s="120">
        <v>1083</v>
      </c>
      <c r="C1086" s="122">
        <v>20100152941</v>
      </c>
      <c r="D1086" s="125" t="s">
        <v>676</v>
      </c>
      <c r="E1086" s="125" t="s">
        <v>3778</v>
      </c>
      <c r="F1086" s="122" t="s">
        <v>30</v>
      </c>
      <c r="G1086" s="122" t="s">
        <v>30</v>
      </c>
      <c r="H1086" s="122" t="s">
        <v>86</v>
      </c>
      <c r="I1086" s="125" t="s">
        <v>1966</v>
      </c>
      <c r="J1086" s="129" t="s">
        <v>8312</v>
      </c>
      <c r="K1086" s="122" t="s">
        <v>8313</v>
      </c>
      <c r="L1086" s="122" t="s">
        <v>731</v>
      </c>
      <c r="M1086" s="133" t="s">
        <v>845</v>
      </c>
      <c r="N1086" s="122" t="s">
        <v>845</v>
      </c>
    </row>
    <row r="1087" spans="2:14" s="9" customFormat="1" hidden="1" x14ac:dyDescent="0.25">
      <c r="B1087" s="120">
        <v>1084</v>
      </c>
      <c r="C1087" s="122">
        <v>20100152941</v>
      </c>
      <c r="D1087" s="125" t="s">
        <v>676</v>
      </c>
      <c r="E1087" s="125" t="s">
        <v>3778</v>
      </c>
      <c r="F1087" s="122" t="s">
        <v>30</v>
      </c>
      <c r="G1087" s="122" t="s">
        <v>30</v>
      </c>
      <c r="H1087" s="122" t="s">
        <v>86</v>
      </c>
      <c r="I1087" s="125" t="s">
        <v>1966</v>
      </c>
      <c r="J1087" s="129" t="s">
        <v>8310</v>
      </c>
      <c r="K1087" s="122" t="s">
        <v>8311</v>
      </c>
      <c r="L1087" s="122" t="s">
        <v>36</v>
      </c>
      <c r="M1087" s="133" t="s">
        <v>845</v>
      </c>
      <c r="N1087" s="122" t="s">
        <v>845</v>
      </c>
    </row>
    <row r="1088" spans="2:14" s="9" customFormat="1" hidden="1" x14ac:dyDescent="0.25">
      <c r="B1088" s="120">
        <v>1085</v>
      </c>
      <c r="C1088" s="122">
        <v>20100152941</v>
      </c>
      <c r="D1088" s="125" t="s">
        <v>676</v>
      </c>
      <c r="E1088" s="125" t="s">
        <v>3778</v>
      </c>
      <c r="F1088" s="122" t="s">
        <v>30</v>
      </c>
      <c r="G1088" s="122" t="s">
        <v>30</v>
      </c>
      <c r="H1088" s="122" t="s">
        <v>86</v>
      </c>
      <c r="I1088" s="125" t="s">
        <v>1966</v>
      </c>
      <c r="J1088" s="129" t="s">
        <v>8308</v>
      </c>
      <c r="K1088" s="122" t="s">
        <v>8309</v>
      </c>
      <c r="L1088" s="122" t="s">
        <v>209</v>
      </c>
      <c r="M1088" s="133" t="s">
        <v>845</v>
      </c>
      <c r="N1088" s="122" t="s">
        <v>845</v>
      </c>
    </row>
    <row r="1089" spans="2:14" s="9" customFormat="1" hidden="1" x14ac:dyDescent="0.25">
      <c r="B1089" s="120">
        <v>1086</v>
      </c>
      <c r="C1089" s="122">
        <v>20100152941</v>
      </c>
      <c r="D1089" s="125" t="s">
        <v>676</v>
      </c>
      <c r="E1089" s="125" t="s">
        <v>3778</v>
      </c>
      <c r="F1089" s="122" t="s">
        <v>30</v>
      </c>
      <c r="G1089" s="122" t="s">
        <v>30</v>
      </c>
      <c r="H1089" s="122" t="s">
        <v>86</v>
      </c>
      <c r="I1089" s="125" t="s">
        <v>1966</v>
      </c>
      <c r="J1089" s="129" t="s">
        <v>3783</v>
      </c>
      <c r="K1089" s="122" t="s">
        <v>3784</v>
      </c>
      <c r="L1089" s="122" t="s">
        <v>209</v>
      </c>
      <c r="M1089" s="133" t="s">
        <v>845</v>
      </c>
      <c r="N1089" s="122" t="s">
        <v>845</v>
      </c>
    </row>
    <row r="1090" spans="2:14" s="9" customFormat="1" hidden="1" x14ac:dyDescent="0.25">
      <c r="B1090" s="120">
        <v>1087</v>
      </c>
      <c r="C1090" s="122">
        <v>20100152941</v>
      </c>
      <c r="D1090" s="125" t="s">
        <v>676</v>
      </c>
      <c r="E1090" s="125" t="s">
        <v>3778</v>
      </c>
      <c r="F1090" s="122" t="s">
        <v>30</v>
      </c>
      <c r="G1090" s="122" t="s">
        <v>30</v>
      </c>
      <c r="H1090" s="122" t="s">
        <v>86</v>
      </c>
      <c r="I1090" s="125" t="s">
        <v>1966</v>
      </c>
      <c r="J1090" s="129" t="s">
        <v>3781</v>
      </c>
      <c r="K1090" s="122" t="s">
        <v>3782</v>
      </c>
      <c r="L1090" s="122" t="s">
        <v>209</v>
      </c>
      <c r="M1090" s="133" t="s">
        <v>845</v>
      </c>
      <c r="N1090" s="122" t="s">
        <v>845</v>
      </c>
    </row>
    <row r="1091" spans="2:14" s="9" customFormat="1" hidden="1" x14ac:dyDescent="0.25">
      <c r="B1091" s="120">
        <v>1088</v>
      </c>
      <c r="C1091" s="122">
        <v>20100152941</v>
      </c>
      <c r="D1091" s="125" t="s">
        <v>676</v>
      </c>
      <c r="E1091" s="125" t="s">
        <v>3778</v>
      </c>
      <c r="F1091" s="122" t="s">
        <v>30</v>
      </c>
      <c r="G1091" s="122" t="s">
        <v>30</v>
      </c>
      <c r="H1091" s="122" t="s">
        <v>86</v>
      </c>
      <c r="I1091" s="125" t="s">
        <v>1966</v>
      </c>
      <c r="J1091" s="129" t="s">
        <v>3779</v>
      </c>
      <c r="K1091" s="122" t="s">
        <v>3780</v>
      </c>
      <c r="L1091" s="122" t="s">
        <v>209</v>
      </c>
      <c r="M1091" s="133" t="s">
        <v>845</v>
      </c>
      <c r="N1091" s="122" t="s">
        <v>845</v>
      </c>
    </row>
    <row r="1092" spans="2:14" s="9" customFormat="1" hidden="1" x14ac:dyDescent="0.25">
      <c r="B1092" s="120">
        <v>1089</v>
      </c>
      <c r="C1092" s="122">
        <v>20557536524</v>
      </c>
      <c r="D1092" s="125" t="s">
        <v>3647</v>
      </c>
      <c r="E1092" s="125" t="s">
        <v>3648</v>
      </c>
      <c r="F1092" s="122" t="s">
        <v>30</v>
      </c>
      <c r="G1092" s="122" t="s">
        <v>30</v>
      </c>
      <c r="H1092" s="122" t="s">
        <v>35</v>
      </c>
      <c r="I1092" s="125" t="s">
        <v>2803</v>
      </c>
      <c r="J1092" s="129" t="s">
        <v>3775</v>
      </c>
      <c r="K1092" s="122" t="s">
        <v>3776</v>
      </c>
      <c r="L1092" s="122" t="s">
        <v>1577</v>
      </c>
      <c r="M1092" s="133" t="s">
        <v>3777</v>
      </c>
      <c r="N1092" s="122" t="s">
        <v>30</v>
      </c>
    </row>
    <row r="1093" spans="2:14" s="9" customFormat="1" hidden="1" x14ac:dyDescent="0.25">
      <c r="B1093" s="120">
        <v>1090</v>
      </c>
      <c r="C1093" s="122">
        <v>20342848908</v>
      </c>
      <c r="D1093" s="125" t="s">
        <v>594</v>
      </c>
      <c r="E1093" s="125" t="s">
        <v>3772</v>
      </c>
      <c r="F1093" s="122" t="s">
        <v>30</v>
      </c>
      <c r="G1093" s="122" t="s">
        <v>30</v>
      </c>
      <c r="H1093" s="122" t="s">
        <v>72</v>
      </c>
      <c r="I1093" s="125" t="s">
        <v>1398</v>
      </c>
      <c r="J1093" s="129" t="s">
        <v>8325</v>
      </c>
      <c r="K1093" s="122" t="s">
        <v>3773</v>
      </c>
      <c r="L1093" s="122" t="s">
        <v>1712</v>
      </c>
      <c r="M1093" s="133" t="s">
        <v>3774</v>
      </c>
      <c r="N1093" s="122" t="s">
        <v>30</v>
      </c>
    </row>
    <row r="1094" spans="2:14" s="9" customFormat="1" hidden="1" x14ac:dyDescent="0.25">
      <c r="B1094" s="120">
        <v>1091</v>
      </c>
      <c r="C1094" s="122">
        <v>20553142254</v>
      </c>
      <c r="D1094" s="125" t="s">
        <v>3512</v>
      </c>
      <c r="E1094" s="125" t="s">
        <v>3767</v>
      </c>
      <c r="F1094" s="122" t="s">
        <v>67</v>
      </c>
      <c r="G1094" s="122" t="s">
        <v>67</v>
      </c>
      <c r="H1094" s="122" t="s">
        <v>153</v>
      </c>
      <c r="I1094" s="125" t="s">
        <v>1398</v>
      </c>
      <c r="J1094" s="129" t="s">
        <v>8326</v>
      </c>
      <c r="K1094" s="122" t="s">
        <v>3771</v>
      </c>
      <c r="L1094" s="122" t="s">
        <v>209</v>
      </c>
      <c r="M1094" s="133" t="s">
        <v>3770</v>
      </c>
      <c r="N1094" s="122" t="s">
        <v>67</v>
      </c>
    </row>
    <row r="1095" spans="2:14" s="9" customFormat="1" hidden="1" x14ac:dyDescent="0.25">
      <c r="B1095" s="120">
        <v>1092</v>
      </c>
      <c r="C1095" s="122">
        <v>20553142254</v>
      </c>
      <c r="D1095" s="125" t="s">
        <v>3512</v>
      </c>
      <c r="E1095" s="125" t="s">
        <v>3767</v>
      </c>
      <c r="F1095" s="122" t="s">
        <v>67</v>
      </c>
      <c r="G1095" s="122" t="s">
        <v>67</v>
      </c>
      <c r="H1095" s="122" t="s">
        <v>153</v>
      </c>
      <c r="I1095" s="125" t="s">
        <v>1398</v>
      </c>
      <c r="J1095" s="129" t="s">
        <v>3768</v>
      </c>
      <c r="K1095" s="122" t="s">
        <v>3769</v>
      </c>
      <c r="L1095" s="122" t="s">
        <v>731</v>
      </c>
      <c r="M1095" s="133" t="s">
        <v>3770</v>
      </c>
      <c r="N1095" s="122" t="s">
        <v>67</v>
      </c>
    </row>
    <row r="1096" spans="2:14" s="9" customFormat="1" hidden="1" x14ac:dyDescent="0.25">
      <c r="B1096" s="120">
        <v>1093</v>
      </c>
      <c r="C1096" s="122">
        <v>20600493974</v>
      </c>
      <c r="D1096" s="125" t="s">
        <v>631</v>
      </c>
      <c r="E1096" s="125" t="s">
        <v>3763</v>
      </c>
      <c r="F1096" s="122" t="s">
        <v>30</v>
      </c>
      <c r="G1096" s="122" t="s">
        <v>30</v>
      </c>
      <c r="H1096" s="122" t="s">
        <v>50</v>
      </c>
      <c r="I1096" s="125" t="s">
        <v>1395</v>
      </c>
      <c r="J1096" s="129" t="s">
        <v>3764</v>
      </c>
      <c r="K1096" s="122" t="s">
        <v>3765</v>
      </c>
      <c r="L1096" s="122" t="s">
        <v>731</v>
      </c>
      <c r="M1096" s="133" t="s">
        <v>3766</v>
      </c>
      <c r="N1096" s="122" t="s">
        <v>30</v>
      </c>
    </row>
    <row r="1097" spans="2:14" s="9" customFormat="1" hidden="1" x14ac:dyDescent="0.25">
      <c r="B1097" s="120">
        <v>1094</v>
      </c>
      <c r="C1097" s="122">
        <v>20545046084</v>
      </c>
      <c r="D1097" s="125" t="s">
        <v>3509</v>
      </c>
      <c r="E1097" s="125" t="s">
        <v>3760</v>
      </c>
      <c r="F1097" s="122" t="s">
        <v>30</v>
      </c>
      <c r="G1097" s="122" t="s">
        <v>48</v>
      </c>
      <c r="H1097" s="122" t="s">
        <v>155</v>
      </c>
      <c r="I1097" s="125" t="s">
        <v>1561</v>
      </c>
      <c r="J1097" s="129" t="s">
        <v>3761</v>
      </c>
      <c r="K1097" s="122" t="s">
        <v>3762</v>
      </c>
      <c r="L1097" s="122" t="s">
        <v>731</v>
      </c>
      <c r="M1097" s="133" t="s">
        <v>845</v>
      </c>
      <c r="N1097" s="122" t="s">
        <v>845</v>
      </c>
    </row>
    <row r="1098" spans="2:14" s="9" customFormat="1" hidden="1" x14ac:dyDescent="0.25">
      <c r="B1098" s="120">
        <v>1095</v>
      </c>
      <c r="C1098" s="122">
        <v>20548295310</v>
      </c>
      <c r="D1098" s="125" t="s">
        <v>3638</v>
      </c>
      <c r="E1098" s="125" t="s">
        <v>3756</v>
      </c>
      <c r="F1098" s="122" t="s">
        <v>30</v>
      </c>
      <c r="G1098" s="122" t="s">
        <v>30</v>
      </c>
      <c r="H1098" s="122" t="s">
        <v>47</v>
      </c>
      <c r="I1098" s="125" t="s">
        <v>1957</v>
      </c>
      <c r="J1098" s="129" t="s">
        <v>3757</v>
      </c>
      <c r="K1098" s="122" t="s">
        <v>3758</v>
      </c>
      <c r="L1098" s="122" t="s">
        <v>731</v>
      </c>
      <c r="M1098" s="133" t="s">
        <v>3759</v>
      </c>
      <c r="N1098" s="122" t="s">
        <v>30</v>
      </c>
    </row>
    <row r="1099" spans="2:14" s="9" customFormat="1" hidden="1" x14ac:dyDescent="0.25">
      <c r="B1099" s="120">
        <v>1096</v>
      </c>
      <c r="C1099" s="122">
        <v>20393333171</v>
      </c>
      <c r="D1099" s="125" t="s">
        <v>3748</v>
      </c>
      <c r="E1099" s="125" t="s">
        <v>3749</v>
      </c>
      <c r="F1099" s="122" t="s">
        <v>67</v>
      </c>
      <c r="G1099" s="122" t="s">
        <v>67</v>
      </c>
      <c r="H1099" s="122" t="s">
        <v>67</v>
      </c>
      <c r="I1099" s="125" t="s">
        <v>3750</v>
      </c>
      <c r="J1099" s="129" t="s">
        <v>3754</v>
      </c>
      <c r="K1099" s="122" t="s">
        <v>3755</v>
      </c>
      <c r="L1099" s="122" t="s">
        <v>36</v>
      </c>
      <c r="M1099" s="133" t="s">
        <v>3753</v>
      </c>
      <c r="N1099" s="122" t="s">
        <v>30</v>
      </c>
    </row>
    <row r="1100" spans="2:14" s="9" customFormat="1" hidden="1" x14ac:dyDescent="0.25">
      <c r="B1100" s="120">
        <v>1097</v>
      </c>
      <c r="C1100" s="122">
        <v>20393333171</v>
      </c>
      <c r="D1100" s="125" t="s">
        <v>3748</v>
      </c>
      <c r="E1100" s="125" t="s">
        <v>3749</v>
      </c>
      <c r="F1100" s="122" t="s">
        <v>67</v>
      </c>
      <c r="G1100" s="122" t="s">
        <v>67</v>
      </c>
      <c r="H1100" s="122" t="s">
        <v>67</v>
      </c>
      <c r="I1100" s="125" t="s">
        <v>3750</v>
      </c>
      <c r="J1100" s="129" t="s">
        <v>3751</v>
      </c>
      <c r="K1100" s="122" t="s">
        <v>3752</v>
      </c>
      <c r="L1100" s="122" t="s">
        <v>42</v>
      </c>
      <c r="M1100" s="133" t="s">
        <v>3753</v>
      </c>
      <c r="N1100" s="122" t="s">
        <v>30</v>
      </c>
    </row>
    <row r="1101" spans="2:14" s="9" customFormat="1" hidden="1" x14ac:dyDescent="0.25">
      <c r="B1101" s="120">
        <v>1098</v>
      </c>
      <c r="C1101" s="122">
        <v>20477935304</v>
      </c>
      <c r="D1101" s="125" t="s">
        <v>638</v>
      </c>
      <c r="E1101" s="125" t="s">
        <v>3745</v>
      </c>
      <c r="F1101" s="122" t="s">
        <v>30</v>
      </c>
      <c r="G1101" s="122" t="s">
        <v>30</v>
      </c>
      <c r="H1101" s="122" t="s">
        <v>51</v>
      </c>
      <c r="I1101" s="125" t="s">
        <v>1447</v>
      </c>
      <c r="J1101" s="129" t="s">
        <v>8214</v>
      </c>
      <c r="K1101" s="122" t="s">
        <v>3746</v>
      </c>
      <c r="L1101" s="122" t="s">
        <v>42</v>
      </c>
      <c r="M1101" s="133" t="s">
        <v>3747</v>
      </c>
      <c r="N1101" s="122" t="s">
        <v>30</v>
      </c>
    </row>
    <row r="1102" spans="2:14" s="9" customFormat="1" hidden="1" x14ac:dyDescent="0.25">
      <c r="B1102" s="120">
        <v>1099</v>
      </c>
      <c r="C1102" s="122">
        <v>20601324505</v>
      </c>
      <c r="D1102" s="125" t="s">
        <v>3671</v>
      </c>
      <c r="E1102" s="125" t="s">
        <v>3742</v>
      </c>
      <c r="F1102" s="122" t="s">
        <v>30</v>
      </c>
      <c r="G1102" s="122" t="s">
        <v>30</v>
      </c>
      <c r="H1102" s="122" t="s">
        <v>52</v>
      </c>
      <c r="I1102" s="125" t="s">
        <v>1424</v>
      </c>
      <c r="J1102" s="129" t="s">
        <v>8265</v>
      </c>
      <c r="K1102" s="122" t="s">
        <v>3744</v>
      </c>
      <c r="L1102" s="122" t="s">
        <v>42</v>
      </c>
      <c r="M1102" s="133" t="s">
        <v>3743</v>
      </c>
      <c r="N1102" s="122" t="s">
        <v>30</v>
      </c>
    </row>
    <row r="1103" spans="2:14" s="9" customFormat="1" hidden="1" x14ac:dyDescent="0.25">
      <c r="B1103" s="120">
        <v>1100</v>
      </c>
      <c r="C1103" s="122">
        <v>20601324505</v>
      </c>
      <c r="D1103" s="125" t="s">
        <v>3671</v>
      </c>
      <c r="E1103" s="125" t="s">
        <v>3742</v>
      </c>
      <c r="F1103" s="122" t="s">
        <v>30</v>
      </c>
      <c r="G1103" s="122" t="s">
        <v>30</v>
      </c>
      <c r="H1103" s="122" t="s">
        <v>52</v>
      </c>
      <c r="I1103" s="125" t="s">
        <v>1424</v>
      </c>
      <c r="J1103" s="129" t="s">
        <v>8266</v>
      </c>
      <c r="K1103" s="122" t="s">
        <v>8267</v>
      </c>
      <c r="L1103" s="122" t="s">
        <v>76</v>
      </c>
      <c r="M1103" s="133" t="s">
        <v>3743</v>
      </c>
      <c r="N1103" s="122" t="s">
        <v>30</v>
      </c>
    </row>
    <row r="1104" spans="2:14" s="9" customFormat="1" hidden="1" x14ac:dyDescent="0.25">
      <c r="B1104" s="120">
        <v>1101</v>
      </c>
      <c r="C1104" s="122">
        <v>20517738701</v>
      </c>
      <c r="D1104" s="125" t="s">
        <v>3498</v>
      </c>
      <c r="E1104" s="125" t="s">
        <v>3733</v>
      </c>
      <c r="F1104" s="122" t="s">
        <v>30</v>
      </c>
      <c r="G1104" s="122" t="s">
        <v>30</v>
      </c>
      <c r="H1104" s="122" t="s">
        <v>88</v>
      </c>
      <c r="I1104" s="125" t="s">
        <v>3734</v>
      </c>
      <c r="J1104" s="129" t="s">
        <v>3740</v>
      </c>
      <c r="K1104" s="122" t="s">
        <v>3741</v>
      </c>
      <c r="L1104" s="122" t="s">
        <v>209</v>
      </c>
      <c r="M1104" s="133" t="s">
        <v>3737</v>
      </c>
      <c r="N1104" s="122" t="s">
        <v>30</v>
      </c>
    </row>
    <row r="1105" spans="2:14" s="9" customFormat="1" hidden="1" x14ac:dyDescent="0.25">
      <c r="B1105" s="120">
        <v>1102</v>
      </c>
      <c r="C1105" s="122">
        <v>20517738701</v>
      </c>
      <c r="D1105" s="125" t="s">
        <v>3498</v>
      </c>
      <c r="E1105" s="125" t="s">
        <v>3733</v>
      </c>
      <c r="F1105" s="122" t="s">
        <v>30</v>
      </c>
      <c r="G1105" s="122" t="s">
        <v>30</v>
      </c>
      <c r="H1105" s="122" t="s">
        <v>88</v>
      </c>
      <c r="I1105" s="125" t="s">
        <v>3734</v>
      </c>
      <c r="J1105" s="129" t="s">
        <v>3738</v>
      </c>
      <c r="K1105" s="122" t="s">
        <v>3739</v>
      </c>
      <c r="L1105" s="122" t="s">
        <v>209</v>
      </c>
      <c r="M1105" s="133" t="s">
        <v>3737</v>
      </c>
      <c r="N1105" s="122" t="s">
        <v>30</v>
      </c>
    </row>
    <row r="1106" spans="2:14" s="9" customFormat="1" hidden="1" x14ac:dyDescent="0.25">
      <c r="B1106" s="120">
        <v>1103</v>
      </c>
      <c r="C1106" s="122">
        <v>20517738701</v>
      </c>
      <c r="D1106" s="125" t="s">
        <v>3498</v>
      </c>
      <c r="E1106" s="125" t="s">
        <v>3733</v>
      </c>
      <c r="F1106" s="122" t="s">
        <v>30</v>
      </c>
      <c r="G1106" s="122" t="s">
        <v>30</v>
      </c>
      <c r="H1106" s="122" t="s">
        <v>88</v>
      </c>
      <c r="I1106" s="125" t="s">
        <v>3734</v>
      </c>
      <c r="J1106" s="129" t="s">
        <v>3735</v>
      </c>
      <c r="K1106" s="122" t="s">
        <v>3736</v>
      </c>
      <c r="L1106" s="122" t="s">
        <v>731</v>
      </c>
      <c r="M1106" s="133" t="s">
        <v>3737</v>
      </c>
      <c r="N1106" s="122" t="s">
        <v>30</v>
      </c>
    </row>
    <row r="1107" spans="2:14" s="9" customFormat="1" hidden="1" x14ac:dyDescent="0.25">
      <c r="B1107" s="120">
        <v>1104</v>
      </c>
      <c r="C1107" s="122">
        <v>20538335861</v>
      </c>
      <c r="D1107" s="125" t="s">
        <v>553</v>
      </c>
      <c r="E1107" s="125" t="s">
        <v>3729</v>
      </c>
      <c r="F1107" s="122" t="s">
        <v>67</v>
      </c>
      <c r="G1107" s="122" t="s">
        <v>67</v>
      </c>
      <c r="H1107" s="122" t="s">
        <v>67</v>
      </c>
      <c r="I1107" s="125" t="s">
        <v>1412</v>
      </c>
      <c r="J1107" s="129" t="s">
        <v>3730</v>
      </c>
      <c r="K1107" s="122" t="s">
        <v>3731</v>
      </c>
      <c r="L1107" s="122" t="s">
        <v>42</v>
      </c>
      <c r="M1107" s="133" t="s">
        <v>3732</v>
      </c>
      <c r="N1107" s="122" t="s">
        <v>30</v>
      </c>
    </row>
    <row r="1108" spans="2:14" s="9" customFormat="1" hidden="1" x14ac:dyDescent="0.25">
      <c r="B1108" s="120">
        <v>1105</v>
      </c>
      <c r="C1108" s="122">
        <v>20600653262</v>
      </c>
      <c r="D1108" s="125" t="s">
        <v>509</v>
      </c>
      <c r="E1108" s="125" t="s">
        <v>3726</v>
      </c>
      <c r="F1108" s="122" t="s">
        <v>30</v>
      </c>
      <c r="G1108" s="122" t="s">
        <v>30</v>
      </c>
      <c r="H1108" s="122" t="s">
        <v>74</v>
      </c>
      <c r="I1108" s="125" t="s">
        <v>1394</v>
      </c>
      <c r="J1108" s="129" t="s">
        <v>8196</v>
      </c>
      <c r="K1108" s="122" t="s">
        <v>3727</v>
      </c>
      <c r="L1108" s="122" t="s">
        <v>42</v>
      </c>
      <c r="M1108" s="133" t="s">
        <v>3728</v>
      </c>
      <c r="N1108" s="122" t="s">
        <v>30</v>
      </c>
    </row>
    <row r="1109" spans="2:14" s="9" customFormat="1" hidden="1" x14ac:dyDescent="0.25">
      <c r="B1109" s="120">
        <v>1106</v>
      </c>
      <c r="C1109" s="122">
        <v>20520775596</v>
      </c>
      <c r="D1109" s="125" t="s">
        <v>3670</v>
      </c>
      <c r="E1109" s="125" t="s">
        <v>3722</v>
      </c>
      <c r="F1109" s="122" t="s">
        <v>30</v>
      </c>
      <c r="G1109" s="122" t="s">
        <v>30</v>
      </c>
      <c r="H1109" s="122" t="s">
        <v>51</v>
      </c>
      <c r="I1109" s="125" t="s">
        <v>3723</v>
      </c>
      <c r="J1109" s="129" t="s">
        <v>8287</v>
      </c>
      <c r="K1109" s="122" t="s">
        <v>3724</v>
      </c>
      <c r="L1109" s="122" t="s">
        <v>42</v>
      </c>
      <c r="M1109" s="133" t="s">
        <v>3725</v>
      </c>
      <c r="N1109" s="122" t="s">
        <v>30</v>
      </c>
    </row>
    <row r="1110" spans="2:14" s="9" customFormat="1" hidden="1" x14ac:dyDescent="0.25">
      <c r="B1110" s="120">
        <v>1107</v>
      </c>
      <c r="C1110" s="122">
        <v>20348133889</v>
      </c>
      <c r="D1110" s="125" t="s">
        <v>671</v>
      </c>
      <c r="E1110" s="125" t="s">
        <v>3713</v>
      </c>
      <c r="F1110" s="122" t="s">
        <v>30</v>
      </c>
      <c r="G1110" s="122" t="s">
        <v>30</v>
      </c>
      <c r="H1110" s="122" t="s">
        <v>51</v>
      </c>
      <c r="I1110" s="125" t="s">
        <v>1767</v>
      </c>
      <c r="J1110" s="129" t="s">
        <v>8296</v>
      </c>
      <c r="K1110" s="122" t="s">
        <v>3721</v>
      </c>
      <c r="L1110" s="122" t="s">
        <v>1558</v>
      </c>
      <c r="M1110" s="133" t="s">
        <v>3716</v>
      </c>
      <c r="N1110" s="122" t="s">
        <v>30</v>
      </c>
    </row>
    <row r="1111" spans="2:14" s="9" customFormat="1" hidden="1" x14ac:dyDescent="0.25">
      <c r="B1111" s="120">
        <v>1108</v>
      </c>
      <c r="C1111" s="122">
        <v>20348133889</v>
      </c>
      <c r="D1111" s="125" t="s">
        <v>671</v>
      </c>
      <c r="E1111" s="125" t="s">
        <v>3713</v>
      </c>
      <c r="F1111" s="122" t="s">
        <v>30</v>
      </c>
      <c r="G1111" s="122" t="s">
        <v>30</v>
      </c>
      <c r="H1111" s="122" t="s">
        <v>51</v>
      </c>
      <c r="I1111" s="125" t="s">
        <v>1767</v>
      </c>
      <c r="J1111" s="129" t="s">
        <v>3719</v>
      </c>
      <c r="K1111" s="122" t="s">
        <v>3720</v>
      </c>
      <c r="L1111" s="122" t="s">
        <v>731</v>
      </c>
      <c r="M1111" s="133" t="s">
        <v>3716</v>
      </c>
      <c r="N1111" s="122" t="s">
        <v>30</v>
      </c>
    </row>
    <row r="1112" spans="2:14" s="9" customFormat="1" hidden="1" x14ac:dyDescent="0.25">
      <c r="B1112" s="120">
        <v>1109</v>
      </c>
      <c r="C1112" s="122">
        <v>20348133889</v>
      </c>
      <c r="D1112" s="125" t="s">
        <v>671</v>
      </c>
      <c r="E1112" s="125" t="s">
        <v>3713</v>
      </c>
      <c r="F1112" s="122" t="s">
        <v>30</v>
      </c>
      <c r="G1112" s="122" t="s">
        <v>30</v>
      </c>
      <c r="H1112" s="122" t="s">
        <v>51</v>
      </c>
      <c r="I1112" s="125" t="s">
        <v>1767</v>
      </c>
      <c r="J1112" s="129" t="s">
        <v>3717</v>
      </c>
      <c r="K1112" s="122" t="s">
        <v>3718</v>
      </c>
      <c r="L1112" s="122" t="s">
        <v>1558</v>
      </c>
      <c r="M1112" s="133" t="s">
        <v>3716</v>
      </c>
      <c r="N1112" s="122" t="s">
        <v>30</v>
      </c>
    </row>
    <row r="1113" spans="2:14" s="9" customFormat="1" hidden="1" x14ac:dyDescent="0.25">
      <c r="B1113" s="120">
        <v>1110</v>
      </c>
      <c r="C1113" s="122">
        <v>20348133889</v>
      </c>
      <c r="D1113" s="125" t="s">
        <v>671</v>
      </c>
      <c r="E1113" s="125" t="s">
        <v>3713</v>
      </c>
      <c r="F1113" s="122" t="s">
        <v>30</v>
      </c>
      <c r="G1113" s="122" t="s">
        <v>30</v>
      </c>
      <c r="H1113" s="122" t="s">
        <v>51</v>
      </c>
      <c r="I1113" s="125" t="s">
        <v>1767</v>
      </c>
      <c r="J1113" s="129" t="s">
        <v>3714</v>
      </c>
      <c r="K1113" s="122" t="s">
        <v>3715</v>
      </c>
      <c r="L1113" s="122" t="s">
        <v>1712</v>
      </c>
      <c r="M1113" s="133" t="s">
        <v>3716</v>
      </c>
      <c r="N1113" s="122" t="s">
        <v>30</v>
      </c>
    </row>
    <row r="1114" spans="2:14" s="9" customFormat="1" hidden="1" x14ac:dyDescent="0.25">
      <c r="B1114" s="120">
        <v>1111</v>
      </c>
      <c r="C1114" s="122">
        <v>20602837328</v>
      </c>
      <c r="D1114" s="125" t="s">
        <v>3653</v>
      </c>
      <c r="E1114" s="125" t="s">
        <v>3709</v>
      </c>
      <c r="F1114" s="122" t="s">
        <v>30</v>
      </c>
      <c r="G1114" s="122" t="s">
        <v>30</v>
      </c>
      <c r="H1114" s="122" t="s">
        <v>127</v>
      </c>
      <c r="I1114" s="125" t="s">
        <v>1424</v>
      </c>
      <c r="J1114" s="129" t="s">
        <v>3710</v>
      </c>
      <c r="K1114" s="122" t="s">
        <v>3711</v>
      </c>
      <c r="L1114" s="122" t="s">
        <v>731</v>
      </c>
      <c r="M1114" s="133" t="s">
        <v>3712</v>
      </c>
      <c r="N1114" s="122" t="s">
        <v>30</v>
      </c>
    </row>
    <row r="1115" spans="2:14" s="9" customFormat="1" hidden="1" x14ac:dyDescent="0.25">
      <c r="B1115" s="120">
        <v>1112</v>
      </c>
      <c r="C1115" s="122">
        <v>20504753795</v>
      </c>
      <c r="D1115" s="125" t="s">
        <v>230</v>
      </c>
      <c r="E1115" s="125" t="s">
        <v>3702</v>
      </c>
      <c r="F1115" s="122" t="s">
        <v>30</v>
      </c>
      <c r="G1115" s="122" t="s">
        <v>30</v>
      </c>
      <c r="H1115" s="122" t="s">
        <v>1135</v>
      </c>
      <c r="I1115" s="125" t="s">
        <v>1374</v>
      </c>
      <c r="J1115" s="129" t="s">
        <v>3707</v>
      </c>
      <c r="K1115" s="122" t="s">
        <v>3708</v>
      </c>
      <c r="L1115" s="122" t="s">
        <v>1558</v>
      </c>
      <c r="M1115" s="133" t="s">
        <v>3706</v>
      </c>
      <c r="N1115" s="122" t="s">
        <v>30</v>
      </c>
    </row>
    <row r="1116" spans="2:14" s="9" customFormat="1" hidden="1" x14ac:dyDescent="0.25">
      <c r="B1116" s="120">
        <v>1113</v>
      </c>
      <c r="C1116" s="122">
        <v>20504753795</v>
      </c>
      <c r="D1116" s="125" t="s">
        <v>230</v>
      </c>
      <c r="E1116" s="125" t="s">
        <v>3702</v>
      </c>
      <c r="F1116" s="122" t="s">
        <v>30</v>
      </c>
      <c r="G1116" s="122" t="s">
        <v>30</v>
      </c>
      <c r="H1116" s="122" t="s">
        <v>1135</v>
      </c>
      <c r="I1116" s="125" t="s">
        <v>1374</v>
      </c>
      <c r="J1116" s="129" t="s">
        <v>3703</v>
      </c>
      <c r="K1116" s="122" t="s">
        <v>3704</v>
      </c>
      <c r="L1116" s="122" t="s">
        <v>3705</v>
      </c>
      <c r="M1116" s="133" t="s">
        <v>3706</v>
      </c>
      <c r="N1116" s="122" t="s">
        <v>30</v>
      </c>
    </row>
    <row r="1117" spans="2:14" s="9" customFormat="1" hidden="1" x14ac:dyDescent="0.25">
      <c r="B1117" s="120">
        <v>1114</v>
      </c>
      <c r="C1117" s="122">
        <v>20600851307</v>
      </c>
      <c r="D1117" s="125" t="s">
        <v>3632</v>
      </c>
      <c r="E1117" s="125" t="s">
        <v>3633</v>
      </c>
      <c r="F1117" s="122" t="s">
        <v>30</v>
      </c>
      <c r="G1117" s="122" t="s">
        <v>30</v>
      </c>
      <c r="H1117" s="122" t="s">
        <v>110</v>
      </c>
      <c r="I1117" s="125" t="s">
        <v>1706</v>
      </c>
      <c r="J1117" s="129" t="s">
        <v>3699</v>
      </c>
      <c r="K1117" s="122" t="s">
        <v>3700</v>
      </c>
      <c r="L1117" s="122" t="s">
        <v>731</v>
      </c>
      <c r="M1117" s="133" t="s">
        <v>3701</v>
      </c>
      <c r="N1117" s="122" t="s">
        <v>30</v>
      </c>
    </row>
    <row r="1118" spans="2:14" s="9" customFormat="1" hidden="1" x14ac:dyDescent="0.25">
      <c r="B1118" s="120">
        <v>1115</v>
      </c>
      <c r="C1118" s="122">
        <v>20550668417</v>
      </c>
      <c r="D1118" s="125" t="s">
        <v>1083</v>
      </c>
      <c r="E1118" s="125" t="s">
        <v>3695</v>
      </c>
      <c r="F1118" s="122" t="s">
        <v>30</v>
      </c>
      <c r="G1118" s="122" t="s">
        <v>30</v>
      </c>
      <c r="H1118" s="122" t="s">
        <v>51</v>
      </c>
      <c r="I1118" s="125" t="s">
        <v>1394</v>
      </c>
      <c r="J1118" s="129" t="s">
        <v>3696</v>
      </c>
      <c r="K1118" s="122" t="s">
        <v>3697</v>
      </c>
      <c r="L1118" s="122" t="s">
        <v>57</v>
      </c>
      <c r="M1118" s="133" t="s">
        <v>3698</v>
      </c>
      <c r="N1118" s="122" t="s">
        <v>30</v>
      </c>
    </row>
    <row r="1119" spans="2:14" s="9" customFormat="1" hidden="1" x14ac:dyDescent="0.25">
      <c r="B1119" s="120">
        <v>1116</v>
      </c>
      <c r="C1119" s="122">
        <v>20506886156</v>
      </c>
      <c r="D1119" s="125" t="s">
        <v>471</v>
      </c>
      <c r="E1119" s="125" t="s">
        <v>3691</v>
      </c>
      <c r="F1119" s="122" t="s">
        <v>30</v>
      </c>
      <c r="G1119" s="122" t="s">
        <v>30</v>
      </c>
      <c r="H1119" s="122" t="s">
        <v>51</v>
      </c>
      <c r="I1119" s="125" t="s">
        <v>1398</v>
      </c>
      <c r="J1119" s="129" t="s">
        <v>3692</v>
      </c>
      <c r="K1119" s="122" t="s">
        <v>3693</v>
      </c>
      <c r="L1119" s="122" t="s">
        <v>731</v>
      </c>
      <c r="M1119" s="133" t="s">
        <v>3694</v>
      </c>
      <c r="N1119" s="122" t="s">
        <v>30</v>
      </c>
    </row>
    <row r="1120" spans="2:14" s="9" customFormat="1" hidden="1" x14ac:dyDescent="0.25">
      <c r="B1120" s="120">
        <v>1117</v>
      </c>
      <c r="C1120" s="122">
        <v>20605192565</v>
      </c>
      <c r="D1120" s="125" t="s">
        <v>591</v>
      </c>
      <c r="E1120" s="125" t="s">
        <v>3689</v>
      </c>
      <c r="F1120" s="122" t="s">
        <v>30</v>
      </c>
      <c r="G1120" s="122" t="s">
        <v>30</v>
      </c>
      <c r="H1120" s="122" t="s">
        <v>43</v>
      </c>
      <c r="I1120" s="125" t="s">
        <v>1655</v>
      </c>
      <c r="J1120" s="129" t="s">
        <v>8318</v>
      </c>
      <c r="K1120" s="122" t="s">
        <v>3690</v>
      </c>
      <c r="L1120" s="122" t="s">
        <v>731</v>
      </c>
      <c r="M1120" s="133" t="s">
        <v>845</v>
      </c>
      <c r="N1120" s="122" t="s">
        <v>845</v>
      </c>
    </row>
    <row r="1121" spans="2:14" s="9" customFormat="1" hidden="1" x14ac:dyDescent="0.25">
      <c r="B1121" s="120">
        <v>1118</v>
      </c>
      <c r="C1121" s="122">
        <v>20605537813</v>
      </c>
      <c r="D1121" s="125" t="s">
        <v>507</v>
      </c>
      <c r="E1121" s="125" t="s">
        <v>3686</v>
      </c>
      <c r="F1121" s="122" t="s">
        <v>30</v>
      </c>
      <c r="G1121" s="122" t="s">
        <v>30</v>
      </c>
      <c r="H1121" s="122" t="s">
        <v>58</v>
      </c>
      <c r="I1121" s="125" t="s">
        <v>1961</v>
      </c>
      <c r="J1121" s="129" t="s">
        <v>8328</v>
      </c>
      <c r="K1121" s="122" t="s">
        <v>3687</v>
      </c>
      <c r="L1121" s="122" t="s">
        <v>731</v>
      </c>
      <c r="M1121" s="133" t="s">
        <v>3688</v>
      </c>
      <c r="N1121" s="122" t="s">
        <v>30</v>
      </c>
    </row>
    <row r="1122" spans="2:14" s="9" customFormat="1" hidden="1" x14ac:dyDescent="0.25">
      <c r="B1122" s="120">
        <v>1119</v>
      </c>
      <c r="C1122" s="122">
        <v>20600235851</v>
      </c>
      <c r="D1122" s="125" t="s">
        <v>1089</v>
      </c>
      <c r="E1122" s="125" t="s">
        <v>3683</v>
      </c>
      <c r="F1122" s="122" t="s">
        <v>30</v>
      </c>
      <c r="G1122" s="122" t="s">
        <v>30</v>
      </c>
      <c r="H1122" s="122" t="s">
        <v>58</v>
      </c>
      <c r="I1122" s="125" t="s">
        <v>2446</v>
      </c>
      <c r="J1122" s="129" t="s">
        <v>8331</v>
      </c>
      <c r="K1122" s="122" t="s">
        <v>3684</v>
      </c>
      <c r="L1122" s="122" t="s">
        <v>731</v>
      </c>
      <c r="M1122" s="133" t="s">
        <v>3685</v>
      </c>
      <c r="N1122" s="122" t="s">
        <v>30</v>
      </c>
    </row>
    <row r="1123" spans="2:14" s="9" customFormat="1" hidden="1" x14ac:dyDescent="0.25">
      <c r="B1123" s="120">
        <v>1120</v>
      </c>
      <c r="C1123" s="122">
        <v>20548176060</v>
      </c>
      <c r="D1123" s="125" t="s">
        <v>496</v>
      </c>
      <c r="E1123" s="125" t="s">
        <v>3680</v>
      </c>
      <c r="F1123" s="122" t="s">
        <v>30</v>
      </c>
      <c r="G1123" s="122" t="s">
        <v>30</v>
      </c>
      <c r="H1123" s="122" t="s">
        <v>65</v>
      </c>
      <c r="I1123" s="125" t="s">
        <v>1962</v>
      </c>
      <c r="J1123" s="129" t="s">
        <v>8519</v>
      </c>
      <c r="K1123" s="122" t="s">
        <v>3681</v>
      </c>
      <c r="L1123" s="122" t="s">
        <v>57</v>
      </c>
      <c r="M1123" s="133" t="s">
        <v>3682</v>
      </c>
      <c r="N1123" s="122" t="s">
        <v>30</v>
      </c>
    </row>
    <row r="1124" spans="2:14" s="9" customFormat="1" hidden="1" x14ac:dyDescent="0.25">
      <c r="B1124" s="120">
        <v>1121</v>
      </c>
      <c r="C1124" s="122">
        <v>20299138462</v>
      </c>
      <c r="D1124" s="125" t="s">
        <v>3572</v>
      </c>
      <c r="E1124" s="125" t="s">
        <v>3675</v>
      </c>
      <c r="F1124" s="122" t="s">
        <v>30</v>
      </c>
      <c r="G1124" s="122" t="s">
        <v>30</v>
      </c>
      <c r="H1124" s="122" t="s">
        <v>30</v>
      </c>
      <c r="I1124" s="125" t="s">
        <v>1943</v>
      </c>
      <c r="J1124" s="129" t="s">
        <v>3678</v>
      </c>
      <c r="K1124" s="122" t="s">
        <v>3679</v>
      </c>
      <c r="L1124" s="122" t="s">
        <v>2469</v>
      </c>
      <c r="M1124" s="133" t="s">
        <v>845</v>
      </c>
      <c r="N1124" s="122" t="s">
        <v>845</v>
      </c>
    </row>
    <row r="1125" spans="2:14" s="9" customFormat="1" hidden="1" x14ac:dyDescent="0.25">
      <c r="B1125" s="120">
        <v>1122</v>
      </c>
      <c r="C1125" s="122">
        <v>20299138462</v>
      </c>
      <c r="D1125" s="125" t="s">
        <v>3572</v>
      </c>
      <c r="E1125" s="125" t="s">
        <v>3675</v>
      </c>
      <c r="F1125" s="122" t="s">
        <v>30</v>
      </c>
      <c r="G1125" s="122" t="s">
        <v>30</v>
      </c>
      <c r="H1125" s="122" t="s">
        <v>30</v>
      </c>
      <c r="I1125" s="125" t="s">
        <v>1943</v>
      </c>
      <c r="J1125" s="129" t="s">
        <v>3676</v>
      </c>
      <c r="K1125" s="122" t="s">
        <v>3677</v>
      </c>
      <c r="L1125" s="122" t="s">
        <v>731</v>
      </c>
      <c r="M1125" s="133" t="s">
        <v>845</v>
      </c>
      <c r="N1125" s="122" t="s">
        <v>845</v>
      </c>
    </row>
    <row r="1126" spans="2:14" s="9" customFormat="1" hidden="1" x14ac:dyDescent="0.25">
      <c r="B1126" s="120">
        <v>1123</v>
      </c>
      <c r="C1126" s="122">
        <v>20600627172</v>
      </c>
      <c r="D1126" s="125" t="s">
        <v>3472</v>
      </c>
      <c r="E1126" s="125" t="s">
        <v>3473</v>
      </c>
      <c r="F1126" s="122" t="s">
        <v>30</v>
      </c>
      <c r="G1126" s="122" t="s">
        <v>30</v>
      </c>
      <c r="H1126" s="122" t="s">
        <v>43</v>
      </c>
      <c r="I1126" s="125" t="s">
        <v>1727</v>
      </c>
      <c r="J1126" s="129" t="s">
        <v>5663</v>
      </c>
      <c r="K1126" s="122" t="s">
        <v>5664</v>
      </c>
      <c r="L1126" s="122" t="s">
        <v>42</v>
      </c>
      <c r="M1126" s="133" t="s">
        <v>3474</v>
      </c>
      <c r="N1126" s="122" t="s">
        <v>30</v>
      </c>
    </row>
    <row r="1127" spans="2:14" s="9" customFormat="1" hidden="1" x14ac:dyDescent="0.25">
      <c r="B1127" s="120">
        <v>1124</v>
      </c>
      <c r="C1127" s="122">
        <v>20610711686</v>
      </c>
      <c r="D1127" s="125" t="s">
        <v>3467</v>
      </c>
      <c r="E1127" s="125" t="s">
        <v>3468</v>
      </c>
      <c r="F1127" s="122" t="s">
        <v>30</v>
      </c>
      <c r="G1127" s="122" t="s">
        <v>30</v>
      </c>
      <c r="H1127" s="122" t="s">
        <v>3469</v>
      </c>
      <c r="I1127" s="125" t="s">
        <v>1447</v>
      </c>
      <c r="J1127" s="129" t="s">
        <v>8333</v>
      </c>
      <c r="K1127" s="122" t="s">
        <v>3470</v>
      </c>
      <c r="L1127" s="122" t="s">
        <v>1577</v>
      </c>
      <c r="M1127" s="133" t="s">
        <v>3471</v>
      </c>
      <c r="N1127" s="122" t="s">
        <v>30</v>
      </c>
    </row>
    <row r="1128" spans="2:14" s="9" customFormat="1" hidden="1" x14ac:dyDescent="0.25">
      <c r="B1128" s="120">
        <v>1125</v>
      </c>
      <c r="C1128" s="122">
        <v>20602964711</v>
      </c>
      <c r="D1128" s="125" t="s">
        <v>3463</v>
      </c>
      <c r="E1128" s="125" t="s">
        <v>3464</v>
      </c>
      <c r="F1128" s="122" t="s">
        <v>30</v>
      </c>
      <c r="G1128" s="122" t="s">
        <v>30</v>
      </c>
      <c r="H1128" s="122" t="s">
        <v>72</v>
      </c>
      <c r="I1128" s="125" t="s">
        <v>1450</v>
      </c>
      <c r="J1128" s="129" t="s">
        <v>8477</v>
      </c>
      <c r="K1128" s="122" t="s">
        <v>3465</v>
      </c>
      <c r="L1128" s="122" t="s">
        <v>731</v>
      </c>
      <c r="M1128" s="133" t="s">
        <v>3466</v>
      </c>
      <c r="N1128" s="122" t="s">
        <v>30</v>
      </c>
    </row>
    <row r="1129" spans="2:14" s="9" customFormat="1" hidden="1" x14ac:dyDescent="0.25">
      <c r="B1129" s="120">
        <v>1126</v>
      </c>
      <c r="C1129" s="122">
        <v>20600769899</v>
      </c>
      <c r="D1129" s="125" t="s">
        <v>3459</v>
      </c>
      <c r="E1129" s="125" t="s">
        <v>3460</v>
      </c>
      <c r="F1129" s="122" t="s">
        <v>30</v>
      </c>
      <c r="G1129" s="122" t="s">
        <v>30</v>
      </c>
      <c r="H1129" s="122" t="s">
        <v>38</v>
      </c>
      <c r="I1129" s="125" t="s">
        <v>1595</v>
      </c>
      <c r="J1129" s="129" t="s">
        <v>8478</v>
      </c>
      <c r="K1129" s="122" t="s">
        <v>3461</v>
      </c>
      <c r="L1129" s="122" t="s">
        <v>57</v>
      </c>
      <c r="M1129" s="133" t="s">
        <v>3462</v>
      </c>
      <c r="N1129" s="122" t="s">
        <v>30</v>
      </c>
    </row>
    <row r="1130" spans="2:14" s="9" customFormat="1" hidden="1" x14ac:dyDescent="0.25">
      <c r="B1130" s="120">
        <v>1127</v>
      </c>
      <c r="C1130" s="122">
        <v>20524706769</v>
      </c>
      <c r="D1130" s="125" t="s">
        <v>3455</v>
      </c>
      <c r="E1130" s="125" t="s">
        <v>3456</v>
      </c>
      <c r="F1130" s="122" t="s">
        <v>30</v>
      </c>
      <c r="G1130" s="122" t="s">
        <v>30</v>
      </c>
      <c r="H1130" s="122" t="s">
        <v>75</v>
      </c>
      <c r="I1130" s="125" t="s">
        <v>1809</v>
      </c>
      <c r="J1130" s="129" t="s">
        <v>3457</v>
      </c>
      <c r="K1130" s="122" t="s">
        <v>3458</v>
      </c>
      <c r="L1130" s="122" t="s">
        <v>1577</v>
      </c>
      <c r="M1130" s="133" t="s">
        <v>845</v>
      </c>
      <c r="N1130" s="122" t="s">
        <v>845</v>
      </c>
    </row>
    <row r="1131" spans="2:14" s="9" customFormat="1" hidden="1" x14ac:dyDescent="0.25">
      <c r="B1131" s="120">
        <v>1128</v>
      </c>
      <c r="C1131" s="122">
        <v>20604070407</v>
      </c>
      <c r="D1131" s="125" t="s">
        <v>3452</v>
      </c>
      <c r="E1131" s="125" t="s">
        <v>3453</v>
      </c>
      <c r="F1131" s="122" t="s">
        <v>30</v>
      </c>
      <c r="G1131" s="122" t="s">
        <v>30</v>
      </c>
      <c r="H1131" s="122" t="s">
        <v>41</v>
      </c>
      <c r="I1131" s="125" t="s">
        <v>1950</v>
      </c>
      <c r="J1131" s="129" t="s">
        <v>8516</v>
      </c>
      <c r="K1131" s="122" t="s">
        <v>3454</v>
      </c>
      <c r="L1131" s="122" t="s">
        <v>42</v>
      </c>
      <c r="M1131" s="133" t="s">
        <v>845</v>
      </c>
      <c r="N1131" s="122" t="s">
        <v>845</v>
      </c>
    </row>
    <row r="1132" spans="2:14" s="9" customFormat="1" hidden="1" x14ac:dyDescent="0.25">
      <c r="B1132" s="120">
        <v>1129</v>
      </c>
      <c r="C1132" s="122">
        <v>20543146049</v>
      </c>
      <c r="D1132" s="125" t="s">
        <v>409</v>
      </c>
      <c r="E1132" s="125" t="s">
        <v>3448</v>
      </c>
      <c r="F1132" s="122" t="s">
        <v>30</v>
      </c>
      <c r="G1132" s="122" t="s">
        <v>30</v>
      </c>
      <c r="H1132" s="122" t="s">
        <v>30</v>
      </c>
      <c r="I1132" s="125" t="s">
        <v>1931</v>
      </c>
      <c r="J1132" s="129" t="s">
        <v>3449</v>
      </c>
      <c r="K1132" s="122" t="s">
        <v>3450</v>
      </c>
      <c r="L1132" s="122" t="s">
        <v>731</v>
      </c>
      <c r="M1132" s="133" t="s">
        <v>3451</v>
      </c>
      <c r="N1132" s="122" t="s">
        <v>30</v>
      </c>
    </row>
    <row r="1133" spans="2:14" s="9" customFormat="1" hidden="1" x14ac:dyDescent="0.25">
      <c r="B1133" s="120">
        <v>1130</v>
      </c>
      <c r="C1133" s="122" t="s">
        <v>1318</v>
      </c>
      <c r="D1133" s="125" t="s">
        <v>550</v>
      </c>
      <c r="E1133" s="125" t="s">
        <v>1319</v>
      </c>
      <c r="F1133" s="122" t="s">
        <v>30</v>
      </c>
      <c r="G1133" s="122" t="s">
        <v>30</v>
      </c>
      <c r="H1133" s="122" t="s">
        <v>58</v>
      </c>
      <c r="I1133" s="125" t="s">
        <v>1424</v>
      </c>
      <c r="J1133" s="129" t="s">
        <v>8483</v>
      </c>
      <c r="K1133" s="122" t="s">
        <v>8484</v>
      </c>
      <c r="L1133" s="122" t="s">
        <v>42</v>
      </c>
      <c r="M1133" s="133" t="s">
        <v>845</v>
      </c>
      <c r="N1133" s="122" t="s">
        <v>845</v>
      </c>
    </row>
    <row r="1134" spans="2:14" s="9" customFormat="1" hidden="1" x14ac:dyDescent="0.25">
      <c r="B1134" s="120">
        <v>1131</v>
      </c>
      <c r="C1134" s="122">
        <v>20549174575</v>
      </c>
      <c r="D1134" s="125" t="s">
        <v>1112</v>
      </c>
      <c r="E1134" s="125" t="s">
        <v>3443</v>
      </c>
      <c r="F1134" s="122" t="s">
        <v>67</v>
      </c>
      <c r="G1134" s="122" t="s">
        <v>67</v>
      </c>
      <c r="H1134" s="122" t="s">
        <v>153</v>
      </c>
      <c r="I1134" s="125" t="s">
        <v>1424</v>
      </c>
      <c r="J1134" s="129" t="s">
        <v>3444</v>
      </c>
      <c r="K1134" s="122" t="s">
        <v>3445</v>
      </c>
      <c r="L1134" s="122" t="s">
        <v>1577</v>
      </c>
      <c r="M1134" s="133" t="s">
        <v>3446</v>
      </c>
      <c r="N1134" s="122" t="s">
        <v>30</v>
      </c>
    </row>
    <row r="1135" spans="2:14" s="9" customFormat="1" hidden="1" x14ac:dyDescent="0.25">
      <c r="B1135" s="120">
        <v>1132</v>
      </c>
      <c r="C1135" s="122">
        <v>20510731779</v>
      </c>
      <c r="D1135" s="125" t="s">
        <v>438</v>
      </c>
      <c r="E1135" s="125" t="s">
        <v>3436</v>
      </c>
      <c r="F1135" s="122" t="s">
        <v>67</v>
      </c>
      <c r="G1135" s="122" t="s">
        <v>67</v>
      </c>
      <c r="H1135" s="122" t="s">
        <v>67</v>
      </c>
      <c r="I1135" s="125" t="s">
        <v>1368</v>
      </c>
      <c r="J1135" s="129" t="s">
        <v>3437</v>
      </c>
      <c r="K1135" s="122" t="s">
        <v>3438</v>
      </c>
      <c r="L1135" s="122" t="s">
        <v>731</v>
      </c>
      <c r="M1135" s="133" t="s">
        <v>3439</v>
      </c>
      <c r="N1135" s="122" t="s">
        <v>30</v>
      </c>
    </row>
    <row r="1136" spans="2:14" s="9" customFormat="1" hidden="1" x14ac:dyDescent="0.25">
      <c r="B1136" s="120">
        <v>1133</v>
      </c>
      <c r="C1136" s="122">
        <v>20538304558</v>
      </c>
      <c r="D1136" s="125" t="s">
        <v>3432</v>
      </c>
      <c r="E1136" s="125" t="s">
        <v>3433</v>
      </c>
      <c r="F1136" s="122" t="s">
        <v>30</v>
      </c>
      <c r="G1136" s="122" t="s">
        <v>30</v>
      </c>
      <c r="H1136" s="122" t="s">
        <v>51</v>
      </c>
      <c r="I1136" s="125" t="s">
        <v>2460</v>
      </c>
      <c r="J1136" s="129" t="s">
        <v>3434</v>
      </c>
      <c r="K1136" s="122" t="s">
        <v>3435</v>
      </c>
      <c r="L1136" s="122" t="s">
        <v>731</v>
      </c>
      <c r="M1136" s="133" t="s">
        <v>845</v>
      </c>
      <c r="N1136" s="122" t="s">
        <v>845</v>
      </c>
    </row>
    <row r="1137" spans="2:14" s="9" customFormat="1" hidden="1" x14ac:dyDescent="0.25">
      <c r="B1137" s="120">
        <v>1134</v>
      </c>
      <c r="C1137" s="122">
        <v>20602342841</v>
      </c>
      <c r="D1137" s="125" t="s">
        <v>3426</v>
      </c>
      <c r="E1137" s="125" t="s">
        <v>3427</v>
      </c>
      <c r="F1137" s="122" t="s">
        <v>30</v>
      </c>
      <c r="G1137" s="122" t="s">
        <v>30</v>
      </c>
      <c r="H1137" s="122" t="s">
        <v>50</v>
      </c>
      <c r="I1137" s="125" t="s">
        <v>1368</v>
      </c>
      <c r="J1137" s="129" t="s">
        <v>3431</v>
      </c>
      <c r="K1137" s="122" t="s">
        <v>8485</v>
      </c>
      <c r="L1137" s="122" t="s">
        <v>209</v>
      </c>
      <c r="M1137" s="133" t="s">
        <v>3430</v>
      </c>
      <c r="N1137" s="122" t="s">
        <v>30</v>
      </c>
    </row>
    <row r="1138" spans="2:14" s="9" customFormat="1" hidden="1" x14ac:dyDescent="0.25">
      <c r="B1138" s="120">
        <v>1135</v>
      </c>
      <c r="C1138" s="122">
        <v>20602342841</v>
      </c>
      <c r="D1138" s="125" t="s">
        <v>3426</v>
      </c>
      <c r="E1138" s="125" t="s">
        <v>3427</v>
      </c>
      <c r="F1138" s="122" t="s">
        <v>30</v>
      </c>
      <c r="G1138" s="122" t="s">
        <v>30</v>
      </c>
      <c r="H1138" s="122" t="s">
        <v>50</v>
      </c>
      <c r="I1138" s="125" t="s">
        <v>1368</v>
      </c>
      <c r="J1138" s="129" t="s">
        <v>3428</v>
      </c>
      <c r="K1138" s="122" t="s">
        <v>3429</v>
      </c>
      <c r="L1138" s="122" t="s">
        <v>731</v>
      </c>
      <c r="M1138" s="133" t="s">
        <v>3430</v>
      </c>
      <c r="N1138" s="122" t="s">
        <v>30</v>
      </c>
    </row>
    <row r="1139" spans="2:14" s="9" customFormat="1" hidden="1" x14ac:dyDescent="0.25">
      <c r="B1139" s="120">
        <v>1136</v>
      </c>
      <c r="C1139" s="122">
        <v>20392563122</v>
      </c>
      <c r="D1139" s="125" t="s">
        <v>142</v>
      </c>
      <c r="E1139" s="125" t="s">
        <v>3423</v>
      </c>
      <c r="F1139" s="122" t="s">
        <v>67</v>
      </c>
      <c r="G1139" s="122" t="s">
        <v>67</v>
      </c>
      <c r="H1139" s="122" t="s">
        <v>143</v>
      </c>
      <c r="I1139" s="125" t="s">
        <v>1377</v>
      </c>
      <c r="J1139" s="129" t="s">
        <v>3424</v>
      </c>
      <c r="K1139" s="122" t="s">
        <v>3425</v>
      </c>
      <c r="L1139" s="122" t="s">
        <v>731</v>
      </c>
      <c r="M1139" s="133" t="s">
        <v>845</v>
      </c>
      <c r="N1139" s="122" t="s">
        <v>845</v>
      </c>
    </row>
    <row r="1140" spans="2:14" s="9" customFormat="1" hidden="1" x14ac:dyDescent="0.25">
      <c r="B1140" s="120">
        <v>1137</v>
      </c>
      <c r="C1140" s="122">
        <v>20546570640</v>
      </c>
      <c r="D1140" s="125" t="s">
        <v>3418</v>
      </c>
      <c r="E1140" s="125" t="s">
        <v>3419</v>
      </c>
      <c r="F1140" s="122" t="s">
        <v>30</v>
      </c>
      <c r="G1140" s="122" t="s">
        <v>30</v>
      </c>
      <c r="H1140" s="122" t="s">
        <v>52</v>
      </c>
      <c r="I1140" s="125" t="s">
        <v>1841</v>
      </c>
      <c r="J1140" s="129" t="s">
        <v>3420</v>
      </c>
      <c r="K1140" s="122" t="s">
        <v>3421</v>
      </c>
      <c r="L1140" s="122" t="s">
        <v>42</v>
      </c>
      <c r="M1140" s="133" t="s">
        <v>3422</v>
      </c>
      <c r="N1140" s="122" t="s">
        <v>30</v>
      </c>
    </row>
    <row r="1141" spans="2:14" s="9" customFormat="1" hidden="1" x14ac:dyDescent="0.25">
      <c r="B1141" s="120">
        <v>1138</v>
      </c>
      <c r="C1141" s="122">
        <v>20601202795</v>
      </c>
      <c r="D1141" s="125" t="s">
        <v>446</v>
      </c>
      <c r="E1141" s="125" t="s">
        <v>3414</v>
      </c>
      <c r="F1141" s="122" t="s">
        <v>30</v>
      </c>
      <c r="G1141" s="122" t="s">
        <v>30</v>
      </c>
      <c r="H1141" s="122" t="s">
        <v>30</v>
      </c>
      <c r="I1141" s="125" t="s">
        <v>1384</v>
      </c>
      <c r="J1141" s="129" t="s">
        <v>3415</v>
      </c>
      <c r="K1141" s="122" t="s">
        <v>3416</v>
      </c>
      <c r="L1141" s="122" t="s">
        <v>42</v>
      </c>
      <c r="M1141" s="133" t="s">
        <v>3417</v>
      </c>
      <c r="N1141" s="122" t="s">
        <v>30</v>
      </c>
    </row>
    <row r="1142" spans="2:14" s="9" customFormat="1" hidden="1" x14ac:dyDescent="0.25">
      <c r="B1142" s="120">
        <v>1139</v>
      </c>
      <c r="C1142" s="122">
        <v>20601770033</v>
      </c>
      <c r="D1142" s="125" t="s">
        <v>572</v>
      </c>
      <c r="E1142" s="125" t="s">
        <v>3410</v>
      </c>
      <c r="F1142" s="122" t="s">
        <v>30</v>
      </c>
      <c r="G1142" s="122" t="s">
        <v>30</v>
      </c>
      <c r="H1142" s="122" t="s">
        <v>72</v>
      </c>
      <c r="I1142" s="125" t="s">
        <v>2446</v>
      </c>
      <c r="J1142" s="129" t="s">
        <v>3411</v>
      </c>
      <c r="K1142" s="122" t="s">
        <v>3412</v>
      </c>
      <c r="L1142" s="122" t="s">
        <v>1577</v>
      </c>
      <c r="M1142" s="133" t="s">
        <v>3413</v>
      </c>
      <c r="N1142" s="122" t="s">
        <v>30</v>
      </c>
    </row>
    <row r="1143" spans="2:14" s="9" customFormat="1" hidden="1" x14ac:dyDescent="0.25">
      <c r="B1143" s="120">
        <v>1140</v>
      </c>
      <c r="C1143" s="122">
        <v>20565769244</v>
      </c>
      <c r="D1143" s="125" t="s">
        <v>588</v>
      </c>
      <c r="E1143" s="125" t="s">
        <v>3406</v>
      </c>
      <c r="F1143" s="122" t="s">
        <v>67</v>
      </c>
      <c r="G1143" s="122" t="s">
        <v>67</v>
      </c>
      <c r="H1143" s="122" t="s">
        <v>67</v>
      </c>
      <c r="I1143" s="125" t="s">
        <v>1395</v>
      </c>
      <c r="J1143" s="129" t="s">
        <v>3407</v>
      </c>
      <c r="K1143" s="122" t="s">
        <v>3408</v>
      </c>
      <c r="L1143" s="122" t="s">
        <v>42</v>
      </c>
      <c r="M1143" s="133" t="s">
        <v>3409</v>
      </c>
      <c r="N1143" s="122" t="s">
        <v>30</v>
      </c>
    </row>
    <row r="1144" spans="2:14" s="9" customFormat="1" hidden="1" x14ac:dyDescent="0.25">
      <c r="B1144" s="120">
        <v>1141</v>
      </c>
      <c r="C1144" s="122">
        <v>20381197701</v>
      </c>
      <c r="D1144" s="125" t="s">
        <v>3399</v>
      </c>
      <c r="E1144" s="125" t="s">
        <v>3400</v>
      </c>
      <c r="F1144" s="122" t="s">
        <v>30</v>
      </c>
      <c r="G1144" s="122" t="s">
        <v>30</v>
      </c>
      <c r="H1144" s="122" t="s">
        <v>72</v>
      </c>
      <c r="I1144" s="125" t="s">
        <v>2446</v>
      </c>
      <c r="J1144" s="129" t="s">
        <v>3404</v>
      </c>
      <c r="K1144" s="122" t="s">
        <v>3405</v>
      </c>
      <c r="L1144" s="122" t="s">
        <v>1712</v>
      </c>
      <c r="M1144" s="133" t="s">
        <v>3403</v>
      </c>
      <c r="N1144" s="122" t="s">
        <v>30</v>
      </c>
    </row>
    <row r="1145" spans="2:14" s="9" customFormat="1" hidden="1" x14ac:dyDescent="0.25">
      <c r="B1145" s="120">
        <v>1142</v>
      </c>
      <c r="C1145" s="122">
        <v>20381197701</v>
      </c>
      <c r="D1145" s="125" t="s">
        <v>3399</v>
      </c>
      <c r="E1145" s="125" t="s">
        <v>3400</v>
      </c>
      <c r="F1145" s="122" t="s">
        <v>30</v>
      </c>
      <c r="G1145" s="122" t="s">
        <v>30</v>
      </c>
      <c r="H1145" s="122" t="s">
        <v>72</v>
      </c>
      <c r="I1145" s="125" t="s">
        <v>2446</v>
      </c>
      <c r="J1145" s="129" t="s">
        <v>3401</v>
      </c>
      <c r="K1145" s="122" t="s">
        <v>3402</v>
      </c>
      <c r="L1145" s="122" t="s">
        <v>1558</v>
      </c>
      <c r="M1145" s="133" t="s">
        <v>3403</v>
      </c>
      <c r="N1145" s="122" t="s">
        <v>30</v>
      </c>
    </row>
    <row r="1146" spans="2:14" s="9" customFormat="1" hidden="1" x14ac:dyDescent="0.25">
      <c r="B1146" s="120">
        <v>1143</v>
      </c>
      <c r="C1146" s="122">
        <v>20552246331</v>
      </c>
      <c r="D1146" s="125" t="s">
        <v>3394</v>
      </c>
      <c r="E1146" s="125" t="s">
        <v>3395</v>
      </c>
      <c r="F1146" s="122" t="s">
        <v>30</v>
      </c>
      <c r="G1146" s="122" t="s">
        <v>30</v>
      </c>
      <c r="H1146" s="122" t="s">
        <v>40</v>
      </c>
      <c r="I1146" s="125" t="s">
        <v>1961</v>
      </c>
      <c r="J1146" s="129" t="s">
        <v>3396</v>
      </c>
      <c r="K1146" s="122" t="s">
        <v>3397</v>
      </c>
      <c r="L1146" s="122" t="s">
        <v>42</v>
      </c>
      <c r="M1146" s="133" t="s">
        <v>3398</v>
      </c>
      <c r="N1146" s="122" t="s">
        <v>30</v>
      </c>
    </row>
    <row r="1147" spans="2:14" s="9" customFormat="1" hidden="1" x14ac:dyDescent="0.25">
      <c r="B1147" s="120">
        <v>1144</v>
      </c>
      <c r="C1147" s="122">
        <v>20536046683</v>
      </c>
      <c r="D1147" s="125" t="s">
        <v>585</v>
      </c>
      <c r="E1147" s="125" t="s">
        <v>3388</v>
      </c>
      <c r="F1147" s="122" t="s">
        <v>30</v>
      </c>
      <c r="G1147" s="122" t="s">
        <v>30</v>
      </c>
      <c r="H1147" s="122" t="s">
        <v>37</v>
      </c>
      <c r="I1147" s="125" t="s">
        <v>1365</v>
      </c>
      <c r="J1147" s="129" t="s">
        <v>3392</v>
      </c>
      <c r="K1147" s="122" t="s">
        <v>3393</v>
      </c>
      <c r="L1147" s="122" t="s">
        <v>209</v>
      </c>
      <c r="M1147" s="133" t="s">
        <v>3391</v>
      </c>
      <c r="N1147" s="122" t="s">
        <v>30</v>
      </c>
    </row>
    <row r="1148" spans="2:14" s="9" customFormat="1" hidden="1" x14ac:dyDescent="0.25">
      <c r="B1148" s="120">
        <v>1145</v>
      </c>
      <c r="C1148" s="122">
        <v>20536046683</v>
      </c>
      <c r="D1148" s="125" t="s">
        <v>585</v>
      </c>
      <c r="E1148" s="125" t="s">
        <v>3388</v>
      </c>
      <c r="F1148" s="122" t="s">
        <v>30</v>
      </c>
      <c r="G1148" s="122" t="s">
        <v>30</v>
      </c>
      <c r="H1148" s="122" t="s">
        <v>37</v>
      </c>
      <c r="I1148" s="125" t="s">
        <v>1365</v>
      </c>
      <c r="J1148" s="129" t="s">
        <v>3389</v>
      </c>
      <c r="K1148" s="122" t="s">
        <v>3390</v>
      </c>
      <c r="L1148" s="122" t="s">
        <v>731</v>
      </c>
      <c r="M1148" s="133" t="s">
        <v>3391</v>
      </c>
      <c r="N1148" s="122" t="s">
        <v>30</v>
      </c>
    </row>
    <row r="1149" spans="2:14" s="9" customFormat="1" hidden="1" x14ac:dyDescent="0.25">
      <c r="B1149" s="120">
        <v>1146</v>
      </c>
      <c r="C1149" s="122">
        <v>20507287141</v>
      </c>
      <c r="D1149" s="125" t="s">
        <v>3384</v>
      </c>
      <c r="E1149" s="125" t="s">
        <v>3385</v>
      </c>
      <c r="F1149" s="122" t="s">
        <v>30</v>
      </c>
      <c r="G1149" s="122" t="s">
        <v>30</v>
      </c>
      <c r="H1149" s="122" t="s">
        <v>72</v>
      </c>
      <c r="I1149" s="125" t="s">
        <v>1384</v>
      </c>
      <c r="J1149" s="129" t="s">
        <v>8494</v>
      </c>
      <c r="K1149" s="122" t="s">
        <v>3386</v>
      </c>
      <c r="L1149" s="122" t="s">
        <v>1712</v>
      </c>
      <c r="M1149" s="133" t="s">
        <v>3387</v>
      </c>
      <c r="N1149" s="122" t="s">
        <v>30</v>
      </c>
    </row>
    <row r="1150" spans="2:14" s="9" customFormat="1" hidden="1" x14ac:dyDescent="0.25">
      <c r="B1150" s="120">
        <v>1147</v>
      </c>
      <c r="C1150" s="122">
        <v>20601248647</v>
      </c>
      <c r="D1150" s="125" t="s">
        <v>612</v>
      </c>
      <c r="E1150" s="125" t="s">
        <v>3378</v>
      </c>
      <c r="F1150" s="122" t="s">
        <v>30</v>
      </c>
      <c r="G1150" s="122" t="s">
        <v>30</v>
      </c>
      <c r="H1150" s="122" t="s">
        <v>35</v>
      </c>
      <c r="I1150" s="125" t="s">
        <v>1943</v>
      </c>
      <c r="J1150" s="129" t="s">
        <v>3382</v>
      </c>
      <c r="K1150" s="122" t="s">
        <v>3383</v>
      </c>
      <c r="L1150" s="122" t="s">
        <v>36</v>
      </c>
      <c r="M1150" s="133" t="s">
        <v>3381</v>
      </c>
      <c r="N1150" s="122" t="s">
        <v>30</v>
      </c>
    </row>
    <row r="1151" spans="2:14" s="9" customFormat="1" hidden="1" x14ac:dyDescent="0.25">
      <c r="B1151" s="120">
        <v>1148</v>
      </c>
      <c r="C1151" s="122">
        <v>20601248647</v>
      </c>
      <c r="D1151" s="125" t="s">
        <v>612</v>
      </c>
      <c r="E1151" s="125" t="s">
        <v>3378</v>
      </c>
      <c r="F1151" s="122" t="s">
        <v>30</v>
      </c>
      <c r="G1151" s="122" t="s">
        <v>30</v>
      </c>
      <c r="H1151" s="122" t="s">
        <v>35</v>
      </c>
      <c r="I1151" s="125" t="s">
        <v>1943</v>
      </c>
      <c r="J1151" s="129" t="s">
        <v>3379</v>
      </c>
      <c r="K1151" s="122" t="s">
        <v>3380</v>
      </c>
      <c r="L1151" s="122" t="s">
        <v>731</v>
      </c>
      <c r="M1151" s="133" t="s">
        <v>3381</v>
      </c>
      <c r="N1151" s="122" t="s">
        <v>30</v>
      </c>
    </row>
    <row r="1152" spans="2:14" s="9" customFormat="1" hidden="1" x14ac:dyDescent="0.25">
      <c r="B1152" s="120">
        <v>1149</v>
      </c>
      <c r="C1152" s="122">
        <v>20600989244</v>
      </c>
      <c r="D1152" s="125" t="s">
        <v>534</v>
      </c>
      <c r="E1152" s="125" t="s">
        <v>3375</v>
      </c>
      <c r="F1152" s="122" t="s">
        <v>30</v>
      </c>
      <c r="G1152" s="122" t="s">
        <v>30</v>
      </c>
      <c r="H1152" s="122" t="s">
        <v>88</v>
      </c>
      <c r="I1152" s="125" t="s">
        <v>1528</v>
      </c>
      <c r="J1152" s="129" t="s">
        <v>3376</v>
      </c>
      <c r="K1152" s="122" t="s">
        <v>3377</v>
      </c>
      <c r="L1152" s="122" t="s">
        <v>731</v>
      </c>
      <c r="M1152" s="133" t="s">
        <v>845</v>
      </c>
      <c r="N1152" s="122" t="s">
        <v>845</v>
      </c>
    </row>
    <row r="1153" spans="2:14" s="9" customFormat="1" hidden="1" x14ac:dyDescent="0.25">
      <c r="B1153" s="120">
        <v>1150</v>
      </c>
      <c r="C1153" s="122">
        <v>20492842509</v>
      </c>
      <c r="D1153" s="125" t="s">
        <v>689</v>
      </c>
      <c r="E1153" s="125" t="s">
        <v>3372</v>
      </c>
      <c r="F1153" s="122" t="s">
        <v>30</v>
      </c>
      <c r="G1153" s="122" t="s">
        <v>30</v>
      </c>
      <c r="H1153" s="122" t="s">
        <v>72</v>
      </c>
      <c r="I1153" s="125" t="s">
        <v>1655</v>
      </c>
      <c r="J1153" s="129" t="s">
        <v>3373</v>
      </c>
      <c r="K1153" s="122" t="s">
        <v>3374</v>
      </c>
      <c r="L1153" s="122" t="s">
        <v>731</v>
      </c>
      <c r="M1153" s="133" t="s">
        <v>845</v>
      </c>
      <c r="N1153" s="122" t="s">
        <v>845</v>
      </c>
    </row>
    <row r="1154" spans="2:14" s="9" customFormat="1" hidden="1" x14ac:dyDescent="0.25">
      <c r="B1154" s="120">
        <v>1151</v>
      </c>
      <c r="C1154" s="122">
        <v>20514376591</v>
      </c>
      <c r="D1154" s="125" t="s">
        <v>3367</v>
      </c>
      <c r="E1154" s="125" t="s">
        <v>3368</v>
      </c>
      <c r="F1154" s="122" t="s">
        <v>30</v>
      </c>
      <c r="G1154" s="122" t="s">
        <v>30</v>
      </c>
      <c r="H1154" s="122" t="s">
        <v>52</v>
      </c>
      <c r="I1154" s="125" t="s">
        <v>1809</v>
      </c>
      <c r="J1154" s="129" t="s">
        <v>3369</v>
      </c>
      <c r="K1154" s="122" t="s">
        <v>3370</v>
      </c>
      <c r="L1154" s="122" t="s">
        <v>731</v>
      </c>
      <c r="M1154" s="133" t="s">
        <v>3371</v>
      </c>
      <c r="N1154" s="122" t="s">
        <v>30</v>
      </c>
    </row>
    <row r="1155" spans="2:14" s="9" customFormat="1" hidden="1" x14ac:dyDescent="0.25">
      <c r="B1155" s="120">
        <v>1152</v>
      </c>
      <c r="C1155" s="122">
        <v>20601700833</v>
      </c>
      <c r="D1155" s="125" t="s">
        <v>650</v>
      </c>
      <c r="E1155" s="125" t="s">
        <v>3363</v>
      </c>
      <c r="F1155" s="122" t="s">
        <v>30</v>
      </c>
      <c r="G1155" s="122" t="s">
        <v>30</v>
      </c>
      <c r="H1155" s="122" t="s">
        <v>50</v>
      </c>
      <c r="I1155" s="125" t="s">
        <v>1398</v>
      </c>
      <c r="J1155" s="129" t="s">
        <v>3364</v>
      </c>
      <c r="K1155" s="122" t="s">
        <v>3365</v>
      </c>
      <c r="L1155" s="122" t="s">
        <v>42</v>
      </c>
      <c r="M1155" s="133" t="s">
        <v>3366</v>
      </c>
      <c r="N1155" s="122" t="s">
        <v>30</v>
      </c>
    </row>
    <row r="1156" spans="2:14" s="9" customFormat="1" hidden="1" x14ac:dyDescent="0.25">
      <c r="B1156" s="120">
        <v>1153</v>
      </c>
      <c r="C1156" s="122">
        <v>20468502381</v>
      </c>
      <c r="D1156" s="125" t="s">
        <v>3358</v>
      </c>
      <c r="E1156" s="125" t="s">
        <v>3359</v>
      </c>
      <c r="F1156" s="122" t="s">
        <v>30</v>
      </c>
      <c r="G1156" s="122" t="s">
        <v>30</v>
      </c>
      <c r="H1156" s="122" t="s">
        <v>40</v>
      </c>
      <c r="I1156" s="125" t="s">
        <v>1944</v>
      </c>
      <c r="J1156" s="129" t="s">
        <v>3360</v>
      </c>
      <c r="K1156" s="122" t="s">
        <v>3361</v>
      </c>
      <c r="L1156" s="122" t="s">
        <v>731</v>
      </c>
      <c r="M1156" s="133" t="s">
        <v>3362</v>
      </c>
      <c r="N1156" s="122" t="s">
        <v>30</v>
      </c>
    </row>
    <row r="1157" spans="2:14" s="9" customFormat="1" hidden="1" x14ac:dyDescent="0.25">
      <c r="B1157" s="120">
        <v>1154</v>
      </c>
      <c r="C1157" s="122">
        <v>20295734681</v>
      </c>
      <c r="D1157" s="125" t="s">
        <v>474</v>
      </c>
      <c r="E1157" s="125" t="s">
        <v>3352</v>
      </c>
      <c r="F1157" s="122" t="s">
        <v>30</v>
      </c>
      <c r="G1157" s="122" t="s">
        <v>30</v>
      </c>
      <c r="H1157" s="122" t="s">
        <v>41</v>
      </c>
      <c r="I1157" s="125" t="s">
        <v>1450</v>
      </c>
      <c r="J1157" s="129" t="s">
        <v>3356</v>
      </c>
      <c r="K1157" s="122" t="s">
        <v>3357</v>
      </c>
      <c r="L1157" s="122" t="s">
        <v>731</v>
      </c>
      <c r="M1157" s="133" t="s">
        <v>3355</v>
      </c>
      <c r="N1157" s="122" t="s">
        <v>30</v>
      </c>
    </row>
    <row r="1158" spans="2:14" s="9" customFormat="1" hidden="1" x14ac:dyDescent="0.25">
      <c r="B1158" s="120">
        <v>1155</v>
      </c>
      <c r="C1158" s="122">
        <v>20295734681</v>
      </c>
      <c r="D1158" s="125" t="s">
        <v>474</v>
      </c>
      <c r="E1158" s="125" t="s">
        <v>3352</v>
      </c>
      <c r="F1158" s="122" t="s">
        <v>30</v>
      </c>
      <c r="G1158" s="122" t="s">
        <v>30</v>
      </c>
      <c r="H1158" s="122" t="s">
        <v>41</v>
      </c>
      <c r="I1158" s="125" t="s">
        <v>1450</v>
      </c>
      <c r="J1158" s="129" t="s">
        <v>8499</v>
      </c>
      <c r="K1158" s="122" t="s">
        <v>8500</v>
      </c>
      <c r="L1158" s="122" t="s">
        <v>1558</v>
      </c>
      <c r="M1158" s="133" t="s">
        <v>3355</v>
      </c>
      <c r="N1158" s="122" t="s">
        <v>30</v>
      </c>
    </row>
    <row r="1159" spans="2:14" s="9" customFormat="1" hidden="1" x14ac:dyDescent="0.25">
      <c r="B1159" s="120">
        <v>1156</v>
      </c>
      <c r="C1159" s="122">
        <v>20295734681</v>
      </c>
      <c r="D1159" s="125" t="s">
        <v>474</v>
      </c>
      <c r="E1159" s="125" t="s">
        <v>3352</v>
      </c>
      <c r="F1159" s="122" t="s">
        <v>30</v>
      </c>
      <c r="G1159" s="122" t="s">
        <v>30</v>
      </c>
      <c r="H1159" s="122" t="s">
        <v>41</v>
      </c>
      <c r="I1159" s="125" t="s">
        <v>1450</v>
      </c>
      <c r="J1159" s="129" t="s">
        <v>3353</v>
      </c>
      <c r="K1159" s="122" t="s">
        <v>3354</v>
      </c>
      <c r="L1159" s="122" t="s">
        <v>1558</v>
      </c>
      <c r="M1159" s="133" t="s">
        <v>3355</v>
      </c>
      <c r="N1159" s="122" t="s">
        <v>30</v>
      </c>
    </row>
    <row r="1160" spans="2:14" s="9" customFormat="1" hidden="1" x14ac:dyDescent="0.25">
      <c r="B1160" s="120">
        <v>1157</v>
      </c>
      <c r="C1160" s="122">
        <v>20607658391</v>
      </c>
      <c r="D1160" s="125" t="s">
        <v>543</v>
      </c>
      <c r="E1160" s="125" t="s">
        <v>3349</v>
      </c>
      <c r="F1160" s="122" t="s">
        <v>30</v>
      </c>
      <c r="G1160" s="122" t="s">
        <v>30</v>
      </c>
      <c r="H1160" s="122" t="s">
        <v>68</v>
      </c>
      <c r="I1160" s="125" t="s">
        <v>2446</v>
      </c>
      <c r="J1160" s="129" t="s">
        <v>8503</v>
      </c>
      <c r="K1160" s="122" t="s">
        <v>3350</v>
      </c>
      <c r="L1160" s="122" t="s">
        <v>731</v>
      </c>
      <c r="M1160" s="133" t="s">
        <v>3351</v>
      </c>
      <c r="N1160" s="122" t="s">
        <v>30</v>
      </c>
    </row>
    <row r="1161" spans="2:14" s="9" customFormat="1" hidden="1" x14ac:dyDescent="0.25">
      <c r="B1161" s="120">
        <v>1158</v>
      </c>
      <c r="C1161" s="122">
        <v>20110304324</v>
      </c>
      <c r="D1161" s="125" t="s">
        <v>449</v>
      </c>
      <c r="E1161" s="125" t="s">
        <v>3171</v>
      </c>
      <c r="F1161" s="122" t="s">
        <v>30</v>
      </c>
      <c r="G1161" s="122" t="s">
        <v>30</v>
      </c>
      <c r="H1161" s="122" t="s">
        <v>41</v>
      </c>
      <c r="I1161" s="125" t="s">
        <v>1377</v>
      </c>
      <c r="J1161" s="129" t="s">
        <v>8504</v>
      </c>
      <c r="K1161" s="122" t="s">
        <v>3172</v>
      </c>
      <c r="L1161" s="122" t="s">
        <v>36</v>
      </c>
      <c r="M1161" s="133" t="s">
        <v>845</v>
      </c>
      <c r="N1161" s="122" t="s">
        <v>845</v>
      </c>
    </row>
    <row r="1162" spans="2:14" s="9" customFormat="1" hidden="1" x14ac:dyDescent="0.25">
      <c r="B1162" s="120">
        <v>1159</v>
      </c>
      <c r="C1162" s="122">
        <v>20608863444</v>
      </c>
      <c r="D1162" s="125" t="s">
        <v>656</v>
      </c>
      <c r="E1162" s="125" t="s">
        <v>3173</v>
      </c>
      <c r="F1162" s="122" t="s">
        <v>30</v>
      </c>
      <c r="G1162" s="122" t="s">
        <v>30</v>
      </c>
      <c r="H1162" s="122" t="s">
        <v>45</v>
      </c>
      <c r="I1162" s="125" t="s">
        <v>1478</v>
      </c>
      <c r="J1162" s="129" t="s">
        <v>3174</v>
      </c>
      <c r="K1162" s="122" t="s">
        <v>3175</v>
      </c>
      <c r="L1162" s="122" t="s">
        <v>42</v>
      </c>
      <c r="M1162" s="133" t="s">
        <v>3176</v>
      </c>
      <c r="N1162" s="122" t="s">
        <v>30</v>
      </c>
    </row>
    <row r="1163" spans="2:14" s="9" customFormat="1" hidden="1" x14ac:dyDescent="0.25">
      <c r="B1163" s="120">
        <v>1160</v>
      </c>
      <c r="C1163" s="122">
        <v>20549278605</v>
      </c>
      <c r="D1163" s="125" t="s">
        <v>1123</v>
      </c>
      <c r="E1163" s="125" t="s">
        <v>3177</v>
      </c>
      <c r="F1163" s="122" t="s">
        <v>30</v>
      </c>
      <c r="G1163" s="122" t="s">
        <v>30</v>
      </c>
      <c r="H1163" s="122" t="s">
        <v>41</v>
      </c>
      <c r="I1163" s="125" t="s">
        <v>1394</v>
      </c>
      <c r="J1163" s="129" t="s">
        <v>3178</v>
      </c>
      <c r="K1163" s="122" t="s">
        <v>3179</v>
      </c>
      <c r="L1163" s="122" t="s">
        <v>731</v>
      </c>
      <c r="M1163" s="133" t="s">
        <v>3180</v>
      </c>
      <c r="N1163" s="122" t="s">
        <v>30</v>
      </c>
    </row>
    <row r="1164" spans="2:14" s="9" customFormat="1" hidden="1" x14ac:dyDescent="0.25">
      <c r="B1164" s="120">
        <v>1161</v>
      </c>
      <c r="C1164" s="122">
        <v>20608897691</v>
      </c>
      <c r="D1164" s="125" t="s">
        <v>3181</v>
      </c>
      <c r="E1164" s="125" t="s">
        <v>3182</v>
      </c>
      <c r="F1164" s="122" t="s">
        <v>30</v>
      </c>
      <c r="G1164" s="122" t="s">
        <v>30</v>
      </c>
      <c r="H1164" s="122" t="s">
        <v>37</v>
      </c>
      <c r="I1164" s="125" t="s">
        <v>2181</v>
      </c>
      <c r="J1164" s="129" t="s">
        <v>3183</v>
      </c>
      <c r="K1164" s="122" t="s">
        <v>3184</v>
      </c>
      <c r="L1164" s="131" t="s">
        <v>1577</v>
      </c>
      <c r="M1164" s="133" t="s">
        <v>3185</v>
      </c>
      <c r="N1164" s="122" t="s">
        <v>30</v>
      </c>
    </row>
    <row r="1165" spans="2:14" s="9" customFormat="1" hidden="1" x14ac:dyDescent="0.25">
      <c r="B1165" s="120">
        <v>1162</v>
      </c>
      <c r="C1165" s="122">
        <v>20546655807</v>
      </c>
      <c r="D1165" s="125" t="s">
        <v>536</v>
      </c>
      <c r="E1165" s="125" t="s">
        <v>3186</v>
      </c>
      <c r="F1165" s="122" t="s">
        <v>30</v>
      </c>
      <c r="G1165" s="122" t="s">
        <v>30</v>
      </c>
      <c r="H1165" s="122" t="s">
        <v>50</v>
      </c>
      <c r="I1165" s="125" t="s">
        <v>1398</v>
      </c>
      <c r="J1165" s="129" t="s">
        <v>3187</v>
      </c>
      <c r="K1165" s="122" t="s">
        <v>3188</v>
      </c>
      <c r="L1165" s="131" t="s">
        <v>731</v>
      </c>
      <c r="M1165" s="133" t="s">
        <v>3189</v>
      </c>
      <c r="N1165" s="122" t="s">
        <v>30</v>
      </c>
    </row>
    <row r="1166" spans="2:14" s="9" customFormat="1" hidden="1" x14ac:dyDescent="0.25">
      <c r="B1166" s="120">
        <v>1163</v>
      </c>
      <c r="C1166" s="122">
        <v>20547947976</v>
      </c>
      <c r="D1166" s="125" t="s">
        <v>385</v>
      </c>
      <c r="E1166" s="125" t="s">
        <v>3190</v>
      </c>
      <c r="F1166" s="122" t="s">
        <v>30</v>
      </c>
      <c r="G1166" s="122" t="s">
        <v>30</v>
      </c>
      <c r="H1166" s="122" t="s">
        <v>72</v>
      </c>
      <c r="I1166" s="125" t="s">
        <v>1447</v>
      </c>
      <c r="J1166" s="129" t="s">
        <v>8505</v>
      </c>
      <c r="K1166" s="122" t="s">
        <v>3191</v>
      </c>
      <c r="L1166" s="131" t="s">
        <v>57</v>
      </c>
      <c r="M1166" s="133" t="s">
        <v>845</v>
      </c>
      <c r="N1166" s="122" t="s">
        <v>845</v>
      </c>
    </row>
    <row r="1167" spans="2:14" s="9" customFormat="1" hidden="1" x14ac:dyDescent="0.25">
      <c r="B1167" s="120">
        <v>1164</v>
      </c>
      <c r="C1167" s="122">
        <v>20605051066</v>
      </c>
      <c r="D1167" s="125" t="s">
        <v>3192</v>
      </c>
      <c r="E1167" s="125" t="s">
        <v>3193</v>
      </c>
      <c r="F1167" s="122" t="s">
        <v>30</v>
      </c>
      <c r="G1167" s="122" t="s">
        <v>30</v>
      </c>
      <c r="H1167" s="122" t="s">
        <v>75</v>
      </c>
      <c r="I1167" s="125" t="s">
        <v>1384</v>
      </c>
      <c r="J1167" s="129" t="s">
        <v>8506</v>
      </c>
      <c r="K1167" s="122" t="s">
        <v>3194</v>
      </c>
      <c r="L1167" s="131" t="s">
        <v>731</v>
      </c>
      <c r="M1167" s="133" t="s">
        <v>3195</v>
      </c>
      <c r="N1167" s="122" t="s">
        <v>30</v>
      </c>
    </row>
    <row r="1168" spans="2:14" s="9" customFormat="1" hidden="1" x14ac:dyDescent="0.25">
      <c r="B1168" s="120">
        <v>1165</v>
      </c>
      <c r="C1168" s="122">
        <v>20607235831</v>
      </c>
      <c r="D1168" s="125" t="s">
        <v>680</v>
      </c>
      <c r="E1168" s="125" t="s">
        <v>3196</v>
      </c>
      <c r="F1168" s="122" t="s">
        <v>30</v>
      </c>
      <c r="G1168" s="122" t="s">
        <v>30</v>
      </c>
      <c r="H1168" s="122" t="s">
        <v>43</v>
      </c>
      <c r="I1168" s="125" t="s">
        <v>1727</v>
      </c>
      <c r="J1168" s="129" t="s">
        <v>3197</v>
      </c>
      <c r="K1168" s="122" t="s">
        <v>3198</v>
      </c>
      <c r="L1168" s="131" t="s">
        <v>731</v>
      </c>
      <c r="M1168" s="133" t="s">
        <v>3199</v>
      </c>
      <c r="N1168" s="122" t="s">
        <v>30</v>
      </c>
    </row>
    <row r="1169" spans="2:14" s="9" customFormat="1" hidden="1" x14ac:dyDescent="0.25">
      <c r="B1169" s="120">
        <v>1166</v>
      </c>
      <c r="C1169" s="122">
        <v>20551542522</v>
      </c>
      <c r="D1169" s="125" t="s">
        <v>465</v>
      </c>
      <c r="E1169" s="125" t="s">
        <v>8514</v>
      </c>
      <c r="F1169" s="127" t="s">
        <v>30</v>
      </c>
      <c r="G1169" s="122" t="s">
        <v>30</v>
      </c>
      <c r="H1169" s="122" t="s">
        <v>72</v>
      </c>
      <c r="I1169" s="125" t="s">
        <v>1978</v>
      </c>
      <c r="J1169" s="129" t="s">
        <v>8511</v>
      </c>
      <c r="K1169" s="122" t="s">
        <v>8512</v>
      </c>
      <c r="L1169" s="131" t="s">
        <v>731</v>
      </c>
      <c r="M1169" s="133" t="s">
        <v>8513</v>
      </c>
      <c r="N1169" s="122" t="s">
        <v>30</v>
      </c>
    </row>
    <row r="1170" spans="2:14" s="9" customFormat="1" hidden="1" x14ac:dyDescent="0.25">
      <c r="B1170" s="120">
        <v>1167</v>
      </c>
      <c r="C1170" s="122">
        <v>20602511261</v>
      </c>
      <c r="D1170" s="125" t="s">
        <v>636</v>
      </c>
      <c r="E1170" s="125" t="s">
        <v>3200</v>
      </c>
      <c r="F1170" s="122" t="s">
        <v>30</v>
      </c>
      <c r="G1170" s="122" t="s">
        <v>30</v>
      </c>
      <c r="H1170" s="122" t="s">
        <v>58</v>
      </c>
      <c r="I1170" s="125" t="s">
        <v>1701</v>
      </c>
      <c r="J1170" s="129" t="s">
        <v>3201</v>
      </c>
      <c r="K1170" s="122" t="s">
        <v>3202</v>
      </c>
      <c r="L1170" s="131" t="s">
        <v>1577</v>
      </c>
      <c r="M1170" s="133" t="s">
        <v>3203</v>
      </c>
      <c r="N1170" s="122" t="s">
        <v>30</v>
      </c>
    </row>
    <row r="1171" spans="2:14" s="9" customFormat="1" hidden="1" x14ac:dyDescent="0.25">
      <c r="B1171" s="120">
        <v>1168</v>
      </c>
      <c r="C1171" s="122">
        <v>20101994091</v>
      </c>
      <c r="D1171" s="125" t="s">
        <v>682</v>
      </c>
      <c r="E1171" s="125" t="s">
        <v>3204</v>
      </c>
      <c r="F1171" s="122" t="s">
        <v>30</v>
      </c>
      <c r="G1171" s="122" t="s">
        <v>30</v>
      </c>
      <c r="H1171" s="122" t="s">
        <v>135</v>
      </c>
      <c r="I1171" s="125" t="s">
        <v>1964</v>
      </c>
      <c r="J1171" s="129" t="s">
        <v>3205</v>
      </c>
      <c r="K1171" s="122" t="s">
        <v>3206</v>
      </c>
      <c r="L1171" s="131" t="s">
        <v>42</v>
      </c>
      <c r="M1171" s="133" t="s">
        <v>3207</v>
      </c>
      <c r="N1171" s="122" t="s">
        <v>30</v>
      </c>
    </row>
    <row r="1172" spans="2:14" s="9" customFormat="1" hidden="1" x14ac:dyDescent="0.25">
      <c r="B1172" s="120">
        <v>1169</v>
      </c>
      <c r="C1172" s="122">
        <v>20550418062</v>
      </c>
      <c r="D1172" s="125" t="s">
        <v>1122</v>
      </c>
      <c r="E1172" s="125" t="s">
        <v>3208</v>
      </c>
      <c r="F1172" s="122" t="s">
        <v>30</v>
      </c>
      <c r="G1172" s="122" t="s">
        <v>30</v>
      </c>
      <c r="H1172" s="122" t="s">
        <v>250</v>
      </c>
      <c r="I1172" s="125" t="s">
        <v>1809</v>
      </c>
      <c r="J1172" s="129" t="s">
        <v>3209</v>
      </c>
      <c r="K1172" s="122" t="s">
        <v>3210</v>
      </c>
      <c r="L1172" s="131" t="s">
        <v>1577</v>
      </c>
      <c r="M1172" s="133" t="s">
        <v>3211</v>
      </c>
      <c r="N1172" s="122" t="s">
        <v>30</v>
      </c>
    </row>
    <row r="1173" spans="2:14" s="9" customFormat="1" hidden="1" x14ac:dyDescent="0.25">
      <c r="B1173" s="120">
        <v>1170</v>
      </c>
      <c r="C1173" s="122">
        <v>20601493030</v>
      </c>
      <c r="D1173" s="125" t="s">
        <v>642</v>
      </c>
      <c r="E1173" s="125" t="s">
        <v>3212</v>
      </c>
      <c r="F1173" s="122" t="s">
        <v>30</v>
      </c>
      <c r="G1173" s="122" t="s">
        <v>30</v>
      </c>
      <c r="H1173" s="122" t="s">
        <v>113</v>
      </c>
      <c r="I1173" s="125" t="s">
        <v>1377</v>
      </c>
      <c r="J1173" s="129" t="s">
        <v>3213</v>
      </c>
      <c r="K1173" s="122" t="s">
        <v>3214</v>
      </c>
      <c r="L1173" s="131" t="s">
        <v>42</v>
      </c>
      <c r="M1173" s="133" t="s">
        <v>3215</v>
      </c>
      <c r="N1173" s="122" t="s">
        <v>30</v>
      </c>
    </row>
    <row r="1174" spans="2:14" s="9" customFormat="1" hidden="1" x14ac:dyDescent="0.25">
      <c r="B1174" s="120">
        <v>1171</v>
      </c>
      <c r="C1174" s="122">
        <v>20517953262</v>
      </c>
      <c r="D1174" s="125" t="s">
        <v>3216</v>
      </c>
      <c r="E1174" s="125" t="s">
        <v>3217</v>
      </c>
      <c r="F1174" s="122" t="s">
        <v>30</v>
      </c>
      <c r="G1174" s="122" t="s">
        <v>30</v>
      </c>
      <c r="H1174" s="122" t="s">
        <v>37</v>
      </c>
      <c r="I1174" s="125" t="s">
        <v>1956</v>
      </c>
      <c r="J1174" s="129" t="s">
        <v>3218</v>
      </c>
      <c r="K1174" s="122" t="s">
        <v>3219</v>
      </c>
      <c r="L1174" s="131" t="s">
        <v>731</v>
      </c>
      <c r="M1174" s="133" t="s">
        <v>3220</v>
      </c>
      <c r="N1174" s="122" t="s">
        <v>30</v>
      </c>
    </row>
    <row r="1175" spans="2:14" s="9" customFormat="1" hidden="1" x14ac:dyDescent="0.25">
      <c r="B1175" s="120">
        <v>1172</v>
      </c>
      <c r="C1175" s="122">
        <v>20609675609</v>
      </c>
      <c r="D1175" s="125" t="s">
        <v>3221</v>
      </c>
      <c r="E1175" s="125" t="s">
        <v>3222</v>
      </c>
      <c r="F1175" s="122" t="s">
        <v>30</v>
      </c>
      <c r="G1175" s="122" t="s">
        <v>30</v>
      </c>
      <c r="H1175" s="122" t="s">
        <v>41</v>
      </c>
      <c r="I1175" s="125" t="s">
        <v>1384</v>
      </c>
      <c r="J1175" s="129" t="s">
        <v>3223</v>
      </c>
      <c r="K1175" s="122" t="s">
        <v>3224</v>
      </c>
      <c r="L1175" s="131" t="s">
        <v>731</v>
      </c>
      <c r="M1175" s="133" t="s">
        <v>3225</v>
      </c>
      <c r="N1175" s="122" t="s">
        <v>30</v>
      </c>
    </row>
    <row r="1176" spans="2:14" s="9" customFormat="1" hidden="1" x14ac:dyDescent="0.25">
      <c r="B1176" s="120">
        <v>1173</v>
      </c>
      <c r="C1176" s="122">
        <v>20477791116</v>
      </c>
      <c r="D1176" s="125" t="s">
        <v>508</v>
      </c>
      <c r="E1176" s="125" t="s">
        <v>3226</v>
      </c>
      <c r="F1176" s="122" t="s">
        <v>30</v>
      </c>
      <c r="G1176" s="122" t="s">
        <v>30</v>
      </c>
      <c r="H1176" s="122" t="s">
        <v>39</v>
      </c>
      <c r="I1176" s="125" t="s">
        <v>3084</v>
      </c>
      <c r="J1176" s="129" t="s">
        <v>3227</v>
      </c>
      <c r="K1176" s="122" t="s">
        <v>3228</v>
      </c>
      <c r="L1176" s="131" t="s">
        <v>731</v>
      </c>
      <c r="M1176" s="133" t="s">
        <v>3229</v>
      </c>
      <c r="N1176" s="122" t="s">
        <v>30</v>
      </c>
    </row>
    <row r="1177" spans="2:14" s="9" customFormat="1" hidden="1" x14ac:dyDescent="0.25">
      <c r="B1177" s="120">
        <v>1174</v>
      </c>
      <c r="C1177" s="122">
        <v>20605463810</v>
      </c>
      <c r="D1177" s="125" t="s">
        <v>560</v>
      </c>
      <c r="E1177" s="125" t="s">
        <v>3230</v>
      </c>
      <c r="F1177" s="122" t="s">
        <v>30</v>
      </c>
      <c r="G1177" s="122" t="s">
        <v>30</v>
      </c>
      <c r="H1177" s="122" t="s">
        <v>40</v>
      </c>
      <c r="I1177" s="125" t="s">
        <v>1961</v>
      </c>
      <c r="J1177" s="129" t="s">
        <v>3231</v>
      </c>
      <c r="K1177" s="122" t="s">
        <v>3232</v>
      </c>
      <c r="L1177" s="131" t="s">
        <v>731</v>
      </c>
      <c r="M1177" s="133" t="s">
        <v>3233</v>
      </c>
      <c r="N1177" s="122" t="s">
        <v>30</v>
      </c>
    </row>
    <row r="1178" spans="2:14" s="9" customFormat="1" hidden="1" x14ac:dyDescent="0.25">
      <c r="B1178" s="120">
        <v>1175</v>
      </c>
      <c r="C1178" s="122">
        <v>20100171814</v>
      </c>
      <c r="D1178" s="125" t="s">
        <v>300</v>
      </c>
      <c r="E1178" s="125" t="s">
        <v>3234</v>
      </c>
      <c r="F1178" s="122" t="s">
        <v>30</v>
      </c>
      <c r="G1178" s="122" t="s">
        <v>30</v>
      </c>
      <c r="H1178" s="122" t="s">
        <v>43</v>
      </c>
      <c r="I1178" s="125" t="s">
        <v>3235</v>
      </c>
      <c r="J1178" s="129" t="s">
        <v>3236</v>
      </c>
      <c r="K1178" s="122" t="s">
        <v>3237</v>
      </c>
      <c r="L1178" s="131" t="s">
        <v>209</v>
      </c>
      <c r="M1178" s="133" t="s">
        <v>3238</v>
      </c>
      <c r="N1178" s="122" t="s">
        <v>30</v>
      </c>
    </row>
    <row r="1179" spans="2:14" s="9" customFormat="1" hidden="1" x14ac:dyDescent="0.25">
      <c r="B1179" s="120">
        <v>1176</v>
      </c>
      <c r="C1179" s="122">
        <v>20100171814</v>
      </c>
      <c r="D1179" s="125" t="s">
        <v>300</v>
      </c>
      <c r="E1179" s="125" t="s">
        <v>3234</v>
      </c>
      <c r="F1179" s="122" t="s">
        <v>30</v>
      </c>
      <c r="G1179" s="122" t="s">
        <v>30</v>
      </c>
      <c r="H1179" s="122" t="s">
        <v>43</v>
      </c>
      <c r="I1179" s="125" t="s">
        <v>3235</v>
      </c>
      <c r="J1179" s="129" t="s">
        <v>3239</v>
      </c>
      <c r="K1179" s="122" t="s">
        <v>3240</v>
      </c>
      <c r="L1179" s="131" t="s">
        <v>209</v>
      </c>
      <c r="M1179" s="133" t="s">
        <v>3238</v>
      </c>
      <c r="N1179" s="122" t="s">
        <v>30</v>
      </c>
    </row>
    <row r="1180" spans="2:14" s="9" customFormat="1" hidden="1" x14ac:dyDescent="0.25">
      <c r="B1180" s="120">
        <v>1177</v>
      </c>
      <c r="C1180" s="122">
        <v>20100171814</v>
      </c>
      <c r="D1180" s="125" t="s">
        <v>300</v>
      </c>
      <c r="E1180" s="125" t="s">
        <v>3234</v>
      </c>
      <c r="F1180" s="122" t="s">
        <v>30</v>
      </c>
      <c r="G1180" s="122" t="s">
        <v>30</v>
      </c>
      <c r="H1180" s="122" t="s">
        <v>43</v>
      </c>
      <c r="I1180" s="125" t="s">
        <v>3235</v>
      </c>
      <c r="J1180" s="129" t="s">
        <v>3241</v>
      </c>
      <c r="K1180" s="122" t="s">
        <v>3242</v>
      </c>
      <c r="L1180" s="131" t="s">
        <v>1712</v>
      </c>
      <c r="M1180" s="133" t="s">
        <v>3238</v>
      </c>
      <c r="N1180" s="122" t="s">
        <v>30</v>
      </c>
    </row>
    <row r="1181" spans="2:14" s="9" customFormat="1" hidden="1" x14ac:dyDescent="0.25">
      <c r="B1181" s="120">
        <v>1178</v>
      </c>
      <c r="C1181" s="122">
        <v>20100171814</v>
      </c>
      <c r="D1181" s="125" t="s">
        <v>300</v>
      </c>
      <c r="E1181" s="125" t="s">
        <v>3234</v>
      </c>
      <c r="F1181" s="122" t="s">
        <v>30</v>
      </c>
      <c r="G1181" s="122" t="s">
        <v>30</v>
      </c>
      <c r="H1181" s="122" t="s">
        <v>43</v>
      </c>
      <c r="I1181" s="125" t="s">
        <v>3235</v>
      </c>
      <c r="J1181" s="129" t="s">
        <v>3243</v>
      </c>
      <c r="K1181" s="122" t="s">
        <v>3244</v>
      </c>
      <c r="L1181" s="131" t="s">
        <v>209</v>
      </c>
      <c r="M1181" s="133" t="s">
        <v>3238</v>
      </c>
      <c r="N1181" s="122" t="s">
        <v>30</v>
      </c>
    </row>
    <row r="1182" spans="2:14" s="9" customFormat="1" hidden="1" x14ac:dyDescent="0.25">
      <c r="B1182" s="120">
        <v>1179</v>
      </c>
      <c r="C1182" s="122">
        <v>20100171814</v>
      </c>
      <c r="D1182" s="125" t="s">
        <v>300</v>
      </c>
      <c r="E1182" s="125" t="s">
        <v>3234</v>
      </c>
      <c r="F1182" s="122" t="s">
        <v>30</v>
      </c>
      <c r="G1182" s="122" t="s">
        <v>30</v>
      </c>
      <c r="H1182" s="122" t="s">
        <v>43</v>
      </c>
      <c r="I1182" s="125" t="s">
        <v>3235</v>
      </c>
      <c r="J1182" s="129" t="s">
        <v>3245</v>
      </c>
      <c r="K1182" s="122" t="s">
        <v>3246</v>
      </c>
      <c r="L1182" s="131" t="s">
        <v>42</v>
      </c>
      <c r="M1182" s="133" t="s">
        <v>3238</v>
      </c>
      <c r="N1182" s="122" t="s">
        <v>30</v>
      </c>
    </row>
    <row r="1183" spans="2:14" s="9" customFormat="1" hidden="1" x14ac:dyDescent="0.25">
      <c r="B1183" s="120">
        <v>1180</v>
      </c>
      <c r="C1183" s="122">
        <v>20100171814</v>
      </c>
      <c r="D1183" s="125" t="s">
        <v>300</v>
      </c>
      <c r="E1183" s="125" t="s">
        <v>3234</v>
      </c>
      <c r="F1183" s="122" t="s">
        <v>30</v>
      </c>
      <c r="G1183" s="122" t="s">
        <v>30</v>
      </c>
      <c r="H1183" s="122" t="s">
        <v>43</v>
      </c>
      <c r="I1183" s="125" t="s">
        <v>3235</v>
      </c>
      <c r="J1183" s="129" t="s">
        <v>3247</v>
      </c>
      <c r="K1183" s="122" t="s">
        <v>3248</v>
      </c>
      <c r="L1183" s="131" t="s">
        <v>1712</v>
      </c>
      <c r="M1183" s="133" t="s">
        <v>3238</v>
      </c>
      <c r="N1183" s="122" t="s">
        <v>30</v>
      </c>
    </row>
    <row r="1184" spans="2:14" s="9" customFormat="1" hidden="1" x14ac:dyDescent="0.25">
      <c r="B1184" s="120">
        <v>1181</v>
      </c>
      <c r="C1184" s="122">
        <v>20100171814</v>
      </c>
      <c r="D1184" s="125" t="s">
        <v>300</v>
      </c>
      <c r="E1184" s="125" t="s">
        <v>3234</v>
      </c>
      <c r="F1184" s="122" t="s">
        <v>30</v>
      </c>
      <c r="G1184" s="122" t="s">
        <v>30</v>
      </c>
      <c r="H1184" s="122" t="s">
        <v>43</v>
      </c>
      <c r="I1184" s="125" t="s">
        <v>3235</v>
      </c>
      <c r="J1184" s="129" t="s">
        <v>3249</v>
      </c>
      <c r="K1184" s="122" t="s">
        <v>3250</v>
      </c>
      <c r="L1184" s="131" t="s">
        <v>1558</v>
      </c>
      <c r="M1184" s="133" t="s">
        <v>3238</v>
      </c>
      <c r="N1184" s="122" t="s">
        <v>30</v>
      </c>
    </row>
    <row r="1185" spans="2:14" s="9" customFormat="1" hidden="1" x14ac:dyDescent="0.25">
      <c r="B1185" s="120">
        <v>1182</v>
      </c>
      <c r="C1185" s="122">
        <v>20100171814</v>
      </c>
      <c r="D1185" s="125" t="s">
        <v>300</v>
      </c>
      <c r="E1185" s="125" t="s">
        <v>3234</v>
      </c>
      <c r="F1185" s="122" t="s">
        <v>30</v>
      </c>
      <c r="G1185" s="122" t="s">
        <v>30</v>
      </c>
      <c r="H1185" s="122" t="s">
        <v>43</v>
      </c>
      <c r="I1185" s="125" t="s">
        <v>3235</v>
      </c>
      <c r="J1185" s="129" t="s">
        <v>3251</v>
      </c>
      <c r="K1185" s="122" t="s">
        <v>3252</v>
      </c>
      <c r="L1185" s="131" t="s">
        <v>1558</v>
      </c>
      <c r="M1185" s="133" t="s">
        <v>3238</v>
      </c>
      <c r="N1185" s="122" t="s">
        <v>30</v>
      </c>
    </row>
    <row r="1186" spans="2:14" s="9" customFormat="1" hidden="1" x14ac:dyDescent="0.25">
      <c r="B1186" s="120">
        <v>1183</v>
      </c>
      <c r="C1186" s="122">
        <v>20524554993</v>
      </c>
      <c r="D1186" s="125" t="s">
        <v>563</v>
      </c>
      <c r="E1186" s="125" t="s">
        <v>3253</v>
      </c>
      <c r="F1186" s="122" t="s">
        <v>30</v>
      </c>
      <c r="G1186" s="122" t="s">
        <v>30</v>
      </c>
      <c r="H1186" s="122" t="s">
        <v>45</v>
      </c>
      <c r="I1186" s="125" t="s">
        <v>1967</v>
      </c>
      <c r="J1186" s="129" t="s">
        <v>8294</v>
      </c>
      <c r="K1186" s="122" t="s">
        <v>3254</v>
      </c>
      <c r="L1186" s="131" t="s">
        <v>1712</v>
      </c>
      <c r="M1186" s="133" t="s">
        <v>3255</v>
      </c>
      <c r="N1186" s="122" t="s">
        <v>30</v>
      </c>
    </row>
    <row r="1187" spans="2:14" s="9" customFormat="1" hidden="1" x14ac:dyDescent="0.25">
      <c r="B1187" s="120">
        <v>1184</v>
      </c>
      <c r="C1187" s="122">
        <v>20524554993</v>
      </c>
      <c r="D1187" s="125" t="s">
        <v>563</v>
      </c>
      <c r="E1187" s="125" t="s">
        <v>3253</v>
      </c>
      <c r="F1187" s="122" t="s">
        <v>30</v>
      </c>
      <c r="G1187" s="122" t="s">
        <v>30</v>
      </c>
      <c r="H1187" s="122" t="s">
        <v>45</v>
      </c>
      <c r="I1187" s="125" t="s">
        <v>1967</v>
      </c>
      <c r="J1187" s="129" t="s">
        <v>8293</v>
      </c>
      <c r="K1187" s="122" t="s">
        <v>3256</v>
      </c>
      <c r="L1187" s="131" t="s">
        <v>731</v>
      </c>
      <c r="M1187" s="133" t="s">
        <v>3255</v>
      </c>
      <c r="N1187" s="122" t="s">
        <v>30</v>
      </c>
    </row>
    <row r="1188" spans="2:14" s="9" customFormat="1" hidden="1" x14ac:dyDescent="0.25">
      <c r="B1188" s="120">
        <v>1185</v>
      </c>
      <c r="C1188" s="122">
        <v>20553300429</v>
      </c>
      <c r="D1188" s="125" t="s">
        <v>274</v>
      </c>
      <c r="E1188" s="125" t="s">
        <v>3257</v>
      </c>
      <c r="F1188" s="122" t="s">
        <v>30</v>
      </c>
      <c r="G1188" s="122" t="s">
        <v>30</v>
      </c>
      <c r="H1188" s="122" t="s">
        <v>43</v>
      </c>
      <c r="I1188" s="125" t="s">
        <v>1809</v>
      </c>
      <c r="J1188" s="129" t="s">
        <v>8327</v>
      </c>
      <c r="K1188" s="122" t="s">
        <v>3258</v>
      </c>
      <c r="L1188" s="131" t="s">
        <v>42</v>
      </c>
      <c r="M1188" s="133" t="s">
        <v>3259</v>
      </c>
      <c r="N1188" s="122" t="s">
        <v>30</v>
      </c>
    </row>
    <row r="1189" spans="2:14" s="9" customFormat="1" hidden="1" x14ac:dyDescent="0.25">
      <c r="B1189" s="120">
        <v>1186</v>
      </c>
      <c r="C1189" s="122">
        <v>20101717098</v>
      </c>
      <c r="D1189" s="125" t="s">
        <v>251</v>
      </c>
      <c r="E1189" s="125" t="s">
        <v>3260</v>
      </c>
      <c r="F1189" s="122" t="s">
        <v>30</v>
      </c>
      <c r="G1189" s="122" t="s">
        <v>30</v>
      </c>
      <c r="H1189" s="122" t="s">
        <v>51</v>
      </c>
      <c r="I1189" s="125" t="s">
        <v>1484</v>
      </c>
      <c r="J1189" s="129" t="s">
        <v>3261</v>
      </c>
      <c r="K1189" s="122" t="s">
        <v>3262</v>
      </c>
      <c r="L1189" s="131" t="s">
        <v>42</v>
      </c>
      <c r="M1189" s="133" t="s">
        <v>3263</v>
      </c>
      <c r="N1189" s="122" t="s">
        <v>30</v>
      </c>
    </row>
    <row r="1190" spans="2:14" s="9" customFormat="1" hidden="1" x14ac:dyDescent="0.25">
      <c r="B1190" s="120">
        <v>1187</v>
      </c>
      <c r="C1190" s="122">
        <v>20101717098</v>
      </c>
      <c r="D1190" s="125" t="s">
        <v>251</v>
      </c>
      <c r="E1190" s="125" t="s">
        <v>3260</v>
      </c>
      <c r="F1190" s="122" t="s">
        <v>30</v>
      </c>
      <c r="G1190" s="122" t="s">
        <v>30</v>
      </c>
      <c r="H1190" s="122" t="s">
        <v>51</v>
      </c>
      <c r="I1190" s="125" t="s">
        <v>1484</v>
      </c>
      <c r="J1190" s="129" t="s">
        <v>3264</v>
      </c>
      <c r="K1190" s="122" t="s">
        <v>3265</v>
      </c>
      <c r="L1190" s="131" t="s">
        <v>3266</v>
      </c>
      <c r="M1190" s="133" t="s">
        <v>3263</v>
      </c>
      <c r="N1190" s="122" t="s">
        <v>30</v>
      </c>
    </row>
    <row r="1191" spans="2:14" s="9" customFormat="1" hidden="1" x14ac:dyDescent="0.25">
      <c r="B1191" s="120">
        <v>1188</v>
      </c>
      <c r="C1191" s="122">
        <v>20100064571</v>
      </c>
      <c r="D1191" s="125" t="s">
        <v>284</v>
      </c>
      <c r="E1191" s="125" t="s">
        <v>3267</v>
      </c>
      <c r="F1191" s="122" t="s">
        <v>30</v>
      </c>
      <c r="G1191" s="122" t="s">
        <v>30</v>
      </c>
      <c r="H1191" s="122" t="s">
        <v>51</v>
      </c>
      <c r="I1191" s="125" t="s">
        <v>1737</v>
      </c>
      <c r="J1191" s="129" t="s">
        <v>3268</v>
      </c>
      <c r="K1191" s="122" t="s">
        <v>3269</v>
      </c>
      <c r="L1191" s="131" t="s">
        <v>1558</v>
      </c>
      <c r="M1191" s="133" t="s">
        <v>3270</v>
      </c>
      <c r="N1191" s="122" t="s">
        <v>30</v>
      </c>
    </row>
    <row r="1192" spans="2:14" s="9" customFormat="1" hidden="1" x14ac:dyDescent="0.25">
      <c r="B1192" s="120">
        <v>1189</v>
      </c>
      <c r="C1192" s="122">
        <v>20100064571</v>
      </c>
      <c r="D1192" s="125" t="s">
        <v>284</v>
      </c>
      <c r="E1192" s="125" t="s">
        <v>3267</v>
      </c>
      <c r="F1192" s="122" t="s">
        <v>30</v>
      </c>
      <c r="G1192" s="122" t="s">
        <v>30</v>
      </c>
      <c r="H1192" s="122" t="s">
        <v>51</v>
      </c>
      <c r="I1192" s="125" t="s">
        <v>1737</v>
      </c>
      <c r="J1192" s="129" t="s">
        <v>3271</v>
      </c>
      <c r="K1192" s="122" t="s">
        <v>3272</v>
      </c>
      <c r="L1192" s="131" t="s">
        <v>1558</v>
      </c>
      <c r="M1192" s="133" t="s">
        <v>3270</v>
      </c>
      <c r="N1192" s="122" t="s">
        <v>30</v>
      </c>
    </row>
    <row r="1193" spans="2:14" s="9" customFormat="1" hidden="1" x14ac:dyDescent="0.25">
      <c r="B1193" s="120">
        <v>1190</v>
      </c>
      <c r="C1193" s="122">
        <v>20100064571</v>
      </c>
      <c r="D1193" s="125" t="s">
        <v>284</v>
      </c>
      <c r="E1193" s="125" t="s">
        <v>3267</v>
      </c>
      <c r="F1193" s="122" t="s">
        <v>30</v>
      </c>
      <c r="G1193" s="122" t="s">
        <v>30</v>
      </c>
      <c r="H1193" s="122" t="s">
        <v>51</v>
      </c>
      <c r="I1193" s="125" t="s">
        <v>1737</v>
      </c>
      <c r="J1193" s="129" t="s">
        <v>3273</v>
      </c>
      <c r="K1193" s="122" t="s">
        <v>3274</v>
      </c>
      <c r="L1193" s="131" t="s">
        <v>1558</v>
      </c>
      <c r="M1193" s="133" t="s">
        <v>3270</v>
      </c>
      <c r="N1193" s="122" t="s">
        <v>30</v>
      </c>
    </row>
    <row r="1194" spans="2:14" s="9" customFormat="1" hidden="1" x14ac:dyDescent="0.25">
      <c r="B1194" s="120">
        <v>1191</v>
      </c>
      <c r="C1194" s="122">
        <v>20100064571</v>
      </c>
      <c r="D1194" s="125" t="s">
        <v>284</v>
      </c>
      <c r="E1194" s="125" t="s">
        <v>3267</v>
      </c>
      <c r="F1194" s="122" t="s">
        <v>30</v>
      </c>
      <c r="G1194" s="122" t="s">
        <v>30</v>
      </c>
      <c r="H1194" s="122" t="s">
        <v>51</v>
      </c>
      <c r="I1194" s="125" t="s">
        <v>1737</v>
      </c>
      <c r="J1194" s="129" t="s">
        <v>3275</v>
      </c>
      <c r="K1194" s="122" t="s">
        <v>5965</v>
      </c>
      <c r="L1194" s="131" t="s">
        <v>42</v>
      </c>
      <c r="M1194" s="133" t="s">
        <v>3270</v>
      </c>
      <c r="N1194" s="122" t="s">
        <v>30</v>
      </c>
    </row>
    <row r="1195" spans="2:14" s="9" customFormat="1" hidden="1" x14ac:dyDescent="0.25">
      <c r="B1195" s="120">
        <v>1192</v>
      </c>
      <c r="C1195" s="122">
        <v>20100064571</v>
      </c>
      <c r="D1195" s="125" t="s">
        <v>284</v>
      </c>
      <c r="E1195" s="125" t="s">
        <v>3267</v>
      </c>
      <c r="F1195" s="122" t="s">
        <v>30</v>
      </c>
      <c r="G1195" s="122" t="s">
        <v>30</v>
      </c>
      <c r="H1195" s="122" t="s">
        <v>51</v>
      </c>
      <c r="I1195" s="125" t="s">
        <v>1737</v>
      </c>
      <c r="J1195" s="129" t="s">
        <v>3276</v>
      </c>
      <c r="K1195" s="122" t="s">
        <v>3277</v>
      </c>
      <c r="L1195" s="131" t="s">
        <v>1558</v>
      </c>
      <c r="M1195" s="133" t="s">
        <v>3270</v>
      </c>
      <c r="N1195" s="122" t="s">
        <v>30</v>
      </c>
    </row>
    <row r="1196" spans="2:14" s="9" customFormat="1" hidden="1" x14ac:dyDescent="0.25">
      <c r="B1196" s="120">
        <v>1193</v>
      </c>
      <c r="C1196" s="122">
        <v>20608914120</v>
      </c>
      <c r="D1196" s="125" t="s">
        <v>479</v>
      </c>
      <c r="E1196" s="125" t="s">
        <v>3278</v>
      </c>
      <c r="F1196" s="122" t="s">
        <v>30</v>
      </c>
      <c r="G1196" s="122" t="s">
        <v>30</v>
      </c>
      <c r="H1196" s="122" t="s">
        <v>80</v>
      </c>
      <c r="I1196" s="125" t="s">
        <v>2803</v>
      </c>
      <c r="J1196" s="129" t="s">
        <v>8332</v>
      </c>
      <c r="K1196" s="122" t="s">
        <v>3279</v>
      </c>
      <c r="L1196" s="131" t="s">
        <v>731</v>
      </c>
      <c r="M1196" s="133" t="s">
        <v>3280</v>
      </c>
      <c r="N1196" s="122" t="s">
        <v>30</v>
      </c>
    </row>
    <row r="1197" spans="2:14" s="9" customFormat="1" hidden="1" x14ac:dyDescent="0.25">
      <c r="B1197" s="120">
        <v>1194</v>
      </c>
      <c r="C1197" s="122">
        <v>20600471261</v>
      </c>
      <c r="D1197" s="125" t="s">
        <v>3281</v>
      </c>
      <c r="E1197" s="125" t="s">
        <v>3282</v>
      </c>
      <c r="F1197" s="122" t="s">
        <v>30</v>
      </c>
      <c r="G1197" s="122" t="s">
        <v>30</v>
      </c>
      <c r="H1197" s="122" t="s">
        <v>65</v>
      </c>
      <c r="I1197" s="125" t="s">
        <v>1368</v>
      </c>
      <c r="J1197" s="129" t="s">
        <v>8479</v>
      </c>
      <c r="K1197" s="122" t="s">
        <v>3283</v>
      </c>
      <c r="L1197" s="131" t="s">
        <v>42</v>
      </c>
      <c r="M1197" s="133" t="s">
        <v>3284</v>
      </c>
      <c r="N1197" s="122" t="s">
        <v>30</v>
      </c>
    </row>
    <row r="1198" spans="2:14" s="9" customFormat="1" hidden="1" x14ac:dyDescent="0.25">
      <c r="B1198" s="120">
        <v>1195</v>
      </c>
      <c r="C1198" s="122">
        <v>20566228883</v>
      </c>
      <c r="D1198" s="125" t="s">
        <v>578</v>
      </c>
      <c r="E1198" s="125" t="s">
        <v>3285</v>
      </c>
      <c r="F1198" s="122" t="s">
        <v>30</v>
      </c>
      <c r="G1198" s="122" t="s">
        <v>30</v>
      </c>
      <c r="H1198" s="122" t="s">
        <v>39</v>
      </c>
      <c r="I1198" s="125" t="s">
        <v>1394</v>
      </c>
      <c r="J1198" s="129" t="s">
        <v>3286</v>
      </c>
      <c r="K1198" s="122" t="s">
        <v>3287</v>
      </c>
      <c r="L1198" s="131" t="s">
        <v>2469</v>
      </c>
      <c r="M1198" s="133" t="s">
        <v>3288</v>
      </c>
      <c r="N1198" s="122" t="s">
        <v>30</v>
      </c>
    </row>
    <row r="1199" spans="2:14" s="9" customFormat="1" hidden="1" x14ac:dyDescent="0.25">
      <c r="B1199" s="120">
        <v>1196</v>
      </c>
      <c r="C1199" s="122">
        <v>20566228883</v>
      </c>
      <c r="D1199" s="125" t="s">
        <v>578</v>
      </c>
      <c r="E1199" s="125" t="s">
        <v>3285</v>
      </c>
      <c r="F1199" s="122" t="s">
        <v>30</v>
      </c>
      <c r="G1199" s="122" t="s">
        <v>30</v>
      </c>
      <c r="H1199" s="122" t="s">
        <v>39</v>
      </c>
      <c r="I1199" s="125" t="s">
        <v>1394</v>
      </c>
      <c r="J1199" s="129" t="s">
        <v>3289</v>
      </c>
      <c r="K1199" s="122" t="s">
        <v>3290</v>
      </c>
      <c r="L1199" s="131" t="s">
        <v>731</v>
      </c>
      <c r="M1199" s="133" t="s">
        <v>3288</v>
      </c>
      <c r="N1199" s="122" t="s">
        <v>30</v>
      </c>
    </row>
    <row r="1200" spans="2:14" s="9" customFormat="1" hidden="1" x14ac:dyDescent="0.25">
      <c r="B1200" s="120">
        <v>1197</v>
      </c>
      <c r="C1200" s="122">
        <v>20601036526</v>
      </c>
      <c r="D1200" s="125" t="s">
        <v>492</v>
      </c>
      <c r="E1200" s="125" t="s">
        <v>3291</v>
      </c>
      <c r="F1200" s="122" t="s">
        <v>30</v>
      </c>
      <c r="G1200" s="122" t="s">
        <v>30</v>
      </c>
      <c r="H1200" s="122" t="s">
        <v>43</v>
      </c>
      <c r="I1200" s="125" t="s">
        <v>1394</v>
      </c>
      <c r="J1200" s="129" t="s">
        <v>3292</v>
      </c>
      <c r="K1200" s="122" t="s">
        <v>3293</v>
      </c>
      <c r="L1200" s="131" t="s">
        <v>731</v>
      </c>
      <c r="M1200" s="133" t="s">
        <v>3294</v>
      </c>
      <c r="N1200" s="122" t="s">
        <v>30</v>
      </c>
    </row>
    <row r="1201" spans="2:14" s="9" customFormat="1" hidden="1" x14ac:dyDescent="0.25">
      <c r="B1201" s="120">
        <v>1198</v>
      </c>
      <c r="C1201" s="122">
        <v>20101563279</v>
      </c>
      <c r="D1201" s="125" t="s">
        <v>644</v>
      </c>
      <c r="E1201" s="125" t="s">
        <v>3295</v>
      </c>
      <c r="F1201" s="122" t="s">
        <v>30</v>
      </c>
      <c r="G1201" s="122" t="s">
        <v>30</v>
      </c>
      <c r="H1201" s="122" t="s">
        <v>51</v>
      </c>
      <c r="I1201" s="125" t="s">
        <v>1946</v>
      </c>
      <c r="J1201" s="129" t="s">
        <v>3296</v>
      </c>
      <c r="K1201" s="122" t="s">
        <v>3297</v>
      </c>
      <c r="L1201" s="131" t="s">
        <v>731</v>
      </c>
      <c r="M1201" s="133" t="s">
        <v>3298</v>
      </c>
      <c r="N1201" s="122" t="s">
        <v>30</v>
      </c>
    </row>
    <row r="1202" spans="2:14" s="9" customFormat="1" hidden="1" x14ac:dyDescent="0.25">
      <c r="B1202" s="120">
        <v>1199</v>
      </c>
      <c r="C1202" s="122">
        <v>20297131975</v>
      </c>
      <c r="D1202" s="125" t="s">
        <v>3299</v>
      </c>
      <c r="E1202" s="125" t="s">
        <v>3300</v>
      </c>
      <c r="F1202" s="122" t="s">
        <v>30</v>
      </c>
      <c r="G1202" s="122" t="s">
        <v>30</v>
      </c>
      <c r="H1202" s="122" t="s">
        <v>127</v>
      </c>
      <c r="I1202" s="125" t="s">
        <v>1979</v>
      </c>
      <c r="J1202" s="129" t="s">
        <v>3301</v>
      </c>
      <c r="K1202" s="122" t="s">
        <v>3302</v>
      </c>
      <c r="L1202" s="131" t="s">
        <v>36</v>
      </c>
      <c r="M1202" s="133" t="s">
        <v>3303</v>
      </c>
      <c r="N1202" s="122" t="s">
        <v>30</v>
      </c>
    </row>
    <row r="1203" spans="2:14" s="9" customFormat="1" hidden="1" x14ac:dyDescent="0.25">
      <c r="B1203" s="120">
        <v>1200</v>
      </c>
      <c r="C1203" s="122">
        <v>20606094541</v>
      </c>
      <c r="D1203" s="125" t="s">
        <v>1113</v>
      </c>
      <c r="E1203" s="125" t="s">
        <v>3304</v>
      </c>
      <c r="F1203" s="122" t="s">
        <v>30</v>
      </c>
      <c r="G1203" s="122" t="s">
        <v>30</v>
      </c>
      <c r="H1203" s="122" t="s">
        <v>51</v>
      </c>
      <c r="I1203" s="125" t="s">
        <v>1394</v>
      </c>
      <c r="J1203" s="129" t="s">
        <v>3305</v>
      </c>
      <c r="K1203" s="122" t="s">
        <v>3306</v>
      </c>
      <c r="L1203" s="131" t="s">
        <v>731</v>
      </c>
      <c r="M1203" s="133" t="s">
        <v>3307</v>
      </c>
      <c r="N1203" s="122" t="s">
        <v>30</v>
      </c>
    </row>
    <row r="1204" spans="2:14" s="9" customFormat="1" hidden="1" x14ac:dyDescent="0.25">
      <c r="B1204" s="120">
        <v>1201</v>
      </c>
      <c r="C1204" s="122">
        <v>20605476849</v>
      </c>
      <c r="D1204" s="125" t="s">
        <v>344</v>
      </c>
      <c r="E1204" s="125" t="s">
        <v>3308</v>
      </c>
      <c r="F1204" s="122" t="s">
        <v>30</v>
      </c>
      <c r="G1204" s="122" t="s">
        <v>30</v>
      </c>
      <c r="H1204" s="122" t="s">
        <v>75</v>
      </c>
      <c r="I1204" s="125" t="s">
        <v>1371</v>
      </c>
      <c r="J1204" s="129" t="s">
        <v>3309</v>
      </c>
      <c r="K1204" s="122" t="s">
        <v>3310</v>
      </c>
      <c r="L1204" s="131" t="s">
        <v>731</v>
      </c>
      <c r="M1204" s="133" t="s">
        <v>845</v>
      </c>
      <c r="N1204" s="122" t="s">
        <v>845</v>
      </c>
    </row>
    <row r="1205" spans="2:14" s="9" customFormat="1" hidden="1" x14ac:dyDescent="0.25">
      <c r="B1205" s="120">
        <v>1202</v>
      </c>
      <c r="C1205" s="122">
        <v>20608212362</v>
      </c>
      <c r="D1205" s="125" t="s">
        <v>3311</v>
      </c>
      <c r="E1205" s="125" t="s">
        <v>3312</v>
      </c>
      <c r="F1205" s="122" t="s">
        <v>30</v>
      </c>
      <c r="G1205" s="122" t="s">
        <v>30</v>
      </c>
      <c r="H1205" s="122" t="s">
        <v>51</v>
      </c>
      <c r="I1205" s="125" t="s">
        <v>1533</v>
      </c>
      <c r="J1205" s="129" t="s">
        <v>3313</v>
      </c>
      <c r="K1205" s="122" t="s">
        <v>3314</v>
      </c>
      <c r="L1205" s="131" t="s">
        <v>1577</v>
      </c>
      <c r="M1205" s="133" t="s">
        <v>3315</v>
      </c>
      <c r="N1205" s="122" t="s">
        <v>30</v>
      </c>
    </row>
    <row r="1206" spans="2:14" s="9" customFormat="1" hidden="1" x14ac:dyDescent="0.25">
      <c r="B1206" s="120">
        <v>1203</v>
      </c>
      <c r="C1206" s="122">
        <v>20101085199</v>
      </c>
      <c r="D1206" s="125" t="s">
        <v>421</v>
      </c>
      <c r="E1206" s="125" t="s">
        <v>3316</v>
      </c>
      <c r="F1206" s="122" t="s">
        <v>30</v>
      </c>
      <c r="G1206" s="122" t="s">
        <v>30</v>
      </c>
      <c r="H1206" s="122" t="s">
        <v>135</v>
      </c>
      <c r="I1206" s="125" t="s">
        <v>1365</v>
      </c>
      <c r="J1206" s="129" t="s">
        <v>3317</v>
      </c>
      <c r="K1206" s="122" t="s">
        <v>3318</v>
      </c>
      <c r="L1206" s="131" t="s">
        <v>1558</v>
      </c>
      <c r="M1206" s="133" t="s">
        <v>3319</v>
      </c>
      <c r="N1206" s="122" t="s">
        <v>30</v>
      </c>
    </row>
    <row r="1207" spans="2:14" s="9" customFormat="1" hidden="1" x14ac:dyDescent="0.25">
      <c r="B1207" s="120">
        <v>1204</v>
      </c>
      <c r="C1207" s="122">
        <v>20101085199</v>
      </c>
      <c r="D1207" s="125" t="s">
        <v>421</v>
      </c>
      <c r="E1207" s="125" t="s">
        <v>3316</v>
      </c>
      <c r="F1207" s="122" t="s">
        <v>30</v>
      </c>
      <c r="G1207" s="122" t="s">
        <v>30</v>
      </c>
      <c r="H1207" s="122" t="s">
        <v>135</v>
      </c>
      <c r="I1207" s="125" t="s">
        <v>1365</v>
      </c>
      <c r="J1207" s="129" t="s">
        <v>3320</v>
      </c>
      <c r="K1207" s="122" t="s">
        <v>3321</v>
      </c>
      <c r="L1207" s="131" t="s">
        <v>1558</v>
      </c>
      <c r="M1207" s="133" t="s">
        <v>3319</v>
      </c>
      <c r="N1207" s="122" t="s">
        <v>30</v>
      </c>
    </row>
    <row r="1208" spans="2:14" s="9" customFormat="1" hidden="1" x14ac:dyDescent="0.25">
      <c r="B1208" s="120">
        <v>1205</v>
      </c>
      <c r="C1208" s="122">
        <v>20101085199</v>
      </c>
      <c r="D1208" s="125" t="s">
        <v>421</v>
      </c>
      <c r="E1208" s="125" t="s">
        <v>3316</v>
      </c>
      <c r="F1208" s="122" t="s">
        <v>30</v>
      </c>
      <c r="G1208" s="122" t="s">
        <v>30</v>
      </c>
      <c r="H1208" s="122" t="s">
        <v>135</v>
      </c>
      <c r="I1208" s="125" t="s">
        <v>1365</v>
      </c>
      <c r="J1208" s="129" t="s">
        <v>3322</v>
      </c>
      <c r="K1208" s="122" t="s">
        <v>3323</v>
      </c>
      <c r="L1208" s="131" t="s">
        <v>1558</v>
      </c>
      <c r="M1208" s="133" t="s">
        <v>3319</v>
      </c>
      <c r="N1208" s="122" t="s">
        <v>30</v>
      </c>
    </row>
    <row r="1209" spans="2:14" s="9" customFormat="1" hidden="1" x14ac:dyDescent="0.25">
      <c r="B1209" s="120">
        <v>1206</v>
      </c>
      <c r="C1209" s="122">
        <v>20101085199</v>
      </c>
      <c r="D1209" s="125" t="s">
        <v>421</v>
      </c>
      <c r="E1209" s="125" t="s">
        <v>3316</v>
      </c>
      <c r="F1209" s="122" t="s">
        <v>30</v>
      </c>
      <c r="G1209" s="122" t="s">
        <v>30</v>
      </c>
      <c r="H1209" s="122" t="s">
        <v>135</v>
      </c>
      <c r="I1209" s="125" t="s">
        <v>1365</v>
      </c>
      <c r="J1209" s="129" t="s">
        <v>3324</v>
      </c>
      <c r="K1209" s="122" t="s">
        <v>3325</v>
      </c>
      <c r="L1209" s="131" t="s">
        <v>3326</v>
      </c>
      <c r="M1209" s="133" t="s">
        <v>3319</v>
      </c>
      <c r="N1209" s="122" t="s">
        <v>30</v>
      </c>
    </row>
    <row r="1210" spans="2:14" s="9" customFormat="1" hidden="1" x14ac:dyDescent="0.25">
      <c r="B1210" s="120">
        <v>1207</v>
      </c>
      <c r="C1210" s="122">
        <v>20101085199</v>
      </c>
      <c r="D1210" s="125" t="s">
        <v>421</v>
      </c>
      <c r="E1210" s="125" t="s">
        <v>3316</v>
      </c>
      <c r="F1210" s="122" t="s">
        <v>30</v>
      </c>
      <c r="G1210" s="122" t="s">
        <v>30</v>
      </c>
      <c r="H1210" s="122" t="s">
        <v>135</v>
      </c>
      <c r="I1210" s="125" t="s">
        <v>1365</v>
      </c>
      <c r="J1210" s="129" t="s">
        <v>3327</v>
      </c>
      <c r="K1210" s="122" t="s">
        <v>3328</v>
      </c>
      <c r="L1210" s="131" t="s">
        <v>1558</v>
      </c>
      <c r="M1210" s="133" t="s">
        <v>3319</v>
      </c>
      <c r="N1210" s="122" t="s">
        <v>30</v>
      </c>
    </row>
    <row r="1211" spans="2:14" s="9" customFormat="1" hidden="1" x14ac:dyDescent="0.25">
      <c r="B1211" s="120">
        <v>1208</v>
      </c>
      <c r="C1211" s="122">
        <v>20392914871</v>
      </c>
      <c r="D1211" s="125" t="s">
        <v>1104</v>
      </c>
      <c r="E1211" s="125" t="s">
        <v>3329</v>
      </c>
      <c r="F1211" s="122" t="s">
        <v>30</v>
      </c>
      <c r="G1211" s="122" t="s">
        <v>30</v>
      </c>
      <c r="H1211" s="122" t="s">
        <v>58</v>
      </c>
      <c r="I1211" s="125" t="s">
        <v>3330</v>
      </c>
      <c r="J1211" s="129" t="s">
        <v>8263</v>
      </c>
      <c r="K1211" s="122" t="s">
        <v>3331</v>
      </c>
      <c r="L1211" s="131" t="s">
        <v>1577</v>
      </c>
      <c r="M1211" s="133" t="s">
        <v>3332</v>
      </c>
      <c r="N1211" s="122" t="s">
        <v>30</v>
      </c>
    </row>
    <row r="1212" spans="2:14" s="9" customFormat="1" hidden="1" x14ac:dyDescent="0.25">
      <c r="B1212" s="120">
        <v>1209</v>
      </c>
      <c r="C1212" s="122">
        <v>20600162153</v>
      </c>
      <c r="D1212" s="125" t="s">
        <v>371</v>
      </c>
      <c r="E1212" s="125" t="s">
        <v>3333</v>
      </c>
      <c r="F1212" s="122" t="s">
        <v>30</v>
      </c>
      <c r="G1212" s="122" t="s">
        <v>30</v>
      </c>
      <c r="H1212" s="122" t="s">
        <v>43</v>
      </c>
      <c r="I1212" s="125" t="s">
        <v>3334</v>
      </c>
      <c r="J1212" s="129" t="s">
        <v>8491</v>
      </c>
      <c r="K1212" s="122" t="s">
        <v>3335</v>
      </c>
      <c r="L1212" s="131" t="s">
        <v>731</v>
      </c>
      <c r="M1212" s="133" t="s">
        <v>3336</v>
      </c>
      <c r="N1212" s="122" t="s">
        <v>30</v>
      </c>
    </row>
    <row r="1213" spans="2:14" s="9" customFormat="1" hidden="1" x14ac:dyDescent="0.25">
      <c r="B1213" s="120">
        <v>1210</v>
      </c>
      <c r="C1213" s="122">
        <v>20604970696</v>
      </c>
      <c r="D1213" s="125" t="s">
        <v>506</v>
      </c>
      <c r="E1213" s="125" t="s">
        <v>3337</v>
      </c>
      <c r="F1213" s="122" t="s">
        <v>30</v>
      </c>
      <c r="G1213" s="122" t="s">
        <v>30</v>
      </c>
      <c r="H1213" s="122" t="s">
        <v>30</v>
      </c>
      <c r="I1213" s="125" t="s">
        <v>3235</v>
      </c>
      <c r="J1213" s="129" t="s">
        <v>8492</v>
      </c>
      <c r="K1213" s="122" t="s">
        <v>3338</v>
      </c>
      <c r="L1213" s="131" t="s">
        <v>731</v>
      </c>
      <c r="M1213" s="133" t="s">
        <v>3339</v>
      </c>
      <c r="N1213" s="122" t="s">
        <v>30</v>
      </c>
    </row>
    <row r="1214" spans="2:14" s="9" customFormat="1" hidden="1" x14ac:dyDescent="0.25">
      <c r="B1214" s="120">
        <v>1211</v>
      </c>
      <c r="C1214" s="122">
        <v>20266693916</v>
      </c>
      <c r="D1214" s="125" t="s">
        <v>547</v>
      </c>
      <c r="E1214" s="125" t="s">
        <v>1130</v>
      </c>
      <c r="F1214" s="122" t="s">
        <v>30</v>
      </c>
      <c r="G1214" s="122" t="s">
        <v>30</v>
      </c>
      <c r="H1214" s="122" t="s">
        <v>110</v>
      </c>
      <c r="I1214" s="125" t="s">
        <v>1943</v>
      </c>
      <c r="J1214" s="129" t="s">
        <v>3340</v>
      </c>
      <c r="K1214" s="122" t="s">
        <v>3341</v>
      </c>
      <c r="L1214" s="131" t="s">
        <v>3326</v>
      </c>
      <c r="M1214" s="133" t="s">
        <v>3342</v>
      </c>
      <c r="N1214" s="122" t="s">
        <v>30</v>
      </c>
    </row>
    <row r="1215" spans="2:14" s="9" customFormat="1" hidden="1" x14ac:dyDescent="0.25">
      <c r="B1215" s="120">
        <v>1212</v>
      </c>
      <c r="C1215" s="122">
        <v>20266693916</v>
      </c>
      <c r="D1215" s="125" t="s">
        <v>547</v>
      </c>
      <c r="E1215" s="125" t="s">
        <v>1130</v>
      </c>
      <c r="F1215" s="122" t="s">
        <v>30</v>
      </c>
      <c r="G1215" s="122" t="s">
        <v>30</v>
      </c>
      <c r="H1215" s="122" t="s">
        <v>110</v>
      </c>
      <c r="I1215" s="125" t="s">
        <v>1943</v>
      </c>
      <c r="J1215" s="129" t="s">
        <v>3343</v>
      </c>
      <c r="K1215" s="122" t="s">
        <v>3344</v>
      </c>
      <c r="L1215" s="131" t="s">
        <v>731</v>
      </c>
      <c r="M1215" s="133" t="s">
        <v>3342</v>
      </c>
      <c r="N1215" s="122" t="s">
        <v>30</v>
      </c>
    </row>
    <row r="1216" spans="2:14" s="9" customFormat="1" hidden="1" x14ac:dyDescent="0.25">
      <c r="B1216" s="120">
        <v>1213</v>
      </c>
      <c r="C1216" s="122">
        <v>20602915507</v>
      </c>
      <c r="D1216" s="125" t="s">
        <v>546</v>
      </c>
      <c r="E1216" s="125" t="s">
        <v>3345</v>
      </c>
      <c r="F1216" s="122" t="s">
        <v>30</v>
      </c>
      <c r="G1216" s="122" t="s">
        <v>30</v>
      </c>
      <c r="H1216" s="122" t="s">
        <v>35</v>
      </c>
      <c r="I1216" s="125" t="s">
        <v>1966</v>
      </c>
      <c r="J1216" s="129" t="s">
        <v>3346</v>
      </c>
      <c r="K1216" s="122" t="s">
        <v>3347</v>
      </c>
      <c r="L1216" s="131" t="s">
        <v>731</v>
      </c>
      <c r="M1216" s="133" t="s">
        <v>3348</v>
      </c>
      <c r="N1216" s="122" t="s">
        <v>30</v>
      </c>
    </row>
    <row r="1217" spans="2:14" s="9" customFormat="1" hidden="1" x14ac:dyDescent="0.25">
      <c r="B1217" s="120">
        <v>1214</v>
      </c>
      <c r="C1217" s="122">
        <v>20601613388</v>
      </c>
      <c r="D1217" s="125" t="s">
        <v>3167</v>
      </c>
      <c r="E1217" s="125" t="s">
        <v>3168</v>
      </c>
      <c r="F1217" s="122" t="s">
        <v>30</v>
      </c>
      <c r="G1217" s="122" t="s">
        <v>30</v>
      </c>
      <c r="H1217" s="122" t="s">
        <v>30</v>
      </c>
      <c r="I1217" s="125" t="s">
        <v>1450</v>
      </c>
      <c r="J1217" s="129" t="s">
        <v>3169</v>
      </c>
      <c r="K1217" s="122" t="s">
        <v>3170</v>
      </c>
      <c r="L1217" s="131" t="s">
        <v>731</v>
      </c>
      <c r="M1217" s="133" t="s">
        <v>845</v>
      </c>
      <c r="N1217" s="122" t="s">
        <v>845</v>
      </c>
    </row>
    <row r="1218" spans="2:14" s="9" customFormat="1" hidden="1" x14ac:dyDescent="0.25">
      <c r="B1218" s="120">
        <v>1215</v>
      </c>
      <c r="C1218" s="122">
        <v>20459442635</v>
      </c>
      <c r="D1218" s="125" t="s">
        <v>713</v>
      </c>
      <c r="E1218" s="125" t="s">
        <v>3160</v>
      </c>
      <c r="F1218" s="122" t="s">
        <v>30</v>
      </c>
      <c r="G1218" s="122" t="s">
        <v>30</v>
      </c>
      <c r="H1218" s="122" t="s">
        <v>52</v>
      </c>
      <c r="I1218" s="125" t="s">
        <v>2489</v>
      </c>
      <c r="J1218" s="129" t="s">
        <v>6225</v>
      </c>
      <c r="K1218" s="122" t="s">
        <v>3165</v>
      </c>
      <c r="L1218" s="131" t="s">
        <v>36</v>
      </c>
      <c r="M1218" s="133" t="s">
        <v>3163</v>
      </c>
      <c r="N1218" s="122" t="s">
        <v>30</v>
      </c>
    </row>
    <row r="1219" spans="2:14" s="9" customFormat="1" hidden="1" x14ac:dyDescent="0.25">
      <c r="B1219" s="120">
        <v>1216</v>
      </c>
      <c r="C1219" s="122">
        <v>20459442635</v>
      </c>
      <c r="D1219" s="125" t="s">
        <v>713</v>
      </c>
      <c r="E1219" s="125" t="s">
        <v>3160</v>
      </c>
      <c r="F1219" s="122" t="s">
        <v>30</v>
      </c>
      <c r="G1219" s="122" t="s">
        <v>30</v>
      </c>
      <c r="H1219" s="122" t="s">
        <v>52</v>
      </c>
      <c r="I1219" s="125" t="s">
        <v>2489</v>
      </c>
      <c r="J1219" s="129" t="s">
        <v>8496</v>
      </c>
      <c r="K1219" s="122" t="s">
        <v>3164</v>
      </c>
      <c r="L1219" s="131" t="s">
        <v>731</v>
      </c>
      <c r="M1219" s="133" t="s">
        <v>3163</v>
      </c>
      <c r="N1219" s="122" t="s">
        <v>30</v>
      </c>
    </row>
    <row r="1220" spans="2:14" s="9" customFormat="1" hidden="1" x14ac:dyDescent="0.25">
      <c r="B1220" s="120">
        <v>1217</v>
      </c>
      <c r="C1220" s="122">
        <v>20459442635</v>
      </c>
      <c r="D1220" s="125" t="s">
        <v>713</v>
      </c>
      <c r="E1220" s="125" t="s">
        <v>3160</v>
      </c>
      <c r="F1220" s="122" t="s">
        <v>30</v>
      </c>
      <c r="G1220" s="122" t="s">
        <v>30</v>
      </c>
      <c r="H1220" s="122" t="s">
        <v>52</v>
      </c>
      <c r="I1220" s="125" t="s">
        <v>2489</v>
      </c>
      <c r="J1220" s="129" t="s">
        <v>3161</v>
      </c>
      <c r="K1220" s="122" t="s">
        <v>3162</v>
      </c>
      <c r="L1220" s="131" t="s">
        <v>36</v>
      </c>
      <c r="M1220" s="133" t="s">
        <v>3163</v>
      </c>
      <c r="N1220" s="122" t="s">
        <v>30</v>
      </c>
    </row>
    <row r="1221" spans="2:14" s="9" customFormat="1" hidden="1" x14ac:dyDescent="0.25">
      <c r="B1221" s="120">
        <v>1218</v>
      </c>
      <c r="C1221" s="122">
        <v>20556754579</v>
      </c>
      <c r="D1221" s="125" t="s">
        <v>3155</v>
      </c>
      <c r="E1221" s="125" t="s">
        <v>3156</v>
      </c>
      <c r="F1221" s="122" t="s">
        <v>30</v>
      </c>
      <c r="G1221" s="122" t="s">
        <v>30</v>
      </c>
      <c r="H1221" s="122" t="s">
        <v>45</v>
      </c>
      <c r="I1221" s="125" t="s">
        <v>1424</v>
      </c>
      <c r="J1221" s="129" t="s">
        <v>3157</v>
      </c>
      <c r="K1221" s="122" t="s">
        <v>3158</v>
      </c>
      <c r="L1221" s="122" t="s">
        <v>731</v>
      </c>
      <c r="M1221" s="133" t="s">
        <v>3159</v>
      </c>
      <c r="N1221" s="122" t="s">
        <v>30</v>
      </c>
    </row>
    <row r="1222" spans="2:14" s="9" customFormat="1" hidden="1" x14ac:dyDescent="0.25">
      <c r="B1222" s="120">
        <v>1219</v>
      </c>
      <c r="C1222" s="122">
        <v>20100067324</v>
      </c>
      <c r="D1222" s="125" t="s">
        <v>658</v>
      </c>
      <c r="E1222" s="125" t="s">
        <v>3145</v>
      </c>
      <c r="F1222" s="122" t="s">
        <v>30</v>
      </c>
      <c r="G1222" s="122" t="s">
        <v>30</v>
      </c>
      <c r="H1222" s="122" t="s">
        <v>51</v>
      </c>
      <c r="I1222" s="125" t="s">
        <v>1755</v>
      </c>
      <c r="J1222" s="129" t="s">
        <v>3153</v>
      </c>
      <c r="K1222" s="122" t="s">
        <v>3154</v>
      </c>
      <c r="L1222" s="122" t="s">
        <v>42</v>
      </c>
      <c r="M1222" s="133" t="s">
        <v>3147</v>
      </c>
      <c r="N1222" s="122" t="s">
        <v>30</v>
      </c>
    </row>
    <row r="1223" spans="2:14" s="9" customFormat="1" hidden="1" x14ac:dyDescent="0.25">
      <c r="B1223" s="120">
        <v>1220</v>
      </c>
      <c r="C1223" s="122">
        <v>20100067324</v>
      </c>
      <c r="D1223" s="125" t="s">
        <v>658</v>
      </c>
      <c r="E1223" s="125" t="s">
        <v>3145</v>
      </c>
      <c r="F1223" s="122" t="s">
        <v>30</v>
      </c>
      <c r="G1223" s="122" t="s">
        <v>30</v>
      </c>
      <c r="H1223" s="122" t="s">
        <v>51</v>
      </c>
      <c r="I1223" s="125" t="s">
        <v>1755</v>
      </c>
      <c r="J1223" s="129" t="s">
        <v>3151</v>
      </c>
      <c r="K1223" s="122" t="s">
        <v>3152</v>
      </c>
      <c r="L1223" s="122" t="s">
        <v>209</v>
      </c>
      <c r="M1223" s="133" t="s">
        <v>3147</v>
      </c>
      <c r="N1223" s="122" t="s">
        <v>30</v>
      </c>
    </row>
    <row r="1224" spans="2:14" s="9" customFormat="1" hidden="1" x14ac:dyDescent="0.25">
      <c r="B1224" s="120">
        <v>1221</v>
      </c>
      <c r="C1224" s="122">
        <v>20100067324</v>
      </c>
      <c r="D1224" s="125" t="s">
        <v>658</v>
      </c>
      <c r="E1224" s="125" t="s">
        <v>3145</v>
      </c>
      <c r="F1224" s="122" t="s">
        <v>30</v>
      </c>
      <c r="G1224" s="122" t="s">
        <v>30</v>
      </c>
      <c r="H1224" s="122" t="s">
        <v>51</v>
      </c>
      <c r="I1224" s="125" t="s">
        <v>1755</v>
      </c>
      <c r="J1224" s="129" t="s">
        <v>3150</v>
      </c>
      <c r="K1224" s="122" t="s">
        <v>5966</v>
      </c>
      <c r="L1224" s="122" t="s">
        <v>209</v>
      </c>
      <c r="M1224" s="133" t="s">
        <v>3147</v>
      </c>
      <c r="N1224" s="122" t="s">
        <v>30</v>
      </c>
    </row>
    <row r="1225" spans="2:14" s="9" customFormat="1" hidden="1" x14ac:dyDescent="0.25">
      <c r="B1225" s="120">
        <v>1222</v>
      </c>
      <c r="C1225" s="122">
        <v>20100067324</v>
      </c>
      <c r="D1225" s="125" t="s">
        <v>658</v>
      </c>
      <c r="E1225" s="125" t="s">
        <v>3145</v>
      </c>
      <c r="F1225" s="122" t="s">
        <v>30</v>
      </c>
      <c r="G1225" s="122" t="s">
        <v>30</v>
      </c>
      <c r="H1225" s="122" t="s">
        <v>51</v>
      </c>
      <c r="I1225" s="125" t="s">
        <v>1755</v>
      </c>
      <c r="J1225" s="129" t="s">
        <v>3148</v>
      </c>
      <c r="K1225" s="122" t="s">
        <v>3149</v>
      </c>
      <c r="L1225" s="122" t="s">
        <v>209</v>
      </c>
      <c r="M1225" s="133" t="s">
        <v>3147</v>
      </c>
      <c r="N1225" s="122" t="s">
        <v>30</v>
      </c>
    </row>
    <row r="1226" spans="2:14" s="9" customFormat="1" hidden="1" x14ac:dyDescent="0.25">
      <c r="B1226" s="120">
        <v>1223</v>
      </c>
      <c r="C1226" s="122">
        <v>20100067324</v>
      </c>
      <c r="D1226" s="125" t="s">
        <v>658</v>
      </c>
      <c r="E1226" s="125" t="s">
        <v>3145</v>
      </c>
      <c r="F1226" s="122" t="s">
        <v>30</v>
      </c>
      <c r="G1226" s="122" t="s">
        <v>30</v>
      </c>
      <c r="H1226" s="122" t="s">
        <v>51</v>
      </c>
      <c r="I1226" s="125" t="s">
        <v>1755</v>
      </c>
      <c r="J1226" s="129" t="s">
        <v>3146</v>
      </c>
      <c r="K1226" s="122" t="s">
        <v>5967</v>
      </c>
      <c r="L1226" s="122" t="s">
        <v>209</v>
      </c>
      <c r="M1226" s="133" t="s">
        <v>3147</v>
      </c>
      <c r="N1226" s="122" t="s">
        <v>30</v>
      </c>
    </row>
    <row r="1227" spans="2:14" s="9" customFormat="1" hidden="1" x14ac:dyDescent="0.25">
      <c r="B1227" s="120">
        <v>1224</v>
      </c>
      <c r="C1227" s="122">
        <v>20601727006</v>
      </c>
      <c r="D1227" s="125" t="s">
        <v>3141</v>
      </c>
      <c r="E1227" s="125" t="s">
        <v>3142</v>
      </c>
      <c r="F1227" s="122" t="s">
        <v>30</v>
      </c>
      <c r="G1227" s="122" t="s">
        <v>30</v>
      </c>
      <c r="H1227" s="122" t="s">
        <v>51</v>
      </c>
      <c r="I1227" s="125" t="s">
        <v>1519</v>
      </c>
      <c r="J1227" s="129" t="s">
        <v>8295</v>
      </c>
      <c r="K1227" s="122" t="s">
        <v>3143</v>
      </c>
      <c r="L1227" s="122" t="s">
        <v>36</v>
      </c>
      <c r="M1227" s="133" t="s">
        <v>3144</v>
      </c>
      <c r="N1227" s="122" t="s">
        <v>30</v>
      </c>
    </row>
    <row r="1228" spans="2:14" s="9" customFormat="1" hidden="1" x14ac:dyDescent="0.25">
      <c r="B1228" s="120">
        <v>1225</v>
      </c>
      <c r="C1228" s="122">
        <v>20607497070</v>
      </c>
      <c r="D1228" s="125" t="s">
        <v>3137</v>
      </c>
      <c r="E1228" s="125" t="s">
        <v>3138</v>
      </c>
      <c r="F1228" s="122" t="s">
        <v>30</v>
      </c>
      <c r="G1228" s="122" t="s">
        <v>30</v>
      </c>
      <c r="H1228" s="122" t="s">
        <v>75</v>
      </c>
      <c r="I1228" s="125" t="s">
        <v>1384</v>
      </c>
      <c r="J1228" s="129" t="s">
        <v>8490</v>
      </c>
      <c r="K1228" s="122" t="s">
        <v>3140</v>
      </c>
      <c r="L1228" s="122" t="s">
        <v>42</v>
      </c>
      <c r="M1228" s="133" t="s">
        <v>3139</v>
      </c>
      <c r="N1228" s="122" t="s">
        <v>30</v>
      </c>
    </row>
    <row r="1229" spans="2:14" s="9" customFormat="1" hidden="1" x14ac:dyDescent="0.25">
      <c r="B1229" s="120">
        <v>1226</v>
      </c>
      <c r="C1229" s="122">
        <v>20609403137</v>
      </c>
      <c r="D1229" s="125" t="s">
        <v>712</v>
      </c>
      <c r="E1229" s="125" t="s">
        <v>3134</v>
      </c>
      <c r="F1229" s="122" t="s">
        <v>30</v>
      </c>
      <c r="G1229" s="122" t="s">
        <v>30</v>
      </c>
      <c r="H1229" s="122" t="s">
        <v>50</v>
      </c>
      <c r="I1229" s="125" t="s">
        <v>1441</v>
      </c>
      <c r="J1229" s="129" t="s">
        <v>8495</v>
      </c>
      <c r="K1229" s="122" t="s">
        <v>3135</v>
      </c>
      <c r="L1229" s="122" t="s">
        <v>1577</v>
      </c>
      <c r="M1229" s="133" t="s">
        <v>3136</v>
      </c>
      <c r="N1229" s="122" t="s">
        <v>30</v>
      </c>
    </row>
    <row r="1230" spans="2:14" s="9" customFormat="1" hidden="1" x14ac:dyDescent="0.25">
      <c r="B1230" s="120">
        <v>1227</v>
      </c>
      <c r="C1230" s="122">
        <v>20610065326</v>
      </c>
      <c r="D1230" s="125" t="s">
        <v>699</v>
      </c>
      <c r="E1230" s="125" t="s">
        <v>3130</v>
      </c>
      <c r="F1230" s="122" t="s">
        <v>30</v>
      </c>
      <c r="G1230" s="122" t="s">
        <v>30</v>
      </c>
      <c r="H1230" s="122" t="s">
        <v>45</v>
      </c>
      <c r="I1230" s="125" t="s">
        <v>1952</v>
      </c>
      <c r="J1230" s="129" t="s">
        <v>3131</v>
      </c>
      <c r="K1230" s="122" t="s">
        <v>3132</v>
      </c>
      <c r="L1230" s="122" t="s">
        <v>1577</v>
      </c>
      <c r="M1230" s="133" t="s">
        <v>3133</v>
      </c>
      <c r="N1230" s="122" t="s">
        <v>30</v>
      </c>
    </row>
    <row r="1231" spans="2:14" s="9" customFormat="1" hidden="1" x14ac:dyDescent="0.25">
      <c r="B1231" s="120">
        <v>1228</v>
      </c>
      <c r="C1231" s="122">
        <v>20101324100</v>
      </c>
      <c r="D1231" s="125" t="s">
        <v>623</v>
      </c>
      <c r="E1231" s="125" t="s">
        <v>3122</v>
      </c>
      <c r="F1231" s="122" t="s">
        <v>30</v>
      </c>
      <c r="G1231" s="122" t="s">
        <v>30</v>
      </c>
      <c r="H1231" s="122" t="s">
        <v>80</v>
      </c>
      <c r="I1231" s="125" t="s">
        <v>1981</v>
      </c>
      <c r="J1231" s="129" t="s">
        <v>3128</v>
      </c>
      <c r="K1231" s="122" t="s">
        <v>3129</v>
      </c>
      <c r="L1231" s="122" t="s">
        <v>119</v>
      </c>
      <c r="M1231" s="133" t="s">
        <v>3125</v>
      </c>
      <c r="N1231" s="122" t="s">
        <v>30</v>
      </c>
    </row>
    <row r="1232" spans="2:14" s="9" customFormat="1" hidden="1" x14ac:dyDescent="0.25">
      <c r="B1232" s="120">
        <v>1229</v>
      </c>
      <c r="C1232" s="122">
        <v>20101324100</v>
      </c>
      <c r="D1232" s="125" t="s">
        <v>623</v>
      </c>
      <c r="E1232" s="125" t="s">
        <v>3122</v>
      </c>
      <c r="F1232" s="122" t="s">
        <v>30</v>
      </c>
      <c r="G1232" s="122" t="s">
        <v>30</v>
      </c>
      <c r="H1232" s="122" t="s">
        <v>80</v>
      </c>
      <c r="I1232" s="125" t="s">
        <v>1981</v>
      </c>
      <c r="J1232" s="129" t="s">
        <v>3126</v>
      </c>
      <c r="K1232" s="122" t="s">
        <v>3127</v>
      </c>
      <c r="L1232" s="122" t="s">
        <v>2022</v>
      </c>
      <c r="M1232" s="133" t="s">
        <v>3125</v>
      </c>
      <c r="N1232" s="122" t="s">
        <v>30</v>
      </c>
    </row>
    <row r="1233" spans="2:14" s="9" customFormat="1" hidden="1" x14ac:dyDescent="0.25">
      <c r="B1233" s="120">
        <v>1230</v>
      </c>
      <c r="C1233" s="122">
        <v>20101324100</v>
      </c>
      <c r="D1233" s="125" t="s">
        <v>623</v>
      </c>
      <c r="E1233" s="125" t="s">
        <v>3122</v>
      </c>
      <c r="F1233" s="122" t="s">
        <v>30</v>
      </c>
      <c r="G1233" s="122" t="s">
        <v>30</v>
      </c>
      <c r="H1233" s="122" t="s">
        <v>80</v>
      </c>
      <c r="I1233" s="125" t="s">
        <v>1981</v>
      </c>
      <c r="J1233" s="129" t="s">
        <v>3123</v>
      </c>
      <c r="K1233" s="122" t="s">
        <v>3124</v>
      </c>
      <c r="L1233" s="122" t="s">
        <v>731</v>
      </c>
      <c r="M1233" s="133" t="s">
        <v>3125</v>
      </c>
      <c r="N1233" s="122" t="s">
        <v>30</v>
      </c>
    </row>
    <row r="1234" spans="2:14" s="9" customFormat="1" hidden="1" x14ac:dyDescent="0.25">
      <c r="B1234" s="120">
        <v>1231</v>
      </c>
      <c r="C1234" s="122">
        <v>20602266771</v>
      </c>
      <c r="D1234" s="125" t="s">
        <v>3117</v>
      </c>
      <c r="E1234" s="125" t="s">
        <v>3118</v>
      </c>
      <c r="F1234" s="122" t="s">
        <v>30</v>
      </c>
      <c r="G1234" s="122" t="s">
        <v>30</v>
      </c>
      <c r="H1234" s="122" t="s">
        <v>52</v>
      </c>
      <c r="I1234" s="125" t="s">
        <v>2196</v>
      </c>
      <c r="J1234" s="129" t="s">
        <v>3119</v>
      </c>
      <c r="K1234" s="122" t="s">
        <v>3120</v>
      </c>
      <c r="L1234" s="122" t="s">
        <v>731</v>
      </c>
      <c r="M1234" s="133" t="s">
        <v>3121</v>
      </c>
      <c r="N1234" s="122" t="s">
        <v>30</v>
      </c>
    </row>
    <row r="1235" spans="2:14" s="9" customFormat="1" hidden="1" x14ac:dyDescent="0.25">
      <c r="B1235" s="120">
        <v>1232</v>
      </c>
      <c r="C1235" s="122">
        <v>20511665826</v>
      </c>
      <c r="D1235" s="125" t="s">
        <v>501</v>
      </c>
      <c r="E1235" s="125" t="s">
        <v>3113</v>
      </c>
      <c r="F1235" s="122" t="s">
        <v>30</v>
      </c>
      <c r="G1235" s="122" t="s">
        <v>30</v>
      </c>
      <c r="H1235" s="122" t="s">
        <v>64</v>
      </c>
      <c r="I1235" s="125" t="s">
        <v>1528</v>
      </c>
      <c r="J1235" s="129" t="s">
        <v>3114</v>
      </c>
      <c r="K1235" s="122" t="s">
        <v>3115</v>
      </c>
      <c r="L1235" s="122" t="s">
        <v>36</v>
      </c>
      <c r="M1235" s="133" t="s">
        <v>3116</v>
      </c>
      <c r="N1235" s="122" t="s">
        <v>30</v>
      </c>
    </row>
    <row r="1236" spans="2:14" s="9" customFormat="1" hidden="1" x14ac:dyDescent="0.25">
      <c r="B1236" s="120">
        <v>1233</v>
      </c>
      <c r="C1236" s="122">
        <v>20602859879</v>
      </c>
      <c r="D1236" s="125" t="s">
        <v>202</v>
      </c>
      <c r="E1236" s="125" t="s">
        <v>3109</v>
      </c>
      <c r="F1236" s="122" t="s">
        <v>30</v>
      </c>
      <c r="G1236" s="122" t="s">
        <v>30</v>
      </c>
      <c r="H1236" s="122" t="s">
        <v>110</v>
      </c>
      <c r="I1236" s="125" t="s">
        <v>1377</v>
      </c>
      <c r="J1236" s="129" t="s">
        <v>3110</v>
      </c>
      <c r="K1236" s="122" t="s">
        <v>3111</v>
      </c>
      <c r="L1236" s="122" t="s">
        <v>731</v>
      </c>
      <c r="M1236" s="133" t="s">
        <v>3112</v>
      </c>
      <c r="N1236" s="122" t="s">
        <v>30</v>
      </c>
    </row>
    <row r="1237" spans="2:14" s="9" customFormat="1" hidden="1" x14ac:dyDescent="0.25">
      <c r="B1237" s="120">
        <v>1234</v>
      </c>
      <c r="C1237" s="122">
        <v>20297182456</v>
      </c>
      <c r="D1237" s="125" t="s">
        <v>114</v>
      </c>
      <c r="E1237" s="125" t="s">
        <v>3095</v>
      </c>
      <c r="F1237" s="122" t="s">
        <v>30</v>
      </c>
      <c r="G1237" s="122" t="s">
        <v>30</v>
      </c>
      <c r="H1237" s="122" t="s">
        <v>52</v>
      </c>
      <c r="I1237" s="125" t="s">
        <v>1940</v>
      </c>
      <c r="J1237" s="129" t="s">
        <v>3107</v>
      </c>
      <c r="K1237" s="122" t="s">
        <v>3108</v>
      </c>
      <c r="L1237" s="122" t="s">
        <v>1558</v>
      </c>
      <c r="M1237" s="133" t="s">
        <v>3098</v>
      </c>
      <c r="N1237" s="122" t="s">
        <v>30</v>
      </c>
    </row>
    <row r="1238" spans="2:14" s="9" customFormat="1" hidden="1" x14ac:dyDescent="0.25">
      <c r="B1238" s="120">
        <v>1235</v>
      </c>
      <c r="C1238" s="122">
        <v>20297182456</v>
      </c>
      <c r="D1238" s="125" t="s">
        <v>114</v>
      </c>
      <c r="E1238" s="125" t="s">
        <v>3095</v>
      </c>
      <c r="F1238" s="122" t="s">
        <v>30</v>
      </c>
      <c r="G1238" s="122" t="s">
        <v>30</v>
      </c>
      <c r="H1238" s="122" t="s">
        <v>52</v>
      </c>
      <c r="I1238" s="125" t="s">
        <v>1940</v>
      </c>
      <c r="J1238" s="129" t="s">
        <v>3105</v>
      </c>
      <c r="K1238" s="122" t="s">
        <v>3106</v>
      </c>
      <c r="L1238" s="122" t="s">
        <v>1558</v>
      </c>
      <c r="M1238" s="133" t="s">
        <v>3098</v>
      </c>
      <c r="N1238" s="122" t="s">
        <v>30</v>
      </c>
    </row>
    <row r="1239" spans="2:14" s="9" customFormat="1" hidden="1" x14ac:dyDescent="0.25">
      <c r="B1239" s="120">
        <v>1236</v>
      </c>
      <c r="C1239" s="122">
        <v>20297182456</v>
      </c>
      <c r="D1239" s="125" t="s">
        <v>114</v>
      </c>
      <c r="E1239" s="125" t="s">
        <v>3095</v>
      </c>
      <c r="F1239" s="122" t="s">
        <v>30</v>
      </c>
      <c r="G1239" s="122" t="s">
        <v>30</v>
      </c>
      <c r="H1239" s="122" t="s">
        <v>52</v>
      </c>
      <c r="I1239" s="125" t="s">
        <v>1940</v>
      </c>
      <c r="J1239" s="129" t="s">
        <v>3103</v>
      </c>
      <c r="K1239" s="122" t="s">
        <v>3104</v>
      </c>
      <c r="L1239" s="122" t="s">
        <v>1558</v>
      </c>
      <c r="M1239" s="133" t="s">
        <v>3098</v>
      </c>
      <c r="N1239" s="122" t="s">
        <v>30</v>
      </c>
    </row>
    <row r="1240" spans="2:14" s="9" customFormat="1" hidden="1" x14ac:dyDescent="0.25">
      <c r="B1240" s="120">
        <v>1237</v>
      </c>
      <c r="C1240" s="122">
        <v>20297182456</v>
      </c>
      <c r="D1240" s="125" t="s">
        <v>114</v>
      </c>
      <c r="E1240" s="125" t="s">
        <v>3095</v>
      </c>
      <c r="F1240" s="122" t="s">
        <v>30</v>
      </c>
      <c r="G1240" s="122" t="s">
        <v>30</v>
      </c>
      <c r="H1240" s="122" t="s">
        <v>52</v>
      </c>
      <c r="I1240" s="125" t="s">
        <v>1940</v>
      </c>
      <c r="J1240" s="129" t="s">
        <v>3101</v>
      </c>
      <c r="K1240" s="122" t="s">
        <v>3102</v>
      </c>
      <c r="L1240" s="122" t="s">
        <v>1558</v>
      </c>
      <c r="M1240" s="133" t="s">
        <v>3098</v>
      </c>
      <c r="N1240" s="122" t="s">
        <v>30</v>
      </c>
    </row>
    <row r="1241" spans="2:14" s="9" customFormat="1" hidden="1" x14ac:dyDescent="0.25">
      <c r="B1241" s="120">
        <v>1238</v>
      </c>
      <c r="C1241" s="122">
        <v>20297182456</v>
      </c>
      <c r="D1241" s="125" t="s">
        <v>114</v>
      </c>
      <c r="E1241" s="125" t="s">
        <v>3095</v>
      </c>
      <c r="F1241" s="122" t="s">
        <v>30</v>
      </c>
      <c r="G1241" s="122" t="s">
        <v>30</v>
      </c>
      <c r="H1241" s="122" t="s">
        <v>52</v>
      </c>
      <c r="I1241" s="125" t="s">
        <v>1940</v>
      </c>
      <c r="J1241" s="129" t="s">
        <v>3099</v>
      </c>
      <c r="K1241" s="122" t="s">
        <v>3100</v>
      </c>
      <c r="L1241" s="122" t="s">
        <v>731</v>
      </c>
      <c r="M1241" s="133" t="s">
        <v>3098</v>
      </c>
      <c r="N1241" s="122" t="s">
        <v>30</v>
      </c>
    </row>
    <row r="1242" spans="2:14" s="9" customFormat="1" hidden="1" x14ac:dyDescent="0.25">
      <c r="B1242" s="120">
        <v>1239</v>
      </c>
      <c r="C1242" s="122">
        <v>20297182456</v>
      </c>
      <c r="D1242" s="125" t="s">
        <v>114</v>
      </c>
      <c r="E1242" s="125" t="s">
        <v>3095</v>
      </c>
      <c r="F1242" s="122" t="s">
        <v>30</v>
      </c>
      <c r="G1242" s="122" t="s">
        <v>30</v>
      </c>
      <c r="H1242" s="122" t="s">
        <v>52</v>
      </c>
      <c r="I1242" s="125" t="s">
        <v>1940</v>
      </c>
      <c r="J1242" s="129" t="s">
        <v>3096</v>
      </c>
      <c r="K1242" s="122" t="s">
        <v>3097</v>
      </c>
      <c r="L1242" s="122" t="s">
        <v>1558</v>
      </c>
      <c r="M1242" s="133" t="s">
        <v>3098</v>
      </c>
      <c r="N1242" s="122" t="s">
        <v>30</v>
      </c>
    </row>
    <row r="1243" spans="2:14" s="9" customFormat="1" hidden="1" x14ac:dyDescent="0.25">
      <c r="B1243" s="120">
        <v>1240</v>
      </c>
      <c r="C1243" s="122">
        <v>20605219684</v>
      </c>
      <c r="D1243" s="125" t="s">
        <v>3091</v>
      </c>
      <c r="E1243" s="125" t="s">
        <v>3092</v>
      </c>
      <c r="F1243" s="122" t="s">
        <v>30</v>
      </c>
      <c r="G1243" s="122" t="s">
        <v>30</v>
      </c>
      <c r="H1243" s="122" t="s">
        <v>43</v>
      </c>
      <c r="I1243" s="125" t="s">
        <v>1365</v>
      </c>
      <c r="J1243" s="129" t="s">
        <v>8255</v>
      </c>
      <c r="K1243" s="122" t="s">
        <v>3093</v>
      </c>
      <c r="L1243" s="122" t="s">
        <v>731</v>
      </c>
      <c r="M1243" s="133" t="s">
        <v>3094</v>
      </c>
      <c r="N1243" s="122" t="s">
        <v>30</v>
      </c>
    </row>
    <row r="1244" spans="2:14" s="9" customFormat="1" hidden="1" x14ac:dyDescent="0.25">
      <c r="B1244" s="120">
        <v>1241</v>
      </c>
      <c r="C1244" s="122">
        <v>20417187147</v>
      </c>
      <c r="D1244" s="125" t="s">
        <v>162</v>
      </c>
      <c r="E1244" s="125" t="s">
        <v>3083</v>
      </c>
      <c r="F1244" s="122" t="s">
        <v>30</v>
      </c>
      <c r="G1244" s="122" t="s">
        <v>30</v>
      </c>
      <c r="H1244" s="122" t="s">
        <v>45</v>
      </c>
      <c r="I1244" s="125" t="s">
        <v>3084</v>
      </c>
      <c r="J1244" s="129" t="s">
        <v>8221</v>
      </c>
      <c r="K1244" s="122" t="s">
        <v>3089</v>
      </c>
      <c r="L1244" s="122" t="s">
        <v>3090</v>
      </c>
      <c r="M1244" s="133" t="s">
        <v>3088</v>
      </c>
      <c r="N1244" s="122" t="s">
        <v>30</v>
      </c>
    </row>
    <row r="1245" spans="2:14" s="9" customFormat="1" hidden="1" x14ac:dyDescent="0.25">
      <c r="B1245" s="120">
        <v>1242</v>
      </c>
      <c r="C1245" s="122">
        <v>20417187147</v>
      </c>
      <c r="D1245" s="125" t="s">
        <v>162</v>
      </c>
      <c r="E1245" s="125" t="s">
        <v>3083</v>
      </c>
      <c r="F1245" s="122" t="s">
        <v>30</v>
      </c>
      <c r="G1245" s="122" t="s">
        <v>30</v>
      </c>
      <c r="H1245" s="122" t="s">
        <v>45</v>
      </c>
      <c r="I1245" s="125" t="s">
        <v>3084</v>
      </c>
      <c r="J1245" s="129" t="s">
        <v>3085</v>
      </c>
      <c r="K1245" s="122" t="s">
        <v>3086</v>
      </c>
      <c r="L1245" s="122" t="s">
        <v>3087</v>
      </c>
      <c r="M1245" s="133" t="s">
        <v>3088</v>
      </c>
      <c r="N1245" s="122" t="s">
        <v>30</v>
      </c>
    </row>
    <row r="1246" spans="2:14" s="9" customFormat="1" hidden="1" x14ac:dyDescent="0.25">
      <c r="B1246" s="120">
        <v>1243</v>
      </c>
      <c r="C1246" s="122">
        <v>20551133436</v>
      </c>
      <c r="D1246" s="125" t="s">
        <v>3079</v>
      </c>
      <c r="E1246" s="125" t="s">
        <v>3080</v>
      </c>
      <c r="F1246" s="122" t="s">
        <v>30</v>
      </c>
      <c r="G1246" s="122" t="s">
        <v>30</v>
      </c>
      <c r="H1246" s="122" t="s">
        <v>75</v>
      </c>
      <c r="I1246" s="125" t="s">
        <v>1970</v>
      </c>
      <c r="J1246" s="129" t="s">
        <v>8292</v>
      </c>
      <c r="K1246" s="122" t="s">
        <v>3081</v>
      </c>
      <c r="L1246" s="122" t="s">
        <v>42</v>
      </c>
      <c r="M1246" s="133" t="s">
        <v>3082</v>
      </c>
      <c r="N1246" s="122" t="s">
        <v>30</v>
      </c>
    </row>
    <row r="1247" spans="2:14" s="9" customFormat="1" hidden="1" x14ac:dyDescent="0.25">
      <c r="B1247" s="120">
        <v>1244</v>
      </c>
      <c r="C1247" s="122">
        <v>20550956803</v>
      </c>
      <c r="D1247" s="125" t="s">
        <v>587</v>
      </c>
      <c r="E1247" s="125" t="s">
        <v>3076</v>
      </c>
      <c r="F1247" s="122" t="s">
        <v>30</v>
      </c>
      <c r="G1247" s="122" t="s">
        <v>30</v>
      </c>
      <c r="H1247" s="122" t="s">
        <v>50</v>
      </c>
      <c r="I1247" s="125" t="s">
        <v>1961</v>
      </c>
      <c r="J1247" s="129" t="s">
        <v>8297</v>
      </c>
      <c r="K1247" s="122" t="s">
        <v>3077</v>
      </c>
      <c r="L1247" s="122" t="s">
        <v>42</v>
      </c>
      <c r="M1247" s="133" t="s">
        <v>3078</v>
      </c>
      <c r="N1247" s="122" t="s">
        <v>30</v>
      </c>
    </row>
    <row r="1248" spans="2:14" s="9" customFormat="1" hidden="1" x14ac:dyDescent="0.25">
      <c r="B1248" s="120">
        <v>1245</v>
      </c>
      <c r="C1248" s="122">
        <v>20609950201</v>
      </c>
      <c r="D1248" s="125" t="s">
        <v>3072</v>
      </c>
      <c r="E1248" s="125" t="s">
        <v>3073</v>
      </c>
      <c r="F1248" s="122" t="s">
        <v>30</v>
      </c>
      <c r="G1248" s="122" t="s">
        <v>30</v>
      </c>
      <c r="H1248" s="122" t="s">
        <v>45</v>
      </c>
      <c r="I1248" s="125" t="s">
        <v>1561</v>
      </c>
      <c r="J1248" s="129" t="s">
        <v>8329</v>
      </c>
      <c r="K1248" s="122" t="s">
        <v>3074</v>
      </c>
      <c r="L1248" s="122" t="s">
        <v>731</v>
      </c>
      <c r="M1248" s="133" t="s">
        <v>3075</v>
      </c>
      <c r="N1248" s="122" t="s">
        <v>30</v>
      </c>
    </row>
    <row r="1249" spans="2:14" s="9" customFormat="1" hidden="1" x14ac:dyDescent="0.25">
      <c r="B1249" s="120">
        <v>1246</v>
      </c>
      <c r="C1249" s="122">
        <v>20600217420</v>
      </c>
      <c r="D1249" s="125" t="s">
        <v>3068</v>
      </c>
      <c r="E1249" s="125" t="s">
        <v>3069</v>
      </c>
      <c r="F1249" s="122" t="s">
        <v>30</v>
      </c>
      <c r="G1249" s="122" t="s">
        <v>30</v>
      </c>
      <c r="H1249" s="122" t="s">
        <v>30</v>
      </c>
      <c r="I1249" s="125" t="s">
        <v>1424</v>
      </c>
      <c r="J1249" s="129" t="s">
        <v>8480</v>
      </c>
      <c r="K1249" s="122" t="s">
        <v>3070</v>
      </c>
      <c r="L1249" s="122" t="s">
        <v>731</v>
      </c>
      <c r="M1249" s="133" t="s">
        <v>3071</v>
      </c>
      <c r="N1249" s="122" t="s">
        <v>30</v>
      </c>
    </row>
    <row r="1250" spans="2:14" s="9" customFormat="1" hidden="1" x14ac:dyDescent="0.25">
      <c r="B1250" s="120">
        <v>1247</v>
      </c>
      <c r="C1250" s="122">
        <v>20380364591</v>
      </c>
      <c r="D1250" s="125" t="s">
        <v>514</v>
      </c>
      <c r="E1250" s="125" t="s">
        <v>3064</v>
      </c>
      <c r="F1250" s="122" t="s">
        <v>30</v>
      </c>
      <c r="G1250" s="122" t="s">
        <v>30</v>
      </c>
      <c r="H1250" s="122" t="s">
        <v>45</v>
      </c>
      <c r="I1250" s="125" t="s">
        <v>1384</v>
      </c>
      <c r="J1250" s="129" t="s">
        <v>3065</v>
      </c>
      <c r="K1250" s="122" t="s">
        <v>3066</v>
      </c>
      <c r="L1250" s="122" t="s">
        <v>36</v>
      </c>
      <c r="M1250" s="133" t="s">
        <v>3067</v>
      </c>
      <c r="N1250" s="122" t="s">
        <v>30</v>
      </c>
    </row>
    <row r="1251" spans="2:14" s="9" customFormat="1" hidden="1" x14ac:dyDescent="0.25">
      <c r="B1251" s="120">
        <v>1248</v>
      </c>
      <c r="C1251" s="122">
        <v>20543031063</v>
      </c>
      <c r="D1251" s="125" t="s">
        <v>3059</v>
      </c>
      <c r="E1251" s="125" t="s">
        <v>3060</v>
      </c>
      <c r="F1251" s="122" t="s">
        <v>30</v>
      </c>
      <c r="G1251" s="122" t="s">
        <v>30</v>
      </c>
      <c r="H1251" s="122" t="s">
        <v>72</v>
      </c>
      <c r="I1251" s="125" t="s">
        <v>1809</v>
      </c>
      <c r="J1251" s="129" t="s">
        <v>3061</v>
      </c>
      <c r="K1251" s="122" t="s">
        <v>3062</v>
      </c>
      <c r="L1251" s="122" t="s">
        <v>57</v>
      </c>
      <c r="M1251" s="133" t="s">
        <v>3063</v>
      </c>
      <c r="N1251" s="122" t="s">
        <v>30</v>
      </c>
    </row>
    <row r="1252" spans="2:14" s="9" customFormat="1" hidden="1" x14ac:dyDescent="0.25">
      <c r="B1252" s="120">
        <v>1249</v>
      </c>
      <c r="C1252" s="122">
        <v>20550762944</v>
      </c>
      <c r="D1252" s="125" t="s">
        <v>242</v>
      </c>
      <c r="E1252" s="125" t="s">
        <v>243</v>
      </c>
      <c r="F1252" s="122" t="s">
        <v>30</v>
      </c>
      <c r="G1252" s="122" t="s">
        <v>30</v>
      </c>
      <c r="H1252" s="122" t="s">
        <v>35</v>
      </c>
      <c r="I1252" s="125" t="s">
        <v>1384</v>
      </c>
      <c r="J1252" s="129" t="s">
        <v>8288</v>
      </c>
      <c r="K1252" s="122" t="s">
        <v>3057</v>
      </c>
      <c r="L1252" s="122" t="s">
        <v>731</v>
      </c>
      <c r="M1252" s="133" t="s">
        <v>3058</v>
      </c>
      <c r="N1252" s="122" t="s">
        <v>30</v>
      </c>
    </row>
    <row r="1253" spans="2:14" s="9" customFormat="1" hidden="1" x14ac:dyDescent="0.25">
      <c r="B1253" s="120">
        <v>1250</v>
      </c>
      <c r="C1253" s="122">
        <v>20600116321</v>
      </c>
      <c r="D1253" s="125" t="s">
        <v>3052</v>
      </c>
      <c r="E1253" s="125" t="s">
        <v>3053</v>
      </c>
      <c r="F1253" s="122" t="s">
        <v>30</v>
      </c>
      <c r="G1253" s="122" t="s">
        <v>30</v>
      </c>
      <c r="H1253" s="122" t="s">
        <v>72</v>
      </c>
      <c r="I1253" s="125" t="s">
        <v>1398</v>
      </c>
      <c r="J1253" s="129" t="s">
        <v>3054</v>
      </c>
      <c r="K1253" s="122" t="s">
        <v>3055</v>
      </c>
      <c r="L1253" s="122" t="s">
        <v>42</v>
      </c>
      <c r="M1253" s="133" t="s">
        <v>3056</v>
      </c>
      <c r="N1253" s="122" t="s">
        <v>30</v>
      </c>
    </row>
    <row r="1254" spans="2:14" s="9" customFormat="1" hidden="1" x14ac:dyDescent="0.25">
      <c r="B1254" s="120">
        <v>1251</v>
      </c>
      <c r="C1254" s="122">
        <v>20524233925</v>
      </c>
      <c r="D1254" s="125" t="s">
        <v>3047</v>
      </c>
      <c r="E1254" s="125" t="s">
        <v>3048</v>
      </c>
      <c r="F1254" s="122" t="s">
        <v>30</v>
      </c>
      <c r="G1254" s="122" t="s">
        <v>30</v>
      </c>
      <c r="H1254" s="122" t="s">
        <v>45</v>
      </c>
      <c r="I1254" s="125" t="s">
        <v>1981</v>
      </c>
      <c r="J1254" s="129" t="s">
        <v>3049</v>
      </c>
      <c r="K1254" s="122" t="s">
        <v>3050</v>
      </c>
      <c r="L1254" s="122" t="s">
        <v>731</v>
      </c>
      <c r="M1254" s="133" t="s">
        <v>3051</v>
      </c>
      <c r="N1254" s="122" t="s">
        <v>30</v>
      </c>
    </row>
    <row r="1255" spans="2:14" s="9" customFormat="1" hidden="1" x14ac:dyDescent="0.25">
      <c r="B1255" s="120">
        <v>1252</v>
      </c>
      <c r="C1255" s="122">
        <v>20536703935</v>
      </c>
      <c r="D1255" s="125" t="s">
        <v>431</v>
      </c>
      <c r="E1255" s="125" t="s">
        <v>3043</v>
      </c>
      <c r="F1255" s="122" t="s">
        <v>30</v>
      </c>
      <c r="G1255" s="122" t="s">
        <v>30</v>
      </c>
      <c r="H1255" s="122" t="s">
        <v>30</v>
      </c>
      <c r="I1255" s="125" t="s">
        <v>1981</v>
      </c>
      <c r="J1255" s="129" t="s">
        <v>8289</v>
      </c>
      <c r="K1255" s="122" t="s">
        <v>3044</v>
      </c>
      <c r="L1255" s="122" t="s">
        <v>731</v>
      </c>
      <c r="M1255" s="133" t="s">
        <v>3045</v>
      </c>
      <c r="N1255" s="122" t="s">
        <v>30</v>
      </c>
    </row>
    <row r="1256" spans="2:14" s="9" customFormat="1" hidden="1" x14ac:dyDescent="0.25">
      <c r="B1256" s="120">
        <v>1253</v>
      </c>
      <c r="C1256" s="122">
        <v>20432930875</v>
      </c>
      <c r="D1256" s="125" t="s">
        <v>698</v>
      </c>
      <c r="E1256" s="125" t="s">
        <v>3040</v>
      </c>
      <c r="F1256" s="122" t="s">
        <v>30</v>
      </c>
      <c r="G1256" s="122" t="s">
        <v>30</v>
      </c>
      <c r="H1256" s="122" t="s">
        <v>72</v>
      </c>
      <c r="I1256" s="125" t="s">
        <v>1961</v>
      </c>
      <c r="J1256" s="129" t="s">
        <v>3041</v>
      </c>
      <c r="K1256" s="122" t="s">
        <v>3042</v>
      </c>
      <c r="L1256" s="122" t="s">
        <v>1712</v>
      </c>
      <c r="M1256" s="133" t="s">
        <v>845</v>
      </c>
      <c r="N1256" s="122" t="s">
        <v>845</v>
      </c>
    </row>
    <row r="1257" spans="2:14" s="9" customFormat="1" hidden="1" x14ac:dyDescent="0.25">
      <c r="B1257" s="120">
        <v>1254</v>
      </c>
      <c r="C1257" s="122">
        <v>20604722064</v>
      </c>
      <c r="D1257" s="125" t="s">
        <v>3035</v>
      </c>
      <c r="E1257" s="125" t="s">
        <v>3036</v>
      </c>
      <c r="F1257" s="122" t="s">
        <v>30</v>
      </c>
      <c r="G1257" s="122" t="s">
        <v>30</v>
      </c>
      <c r="H1257" s="122" t="s">
        <v>47</v>
      </c>
      <c r="I1257" s="125" t="s">
        <v>1424</v>
      </c>
      <c r="J1257" s="129" t="s">
        <v>3037</v>
      </c>
      <c r="K1257" s="122" t="s">
        <v>3038</v>
      </c>
      <c r="L1257" s="122" t="s">
        <v>1577</v>
      </c>
      <c r="M1257" s="133" t="s">
        <v>3039</v>
      </c>
      <c r="N1257" s="122" t="s">
        <v>67</v>
      </c>
    </row>
    <row r="1258" spans="2:14" s="9" customFormat="1" hidden="1" x14ac:dyDescent="0.25">
      <c r="B1258" s="120">
        <v>1255</v>
      </c>
      <c r="C1258" s="122">
        <v>20347120856</v>
      </c>
      <c r="D1258" s="125" t="s">
        <v>624</v>
      </c>
      <c r="E1258" s="125" t="s">
        <v>3033</v>
      </c>
      <c r="F1258" s="122" t="s">
        <v>30</v>
      </c>
      <c r="G1258" s="122" t="s">
        <v>30</v>
      </c>
      <c r="H1258" s="122" t="s">
        <v>51</v>
      </c>
      <c r="I1258" s="125" t="s">
        <v>1377</v>
      </c>
      <c r="J1258" s="129" t="s">
        <v>8291</v>
      </c>
      <c r="K1258" s="122" t="s">
        <v>3034</v>
      </c>
      <c r="L1258" s="122" t="s">
        <v>1712</v>
      </c>
      <c r="M1258" s="133" t="s">
        <v>845</v>
      </c>
      <c r="N1258" s="122" t="s">
        <v>845</v>
      </c>
    </row>
    <row r="1259" spans="2:14" s="9" customFormat="1" hidden="1" x14ac:dyDescent="0.25">
      <c r="B1259" s="120">
        <v>1256</v>
      </c>
      <c r="C1259" s="122">
        <v>20606507331</v>
      </c>
      <c r="D1259" s="125" t="s">
        <v>3028</v>
      </c>
      <c r="E1259" s="125" t="s">
        <v>3029</v>
      </c>
      <c r="F1259" s="122" t="s">
        <v>30</v>
      </c>
      <c r="G1259" s="122" t="s">
        <v>30</v>
      </c>
      <c r="H1259" s="122" t="s">
        <v>43</v>
      </c>
      <c r="I1259" s="125" t="s">
        <v>1377</v>
      </c>
      <c r="J1259" s="129" t="s">
        <v>3030</v>
      </c>
      <c r="K1259" s="122" t="s">
        <v>3031</v>
      </c>
      <c r="L1259" s="122" t="s">
        <v>42</v>
      </c>
      <c r="M1259" s="133" t="s">
        <v>3032</v>
      </c>
      <c r="N1259" s="122" t="s">
        <v>30</v>
      </c>
    </row>
    <row r="1260" spans="2:14" s="9" customFormat="1" hidden="1" x14ac:dyDescent="0.25">
      <c r="B1260" s="120">
        <v>1257</v>
      </c>
      <c r="C1260" s="122">
        <v>20295112256</v>
      </c>
      <c r="D1260" s="125" t="s">
        <v>413</v>
      </c>
      <c r="E1260" s="125" t="s">
        <v>3024</v>
      </c>
      <c r="F1260" s="122" t="s">
        <v>30</v>
      </c>
      <c r="G1260" s="122" t="s">
        <v>30</v>
      </c>
      <c r="H1260" s="122" t="s">
        <v>50</v>
      </c>
      <c r="I1260" s="125" t="s">
        <v>1841</v>
      </c>
      <c r="J1260" s="129" t="s">
        <v>3025</v>
      </c>
      <c r="K1260" s="122" t="s">
        <v>3026</v>
      </c>
      <c r="L1260" s="122" t="s">
        <v>731</v>
      </c>
      <c r="M1260" s="133" t="s">
        <v>3027</v>
      </c>
      <c r="N1260" s="122" t="s">
        <v>30</v>
      </c>
    </row>
    <row r="1261" spans="2:14" s="9" customFormat="1" hidden="1" x14ac:dyDescent="0.25">
      <c r="B1261" s="120">
        <v>1258</v>
      </c>
      <c r="C1261" s="122">
        <v>20100244391</v>
      </c>
      <c r="D1261" s="125" t="s">
        <v>488</v>
      </c>
      <c r="E1261" s="125" t="s">
        <v>3014</v>
      </c>
      <c r="F1261" s="122" t="s">
        <v>67</v>
      </c>
      <c r="G1261" s="122" t="s">
        <v>67</v>
      </c>
      <c r="H1261" s="122" t="s">
        <v>67</v>
      </c>
      <c r="I1261" s="125" t="s">
        <v>1978</v>
      </c>
      <c r="J1261" s="129" t="s">
        <v>3020</v>
      </c>
      <c r="K1261" s="122" t="s">
        <v>5968</v>
      </c>
      <c r="L1261" s="122" t="s">
        <v>119</v>
      </c>
      <c r="M1261" s="133" t="s">
        <v>3017</v>
      </c>
      <c r="N1261" s="122" t="s">
        <v>67</v>
      </c>
    </row>
    <row r="1262" spans="2:14" s="9" customFormat="1" hidden="1" x14ac:dyDescent="0.25">
      <c r="B1262" s="120">
        <v>1259</v>
      </c>
      <c r="C1262" s="122">
        <v>20100244391</v>
      </c>
      <c r="D1262" s="125" t="s">
        <v>488</v>
      </c>
      <c r="E1262" s="125" t="s">
        <v>3014</v>
      </c>
      <c r="F1262" s="122" t="s">
        <v>67</v>
      </c>
      <c r="G1262" s="122" t="s">
        <v>67</v>
      </c>
      <c r="H1262" s="122" t="s">
        <v>67</v>
      </c>
      <c r="I1262" s="125" t="s">
        <v>1978</v>
      </c>
      <c r="J1262" s="129" t="s">
        <v>3018</v>
      </c>
      <c r="K1262" s="122" t="s">
        <v>3019</v>
      </c>
      <c r="L1262" s="122" t="s">
        <v>731</v>
      </c>
      <c r="M1262" s="133" t="s">
        <v>3017</v>
      </c>
      <c r="N1262" s="122" t="s">
        <v>67</v>
      </c>
    </row>
    <row r="1263" spans="2:14" s="9" customFormat="1" hidden="1" x14ac:dyDescent="0.25">
      <c r="B1263" s="120">
        <v>1260</v>
      </c>
      <c r="C1263" s="122">
        <v>20100244391</v>
      </c>
      <c r="D1263" s="125" t="s">
        <v>488</v>
      </c>
      <c r="E1263" s="125" t="s">
        <v>3014</v>
      </c>
      <c r="F1263" s="122" t="s">
        <v>67</v>
      </c>
      <c r="G1263" s="122" t="s">
        <v>67</v>
      </c>
      <c r="H1263" s="122" t="s">
        <v>67</v>
      </c>
      <c r="I1263" s="125" t="s">
        <v>1978</v>
      </c>
      <c r="J1263" s="129" t="s">
        <v>3015</v>
      </c>
      <c r="K1263" s="122" t="s">
        <v>3016</v>
      </c>
      <c r="L1263" s="122" t="s">
        <v>1712</v>
      </c>
      <c r="M1263" s="133" t="s">
        <v>3017</v>
      </c>
      <c r="N1263" s="122" t="s">
        <v>67</v>
      </c>
    </row>
    <row r="1264" spans="2:14" s="9" customFormat="1" hidden="1" x14ac:dyDescent="0.25">
      <c r="B1264" s="120">
        <v>1261</v>
      </c>
      <c r="C1264" s="122">
        <v>20609122740</v>
      </c>
      <c r="D1264" s="125" t="s">
        <v>3010</v>
      </c>
      <c r="E1264" s="125" t="s">
        <v>3011</v>
      </c>
      <c r="F1264" s="122" t="s">
        <v>30</v>
      </c>
      <c r="G1264" s="122" t="s">
        <v>30</v>
      </c>
      <c r="H1264" s="122" t="s">
        <v>51</v>
      </c>
      <c r="I1264" s="125" t="s">
        <v>1961</v>
      </c>
      <c r="J1264" s="129" t="s">
        <v>8481</v>
      </c>
      <c r="K1264" s="122" t="s">
        <v>3012</v>
      </c>
      <c r="L1264" s="122" t="s">
        <v>1577</v>
      </c>
      <c r="M1264" s="133" t="s">
        <v>3013</v>
      </c>
      <c r="N1264" s="122" t="s">
        <v>30</v>
      </c>
    </row>
    <row r="1265" spans="2:14" s="9" customFormat="1" hidden="1" x14ac:dyDescent="0.25">
      <c r="B1265" s="120">
        <v>1262</v>
      </c>
      <c r="C1265" s="122">
        <v>20100055318</v>
      </c>
      <c r="D1265" s="125" t="s">
        <v>406</v>
      </c>
      <c r="E1265" s="125" t="s">
        <v>3005</v>
      </c>
      <c r="F1265" s="122" t="s">
        <v>30</v>
      </c>
      <c r="G1265" s="122" t="s">
        <v>30</v>
      </c>
      <c r="H1265" s="122" t="s">
        <v>30</v>
      </c>
      <c r="I1265" s="125" t="s">
        <v>1395</v>
      </c>
      <c r="J1265" s="129" t="s">
        <v>3008</v>
      </c>
      <c r="K1265" s="122" t="s">
        <v>3009</v>
      </c>
      <c r="L1265" s="122" t="s">
        <v>731</v>
      </c>
      <c r="M1265" s="133" t="s">
        <v>3003</v>
      </c>
      <c r="N1265" s="122" t="s">
        <v>30</v>
      </c>
    </row>
    <row r="1266" spans="2:14" s="9" customFormat="1" hidden="1" x14ac:dyDescent="0.25">
      <c r="B1266" s="120">
        <v>1263</v>
      </c>
      <c r="C1266" s="122">
        <v>20100055318</v>
      </c>
      <c r="D1266" s="125" t="s">
        <v>406</v>
      </c>
      <c r="E1266" s="125" t="s">
        <v>3005</v>
      </c>
      <c r="F1266" s="122" t="s">
        <v>30</v>
      </c>
      <c r="G1266" s="122" t="s">
        <v>30</v>
      </c>
      <c r="H1266" s="122" t="s">
        <v>30</v>
      </c>
      <c r="I1266" s="125" t="s">
        <v>1395</v>
      </c>
      <c r="J1266" s="129" t="s">
        <v>3006</v>
      </c>
      <c r="K1266" s="122" t="s">
        <v>3007</v>
      </c>
      <c r="L1266" s="122" t="s">
        <v>1558</v>
      </c>
      <c r="M1266" s="133" t="s">
        <v>3003</v>
      </c>
      <c r="N1266" s="122" t="s">
        <v>30</v>
      </c>
    </row>
    <row r="1267" spans="2:14" s="9" customFormat="1" hidden="1" x14ac:dyDescent="0.25">
      <c r="B1267" s="120">
        <v>1264</v>
      </c>
      <c r="C1267" s="122">
        <v>20100055318</v>
      </c>
      <c r="D1267" s="125" t="s">
        <v>406</v>
      </c>
      <c r="E1267" s="125" t="s">
        <v>3005</v>
      </c>
      <c r="F1267" s="122" t="s">
        <v>30</v>
      </c>
      <c r="G1267" s="122" t="s">
        <v>30</v>
      </c>
      <c r="H1267" s="122" t="s">
        <v>30</v>
      </c>
      <c r="I1267" s="125" t="s">
        <v>1395</v>
      </c>
      <c r="J1267" s="129" t="s">
        <v>3002</v>
      </c>
      <c r="K1267" s="122" t="s">
        <v>3004</v>
      </c>
      <c r="L1267" s="122" t="s">
        <v>1558</v>
      </c>
      <c r="M1267" s="133" t="s">
        <v>3003</v>
      </c>
      <c r="N1267" s="122" t="s">
        <v>30</v>
      </c>
    </row>
    <row r="1268" spans="2:14" s="9" customFormat="1" hidden="1" x14ac:dyDescent="0.25">
      <c r="B1268" s="120">
        <v>1265</v>
      </c>
      <c r="C1268" s="122">
        <v>20544751108</v>
      </c>
      <c r="D1268" s="125" t="s">
        <v>681</v>
      </c>
      <c r="E1268" s="125" t="s">
        <v>2999</v>
      </c>
      <c r="F1268" s="122" t="s">
        <v>30</v>
      </c>
      <c r="G1268" s="122" t="s">
        <v>30</v>
      </c>
      <c r="H1268" s="122" t="s">
        <v>30</v>
      </c>
      <c r="I1268" s="125" t="s">
        <v>1450</v>
      </c>
      <c r="J1268" s="129" t="s">
        <v>8290</v>
      </c>
      <c r="K1268" s="122" t="s">
        <v>3000</v>
      </c>
      <c r="L1268" s="122" t="s">
        <v>731</v>
      </c>
      <c r="M1268" s="133" t="s">
        <v>3001</v>
      </c>
      <c r="N1268" s="122" t="s">
        <v>30</v>
      </c>
    </row>
    <row r="1269" spans="2:14" s="9" customFormat="1" hidden="1" x14ac:dyDescent="0.25">
      <c r="B1269" s="120">
        <v>1266</v>
      </c>
      <c r="C1269" s="122">
        <v>20101228992</v>
      </c>
      <c r="D1269" s="125" t="s">
        <v>2986</v>
      </c>
      <c r="E1269" s="125" t="s">
        <v>2987</v>
      </c>
      <c r="F1269" s="122" t="s">
        <v>30</v>
      </c>
      <c r="G1269" s="122" t="s">
        <v>30</v>
      </c>
      <c r="H1269" s="122" t="s">
        <v>88</v>
      </c>
      <c r="I1269" s="125" t="s">
        <v>1660</v>
      </c>
      <c r="J1269" s="129" t="s">
        <v>2997</v>
      </c>
      <c r="K1269" s="122" t="s">
        <v>2998</v>
      </c>
      <c r="L1269" s="122" t="s">
        <v>1558</v>
      </c>
      <c r="M1269" s="133" t="s">
        <v>2990</v>
      </c>
      <c r="N1269" s="122" t="s">
        <v>30</v>
      </c>
    </row>
    <row r="1270" spans="2:14" s="9" customFormat="1" hidden="1" x14ac:dyDescent="0.25">
      <c r="B1270" s="120">
        <v>1267</v>
      </c>
      <c r="C1270" s="122">
        <v>20101228992</v>
      </c>
      <c r="D1270" s="125" t="s">
        <v>2986</v>
      </c>
      <c r="E1270" s="125" t="s">
        <v>2987</v>
      </c>
      <c r="F1270" s="122" t="s">
        <v>30</v>
      </c>
      <c r="G1270" s="122" t="s">
        <v>30</v>
      </c>
      <c r="H1270" s="122" t="s">
        <v>88</v>
      </c>
      <c r="I1270" s="125" t="s">
        <v>1660</v>
      </c>
      <c r="J1270" s="129" t="s">
        <v>2996</v>
      </c>
      <c r="K1270" s="122" t="s">
        <v>1363</v>
      </c>
      <c r="L1270" s="122" t="s">
        <v>1558</v>
      </c>
      <c r="M1270" s="133" t="s">
        <v>2990</v>
      </c>
      <c r="N1270" s="122" t="s">
        <v>30</v>
      </c>
    </row>
    <row r="1271" spans="2:14" s="9" customFormat="1" hidden="1" x14ac:dyDescent="0.25">
      <c r="B1271" s="120">
        <v>1268</v>
      </c>
      <c r="C1271" s="122">
        <v>20101228992</v>
      </c>
      <c r="D1271" s="125" t="s">
        <v>2986</v>
      </c>
      <c r="E1271" s="125" t="s">
        <v>2987</v>
      </c>
      <c r="F1271" s="122" t="s">
        <v>30</v>
      </c>
      <c r="G1271" s="122" t="s">
        <v>30</v>
      </c>
      <c r="H1271" s="122" t="s">
        <v>88</v>
      </c>
      <c r="I1271" s="125" t="s">
        <v>1660</v>
      </c>
      <c r="J1271" s="129" t="s">
        <v>2995</v>
      </c>
      <c r="K1271" s="122" t="s">
        <v>1362</v>
      </c>
      <c r="L1271" s="122" t="s">
        <v>42</v>
      </c>
      <c r="M1271" s="133" t="s">
        <v>2990</v>
      </c>
      <c r="N1271" s="122" t="s">
        <v>30</v>
      </c>
    </row>
    <row r="1272" spans="2:14" s="9" customFormat="1" hidden="1" x14ac:dyDescent="0.25">
      <c r="B1272" s="120">
        <v>1269</v>
      </c>
      <c r="C1272" s="122">
        <v>20101228992</v>
      </c>
      <c r="D1272" s="125" t="s">
        <v>2986</v>
      </c>
      <c r="E1272" s="125" t="s">
        <v>2987</v>
      </c>
      <c r="F1272" s="122" t="s">
        <v>30</v>
      </c>
      <c r="G1272" s="122" t="s">
        <v>30</v>
      </c>
      <c r="H1272" s="122" t="s">
        <v>88</v>
      </c>
      <c r="I1272" s="125" t="s">
        <v>1660</v>
      </c>
      <c r="J1272" s="129" t="s">
        <v>2993</v>
      </c>
      <c r="K1272" s="122" t="s">
        <v>2994</v>
      </c>
      <c r="L1272" s="122" t="s">
        <v>1712</v>
      </c>
      <c r="M1272" s="133" t="s">
        <v>2990</v>
      </c>
      <c r="N1272" s="122" t="s">
        <v>30</v>
      </c>
    </row>
    <row r="1273" spans="2:14" s="9" customFormat="1" hidden="1" x14ac:dyDescent="0.25">
      <c r="B1273" s="120">
        <v>1270</v>
      </c>
      <c r="C1273" s="122">
        <v>20101228992</v>
      </c>
      <c r="D1273" s="125" t="s">
        <v>2986</v>
      </c>
      <c r="E1273" s="125" t="s">
        <v>2987</v>
      </c>
      <c r="F1273" s="122" t="s">
        <v>30</v>
      </c>
      <c r="G1273" s="122" t="s">
        <v>30</v>
      </c>
      <c r="H1273" s="122" t="s">
        <v>88</v>
      </c>
      <c r="I1273" s="125" t="s">
        <v>1660</v>
      </c>
      <c r="J1273" s="129" t="s">
        <v>2992</v>
      </c>
      <c r="K1273" s="122" t="s">
        <v>1361</v>
      </c>
      <c r="L1273" s="122" t="s">
        <v>1712</v>
      </c>
      <c r="M1273" s="133" t="s">
        <v>2990</v>
      </c>
      <c r="N1273" s="122" t="s">
        <v>30</v>
      </c>
    </row>
    <row r="1274" spans="2:14" s="9" customFormat="1" hidden="1" x14ac:dyDescent="0.25">
      <c r="B1274" s="120">
        <v>1271</v>
      </c>
      <c r="C1274" s="122">
        <v>20101228992</v>
      </c>
      <c r="D1274" s="125" t="s">
        <v>2986</v>
      </c>
      <c r="E1274" s="125" t="s">
        <v>2987</v>
      </c>
      <c r="F1274" s="122" t="s">
        <v>30</v>
      </c>
      <c r="G1274" s="122" t="s">
        <v>30</v>
      </c>
      <c r="H1274" s="122" t="s">
        <v>88</v>
      </c>
      <c r="I1274" s="125" t="s">
        <v>1660</v>
      </c>
      <c r="J1274" s="129" t="s">
        <v>2991</v>
      </c>
      <c r="K1274" s="122" t="s">
        <v>1360</v>
      </c>
      <c r="L1274" s="122" t="s">
        <v>1712</v>
      </c>
      <c r="M1274" s="133" t="s">
        <v>2990</v>
      </c>
      <c r="N1274" s="122" t="s">
        <v>30</v>
      </c>
    </row>
    <row r="1275" spans="2:14" s="9" customFormat="1" hidden="1" x14ac:dyDescent="0.25">
      <c r="B1275" s="120">
        <v>1272</v>
      </c>
      <c r="C1275" s="122">
        <v>20101228992</v>
      </c>
      <c r="D1275" s="125" t="s">
        <v>2986</v>
      </c>
      <c r="E1275" s="125" t="s">
        <v>2987</v>
      </c>
      <c r="F1275" s="122" t="s">
        <v>30</v>
      </c>
      <c r="G1275" s="122" t="s">
        <v>30</v>
      </c>
      <c r="H1275" s="122" t="s">
        <v>88</v>
      </c>
      <c r="I1275" s="125" t="s">
        <v>1660</v>
      </c>
      <c r="J1275" s="129" t="s">
        <v>2988</v>
      </c>
      <c r="K1275" s="122" t="s">
        <v>2989</v>
      </c>
      <c r="L1275" s="122" t="s">
        <v>1712</v>
      </c>
      <c r="M1275" s="133" t="s">
        <v>2990</v>
      </c>
      <c r="N1275" s="122" t="s">
        <v>30</v>
      </c>
    </row>
    <row r="1276" spans="2:14" s="9" customFormat="1" hidden="1" x14ac:dyDescent="0.25">
      <c r="B1276" s="120">
        <v>1273</v>
      </c>
      <c r="C1276" s="122">
        <v>20101357610</v>
      </c>
      <c r="D1276" s="125" t="s">
        <v>2979</v>
      </c>
      <c r="E1276" s="125" t="s">
        <v>2980</v>
      </c>
      <c r="F1276" s="122" t="s">
        <v>30</v>
      </c>
      <c r="G1276" s="122" t="s">
        <v>30</v>
      </c>
      <c r="H1276" s="122" t="s">
        <v>45</v>
      </c>
      <c r="I1276" s="125" t="s">
        <v>1359</v>
      </c>
      <c r="J1276" s="129" t="s">
        <v>2984</v>
      </c>
      <c r="K1276" s="122" t="s">
        <v>2985</v>
      </c>
      <c r="L1276" s="122" t="s">
        <v>1558</v>
      </c>
      <c r="M1276" s="133" t="s">
        <v>2983</v>
      </c>
      <c r="N1276" s="122" t="s">
        <v>30</v>
      </c>
    </row>
    <row r="1277" spans="2:14" s="9" customFormat="1" hidden="1" x14ac:dyDescent="0.25">
      <c r="B1277" s="120">
        <v>1274</v>
      </c>
      <c r="C1277" s="122">
        <v>20101357610</v>
      </c>
      <c r="D1277" s="125" t="s">
        <v>2979</v>
      </c>
      <c r="E1277" s="125" t="s">
        <v>2980</v>
      </c>
      <c r="F1277" s="122" t="s">
        <v>30</v>
      </c>
      <c r="G1277" s="122" t="s">
        <v>30</v>
      </c>
      <c r="H1277" s="122" t="s">
        <v>45</v>
      </c>
      <c r="I1277" s="125" t="s">
        <v>1359</v>
      </c>
      <c r="J1277" s="129" t="s">
        <v>2981</v>
      </c>
      <c r="K1277" s="122" t="s">
        <v>2982</v>
      </c>
      <c r="L1277" s="122" t="s">
        <v>731</v>
      </c>
      <c r="M1277" s="133" t="s">
        <v>2983</v>
      </c>
      <c r="N1277" s="122" t="s">
        <v>30</v>
      </c>
    </row>
    <row r="1278" spans="2:14" s="9" customFormat="1" hidden="1" x14ac:dyDescent="0.25">
      <c r="B1278" s="120">
        <v>1275</v>
      </c>
      <c r="C1278" s="122">
        <v>20603117485</v>
      </c>
      <c r="D1278" s="125" t="s">
        <v>399</v>
      </c>
      <c r="E1278" s="125" t="s">
        <v>2975</v>
      </c>
      <c r="F1278" s="122" t="s">
        <v>30</v>
      </c>
      <c r="G1278" s="122" t="s">
        <v>30</v>
      </c>
      <c r="H1278" s="122" t="s">
        <v>79</v>
      </c>
      <c r="I1278" s="125" t="s">
        <v>1398</v>
      </c>
      <c r="J1278" s="129" t="s">
        <v>2976</v>
      </c>
      <c r="K1278" s="122" t="s">
        <v>2977</v>
      </c>
      <c r="L1278" s="122" t="s">
        <v>731</v>
      </c>
      <c r="M1278" s="133" t="s">
        <v>2978</v>
      </c>
      <c r="N1278" s="122" t="s">
        <v>30</v>
      </c>
    </row>
    <row r="1279" spans="2:14" s="9" customFormat="1" hidden="1" x14ac:dyDescent="0.25">
      <c r="B1279" s="120">
        <v>1276</v>
      </c>
      <c r="C1279" s="122">
        <v>20521645831</v>
      </c>
      <c r="D1279" s="125" t="s">
        <v>120</v>
      </c>
      <c r="E1279" s="125" t="s">
        <v>2965</v>
      </c>
      <c r="F1279" s="122" t="s">
        <v>30</v>
      </c>
      <c r="G1279" s="122" t="s">
        <v>30</v>
      </c>
      <c r="H1279" s="122" t="s">
        <v>86</v>
      </c>
      <c r="I1279" s="125" t="s">
        <v>2966</v>
      </c>
      <c r="J1279" s="129" t="s">
        <v>2972</v>
      </c>
      <c r="K1279" s="122" t="s">
        <v>2973</v>
      </c>
      <c r="L1279" s="122" t="s">
        <v>2974</v>
      </c>
      <c r="M1279" s="133" t="s">
        <v>2967</v>
      </c>
      <c r="N1279" s="122" t="s">
        <v>30</v>
      </c>
    </row>
    <row r="1280" spans="2:14" s="9" customFormat="1" hidden="1" x14ac:dyDescent="0.25">
      <c r="B1280" s="120">
        <v>1277</v>
      </c>
      <c r="C1280" s="122">
        <v>20521645831</v>
      </c>
      <c r="D1280" s="125" t="s">
        <v>120</v>
      </c>
      <c r="E1280" s="125" t="s">
        <v>2965</v>
      </c>
      <c r="F1280" s="122" t="s">
        <v>30</v>
      </c>
      <c r="G1280" s="122" t="s">
        <v>30</v>
      </c>
      <c r="H1280" s="122" t="s">
        <v>86</v>
      </c>
      <c r="I1280" s="125" t="s">
        <v>2966</v>
      </c>
      <c r="J1280" s="129" t="s">
        <v>2970</v>
      </c>
      <c r="K1280" s="122" t="s">
        <v>2971</v>
      </c>
      <c r="L1280" s="122" t="s">
        <v>1558</v>
      </c>
      <c r="M1280" s="133" t="s">
        <v>2967</v>
      </c>
      <c r="N1280" s="122" t="s">
        <v>30</v>
      </c>
    </row>
    <row r="1281" spans="2:14" s="9" customFormat="1" hidden="1" x14ac:dyDescent="0.25">
      <c r="B1281" s="120">
        <v>1278</v>
      </c>
      <c r="C1281" s="122">
        <v>20521645831</v>
      </c>
      <c r="D1281" s="125" t="s">
        <v>120</v>
      </c>
      <c r="E1281" s="125" t="s">
        <v>2965</v>
      </c>
      <c r="F1281" s="122" t="s">
        <v>30</v>
      </c>
      <c r="G1281" s="122" t="s">
        <v>30</v>
      </c>
      <c r="H1281" s="122" t="s">
        <v>86</v>
      </c>
      <c r="I1281" s="125" t="s">
        <v>2966</v>
      </c>
      <c r="J1281" s="129" t="s">
        <v>2968</v>
      </c>
      <c r="K1281" s="122" t="s">
        <v>2969</v>
      </c>
      <c r="L1281" s="122" t="s">
        <v>1558</v>
      </c>
      <c r="M1281" s="133" t="s">
        <v>2967</v>
      </c>
      <c r="N1281" s="122" t="s">
        <v>30</v>
      </c>
    </row>
    <row r="1282" spans="2:14" s="9" customFormat="1" hidden="1" x14ac:dyDescent="0.25">
      <c r="B1282" s="120">
        <v>1279</v>
      </c>
      <c r="C1282" s="122">
        <v>20342347950</v>
      </c>
      <c r="D1282" s="125" t="s">
        <v>107</v>
      </c>
      <c r="E1282" s="125" t="s">
        <v>2947</v>
      </c>
      <c r="F1282" s="122" t="s">
        <v>67</v>
      </c>
      <c r="G1282" s="122" t="s">
        <v>67</v>
      </c>
      <c r="H1282" s="122" t="s">
        <v>94</v>
      </c>
      <c r="I1282" s="125" t="s">
        <v>2948</v>
      </c>
      <c r="J1282" s="129" t="s">
        <v>2963</v>
      </c>
      <c r="K1282" s="122" t="s">
        <v>2964</v>
      </c>
      <c r="L1282" s="122" t="s">
        <v>1558</v>
      </c>
      <c r="M1282" s="133" t="s">
        <v>2952</v>
      </c>
      <c r="N1282" s="122" t="s">
        <v>30</v>
      </c>
    </row>
    <row r="1283" spans="2:14" s="9" customFormat="1" hidden="1" x14ac:dyDescent="0.25">
      <c r="B1283" s="120">
        <v>1280</v>
      </c>
      <c r="C1283" s="122">
        <v>20342347950</v>
      </c>
      <c r="D1283" s="125" t="s">
        <v>107</v>
      </c>
      <c r="E1283" s="125" t="s">
        <v>2947</v>
      </c>
      <c r="F1283" s="122" t="s">
        <v>67</v>
      </c>
      <c r="G1283" s="122" t="s">
        <v>67</v>
      </c>
      <c r="H1283" s="122" t="s">
        <v>94</v>
      </c>
      <c r="I1283" s="125" t="s">
        <v>2948</v>
      </c>
      <c r="J1283" s="129" t="s">
        <v>2961</v>
      </c>
      <c r="K1283" s="122" t="s">
        <v>2962</v>
      </c>
      <c r="L1283" s="122" t="s">
        <v>2030</v>
      </c>
      <c r="M1283" s="133" t="s">
        <v>2952</v>
      </c>
      <c r="N1283" s="122" t="s">
        <v>30</v>
      </c>
    </row>
    <row r="1284" spans="2:14" s="9" customFormat="1" hidden="1" x14ac:dyDescent="0.25">
      <c r="B1284" s="120">
        <v>1281</v>
      </c>
      <c r="C1284" s="122">
        <v>20342347950</v>
      </c>
      <c r="D1284" s="125" t="s">
        <v>107</v>
      </c>
      <c r="E1284" s="125" t="s">
        <v>2947</v>
      </c>
      <c r="F1284" s="122" t="s">
        <v>67</v>
      </c>
      <c r="G1284" s="122" t="s">
        <v>67</v>
      </c>
      <c r="H1284" s="122" t="s">
        <v>94</v>
      </c>
      <c r="I1284" s="125" t="s">
        <v>2948</v>
      </c>
      <c r="J1284" s="129" t="s">
        <v>2959</v>
      </c>
      <c r="K1284" s="122" t="s">
        <v>2960</v>
      </c>
      <c r="L1284" s="122" t="s">
        <v>2030</v>
      </c>
      <c r="M1284" s="133" t="s">
        <v>2952</v>
      </c>
      <c r="N1284" s="122" t="s">
        <v>30</v>
      </c>
    </row>
    <row r="1285" spans="2:14" s="9" customFormat="1" hidden="1" x14ac:dyDescent="0.25">
      <c r="B1285" s="120">
        <v>1282</v>
      </c>
      <c r="C1285" s="122">
        <v>20342347950</v>
      </c>
      <c r="D1285" s="125" t="s">
        <v>107</v>
      </c>
      <c r="E1285" s="125" t="s">
        <v>2947</v>
      </c>
      <c r="F1285" s="122" t="s">
        <v>67</v>
      </c>
      <c r="G1285" s="122" t="s">
        <v>67</v>
      </c>
      <c r="H1285" s="122" t="s">
        <v>94</v>
      </c>
      <c r="I1285" s="125" t="s">
        <v>2948</v>
      </c>
      <c r="J1285" s="129" t="s">
        <v>2957</v>
      </c>
      <c r="K1285" s="122" t="s">
        <v>2958</v>
      </c>
      <c r="L1285" s="122" t="s">
        <v>2030</v>
      </c>
      <c r="M1285" s="133" t="s">
        <v>2952</v>
      </c>
      <c r="N1285" s="122" t="s">
        <v>30</v>
      </c>
    </row>
    <row r="1286" spans="2:14" s="9" customFormat="1" hidden="1" x14ac:dyDescent="0.25">
      <c r="B1286" s="120">
        <v>1283</v>
      </c>
      <c r="C1286" s="122">
        <v>20342347950</v>
      </c>
      <c r="D1286" s="125" t="s">
        <v>107</v>
      </c>
      <c r="E1286" s="125" t="s">
        <v>2947</v>
      </c>
      <c r="F1286" s="122" t="s">
        <v>67</v>
      </c>
      <c r="G1286" s="122" t="s">
        <v>67</v>
      </c>
      <c r="H1286" s="122" t="s">
        <v>94</v>
      </c>
      <c r="I1286" s="125" t="s">
        <v>2948</v>
      </c>
      <c r="J1286" s="129" t="s">
        <v>2955</v>
      </c>
      <c r="K1286" s="122" t="s">
        <v>2956</v>
      </c>
      <c r="L1286" s="122" t="s">
        <v>42</v>
      </c>
      <c r="M1286" s="133" t="s">
        <v>2952</v>
      </c>
      <c r="N1286" s="122" t="s">
        <v>30</v>
      </c>
    </row>
    <row r="1287" spans="2:14" s="9" customFormat="1" hidden="1" x14ac:dyDescent="0.25">
      <c r="B1287" s="120">
        <v>1284</v>
      </c>
      <c r="C1287" s="122">
        <v>20342347950</v>
      </c>
      <c r="D1287" s="125" t="s">
        <v>107</v>
      </c>
      <c r="E1287" s="125" t="s">
        <v>2947</v>
      </c>
      <c r="F1287" s="122" t="s">
        <v>67</v>
      </c>
      <c r="G1287" s="122" t="s">
        <v>67</v>
      </c>
      <c r="H1287" s="122" t="s">
        <v>94</v>
      </c>
      <c r="I1287" s="125" t="s">
        <v>2948</v>
      </c>
      <c r="J1287" s="129" t="s">
        <v>2953</v>
      </c>
      <c r="K1287" s="122" t="s">
        <v>2954</v>
      </c>
      <c r="L1287" s="122" t="s">
        <v>209</v>
      </c>
      <c r="M1287" s="133" t="s">
        <v>2952</v>
      </c>
      <c r="N1287" s="122" t="s">
        <v>30</v>
      </c>
    </row>
    <row r="1288" spans="2:14" s="9" customFormat="1" hidden="1" x14ac:dyDescent="0.25">
      <c r="B1288" s="120">
        <v>1285</v>
      </c>
      <c r="C1288" s="122">
        <v>20342347950</v>
      </c>
      <c r="D1288" s="125" t="s">
        <v>107</v>
      </c>
      <c r="E1288" s="125" t="s">
        <v>2947</v>
      </c>
      <c r="F1288" s="122" t="s">
        <v>67</v>
      </c>
      <c r="G1288" s="122" t="s">
        <v>67</v>
      </c>
      <c r="H1288" s="122" t="s">
        <v>94</v>
      </c>
      <c r="I1288" s="125" t="s">
        <v>2948</v>
      </c>
      <c r="J1288" s="129" t="s">
        <v>2949</v>
      </c>
      <c r="K1288" s="122" t="s">
        <v>2950</v>
      </c>
      <c r="L1288" s="122" t="s">
        <v>2951</v>
      </c>
      <c r="M1288" s="133" t="s">
        <v>2952</v>
      </c>
      <c r="N1288" s="122" t="s">
        <v>30</v>
      </c>
    </row>
    <row r="1289" spans="2:14" s="9" customFormat="1" hidden="1" x14ac:dyDescent="0.25">
      <c r="B1289" s="120">
        <v>1286</v>
      </c>
      <c r="C1289" s="122">
        <v>20522544001</v>
      </c>
      <c r="D1289" s="125" t="s">
        <v>2938</v>
      </c>
      <c r="E1289" s="125" t="s">
        <v>2939</v>
      </c>
      <c r="F1289" s="122" t="s">
        <v>30</v>
      </c>
      <c r="G1289" s="122" t="s">
        <v>30</v>
      </c>
      <c r="H1289" s="122" t="s">
        <v>51</v>
      </c>
      <c r="I1289" s="125" t="s">
        <v>2940</v>
      </c>
      <c r="J1289" s="129" t="s">
        <v>2945</v>
      </c>
      <c r="K1289" s="122" t="s">
        <v>2946</v>
      </c>
      <c r="L1289" s="122" t="s">
        <v>1558</v>
      </c>
      <c r="M1289" s="133" t="s">
        <v>2944</v>
      </c>
      <c r="N1289" s="122" t="s">
        <v>30</v>
      </c>
    </row>
    <row r="1290" spans="2:14" s="9" customFormat="1" hidden="1" x14ac:dyDescent="0.25">
      <c r="B1290" s="120">
        <v>1287</v>
      </c>
      <c r="C1290" s="122">
        <v>20522544001</v>
      </c>
      <c r="D1290" s="125" t="s">
        <v>2938</v>
      </c>
      <c r="E1290" s="125" t="s">
        <v>2939</v>
      </c>
      <c r="F1290" s="122" t="s">
        <v>30</v>
      </c>
      <c r="G1290" s="122" t="s">
        <v>30</v>
      </c>
      <c r="H1290" s="122" t="s">
        <v>51</v>
      </c>
      <c r="I1290" s="125" t="s">
        <v>2940</v>
      </c>
      <c r="J1290" s="129" t="s">
        <v>2941</v>
      </c>
      <c r="K1290" s="122" t="s">
        <v>2942</v>
      </c>
      <c r="L1290" s="122" t="s">
        <v>2943</v>
      </c>
      <c r="M1290" s="133" t="s">
        <v>2944</v>
      </c>
      <c r="N1290" s="122" t="s">
        <v>30</v>
      </c>
    </row>
    <row r="1291" spans="2:14" s="9" customFormat="1" hidden="1" x14ac:dyDescent="0.25">
      <c r="B1291" s="120">
        <v>1288</v>
      </c>
      <c r="C1291" s="122">
        <v>20390583835</v>
      </c>
      <c r="D1291" s="125" t="s">
        <v>571</v>
      </c>
      <c r="E1291" s="125" t="s">
        <v>2928</v>
      </c>
      <c r="F1291" s="122" t="s">
        <v>67</v>
      </c>
      <c r="G1291" s="122" t="s">
        <v>67</v>
      </c>
      <c r="H1291" s="122" t="s">
        <v>67</v>
      </c>
      <c r="I1291" s="125" t="s">
        <v>1551</v>
      </c>
      <c r="J1291" s="129" t="s">
        <v>2936</v>
      </c>
      <c r="K1291" s="122" t="s">
        <v>2937</v>
      </c>
      <c r="L1291" s="122" t="s">
        <v>1558</v>
      </c>
      <c r="M1291" s="133" t="s">
        <v>2931</v>
      </c>
      <c r="N1291" s="122" t="s">
        <v>30</v>
      </c>
    </row>
    <row r="1292" spans="2:14" s="9" customFormat="1" hidden="1" x14ac:dyDescent="0.25">
      <c r="B1292" s="120">
        <v>1289</v>
      </c>
      <c r="C1292" s="122">
        <v>20390583835</v>
      </c>
      <c r="D1292" s="125" t="s">
        <v>571</v>
      </c>
      <c r="E1292" s="125" t="s">
        <v>2928</v>
      </c>
      <c r="F1292" s="122" t="s">
        <v>67</v>
      </c>
      <c r="G1292" s="122" t="s">
        <v>67</v>
      </c>
      <c r="H1292" s="122" t="s">
        <v>67</v>
      </c>
      <c r="I1292" s="125" t="s">
        <v>1551</v>
      </c>
      <c r="J1292" s="129" t="s">
        <v>2934</v>
      </c>
      <c r="K1292" s="122" t="s">
        <v>2935</v>
      </c>
      <c r="L1292" s="122" t="s">
        <v>1558</v>
      </c>
      <c r="M1292" s="133" t="s">
        <v>2931</v>
      </c>
      <c r="N1292" s="122" t="s">
        <v>30</v>
      </c>
    </row>
    <row r="1293" spans="2:14" s="9" customFormat="1" hidden="1" x14ac:dyDescent="0.25">
      <c r="B1293" s="120">
        <v>1290</v>
      </c>
      <c r="C1293" s="122">
        <v>20390583835</v>
      </c>
      <c r="D1293" s="125" t="s">
        <v>571</v>
      </c>
      <c r="E1293" s="125" t="s">
        <v>2928</v>
      </c>
      <c r="F1293" s="122" t="s">
        <v>67</v>
      </c>
      <c r="G1293" s="122" t="s">
        <v>67</v>
      </c>
      <c r="H1293" s="122" t="s">
        <v>67</v>
      </c>
      <c r="I1293" s="125" t="s">
        <v>1551</v>
      </c>
      <c r="J1293" s="129" t="s">
        <v>2932</v>
      </c>
      <c r="K1293" s="122" t="s">
        <v>2933</v>
      </c>
      <c r="L1293" s="122" t="s">
        <v>1558</v>
      </c>
      <c r="M1293" s="133" t="s">
        <v>2931</v>
      </c>
      <c r="N1293" s="122" t="s">
        <v>30</v>
      </c>
    </row>
    <row r="1294" spans="2:14" s="9" customFormat="1" hidden="1" x14ac:dyDescent="0.25">
      <c r="B1294" s="120">
        <v>1291</v>
      </c>
      <c r="C1294" s="122">
        <v>20390583835</v>
      </c>
      <c r="D1294" s="125" t="s">
        <v>571</v>
      </c>
      <c r="E1294" s="125" t="s">
        <v>2928</v>
      </c>
      <c r="F1294" s="122" t="s">
        <v>67</v>
      </c>
      <c r="G1294" s="122" t="s">
        <v>67</v>
      </c>
      <c r="H1294" s="122" t="s">
        <v>67</v>
      </c>
      <c r="I1294" s="125" t="s">
        <v>1551</v>
      </c>
      <c r="J1294" s="129" t="s">
        <v>2929</v>
      </c>
      <c r="K1294" s="122" t="s">
        <v>2930</v>
      </c>
      <c r="L1294" s="122" t="s">
        <v>731</v>
      </c>
      <c r="M1294" s="133" t="s">
        <v>2931</v>
      </c>
      <c r="N1294" s="122" t="s">
        <v>30</v>
      </c>
    </row>
    <row r="1295" spans="2:14" s="9" customFormat="1" hidden="1" x14ac:dyDescent="0.25">
      <c r="B1295" s="120">
        <v>1292</v>
      </c>
      <c r="C1295" s="122">
        <v>20516551764</v>
      </c>
      <c r="D1295" s="125" t="s">
        <v>108</v>
      </c>
      <c r="E1295" s="125" t="s">
        <v>2925</v>
      </c>
      <c r="F1295" s="122" t="s">
        <v>30</v>
      </c>
      <c r="G1295" s="122" t="s">
        <v>30</v>
      </c>
      <c r="H1295" s="122" t="s">
        <v>30</v>
      </c>
      <c r="I1295" s="125" t="s">
        <v>1561</v>
      </c>
      <c r="J1295" s="129" t="s">
        <v>8173</v>
      </c>
      <c r="K1295" s="122" t="s">
        <v>2926</v>
      </c>
      <c r="L1295" s="122" t="s">
        <v>731</v>
      </c>
      <c r="M1295" s="133" t="s">
        <v>2927</v>
      </c>
      <c r="N1295" s="122" t="s">
        <v>30</v>
      </c>
    </row>
    <row r="1296" spans="2:14" s="9" customFormat="1" hidden="1" x14ac:dyDescent="0.25">
      <c r="B1296" s="120">
        <v>1293</v>
      </c>
      <c r="C1296" s="122">
        <v>20523801547</v>
      </c>
      <c r="D1296" s="125" t="s">
        <v>2920</v>
      </c>
      <c r="E1296" s="125" t="s">
        <v>2921</v>
      </c>
      <c r="F1296" s="122" t="s">
        <v>30</v>
      </c>
      <c r="G1296" s="122" t="s">
        <v>30</v>
      </c>
      <c r="H1296" s="122" t="s">
        <v>40</v>
      </c>
      <c r="I1296" s="125" t="s">
        <v>1365</v>
      </c>
      <c r="J1296" s="129" t="s">
        <v>8273</v>
      </c>
      <c r="K1296" s="122" t="s">
        <v>2924</v>
      </c>
      <c r="L1296" s="122" t="s">
        <v>1558</v>
      </c>
      <c r="M1296" s="133" t="s">
        <v>2923</v>
      </c>
      <c r="N1296" s="122" t="s">
        <v>30</v>
      </c>
    </row>
    <row r="1297" spans="2:14" s="9" customFormat="1" hidden="1" x14ac:dyDescent="0.25">
      <c r="B1297" s="120">
        <v>1294</v>
      </c>
      <c r="C1297" s="122">
        <v>20523801547</v>
      </c>
      <c r="D1297" s="125" t="s">
        <v>2920</v>
      </c>
      <c r="E1297" s="125" t="s">
        <v>2921</v>
      </c>
      <c r="F1297" s="122" t="s">
        <v>30</v>
      </c>
      <c r="G1297" s="122" t="s">
        <v>30</v>
      </c>
      <c r="H1297" s="122" t="s">
        <v>40</v>
      </c>
      <c r="I1297" s="125" t="s">
        <v>1365</v>
      </c>
      <c r="J1297" s="129" t="s">
        <v>8272</v>
      </c>
      <c r="K1297" s="122" t="s">
        <v>2922</v>
      </c>
      <c r="L1297" s="122" t="s">
        <v>731</v>
      </c>
      <c r="M1297" s="133" t="s">
        <v>2923</v>
      </c>
      <c r="N1297" s="122" t="s">
        <v>30</v>
      </c>
    </row>
    <row r="1298" spans="2:14" s="9" customFormat="1" hidden="1" x14ac:dyDescent="0.25">
      <c r="B1298" s="120">
        <v>1295</v>
      </c>
      <c r="C1298" s="122">
        <v>20100165687</v>
      </c>
      <c r="D1298" s="125" t="s">
        <v>311</v>
      </c>
      <c r="E1298" s="125" t="s">
        <v>2918</v>
      </c>
      <c r="F1298" s="122" t="s">
        <v>30</v>
      </c>
      <c r="G1298" s="122" t="s">
        <v>30</v>
      </c>
      <c r="H1298" s="122" t="s">
        <v>88</v>
      </c>
      <c r="I1298" s="125" t="s">
        <v>2289</v>
      </c>
      <c r="J1298" s="129" t="s">
        <v>8280</v>
      </c>
      <c r="K1298" s="122" t="s">
        <v>8281</v>
      </c>
      <c r="L1298" s="122" t="s">
        <v>731</v>
      </c>
      <c r="M1298" s="133" t="s">
        <v>845</v>
      </c>
      <c r="N1298" s="122" t="s">
        <v>845</v>
      </c>
    </row>
    <row r="1299" spans="2:14" s="9" customFormat="1" hidden="1" x14ac:dyDescent="0.25">
      <c r="B1299" s="120">
        <v>1296</v>
      </c>
      <c r="C1299" s="122">
        <v>20100165687</v>
      </c>
      <c r="D1299" s="125" t="s">
        <v>311</v>
      </c>
      <c r="E1299" s="125" t="s">
        <v>2918</v>
      </c>
      <c r="F1299" s="122" t="s">
        <v>30</v>
      </c>
      <c r="G1299" s="122" t="s">
        <v>30</v>
      </c>
      <c r="H1299" s="122" t="s">
        <v>88</v>
      </c>
      <c r="I1299" s="125" t="s">
        <v>2289</v>
      </c>
      <c r="J1299" s="129" t="s">
        <v>8279</v>
      </c>
      <c r="K1299" s="122" t="s">
        <v>2919</v>
      </c>
      <c r="L1299" s="122" t="s">
        <v>1558</v>
      </c>
      <c r="M1299" s="133" t="s">
        <v>845</v>
      </c>
      <c r="N1299" s="122" t="s">
        <v>845</v>
      </c>
    </row>
    <row r="1300" spans="2:14" s="9" customFormat="1" hidden="1" x14ac:dyDescent="0.25">
      <c r="B1300" s="120">
        <v>1297</v>
      </c>
      <c r="C1300" s="122">
        <v>20512573755</v>
      </c>
      <c r="D1300" s="125" t="s">
        <v>2912</v>
      </c>
      <c r="E1300" s="125" t="s">
        <v>2913</v>
      </c>
      <c r="F1300" s="122" t="s">
        <v>30</v>
      </c>
      <c r="G1300" s="122" t="s">
        <v>30</v>
      </c>
      <c r="H1300" s="122" t="s">
        <v>79</v>
      </c>
      <c r="I1300" s="125" t="s">
        <v>2914</v>
      </c>
      <c r="J1300" s="129" t="s">
        <v>2915</v>
      </c>
      <c r="K1300" s="122" t="s">
        <v>2916</v>
      </c>
      <c r="L1300" s="122" t="s">
        <v>731</v>
      </c>
      <c r="M1300" s="133" t="s">
        <v>2917</v>
      </c>
      <c r="N1300" s="122" t="s">
        <v>30</v>
      </c>
    </row>
    <row r="1301" spans="2:14" s="9" customFormat="1" hidden="1" x14ac:dyDescent="0.25">
      <c r="B1301" s="120">
        <v>1298</v>
      </c>
      <c r="C1301" s="122">
        <v>20100035121</v>
      </c>
      <c r="D1301" s="125" t="s">
        <v>217</v>
      </c>
      <c r="E1301" s="125" t="s">
        <v>2894</v>
      </c>
      <c r="F1301" s="122" t="s">
        <v>30</v>
      </c>
      <c r="G1301" s="122" t="s">
        <v>30</v>
      </c>
      <c r="H1301" s="122" t="s">
        <v>30</v>
      </c>
      <c r="I1301" s="125" t="s">
        <v>2895</v>
      </c>
      <c r="J1301" s="129" t="s">
        <v>2910</v>
      </c>
      <c r="K1301" s="122" t="s">
        <v>2911</v>
      </c>
      <c r="L1301" s="122" t="s">
        <v>1558</v>
      </c>
      <c r="M1301" s="133" t="s">
        <v>2898</v>
      </c>
      <c r="N1301" s="122" t="s">
        <v>30</v>
      </c>
    </row>
    <row r="1302" spans="2:14" s="9" customFormat="1" hidden="1" x14ac:dyDescent="0.25">
      <c r="B1302" s="120">
        <v>1299</v>
      </c>
      <c r="C1302" s="122">
        <v>20100035121</v>
      </c>
      <c r="D1302" s="125" t="s">
        <v>217</v>
      </c>
      <c r="E1302" s="125" t="s">
        <v>2894</v>
      </c>
      <c r="F1302" s="122" t="s">
        <v>30</v>
      </c>
      <c r="G1302" s="122" t="s">
        <v>30</v>
      </c>
      <c r="H1302" s="122" t="s">
        <v>30</v>
      </c>
      <c r="I1302" s="125" t="s">
        <v>2895</v>
      </c>
      <c r="J1302" s="129" t="s">
        <v>2908</v>
      </c>
      <c r="K1302" s="122" t="s">
        <v>2909</v>
      </c>
      <c r="L1302" s="122" t="s">
        <v>731</v>
      </c>
      <c r="M1302" s="133" t="s">
        <v>2898</v>
      </c>
      <c r="N1302" s="122" t="s">
        <v>30</v>
      </c>
    </row>
    <row r="1303" spans="2:14" s="9" customFormat="1" hidden="1" x14ac:dyDescent="0.25">
      <c r="B1303" s="120">
        <v>1300</v>
      </c>
      <c r="C1303" s="122">
        <v>20100035121</v>
      </c>
      <c r="D1303" s="125" t="s">
        <v>217</v>
      </c>
      <c r="E1303" s="125" t="s">
        <v>2894</v>
      </c>
      <c r="F1303" s="122" t="s">
        <v>30</v>
      </c>
      <c r="G1303" s="122" t="s">
        <v>30</v>
      </c>
      <c r="H1303" s="122" t="s">
        <v>30</v>
      </c>
      <c r="I1303" s="125" t="s">
        <v>2895</v>
      </c>
      <c r="J1303" s="129" t="s">
        <v>2906</v>
      </c>
      <c r="K1303" s="122" t="s">
        <v>2907</v>
      </c>
      <c r="L1303" s="122" t="s">
        <v>1558</v>
      </c>
      <c r="M1303" s="133" t="s">
        <v>2898</v>
      </c>
      <c r="N1303" s="122" t="s">
        <v>30</v>
      </c>
    </row>
    <row r="1304" spans="2:14" s="9" customFormat="1" hidden="1" x14ac:dyDescent="0.25">
      <c r="B1304" s="120">
        <v>1301</v>
      </c>
      <c r="C1304" s="122">
        <v>20100035121</v>
      </c>
      <c r="D1304" s="125" t="s">
        <v>217</v>
      </c>
      <c r="E1304" s="125" t="s">
        <v>2894</v>
      </c>
      <c r="F1304" s="122" t="s">
        <v>30</v>
      </c>
      <c r="G1304" s="122" t="s">
        <v>30</v>
      </c>
      <c r="H1304" s="122" t="s">
        <v>30</v>
      </c>
      <c r="I1304" s="125" t="s">
        <v>2895</v>
      </c>
      <c r="J1304" s="129" t="s">
        <v>2904</v>
      </c>
      <c r="K1304" s="122" t="s">
        <v>2905</v>
      </c>
      <c r="L1304" s="122" t="s">
        <v>1558</v>
      </c>
      <c r="M1304" s="133" t="s">
        <v>2898</v>
      </c>
      <c r="N1304" s="122" t="s">
        <v>30</v>
      </c>
    </row>
    <row r="1305" spans="2:14" s="9" customFormat="1" hidden="1" x14ac:dyDescent="0.25">
      <c r="B1305" s="120">
        <v>1302</v>
      </c>
      <c r="C1305" s="122">
        <v>20100035121</v>
      </c>
      <c r="D1305" s="125" t="s">
        <v>217</v>
      </c>
      <c r="E1305" s="125" t="s">
        <v>2894</v>
      </c>
      <c r="F1305" s="122" t="s">
        <v>30</v>
      </c>
      <c r="G1305" s="122" t="s">
        <v>30</v>
      </c>
      <c r="H1305" s="122" t="s">
        <v>30</v>
      </c>
      <c r="I1305" s="125" t="s">
        <v>2895</v>
      </c>
      <c r="J1305" s="129" t="s">
        <v>2901</v>
      </c>
      <c r="K1305" s="122" t="s">
        <v>2902</v>
      </c>
      <c r="L1305" s="122" t="s">
        <v>2903</v>
      </c>
      <c r="M1305" s="133" t="s">
        <v>2898</v>
      </c>
      <c r="N1305" s="122" t="s">
        <v>30</v>
      </c>
    </row>
    <row r="1306" spans="2:14" s="9" customFormat="1" hidden="1" x14ac:dyDescent="0.25">
      <c r="B1306" s="120">
        <v>1303</v>
      </c>
      <c r="C1306" s="122">
        <v>20100035121</v>
      </c>
      <c r="D1306" s="125" t="s">
        <v>217</v>
      </c>
      <c r="E1306" s="125" t="s">
        <v>2894</v>
      </c>
      <c r="F1306" s="122" t="s">
        <v>30</v>
      </c>
      <c r="G1306" s="122" t="s">
        <v>30</v>
      </c>
      <c r="H1306" s="122" t="s">
        <v>30</v>
      </c>
      <c r="I1306" s="125" t="s">
        <v>2895</v>
      </c>
      <c r="J1306" s="129" t="s">
        <v>2899</v>
      </c>
      <c r="K1306" s="122" t="s">
        <v>2900</v>
      </c>
      <c r="L1306" s="122" t="s">
        <v>209</v>
      </c>
      <c r="M1306" s="133" t="s">
        <v>2898</v>
      </c>
      <c r="N1306" s="122" t="s">
        <v>30</v>
      </c>
    </row>
    <row r="1307" spans="2:14" s="9" customFormat="1" hidden="1" x14ac:dyDescent="0.25">
      <c r="B1307" s="120">
        <v>1304</v>
      </c>
      <c r="C1307" s="122">
        <v>20100035121</v>
      </c>
      <c r="D1307" s="125" t="s">
        <v>217</v>
      </c>
      <c r="E1307" s="125" t="s">
        <v>2894</v>
      </c>
      <c r="F1307" s="122" t="s">
        <v>30</v>
      </c>
      <c r="G1307" s="122" t="s">
        <v>30</v>
      </c>
      <c r="H1307" s="122" t="s">
        <v>30</v>
      </c>
      <c r="I1307" s="125" t="s">
        <v>2895</v>
      </c>
      <c r="J1307" s="129" t="s">
        <v>2896</v>
      </c>
      <c r="K1307" s="122" t="s">
        <v>2897</v>
      </c>
      <c r="L1307" s="122" t="s">
        <v>209</v>
      </c>
      <c r="M1307" s="133" t="s">
        <v>2898</v>
      </c>
      <c r="N1307" s="122" t="s">
        <v>30</v>
      </c>
    </row>
    <row r="1308" spans="2:14" s="9" customFormat="1" hidden="1" x14ac:dyDescent="0.25">
      <c r="B1308" s="120">
        <v>1305</v>
      </c>
      <c r="C1308" s="122">
        <v>20607420514</v>
      </c>
      <c r="D1308" s="125" t="s">
        <v>2892</v>
      </c>
      <c r="E1308" s="125" t="s">
        <v>1131</v>
      </c>
      <c r="F1308" s="122" t="s">
        <v>30</v>
      </c>
      <c r="G1308" s="122" t="s">
        <v>30</v>
      </c>
      <c r="H1308" s="122" t="s">
        <v>72</v>
      </c>
      <c r="I1308" s="125" t="s">
        <v>1701</v>
      </c>
      <c r="J1308" s="129" t="s">
        <v>8303</v>
      </c>
      <c r="K1308" s="122" t="s">
        <v>2893</v>
      </c>
      <c r="L1308" s="122" t="s">
        <v>731</v>
      </c>
      <c r="M1308" s="133" t="s">
        <v>845</v>
      </c>
      <c r="N1308" s="122" t="s">
        <v>845</v>
      </c>
    </row>
    <row r="1309" spans="2:14" s="9" customFormat="1" hidden="1" x14ac:dyDescent="0.25">
      <c r="B1309" s="120">
        <v>1306</v>
      </c>
      <c r="C1309" s="122">
        <v>20392802216</v>
      </c>
      <c r="D1309" s="125" t="s">
        <v>429</v>
      </c>
      <c r="E1309" s="125" t="s">
        <v>2889</v>
      </c>
      <c r="F1309" s="122" t="s">
        <v>30</v>
      </c>
      <c r="G1309" s="122" t="s">
        <v>30</v>
      </c>
      <c r="H1309" s="122" t="s">
        <v>72</v>
      </c>
      <c r="I1309" s="125" t="s">
        <v>1394</v>
      </c>
      <c r="J1309" s="129" t="s">
        <v>8306</v>
      </c>
      <c r="K1309" s="122" t="s">
        <v>2890</v>
      </c>
      <c r="L1309" s="122" t="s">
        <v>731</v>
      </c>
      <c r="M1309" s="133" t="s">
        <v>2891</v>
      </c>
      <c r="N1309" s="122" t="s">
        <v>30</v>
      </c>
    </row>
    <row r="1310" spans="2:14" s="9" customFormat="1" hidden="1" x14ac:dyDescent="0.25">
      <c r="B1310" s="120">
        <v>1307</v>
      </c>
      <c r="C1310" s="122">
        <v>20329545459</v>
      </c>
      <c r="D1310" s="125" t="s">
        <v>2877</v>
      </c>
      <c r="E1310" s="125" t="s">
        <v>2878</v>
      </c>
      <c r="F1310" s="122" t="s">
        <v>30</v>
      </c>
      <c r="G1310" s="122" t="s">
        <v>30</v>
      </c>
      <c r="H1310" s="122" t="s">
        <v>35</v>
      </c>
      <c r="I1310" s="125" t="s">
        <v>2879</v>
      </c>
      <c r="J1310" s="129" t="s">
        <v>2887</v>
      </c>
      <c r="K1310" s="122" t="s">
        <v>2888</v>
      </c>
      <c r="L1310" s="122" t="s">
        <v>1558</v>
      </c>
      <c r="M1310" s="133" t="s">
        <v>2882</v>
      </c>
      <c r="N1310" s="122" t="s">
        <v>30</v>
      </c>
    </row>
    <row r="1311" spans="2:14" s="9" customFormat="1" hidden="1" x14ac:dyDescent="0.25">
      <c r="B1311" s="120">
        <v>1308</v>
      </c>
      <c r="C1311" s="122">
        <v>20329545459</v>
      </c>
      <c r="D1311" s="125" t="s">
        <v>2877</v>
      </c>
      <c r="E1311" s="125" t="s">
        <v>2878</v>
      </c>
      <c r="F1311" s="122" t="s">
        <v>30</v>
      </c>
      <c r="G1311" s="122" t="s">
        <v>30</v>
      </c>
      <c r="H1311" s="122" t="s">
        <v>35</v>
      </c>
      <c r="I1311" s="125" t="s">
        <v>2879</v>
      </c>
      <c r="J1311" s="129" t="s">
        <v>2885</v>
      </c>
      <c r="K1311" s="122" t="s">
        <v>2886</v>
      </c>
      <c r="L1311" s="122" t="s">
        <v>1558</v>
      </c>
      <c r="M1311" s="133" t="s">
        <v>2882</v>
      </c>
      <c r="N1311" s="122" t="s">
        <v>30</v>
      </c>
    </row>
    <row r="1312" spans="2:14" s="9" customFormat="1" hidden="1" x14ac:dyDescent="0.25">
      <c r="B1312" s="120">
        <v>1309</v>
      </c>
      <c r="C1312" s="122">
        <v>20329545459</v>
      </c>
      <c r="D1312" s="125" t="s">
        <v>2877</v>
      </c>
      <c r="E1312" s="125" t="s">
        <v>2878</v>
      </c>
      <c r="F1312" s="122" t="s">
        <v>30</v>
      </c>
      <c r="G1312" s="122" t="s">
        <v>30</v>
      </c>
      <c r="H1312" s="122" t="s">
        <v>35</v>
      </c>
      <c r="I1312" s="125" t="s">
        <v>2879</v>
      </c>
      <c r="J1312" s="129" t="s">
        <v>2883</v>
      </c>
      <c r="K1312" s="122" t="s">
        <v>2884</v>
      </c>
      <c r="L1312" s="122" t="s">
        <v>42</v>
      </c>
      <c r="M1312" s="133" t="s">
        <v>2882</v>
      </c>
      <c r="N1312" s="122" t="s">
        <v>30</v>
      </c>
    </row>
    <row r="1313" spans="2:14" s="9" customFormat="1" hidden="1" x14ac:dyDescent="0.25">
      <c r="B1313" s="120">
        <v>1310</v>
      </c>
      <c r="C1313" s="122">
        <v>20329545459</v>
      </c>
      <c r="D1313" s="125" t="s">
        <v>2877</v>
      </c>
      <c r="E1313" s="125" t="s">
        <v>2878</v>
      </c>
      <c r="F1313" s="122" t="s">
        <v>30</v>
      </c>
      <c r="G1313" s="122" t="s">
        <v>30</v>
      </c>
      <c r="H1313" s="122" t="s">
        <v>35</v>
      </c>
      <c r="I1313" s="125" t="s">
        <v>2879</v>
      </c>
      <c r="J1313" s="129" t="s">
        <v>2880</v>
      </c>
      <c r="K1313" s="122" t="s">
        <v>2881</v>
      </c>
      <c r="L1313" s="122" t="s">
        <v>1558</v>
      </c>
      <c r="M1313" s="133" t="s">
        <v>2882</v>
      </c>
      <c r="N1313" s="122" t="s">
        <v>30</v>
      </c>
    </row>
    <row r="1314" spans="2:14" s="9" customFormat="1" hidden="1" x14ac:dyDescent="0.25">
      <c r="B1314" s="120">
        <v>1311</v>
      </c>
      <c r="C1314" s="122">
        <v>20606381485</v>
      </c>
      <c r="D1314" s="125" t="s">
        <v>2874</v>
      </c>
      <c r="E1314" s="125" t="s">
        <v>2875</v>
      </c>
      <c r="F1314" s="122" t="s">
        <v>30</v>
      </c>
      <c r="G1314" s="122" t="s">
        <v>30</v>
      </c>
      <c r="H1314" s="122" t="s">
        <v>43</v>
      </c>
      <c r="I1314" s="125" t="s">
        <v>1551</v>
      </c>
      <c r="J1314" s="129" t="s">
        <v>8320</v>
      </c>
      <c r="K1314" s="122" t="s">
        <v>2876</v>
      </c>
      <c r="L1314" s="122" t="s">
        <v>42</v>
      </c>
      <c r="M1314" s="133" t="s">
        <v>845</v>
      </c>
      <c r="N1314" s="122" t="s">
        <v>845</v>
      </c>
    </row>
    <row r="1315" spans="2:14" s="9" customFormat="1" hidden="1" x14ac:dyDescent="0.25">
      <c r="B1315" s="120">
        <v>1312</v>
      </c>
      <c r="C1315" s="122">
        <v>20518792360</v>
      </c>
      <c r="D1315" s="125" t="s">
        <v>2839</v>
      </c>
      <c r="E1315" s="125" t="s">
        <v>2840</v>
      </c>
      <c r="F1315" s="122" t="s">
        <v>30</v>
      </c>
      <c r="G1315" s="122" t="s">
        <v>30</v>
      </c>
      <c r="H1315" s="122" t="s">
        <v>135</v>
      </c>
      <c r="I1315" s="125" t="s">
        <v>1950</v>
      </c>
      <c r="J1315" s="129" t="s">
        <v>2872</v>
      </c>
      <c r="K1315" s="122" t="s">
        <v>2873</v>
      </c>
      <c r="L1315" s="122" t="s">
        <v>42</v>
      </c>
      <c r="M1315" s="133" t="s">
        <v>2843</v>
      </c>
      <c r="N1315" s="122" t="s">
        <v>30</v>
      </c>
    </row>
    <row r="1316" spans="2:14" s="9" customFormat="1" hidden="1" x14ac:dyDescent="0.25">
      <c r="B1316" s="120">
        <v>1313</v>
      </c>
      <c r="C1316" s="122">
        <v>20518792360</v>
      </c>
      <c r="D1316" s="125" t="s">
        <v>2839</v>
      </c>
      <c r="E1316" s="125" t="s">
        <v>2840</v>
      </c>
      <c r="F1316" s="122" t="s">
        <v>30</v>
      </c>
      <c r="G1316" s="122" t="s">
        <v>30</v>
      </c>
      <c r="H1316" s="122" t="s">
        <v>135</v>
      </c>
      <c r="I1316" s="125" t="s">
        <v>1950</v>
      </c>
      <c r="J1316" s="129" t="s">
        <v>2870</v>
      </c>
      <c r="K1316" s="122" t="s">
        <v>2871</v>
      </c>
      <c r="L1316" s="122" t="s">
        <v>1558</v>
      </c>
      <c r="M1316" s="133" t="s">
        <v>2843</v>
      </c>
      <c r="N1316" s="122" t="s">
        <v>30</v>
      </c>
    </row>
    <row r="1317" spans="2:14" s="9" customFormat="1" hidden="1" x14ac:dyDescent="0.25">
      <c r="B1317" s="120">
        <v>1314</v>
      </c>
      <c r="C1317" s="122">
        <v>20518792360</v>
      </c>
      <c r="D1317" s="125" t="s">
        <v>2839</v>
      </c>
      <c r="E1317" s="125" t="s">
        <v>2840</v>
      </c>
      <c r="F1317" s="122" t="s">
        <v>30</v>
      </c>
      <c r="G1317" s="122" t="s">
        <v>30</v>
      </c>
      <c r="H1317" s="122" t="s">
        <v>135</v>
      </c>
      <c r="I1317" s="125" t="s">
        <v>1950</v>
      </c>
      <c r="J1317" s="129" t="s">
        <v>2868</v>
      </c>
      <c r="K1317" s="122" t="s">
        <v>2869</v>
      </c>
      <c r="L1317" s="122" t="s">
        <v>1558</v>
      </c>
      <c r="M1317" s="133" t="s">
        <v>2843</v>
      </c>
      <c r="N1317" s="122" t="s">
        <v>30</v>
      </c>
    </row>
    <row r="1318" spans="2:14" s="9" customFormat="1" hidden="1" x14ac:dyDescent="0.25">
      <c r="B1318" s="120">
        <v>1315</v>
      </c>
      <c r="C1318" s="122">
        <v>20518792360</v>
      </c>
      <c r="D1318" s="125" t="s">
        <v>2839</v>
      </c>
      <c r="E1318" s="125" t="s">
        <v>2840</v>
      </c>
      <c r="F1318" s="122" t="s">
        <v>30</v>
      </c>
      <c r="G1318" s="122" t="s">
        <v>30</v>
      </c>
      <c r="H1318" s="122" t="s">
        <v>135</v>
      </c>
      <c r="I1318" s="125" t="s">
        <v>1950</v>
      </c>
      <c r="J1318" s="129" t="s">
        <v>2866</v>
      </c>
      <c r="K1318" s="122" t="s">
        <v>2867</v>
      </c>
      <c r="L1318" s="122" t="s">
        <v>1558</v>
      </c>
      <c r="M1318" s="133" t="s">
        <v>2843</v>
      </c>
      <c r="N1318" s="122" t="s">
        <v>30</v>
      </c>
    </row>
    <row r="1319" spans="2:14" s="9" customFormat="1" hidden="1" x14ac:dyDescent="0.25">
      <c r="B1319" s="120">
        <v>1316</v>
      </c>
      <c r="C1319" s="122">
        <v>20518792360</v>
      </c>
      <c r="D1319" s="125" t="s">
        <v>2839</v>
      </c>
      <c r="E1319" s="125" t="s">
        <v>2840</v>
      </c>
      <c r="F1319" s="122" t="s">
        <v>30</v>
      </c>
      <c r="G1319" s="122" t="s">
        <v>30</v>
      </c>
      <c r="H1319" s="122" t="s">
        <v>135</v>
      </c>
      <c r="I1319" s="125" t="s">
        <v>1950</v>
      </c>
      <c r="J1319" s="129" t="s">
        <v>2864</v>
      </c>
      <c r="K1319" s="122" t="s">
        <v>2865</v>
      </c>
      <c r="L1319" s="122" t="s">
        <v>1558</v>
      </c>
      <c r="M1319" s="133" t="s">
        <v>2843</v>
      </c>
      <c r="N1319" s="122" t="s">
        <v>30</v>
      </c>
    </row>
    <row r="1320" spans="2:14" s="9" customFormat="1" hidden="1" x14ac:dyDescent="0.25">
      <c r="B1320" s="120">
        <v>1317</v>
      </c>
      <c r="C1320" s="122">
        <v>20518792360</v>
      </c>
      <c r="D1320" s="125" t="s">
        <v>2839</v>
      </c>
      <c r="E1320" s="125" t="s">
        <v>2840</v>
      </c>
      <c r="F1320" s="122" t="s">
        <v>30</v>
      </c>
      <c r="G1320" s="122" t="s">
        <v>30</v>
      </c>
      <c r="H1320" s="122" t="s">
        <v>135</v>
      </c>
      <c r="I1320" s="125" t="s">
        <v>1950</v>
      </c>
      <c r="J1320" s="129" t="s">
        <v>2862</v>
      </c>
      <c r="K1320" s="122" t="s">
        <v>2863</v>
      </c>
      <c r="L1320" s="122" t="s">
        <v>1558</v>
      </c>
      <c r="M1320" s="133" t="s">
        <v>2843</v>
      </c>
      <c r="N1320" s="122" t="s">
        <v>30</v>
      </c>
    </row>
    <row r="1321" spans="2:14" s="9" customFormat="1" hidden="1" x14ac:dyDescent="0.25">
      <c r="B1321" s="120">
        <v>1318</v>
      </c>
      <c r="C1321" s="122">
        <v>20518792360</v>
      </c>
      <c r="D1321" s="125" t="s">
        <v>2839</v>
      </c>
      <c r="E1321" s="125" t="s">
        <v>2840</v>
      </c>
      <c r="F1321" s="122" t="s">
        <v>30</v>
      </c>
      <c r="G1321" s="122" t="s">
        <v>30</v>
      </c>
      <c r="H1321" s="122" t="s">
        <v>135</v>
      </c>
      <c r="I1321" s="125" t="s">
        <v>1950</v>
      </c>
      <c r="J1321" s="129" t="s">
        <v>2860</v>
      </c>
      <c r="K1321" s="122" t="s">
        <v>2861</v>
      </c>
      <c r="L1321" s="122" t="s">
        <v>1558</v>
      </c>
      <c r="M1321" s="133" t="s">
        <v>2843</v>
      </c>
      <c r="N1321" s="122" t="s">
        <v>30</v>
      </c>
    </row>
    <row r="1322" spans="2:14" s="9" customFormat="1" hidden="1" x14ac:dyDescent="0.25">
      <c r="B1322" s="120">
        <v>1319</v>
      </c>
      <c r="C1322" s="122">
        <v>20518792360</v>
      </c>
      <c r="D1322" s="125" t="s">
        <v>2839</v>
      </c>
      <c r="E1322" s="125" t="s">
        <v>2840</v>
      </c>
      <c r="F1322" s="122" t="s">
        <v>30</v>
      </c>
      <c r="G1322" s="122" t="s">
        <v>30</v>
      </c>
      <c r="H1322" s="122" t="s">
        <v>135</v>
      </c>
      <c r="I1322" s="125" t="s">
        <v>1950</v>
      </c>
      <c r="J1322" s="129" t="s">
        <v>2858</v>
      </c>
      <c r="K1322" s="122" t="s">
        <v>2859</v>
      </c>
      <c r="L1322" s="122" t="s">
        <v>1558</v>
      </c>
      <c r="M1322" s="133" t="s">
        <v>2843</v>
      </c>
      <c r="N1322" s="122" t="s">
        <v>30</v>
      </c>
    </row>
    <row r="1323" spans="2:14" s="9" customFormat="1" hidden="1" x14ac:dyDescent="0.25">
      <c r="B1323" s="120">
        <v>1320</v>
      </c>
      <c r="C1323" s="122">
        <v>20518792360</v>
      </c>
      <c r="D1323" s="125" t="s">
        <v>2839</v>
      </c>
      <c r="E1323" s="125" t="s">
        <v>2840</v>
      </c>
      <c r="F1323" s="122" t="s">
        <v>30</v>
      </c>
      <c r="G1323" s="122" t="s">
        <v>30</v>
      </c>
      <c r="H1323" s="122" t="s">
        <v>135</v>
      </c>
      <c r="I1323" s="125" t="s">
        <v>1950</v>
      </c>
      <c r="J1323" s="129" t="s">
        <v>2856</v>
      </c>
      <c r="K1323" s="122" t="s">
        <v>2857</v>
      </c>
      <c r="L1323" s="122" t="s">
        <v>1558</v>
      </c>
      <c r="M1323" s="133" t="s">
        <v>2843</v>
      </c>
      <c r="N1323" s="122" t="s">
        <v>30</v>
      </c>
    </row>
    <row r="1324" spans="2:14" s="9" customFormat="1" hidden="1" x14ac:dyDescent="0.25">
      <c r="B1324" s="120">
        <v>1321</v>
      </c>
      <c r="C1324" s="122">
        <v>20518792360</v>
      </c>
      <c r="D1324" s="125" t="s">
        <v>2839</v>
      </c>
      <c r="E1324" s="125" t="s">
        <v>2840</v>
      </c>
      <c r="F1324" s="122" t="s">
        <v>30</v>
      </c>
      <c r="G1324" s="122" t="s">
        <v>30</v>
      </c>
      <c r="H1324" s="122" t="s">
        <v>135</v>
      </c>
      <c r="I1324" s="125" t="s">
        <v>1950</v>
      </c>
      <c r="J1324" s="129" t="s">
        <v>2854</v>
      </c>
      <c r="K1324" s="122" t="s">
        <v>2855</v>
      </c>
      <c r="L1324" s="122" t="s">
        <v>1558</v>
      </c>
      <c r="M1324" s="133" t="s">
        <v>2843</v>
      </c>
      <c r="N1324" s="122" t="s">
        <v>30</v>
      </c>
    </row>
    <row r="1325" spans="2:14" s="9" customFormat="1" hidden="1" x14ac:dyDescent="0.25">
      <c r="B1325" s="120">
        <v>1322</v>
      </c>
      <c r="C1325" s="122">
        <v>20518792360</v>
      </c>
      <c r="D1325" s="125" t="s">
        <v>2839</v>
      </c>
      <c r="E1325" s="125" t="s">
        <v>2840</v>
      </c>
      <c r="F1325" s="122" t="s">
        <v>30</v>
      </c>
      <c r="G1325" s="122" t="s">
        <v>30</v>
      </c>
      <c r="H1325" s="122" t="s">
        <v>135</v>
      </c>
      <c r="I1325" s="125" t="s">
        <v>1950</v>
      </c>
      <c r="J1325" s="129" t="s">
        <v>2852</v>
      </c>
      <c r="K1325" s="122" t="s">
        <v>2853</v>
      </c>
      <c r="L1325" s="122" t="s">
        <v>1558</v>
      </c>
      <c r="M1325" s="133" t="s">
        <v>2843</v>
      </c>
      <c r="N1325" s="122" t="s">
        <v>30</v>
      </c>
    </row>
    <row r="1326" spans="2:14" s="9" customFormat="1" hidden="1" x14ac:dyDescent="0.25">
      <c r="B1326" s="120">
        <v>1323</v>
      </c>
      <c r="C1326" s="122">
        <v>20518792360</v>
      </c>
      <c r="D1326" s="125" t="s">
        <v>2839</v>
      </c>
      <c r="E1326" s="125" t="s">
        <v>2840</v>
      </c>
      <c r="F1326" s="122" t="s">
        <v>30</v>
      </c>
      <c r="G1326" s="122" t="s">
        <v>30</v>
      </c>
      <c r="H1326" s="122" t="s">
        <v>135</v>
      </c>
      <c r="I1326" s="125" t="s">
        <v>1950</v>
      </c>
      <c r="J1326" s="129" t="s">
        <v>2850</v>
      </c>
      <c r="K1326" s="122" t="s">
        <v>2851</v>
      </c>
      <c r="L1326" s="122" t="s">
        <v>1558</v>
      </c>
      <c r="M1326" s="133" t="s">
        <v>2843</v>
      </c>
      <c r="N1326" s="122" t="s">
        <v>30</v>
      </c>
    </row>
    <row r="1327" spans="2:14" s="9" customFormat="1" hidden="1" x14ac:dyDescent="0.25">
      <c r="B1327" s="120">
        <v>1324</v>
      </c>
      <c r="C1327" s="122">
        <v>20518792360</v>
      </c>
      <c r="D1327" s="125" t="s">
        <v>2839</v>
      </c>
      <c r="E1327" s="125" t="s">
        <v>2840</v>
      </c>
      <c r="F1327" s="122" t="s">
        <v>30</v>
      </c>
      <c r="G1327" s="122" t="s">
        <v>30</v>
      </c>
      <c r="H1327" s="122" t="s">
        <v>135</v>
      </c>
      <c r="I1327" s="125" t="s">
        <v>1950</v>
      </c>
      <c r="J1327" s="129" t="s">
        <v>2848</v>
      </c>
      <c r="K1327" s="122" t="s">
        <v>2849</v>
      </c>
      <c r="L1327" s="122" t="s">
        <v>1558</v>
      </c>
      <c r="M1327" s="133" t="s">
        <v>2843</v>
      </c>
      <c r="N1327" s="122" t="s">
        <v>30</v>
      </c>
    </row>
    <row r="1328" spans="2:14" s="9" customFormat="1" hidden="1" x14ac:dyDescent="0.25">
      <c r="B1328" s="120">
        <v>1325</v>
      </c>
      <c r="C1328" s="122">
        <v>20518792360</v>
      </c>
      <c r="D1328" s="125" t="s">
        <v>2839</v>
      </c>
      <c r="E1328" s="125" t="s">
        <v>2840</v>
      </c>
      <c r="F1328" s="122" t="s">
        <v>30</v>
      </c>
      <c r="G1328" s="122" t="s">
        <v>30</v>
      </c>
      <c r="H1328" s="122" t="s">
        <v>135</v>
      </c>
      <c r="I1328" s="125" t="s">
        <v>1950</v>
      </c>
      <c r="J1328" s="129" t="s">
        <v>2846</v>
      </c>
      <c r="K1328" s="122" t="s">
        <v>2847</v>
      </c>
      <c r="L1328" s="122" t="s">
        <v>1558</v>
      </c>
      <c r="M1328" s="133" t="s">
        <v>2843</v>
      </c>
      <c r="N1328" s="122" t="s">
        <v>30</v>
      </c>
    </row>
    <row r="1329" spans="2:14" s="9" customFormat="1" hidden="1" x14ac:dyDescent="0.25">
      <c r="B1329" s="120">
        <v>1326</v>
      </c>
      <c r="C1329" s="122">
        <v>20518792360</v>
      </c>
      <c r="D1329" s="125" t="s">
        <v>2839</v>
      </c>
      <c r="E1329" s="125" t="s">
        <v>2840</v>
      </c>
      <c r="F1329" s="122" t="s">
        <v>30</v>
      </c>
      <c r="G1329" s="122" t="s">
        <v>30</v>
      </c>
      <c r="H1329" s="122" t="s">
        <v>135</v>
      </c>
      <c r="I1329" s="125" t="s">
        <v>1950</v>
      </c>
      <c r="J1329" s="129" t="s">
        <v>2844</v>
      </c>
      <c r="K1329" s="122" t="s">
        <v>2845</v>
      </c>
      <c r="L1329" s="122" t="s">
        <v>1558</v>
      </c>
      <c r="M1329" s="133" t="s">
        <v>2843</v>
      </c>
      <c r="N1329" s="122" t="s">
        <v>30</v>
      </c>
    </row>
    <row r="1330" spans="2:14" s="9" customFormat="1" hidden="1" x14ac:dyDescent="0.25">
      <c r="B1330" s="120">
        <v>1327</v>
      </c>
      <c r="C1330" s="122">
        <v>20518792360</v>
      </c>
      <c r="D1330" s="125" t="s">
        <v>2839</v>
      </c>
      <c r="E1330" s="125" t="s">
        <v>2840</v>
      </c>
      <c r="F1330" s="122" t="s">
        <v>30</v>
      </c>
      <c r="G1330" s="122" t="s">
        <v>30</v>
      </c>
      <c r="H1330" s="122" t="s">
        <v>135</v>
      </c>
      <c r="I1330" s="125" t="s">
        <v>1950</v>
      </c>
      <c r="J1330" s="129" t="s">
        <v>2841</v>
      </c>
      <c r="K1330" s="122" t="s">
        <v>2842</v>
      </c>
      <c r="L1330" s="122" t="s">
        <v>1558</v>
      </c>
      <c r="M1330" s="133" t="s">
        <v>2843</v>
      </c>
      <c r="N1330" s="122" t="s">
        <v>30</v>
      </c>
    </row>
    <row r="1331" spans="2:14" s="9" customFormat="1" hidden="1" x14ac:dyDescent="0.25">
      <c r="B1331" s="120">
        <v>1328</v>
      </c>
      <c r="C1331" s="122">
        <v>20605552944</v>
      </c>
      <c r="D1331" s="125" t="s">
        <v>271</v>
      </c>
      <c r="E1331" s="125" t="s">
        <v>2836</v>
      </c>
      <c r="F1331" s="122" t="s">
        <v>30</v>
      </c>
      <c r="G1331" s="122" t="s">
        <v>30</v>
      </c>
      <c r="H1331" s="122" t="s">
        <v>43</v>
      </c>
      <c r="I1331" s="125" t="s">
        <v>1394</v>
      </c>
      <c r="J1331" s="129" t="s">
        <v>8164</v>
      </c>
      <c r="K1331" s="122" t="s">
        <v>2837</v>
      </c>
      <c r="L1331" s="122" t="s">
        <v>731</v>
      </c>
      <c r="M1331" s="133" t="s">
        <v>2838</v>
      </c>
      <c r="N1331" s="122" t="s">
        <v>30</v>
      </c>
    </row>
    <row r="1332" spans="2:14" s="9" customFormat="1" hidden="1" x14ac:dyDescent="0.25">
      <c r="B1332" s="120">
        <v>1329</v>
      </c>
      <c r="C1332" s="122">
        <v>20608130323</v>
      </c>
      <c r="D1332" s="125" t="s">
        <v>2833</v>
      </c>
      <c r="E1332" s="125" t="s">
        <v>1129</v>
      </c>
      <c r="F1332" s="122" t="s">
        <v>30</v>
      </c>
      <c r="G1332" s="122" t="s">
        <v>30</v>
      </c>
      <c r="H1332" s="122" t="s">
        <v>88</v>
      </c>
      <c r="I1332" s="125" t="s">
        <v>1424</v>
      </c>
      <c r="J1332" s="129" t="s">
        <v>8180</v>
      </c>
      <c r="K1332" s="122" t="s">
        <v>2834</v>
      </c>
      <c r="L1332" s="122" t="s">
        <v>42</v>
      </c>
      <c r="M1332" s="133" t="s">
        <v>2835</v>
      </c>
      <c r="N1332" s="122" t="s">
        <v>30</v>
      </c>
    </row>
    <row r="1333" spans="2:14" s="9" customFormat="1" hidden="1" x14ac:dyDescent="0.25">
      <c r="B1333" s="120">
        <v>1330</v>
      </c>
      <c r="C1333" s="122">
        <v>20604046719</v>
      </c>
      <c r="D1333" s="125" t="s">
        <v>537</v>
      </c>
      <c r="E1333" s="125" t="s">
        <v>2830</v>
      </c>
      <c r="F1333" s="122" t="s">
        <v>67</v>
      </c>
      <c r="G1333" s="122" t="s">
        <v>67</v>
      </c>
      <c r="H1333" s="122" t="s">
        <v>94</v>
      </c>
      <c r="I1333" s="125" t="s">
        <v>1447</v>
      </c>
      <c r="J1333" s="129" t="s">
        <v>8330</v>
      </c>
      <c r="K1333" s="122" t="s">
        <v>2831</v>
      </c>
      <c r="L1333" s="122" t="s">
        <v>731</v>
      </c>
      <c r="M1333" s="133" t="s">
        <v>2832</v>
      </c>
      <c r="N1333" s="122" t="s">
        <v>30</v>
      </c>
    </row>
    <row r="1334" spans="2:14" s="9" customFormat="1" hidden="1" x14ac:dyDescent="0.25">
      <c r="B1334" s="120">
        <v>1331</v>
      </c>
      <c r="C1334" s="122">
        <v>20517608085</v>
      </c>
      <c r="D1334" s="125" t="s">
        <v>2825</v>
      </c>
      <c r="E1334" s="125" t="s">
        <v>2826</v>
      </c>
      <c r="F1334" s="122" t="s">
        <v>30</v>
      </c>
      <c r="G1334" s="122" t="s">
        <v>30</v>
      </c>
      <c r="H1334" s="122" t="s">
        <v>45</v>
      </c>
      <c r="I1334" s="125" t="s">
        <v>1365</v>
      </c>
      <c r="J1334" s="129" t="s">
        <v>2827</v>
      </c>
      <c r="K1334" s="122" t="s">
        <v>2828</v>
      </c>
      <c r="L1334" s="122" t="s">
        <v>42</v>
      </c>
      <c r="M1334" s="133" t="s">
        <v>2829</v>
      </c>
      <c r="N1334" s="122" t="s">
        <v>30</v>
      </c>
    </row>
    <row r="1335" spans="2:14" s="9" customFormat="1" hidden="1" x14ac:dyDescent="0.25">
      <c r="B1335" s="120">
        <v>1332</v>
      </c>
      <c r="C1335" s="122">
        <v>20601262330</v>
      </c>
      <c r="D1335" s="125" t="s">
        <v>2821</v>
      </c>
      <c r="E1335" s="125" t="s">
        <v>2822</v>
      </c>
      <c r="F1335" s="122" t="s">
        <v>30</v>
      </c>
      <c r="G1335" s="122" t="s">
        <v>30</v>
      </c>
      <c r="H1335" s="122" t="s">
        <v>85</v>
      </c>
      <c r="I1335" s="125" t="s">
        <v>1395</v>
      </c>
      <c r="J1335" s="129" t="s">
        <v>8498</v>
      </c>
      <c r="K1335" s="122" t="s">
        <v>2823</v>
      </c>
      <c r="L1335" s="122" t="s">
        <v>1577</v>
      </c>
      <c r="M1335" s="133" t="s">
        <v>2824</v>
      </c>
      <c r="N1335" s="122" t="s">
        <v>30</v>
      </c>
    </row>
    <row r="1336" spans="2:14" s="9" customFormat="1" hidden="1" x14ac:dyDescent="0.25">
      <c r="B1336" s="120">
        <v>1333</v>
      </c>
      <c r="C1336" s="122">
        <v>20600520661</v>
      </c>
      <c r="D1336" s="125" t="s">
        <v>1066</v>
      </c>
      <c r="E1336" s="125" t="s">
        <v>2818</v>
      </c>
      <c r="F1336" s="122" t="s">
        <v>30</v>
      </c>
      <c r="G1336" s="122" t="s">
        <v>30</v>
      </c>
      <c r="H1336" s="122" t="s">
        <v>52</v>
      </c>
      <c r="I1336" s="125" t="s">
        <v>1374</v>
      </c>
      <c r="J1336" s="129" t="s">
        <v>8502</v>
      </c>
      <c r="K1336" s="122" t="s">
        <v>2819</v>
      </c>
      <c r="L1336" s="122" t="s">
        <v>731</v>
      </c>
      <c r="M1336" s="133" t="s">
        <v>2820</v>
      </c>
      <c r="N1336" s="122" t="s">
        <v>30</v>
      </c>
    </row>
    <row r="1337" spans="2:14" s="9" customFormat="1" hidden="1" x14ac:dyDescent="0.25">
      <c r="B1337" s="120">
        <v>1334</v>
      </c>
      <c r="C1337" s="122">
        <v>20556538957</v>
      </c>
      <c r="D1337" s="125" t="s">
        <v>1105</v>
      </c>
      <c r="E1337" s="125" t="s">
        <v>2814</v>
      </c>
      <c r="F1337" s="122" t="s">
        <v>30</v>
      </c>
      <c r="G1337" s="122" t="s">
        <v>30</v>
      </c>
      <c r="H1337" s="122" t="s">
        <v>68</v>
      </c>
      <c r="I1337" s="125" t="s">
        <v>1374</v>
      </c>
      <c r="J1337" s="129" t="s">
        <v>2815</v>
      </c>
      <c r="K1337" s="122" t="s">
        <v>2816</v>
      </c>
      <c r="L1337" s="122" t="s">
        <v>731</v>
      </c>
      <c r="M1337" s="133" t="s">
        <v>2817</v>
      </c>
      <c r="N1337" s="122" t="s">
        <v>30</v>
      </c>
    </row>
    <row r="1338" spans="2:14" s="9" customFormat="1" hidden="1" x14ac:dyDescent="0.25">
      <c r="B1338" s="120">
        <v>1335</v>
      </c>
      <c r="C1338" s="122">
        <v>20604877386</v>
      </c>
      <c r="D1338" s="125" t="s">
        <v>291</v>
      </c>
      <c r="E1338" s="125" t="s">
        <v>2810</v>
      </c>
      <c r="F1338" s="122" t="s">
        <v>30</v>
      </c>
      <c r="G1338" s="122" t="s">
        <v>30</v>
      </c>
      <c r="H1338" s="122" t="s">
        <v>45</v>
      </c>
      <c r="I1338" s="125" t="s">
        <v>1447</v>
      </c>
      <c r="J1338" s="129" t="s">
        <v>2811</v>
      </c>
      <c r="K1338" s="122" t="s">
        <v>2812</v>
      </c>
      <c r="L1338" s="122" t="s">
        <v>1577</v>
      </c>
      <c r="M1338" s="133" t="s">
        <v>2813</v>
      </c>
      <c r="N1338" s="122" t="s">
        <v>30</v>
      </c>
    </row>
    <row r="1339" spans="2:14" s="9" customFormat="1" hidden="1" x14ac:dyDescent="0.25">
      <c r="B1339" s="120">
        <v>1336</v>
      </c>
      <c r="C1339" s="122">
        <v>20603647204</v>
      </c>
      <c r="D1339" s="125" t="s">
        <v>2805</v>
      </c>
      <c r="E1339" s="125" t="s">
        <v>2806</v>
      </c>
      <c r="F1339" s="122" t="s">
        <v>30</v>
      </c>
      <c r="G1339" s="122" t="s">
        <v>30</v>
      </c>
      <c r="H1339" s="122" t="s">
        <v>35</v>
      </c>
      <c r="I1339" s="125" t="s">
        <v>1428</v>
      </c>
      <c r="J1339" s="129" t="s">
        <v>2807</v>
      </c>
      <c r="K1339" s="122" t="s">
        <v>2808</v>
      </c>
      <c r="L1339" s="122" t="s">
        <v>57</v>
      </c>
      <c r="M1339" s="133" t="s">
        <v>2809</v>
      </c>
      <c r="N1339" s="122" t="s">
        <v>30</v>
      </c>
    </row>
    <row r="1340" spans="2:14" s="9" customFormat="1" hidden="1" x14ac:dyDescent="0.25">
      <c r="B1340" s="120">
        <v>1337</v>
      </c>
      <c r="C1340" s="122">
        <v>20210441213</v>
      </c>
      <c r="D1340" s="125" t="s">
        <v>580</v>
      </c>
      <c r="E1340" s="125" t="s">
        <v>2802</v>
      </c>
      <c r="F1340" s="122" t="s">
        <v>30</v>
      </c>
      <c r="G1340" s="122" t="s">
        <v>30</v>
      </c>
      <c r="H1340" s="122" t="s">
        <v>86</v>
      </c>
      <c r="I1340" s="125" t="s">
        <v>2803</v>
      </c>
      <c r="J1340" s="129" t="s">
        <v>8048</v>
      </c>
      <c r="K1340" s="122" t="s">
        <v>8049</v>
      </c>
      <c r="L1340" s="122" t="s">
        <v>209</v>
      </c>
      <c r="M1340" s="133" t="s">
        <v>2804</v>
      </c>
      <c r="N1340" s="122" t="s">
        <v>30</v>
      </c>
    </row>
    <row r="1341" spans="2:14" s="9" customFormat="1" hidden="1" x14ac:dyDescent="0.25">
      <c r="B1341" s="120">
        <v>1338</v>
      </c>
      <c r="C1341" s="122">
        <v>20210441213</v>
      </c>
      <c r="D1341" s="125" t="s">
        <v>580</v>
      </c>
      <c r="E1341" s="125" t="s">
        <v>2802</v>
      </c>
      <c r="F1341" s="122" t="s">
        <v>30</v>
      </c>
      <c r="G1341" s="122" t="s">
        <v>30</v>
      </c>
      <c r="H1341" s="122" t="s">
        <v>86</v>
      </c>
      <c r="I1341" s="125" t="s">
        <v>2803</v>
      </c>
      <c r="J1341" s="129" t="s">
        <v>8046</v>
      </c>
      <c r="K1341" s="122" t="s">
        <v>8047</v>
      </c>
      <c r="L1341" s="122" t="s">
        <v>42</v>
      </c>
      <c r="M1341" s="133" t="s">
        <v>2804</v>
      </c>
      <c r="N1341" s="122" t="s">
        <v>30</v>
      </c>
    </row>
    <row r="1342" spans="2:14" s="9" customFormat="1" hidden="1" x14ac:dyDescent="0.25">
      <c r="B1342" s="120">
        <v>1339</v>
      </c>
      <c r="C1342" s="122">
        <v>20600988281</v>
      </c>
      <c r="D1342" s="125" t="s">
        <v>2797</v>
      </c>
      <c r="E1342" s="125" t="s">
        <v>2798</v>
      </c>
      <c r="F1342" s="122" t="s">
        <v>30</v>
      </c>
      <c r="G1342" s="122" t="s">
        <v>30</v>
      </c>
      <c r="H1342" s="122" t="s">
        <v>45</v>
      </c>
      <c r="I1342" s="125" t="s">
        <v>1450</v>
      </c>
      <c r="J1342" s="129" t="s">
        <v>6198</v>
      </c>
      <c r="K1342" s="122" t="s">
        <v>2799</v>
      </c>
      <c r="L1342" s="122" t="s">
        <v>2800</v>
      </c>
      <c r="M1342" s="133" t="s">
        <v>2801</v>
      </c>
      <c r="N1342" s="122" t="s">
        <v>30</v>
      </c>
    </row>
    <row r="1343" spans="2:14" s="9" customFormat="1" hidden="1" x14ac:dyDescent="0.25">
      <c r="B1343" s="120">
        <v>1340</v>
      </c>
      <c r="C1343" s="122">
        <v>20521796961</v>
      </c>
      <c r="D1343" s="125" t="s">
        <v>2793</v>
      </c>
      <c r="E1343" s="125" t="s">
        <v>2794</v>
      </c>
      <c r="F1343" s="122" t="s">
        <v>30</v>
      </c>
      <c r="G1343" s="122" t="s">
        <v>30</v>
      </c>
      <c r="H1343" s="122" t="s">
        <v>43</v>
      </c>
      <c r="I1343" s="125" t="s">
        <v>1384</v>
      </c>
      <c r="J1343" s="129" t="s">
        <v>8535</v>
      </c>
      <c r="K1343" s="122" t="s">
        <v>2795</v>
      </c>
      <c r="L1343" s="122" t="s">
        <v>42</v>
      </c>
      <c r="M1343" s="133" t="s">
        <v>2796</v>
      </c>
      <c r="N1343" s="122" t="s">
        <v>30</v>
      </c>
    </row>
    <row r="1344" spans="2:14" s="9" customFormat="1" hidden="1" x14ac:dyDescent="0.25">
      <c r="B1344" s="120">
        <v>1341</v>
      </c>
      <c r="C1344" s="122">
        <v>20548623694</v>
      </c>
      <c r="D1344" s="125" t="s">
        <v>2788</v>
      </c>
      <c r="E1344" s="125" t="s">
        <v>2789</v>
      </c>
      <c r="F1344" s="122" t="s">
        <v>30</v>
      </c>
      <c r="G1344" s="122" t="s">
        <v>30</v>
      </c>
      <c r="H1344" s="122" t="s">
        <v>72</v>
      </c>
      <c r="I1344" s="125" t="s">
        <v>1424</v>
      </c>
      <c r="J1344" s="129" t="s">
        <v>2790</v>
      </c>
      <c r="K1344" s="122" t="s">
        <v>2791</v>
      </c>
      <c r="L1344" s="122" t="s">
        <v>57</v>
      </c>
      <c r="M1344" s="133" t="s">
        <v>2792</v>
      </c>
      <c r="N1344" s="122" t="s">
        <v>30</v>
      </c>
    </row>
    <row r="1345" spans="2:14" s="9" customFormat="1" hidden="1" x14ac:dyDescent="0.25">
      <c r="B1345" s="120">
        <v>1342</v>
      </c>
      <c r="C1345" s="122">
        <v>20600103599</v>
      </c>
      <c r="D1345" s="125" t="s">
        <v>629</v>
      </c>
      <c r="E1345" s="125" t="s">
        <v>2784</v>
      </c>
      <c r="F1345" s="122" t="s">
        <v>30</v>
      </c>
      <c r="G1345" s="122" t="s">
        <v>30</v>
      </c>
      <c r="H1345" s="122" t="s">
        <v>79</v>
      </c>
      <c r="I1345" s="125" t="s">
        <v>1930</v>
      </c>
      <c r="J1345" s="129" t="s">
        <v>2785</v>
      </c>
      <c r="K1345" s="122" t="s">
        <v>2786</v>
      </c>
      <c r="L1345" s="122" t="s">
        <v>42</v>
      </c>
      <c r="M1345" s="133" t="s">
        <v>2787</v>
      </c>
      <c r="N1345" s="122" t="s">
        <v>30</v>
      </c>
    </row>
    <row r="1346" spans="2:14" s="9" customFormat="1" hidden="1" x14ac:dyDescent="0.25">
      <c r="B1346" s="120">
        <v>1343</v>
      </c>
      <c r="C1346" s="122">
        <v>20606661631</v>
      </c>
      <c r="D1346" s="125" t="s">
        <v>558</v>
      </c>
      <c r="E1346" s="125" t="s">
        <v>2780</v>
      </c>
      <c r="F1346" s="122" t="s">
        <v>30</v>
      </c>
      <c r="G1346" s="122" t="s">
        <v>30</v>
      </c>
      <c r="H1346" s="122" t="s">
        <v>64</v>
      </c>
      <c r="I1346" s="125" t="s">
        <v>1394</v>
      </c>
      <c r="J1346" s="129" t="s">
        <v>2781</v>
      </c>
      <c r="K1346" s="122" t="s">
        <v>2782</v>
      </c>
      <c r="L1346" s="122" t="s">
        <v>731</v>
      </c>
      <c r="M1346" s="133" t="s">
        <v>2783</v>
      </c>
      <c r="N1346" s="122" t="s">
        <v>30</v>
      </c>
    </row>
    <row r="1347" spans="2:14" s="9" customFormat="1" hidden="1" x14ac:dyDescent="0.25">
      <c r="B1347" s="120">
        <v>1344</v>
      </c>
      <c r="C1347" s="122">
        <v>20512364323</v>
      </c>
      <c r="D1347" s="125" t="s">
        <v>573</v>
      </c>
      <c r="E1347" s="125" t="s">
        <v>2774</v>
      </c>
      <c r="F1347" s="122" t="s">
        <v>30</v>
      </c>
      <c r="G1347" s="122" t="s">
        <v>30</v>
      </c>
      <c r="H1347" s="122" t="s">
        <v>72</v>
      </c>
      <c r="I1347" s="125" t="s">
        <v>1394</v>
      </c>
      <c r="J1347" s="129" t="s">
        <v>2778</v>
      </c>
      <c r="K1347" s="122" t="s">
        <v>2779</v>
      </c>
      <c r="L1347" s="122" t="s">
        <v>42</v>
      </c>
      <c r="M1347" s="133" t="s">
        <v>2777</v>
      </c>
      <c r="N1347" s="122" t="s">
        <v>30</v>
      </c>
    </row>
    <row r="1348" spans="2:14" s="9" customFormat="1" hidden="1" x14ac:dyDescent="0.25">
      <c r="B1348" s="120">
        <v>1345</v>
      </c>
      <c r="C1348" s="122">
        <v>20512364323</v>
      </c>
      <c r="D1348" s="125" t="s">
        <v>573</v>
      </c>
      <c r="E1348" s="125" t="s">
        <v>2774</v>
      </c>
      <c r="F1348" s="122" t="s">
        <v>30</v>
      </c>
      <c r="G1348" s="122" t="s">
        <v>30</v>
      </c>
      <c r="H1348" s="122" t="s">
        <v>72</v>
      </c>
      <c r="I1348" s="125" t="s">
        <v>1394</v>
      </c>
      <c r="J1348" s="129" t="s">
        <v>2775</v>
      </c>
      <c r="K1348" s="122" t="s">
        <v>2776</v>
      </c>
      <c r="L1348" s="122" t="s">
        <v>2469</v>
      </c>
      <c r="M1348" s="133" t="s">
        <v>2777</v>
      </c>
      <c r="N1348" s="122" t="s">
        <v>30</v>
      </c>
    </row>
    <row r="1349" spans="2:14" s="9" customFormat="1" hidden="1" x14ac:dyDescent="0.25">
      <c r="B1349" s="120">
        <v>1346</v>
      </c>
      <c r="C1349" s="122">
        <v>20608165542</v>
      </c>
      <c r="D1349" s="125" t="s">
        <v>122</v>
      </c>
      <c r="E1349" s="125" t="s">
        <v>2770</v>
      </c>
      <c r="F1349" s="122" t="s">
        <v>30</v>
      </c>
      <c r="G1349" s="122" t="s">
        <v>30</v>
      </c>
      <c r="H1349" s="122" t="s">
        <v>45</v>
      </c>
      <c r="I1349" s="125" t="s">
        <v>1377</v>
      </c>
      <c r="J1349" s="129" t="s">
        <v>2771</v>
      </c>
      <c r="K1349" s="122" t="s">
        <v>2772</v>
      </c>
      <c r="L1349" s="122" t="s">
        <v>57</v>
      </c>
      <c r="M1349" s="133" t="s">
        <v>2773</v>
      </c>
      <c r="N1349" s="122" t="s">
        <v>30</v>
      </c>
    </row>
    <row r="1350" spans="2:14" s="9" customFormat="1" hidden="1" x14ac:dyDescent="0.25">
      <c r="B1350" s="120">
        <v>1347</v>
      </c>
      <c r="C1350" s="122">
        <v>20601832616</v>
      </c>
      <c r="D1350" s="125" t="s">
        <v>2763</v>
      </c>
      <c r="E1350" s="125" t="s">
        <v>2764</v>
      </c>
      <c r="F1350" s="122" t="s">
        <v>30</v>
      </c>
      <c r="G1350" s="122" t="s">
        <v>30</v>
      </c>
      <c r="H1350" s="122" t="s">
        <v>51</v>
      </c>
      <c r="I1350" s="125" t="s">
        <v>1940</v>
      </c>
      <c r="J1350" s="129" t="s">
        <v>2768</v>
      </c>
      <c r="K1350" s="122" t="s">
        <v>2769</v>
      </c>
      <c r="L1350" s="122" t="s">
        <v>2469</v>
      </c>
      <c r="M1350" s="133" t="s">
        <v>2767</v>
      </c>
      <c r="N1350" s="122" t="s">
        <v>30</v>
      </c>
    </row>
    <row r="1351" spans="2:14" s="9" customFormat="1" hidden="1" x14ac:dyDescent="0.25">
      <c r="B1351" s="120">
        <v>1348</v>
      </c>
      <c r="C1351" s="122">
        <v>20601832616</v>
      </c>
      <c r="D1351" s="125" t="s">
        <v>2763</v>
      </c>
      <c r="E1351" s="125" t="s">
        <v>2764</v>
      </c>
      <c r="F1351" s="122" t="s">
        <v>30</v>
      </c>
      <c r="G1351" s="122" t="s">
        <v>30</v>
      </c>
      <c r="H1351" s="122" t="s">
        <v>51</v>
      </c>
      <c r="I1351" s="125" t="s">
        <v>1940</v>
      </c>
      <c r="J1351" s="129" t="s">
        <v>2765</v>
      </c>
      <c r="K1351" s="122" t="s">
        <v>2766</v>
      </c>
      <c r="L1351" s="122" t="s">
        <v>731</v>
      </c>
      <c r="M1351" s="133" t="s">
        <v>2767</v>
      </c>
      <c r="N1351" s="122" t="s">
        <v>30</v>
      </c>
    </row>
    <row r="1352" spans="2:14" s="9" customFormat="1" hidden="1" x14ac:dyDescent="0.25">
      <c r="B1352" s="120">
        <v>1349</v>
      </c>
      <c r="C1352" s="122">
        <v>20510684592</v>
      </c>
      <c r="D1352" s="125" t="s">
        <v>2759</v>
      </c>
      <c r="E1352" s="125" t="s">
        <v>2760</v>
      </c>
      <c r="F1352" s="122" t="s">
        <v>30</v>
      </c>
      <c r="G1352" s="122" t="s">
        <v>30</v>
      </c>
      <c r="H1352" s="122" t="s">
        <v>45</v>
      </c>
      <c r="I1352" s="125" t="s">
        <v>1384</v>
      </c>
      <c r="J1352" s="129" t="s">
        <v>8623</v>
      </c>
      <c r="K1352" s="122" t="s">
        <v>2761</v>
      </c>
      <c r="L1352" s="122" t="s">
        <v>36</v>
      </c>
      <c r="M1352" s="133" t="s">
        <v>2762</v>
      </c>
      <c r="N1352" s="122" t="s">
        <v>30</v>
      </c>
    </row>
    <row r="1353" spans="2:14" s="9" customFormat="1" hidden="1" x14ac:dyDescent="0.25">
      <c r="B1353" s="120">
        <v>1350</v>
      </c>
      <c r="C1353" s="122">
        <v>20507430555</v>
      </c>
      <c r="D1353" s="125" t="s">
        <v>131</v>
      </c>
      <c r="E1353" s="125" t="s">
        <v>2754</v>
      </c>
      <c r="F1353" s="122" t="s">
        <v>30</v>
      </c>
      <c r="G1353" s="122" t="s">
        <v>30</v>
      </c>
      <c r="H1353" s="122" t="s">
        <v>135</v>
      </c>
      <c r="I1353" s="125" t="s">
        <v>1371</v>
      </c>
      <c r="J1353" s="129" t="s">
        <v>8624</v>
      </c>
      <c r="K1353" s="122" t="s">
        <v>2758</v>
      </c>
      <c r="L1353" s="122" t="s">
        <v>36</v>
      </c>
      <c r="M1353" s="133" t="s">
        <v>2757</v>
      </c>
      <c r="N1353" s="122" t="s">
        <v>30</v>
      </c>
    </row>
    <row r="1354" spans="2:14" s="9" customFormat="1" hidden="1" x14ac:dyDescent="0.25">
      <c r="B1354" s="120">
        <v>1351</v>
      </c>
      <c r="C1354" s="122">
        <v>20507430555</v>
      </c>
      <c r="D1354" s="125" t="s">
        <v>131</v>
      </c>
      <c r="E1354" s="125" t="s">
        <v>2754</v>
      </c>
      <c r="F1354" s="122" t="s">
        <v>30</v>
      </c>
      <c r="G1354" s="122" t="s">
        <v>30</v>
      </c>
      <c r="H1354" s="122" t="s">
        <v>135</v>
      </c>
      <c r="I1354" s="125" t="s">
        <v>1371</v>
      </c>
      <c r="J1354" s="129" t="s">
        <v>2755</v>
      </c>
      <c r="K1354" s="122" t="s">
        <v>2756</v>
      </c>
      <c r="L1354" s="122" t="s">
        <v>42</v>
      </c>
      <c r="M1354" s="133" t="s">
        <v>2757</v>
      </c>
      <c r="N1354" s="122" t="s">
        <v>30</v>
      </c>
    </row>
    <row r="1355" spans="2:14" s="9" customFormat="1" hidden="1" x14ac:dyDescent="0.25">
      <c r="B1355" s="120">
        <v>1352</v>
      </c>
      <c r="C1355" s="122">
        <v>20601355885</v>
      </c>
      <c r="D1355" s="125" t="s">
        <v>586</v>
      </c>
      <c r="E1355" s="125" t="s">
        <v>2750</v>
      </c>
      <c r="F1355" s="122" t="s">
        <v>30</v>
      </c>
      <c r="G1355" s="122" t="s">
        <v>30</v>
      </c>
      <c r="H1355" s="122" t="s">
        <v>52</v>
      </c>
      <c r="I1355" s="125" t="s">
        <v>1706</v>
      </c>
      <c r="J1355" s="129" t="s">
        <v>2751</v>
      </c>
      <c r="K1355" s="122" t="s">
        <v>2752</v>
      </c>
      <c r="L1355" s="122" t="s">
        <v>731</v>
      </c>
      <c r="M1355" s="133" t="s">
        <v>2753</v>
      </c>
      <c r="N1355" s="122" t="s">
        <v>30</v>
      </c>
    </row>
    <row r="1356" spans="2:14" s="9" customFormat="1" hidden="1" x14ac:dyDescent="0.25">
      <c r="B1356" s="120">
        <v>1353</v>
      </c>
      <c r="C1356" s="122">
        <v>20563601311</v>
      </c>
      <c r="D1356" s="125" t="s">
        <v>2746</v>
      </c>
      <c r="E1356" s="125" t="s">
        <v>2747</v>
      </c>
      <c r="F1356" s="122" t="s">
        <v>30</v>
      </c>
      <c r="G1356" s="122" t="s">
        <v>30</v>
      </c>
      <c r="H1356" s="122" t="s">
        <v>72</v>
      </c>
      <c r="I1356" s="125" t="s">
        <v>1727</v>
      </c>
      <c r="J1356" s="129" t="s">
        <v>8045</v>
      </c>
      <c r="K1356" s="122" t="s">
        <v>2748</v>
      </c>
      <c r="L1356" s="122" t="s">
        <v>42</v>
      </c>
      <c r="M1356" s="133" t="s">
        <v>2749</v>
      </c>
      <c r="N1356" s="122" t="s">
        <v>67</v>
      </c>
    </row>
    <row r="1357" spans="2:14" s="9" customFormat="1" hidden="1" x14ac:dyDescent="0.25">
      <c r="B1357" s="120">
        <v>1354</v>
      </c>
      <c r="C1357" s="122">
        <v>20602243835</v>
      </c>
      <c r="D1357" s="125" t="s">
        <v>596</v>
      </c>
      <c r="E1357" s="125" t="s">
        <v>2742</v>
      </c>
      <c r="F1357" s="122" t="s">
        <v>30</v>
      </c>
      <c r="G1357" s="122" t="s">
        <v>30</v>
      </c>
      <c r="H1357" s="122" t="s">
        <v>72</v>
      </c>
      <c r="I1357" s="125" t="s">
        <v>1424</v>
      </c>
      <c r="J1357" s="129" t="s">
        <v>2743</v>
      </c>
      <c r="K1357" s="122" t="s">
        <v>2744</v>
      </c>
      <c r="L1357" s="122" t="s">
        <v>1577</v>
      </c>
      <c r="M1357" s="133" t="s">
        <v>2745</v>
      </c>
      <c r="N1357" s="122" t="s">
        <v>30</v>
      </c>
    </row>
    <row r="1358" spans="2:14" s="9" customFormat="1" hidden="1" x14ac:dyDescent="0.25">
      <c r="B1358" s="120">
        <v>1355</v>
      </c>
      <c r="C1358" s="122">
        <v>20600314247</v>
      </c>
      <c r="D1358" s="125" t="s">
        <v>455</v>
      </c>
      <c r="E1358" s="125" t="s">
        <v>2739</v>
      </c>
      <c r="F1358" s="122" t="s">
        <v>30</v>
      </c>
      <c r="G1358" s="122" t="s">
        <v>30</v>
      </c>
      <c r="H1358" s="122" t="s">
        <v>127</v>
      </c>
      <c r="I1358" s="125" t="s">
        <v>1377</v>
      </c>
      <c r="J1358" s="129" t="s">
        <v>8315</v>
      </c>
      <c r="K1358" s="122" t="s">
        <v>2740</v>
      </c>
      <c r="L1358" s="122" t="s">
        <v>731</v>
      </c>
      <c r="M1358" s="133" t="s">
        <v>2741</v>
      </c>
      <c r="N1358" s="122" t="s">
        <v>30</v>
      </c>
    </row>
    <row r="1359" spans="2:14" s="9" customFormat="1" hidden="1" x14ac:dyDescent="0.25">
      <c r="B1359" s="120">
        <v>1356</v>
      </c>
      <c r="C1359" s="122">
        <v>20548561303</v>
      </c>
      <c r="D1359" s="125" t="s">
        <v>2735</v>
      </c>
      <c r="E1359" s="125" t="s">
        <v>2736</v>
      </c>
      <c r="F1359" s="122" t="s">
        <v>30</v>
      </c>
      <c r="G1359" s="122" t="s">
        <v>30</v>
      </c>
      <c r="H1359" s="122" t="s">
        <v>45</v>
      </c>
      <c r="I1359" s="125" t="s">
        <v>1961</v>
      </c>
      <c r="J1359" s="129" t="s">
        <v>8509</v>
      </c>
      <c r="K1359" s="122" t="s">
        <v>2737</v>
      </c>
      <c r="L1359" s="122" t="s">
        <v>731</v>
      </c>
      <c r="M1359" s="133" t="s">
        <v>2738</v>
      </c>
      <c r="N1359" s="122" t="s">
        <v>30</v>
      </c>
    </row>
    <row r="1360" spans="2:14" s="9" customFormat="1" hidden="1" x14ac:dyDescent="0.25">
      <c r="B1360" s="120">
        <v>1357</v>
      </c>
      <c r="C1360" s="122">
        <v>20508565934</v>
      </c>
      <c r="D1360" s="125" t="s">
        <v>459</v>
      </c>
      <c r="E1360" s="125" t="s">
        <v>2715</v>
      </c>
      <c r="F1360" s="122" t="s">
        <v>30</v>
      </c>
      <c r="G1360" s="122" t="s">
        <v>30</v>
      </c>
      <c r="H1360" s="122" t="s">
        <v>39</v>
      </c>
      <c r="I1360" s="125" t="s">
        <v>1939</v>
      </c>
      <c r="J1360" s="129" t="s">
        <v>8041</v>
      </c>
      <c r="K1360" s="122" t="s">
        <v>8044</v>
      </c>
      <c r="L1360" s="122" t="s">
        <v>1558</v>
      </c>
      <c r="M1360" s="133" t="s">
        <v>2718</v>
      </c>
      <c r="N1360" s="122" t="s">
        <v>30</v>
      </c>
    </row>
    <row r="1361" spans="2:14" s="9" customFormat="1" hidden="1" x14ac:dyDescent="0.25">
      <c r="B1361" s="120">
        <v>1358</v>
      </c>
      <c r="C1361" s="122">
        <v>20508565934</v>
      </c>
      <c r="D1361" s="125" t="s">
        <v>459</v>
      </c>
      <c r="E1361" s="125" t="s">
        <v>2715</v>
      </c>
      <c r="F1361" s="122" t="s">
        <v>30</v>
      </c>
      <c r="G1361" s="122" t="s">
        <v>30</v>
      </c>
      <c r="H1361" s="122" t="s">
        <v>39</v>
      </c>
      <c r="I1361" s="125" t="s">
        <v>1939</v>
      </c>
      <c r="J1361" s="129" t="s">
        <v>2733</v>
      </c>
      <c r="K1361" s="122" t="s">
        <v>2734</v>
      </c>
      <c r="L1361" s="122" t="s">
        <v>1558</v>
      </c>
      <c r="M1361" s="133" t="s">
        <v>2718</v>
      </c>
      <c r="N1361" s="122" t="s">
        <v>30</v>
      </c>
    </row>
    <row r="1362" spans="2:14" s="9" customFormat="1" hidden="1" x14ac:dyDescent="0.25">
      <c r="B1362" s="120">
        <v>1359</v>
      </c>
      <c r="C1362" s="122">
        <v>20508565934</v>
      </c>
      <c r="D1362" s="125" t="s">
        <v>459</v>
      </c>
      <c r="E1362" s="125" t="s">
        <v>2715</v>
      </c>
      <c r="F1362" s="122" t="s">
        <v>30</v>
      </c>
      <c r="G1362" s="122" t="s">
        <v>30</v>
      </c>
      <c r="H1362" s="122" t="s">
        <v>39</v>
      </c>
      <c r="I1362" s="125" t="s">
        <v>1939</v>
      </c>
      <c r="J1362" s="129" t="s">
        <v>2731</v>
      </c>
      <c r="K1362" s="122" t="s">
        <v>2732</v>
      </c>
      <c r="L1362" s="122" t="s">
        <v>1558</v>
      </c>
      <c r="M1362" s="133" t="s">
        <v>2718</v>
      </c>
      <c r="N1362" s="122" t="s">
        <v>30</v>
      </c>
    </row>
    <row r="1363" spans="2:14" s="9" customFormat="1" hidden="1" x14ac:dyDescent="0.25">
      <c r="B1363" s="120">
        <v>1360</v>
      </c>
      <c r="C1363" s="122">
        <v>20508565934</v>
      </c>
      <c r="D1363" s="125" t="s">
        <v>459</v>
      </c>
      <c r="E1363" s="125" t="s">
        <v>2715</v>
      </c>
      <c r="F1363" s="122" t="s">
        <v>30</v>
      </c>
      <c r="G1363" s="122" t="s">
        <v>30</v>
      </c>
      <c r="H1363" s="122" t="s">
        <v>39</v>
      </c>
      <c r="I1363" s="125" t="s">
        <v>1939</v>
      </c>
      <c r="J1363" s="129" t="s">
        <v>8042</v>
      </c>
      <c r="K1363" s="122" t="s">
        <v>8043</v>
      </c>
      <c r="L1363" s="122" t="s">
        <v>1558</v>
      </c>
      <c r="M1363" s="133" t="s">
        <v>2718</v>
      </c>
      <c r="N1363" s="122" t="s">
        <v>30</v>
      </c>
    </row>
    <row r="1364" spans="2:14" s="9" customFormat="1" hidden="1" x14ac:dyDescent="0.25">
      <c r="B1364" s="120">
        <v>1361</v>
      </c>
      <c r="C1364" s="122">
        <v>20508565934</v>
      </c>
      <c r="D1364" s="125" t="s">
        <v>459</v>
      </c>
      <c r="E1364" s="125" t="s">
        <v>2715</v>
      </c>
      <c r="F1364" s="122" t="s">
        <v>30</v>
      </c>
      <c r="G1364" s="122" t="s">
        <v>30</v>
      </c>
      <c r="H1364" s="122" t="s">
        <v>39</v>
      </c>
      <c r="I1364" s="125" t="s">
        <v>1939</v>
      </c>
      <c r="J1364" s="129" t="s">
        <v>2729</v>
      </c>
      <c r="K1364" s="122" t="s">
        <v>2730</v>
      </c>
      <c r="L1364" s="122" t="s">
        <v>1558</v>
      </c>
      <c r="M1364" s="133" t="s">
        <v>2718</v>
      </c>
      <c r="N1364" s="122" t="s">
        <v>30</v>
      </c>
    </row>
    <row r="1365" spans="2:14" s="9" customFormat="1" hidden="1" x14ac:dyDescent="0.25">
      <c r="B1365" s="120">
        <v>1362</v>
      </c>
      <c r="C1365" s="122">
        <v>20508565934</v>
      </c>
      <c r="D1365" s="125" t="s">
        <v>459</v>
      </c>
      <c r="E1365" s="125" t="s">
        <v>2715</v>
      </c>
      <c r="F1365" s="122" t="s">
        <v>30</v>
      </c>
      <c r="G1365" s="122" t="s">
        <v>30</v>
      </c>
      <c r="H1365" s="122" t="s">
        <v>39</v>
      </c>
      <c r="I1365" s="125" t="s">
        <v>1939</v>
      </c>
      <c r="J1365" s="129" t="s">
        <v>2727</v>
      </c>
      <c r="K1365" s="122" t="s">
        <v>2728</v>
      </c>
      <c r="L1365" s="122" t="s">
        <v>1558</v>
      </c>
      <c r="M1365" s="133" t="s">
        <v>2718</v>
      </c>
      <c r="N1365" s="122" t="s">
        <v>30</v>
      </c>
    </row>
    <row r="1366" spans="2:14" s="9" customFormat="1" hidden="1" x14ac:dyDescent="0.25">
      <c r="B1366" s="120">
        <v>1363</v>
      </c>
      <c r="C1366" s="122">
        <v>20508565934</v>
      </c>
      <c r="D1366" s="125" t="s">
        <v>459</v>
      </c>
      <c r="E1366" s="125" t="s">
        <v>2715</v>
      </c>
      <c r="F1366" s="122" t="s">
        <v>30</v>
      </c>
      <c r="G1366" s="122" t="s">
        <v>30</v>
      </c>
      <c r="H1366" s="122" t="s">
        <v>39</v>
      </c>
      <c r="I1366" s="125" t="s">
        <v>1939</v>
      </c>
      <c r="J1366" s="129" t="s">
        <v>2725</v>
      </c>
      <c r="K1366" s="122" t="s">
        <v>2726</v>
      </c>
      <c r="L1366" s="122" t="s">
        <v>42</v>
      </c>
      <c r="M1366" s="133" t="s">
        <v>2718</v>
      </c>
      <c r="N1366" s="122" t="s">
        <v>30</v>
      </c>
    </row>
    <row r="1367" spans="2:14" s="9" customFormat="1" hidden="1" x14ac:dyDescent="0.25">
      <c r="B1367" s="120">
        <v>1364</v>
      </c>
      <c r="C1367" s="122">
        <v>20508565934</v>
      </c>
      <c r="D1367" s="125" t="s">
        <v>459</v>
      </c>
      <c r="E1367" s="125" t="s">
        <v>2715</v>
      </c>
      <c r="F1367" s="122" t="s">
        <v>30</v>
      </c>
      <c r="G1367" s="122" t="s">
        <v>30</v>
      </c>
      <c r="H1367" s="122" t="s">
        <v>39</v>
      </c>
      <c r="I1367" s="125" t="s">
        <v>1939</v>
      </c>
      <c r="J1367" s="129" t="s">
        <v>2723</v>
      </c>
      <c r="K1367" s="122" t="s">
        <v>2724</v>
      </c>
      <c r="L1367" s="122" t="s">
        <v>1558</v>
      </c>
      <c r="M1367" s="133" t="s">
        <v>2718</v>
      </c>
      <c r="N1367" s="122" t="s">
        <v>30</v>
      </c>
    </row>
    <row r="1368" spans="2:14" s="9" customFormat="1" hidden="1" x14ac:dyDescent="0.25">
      <c r="B1368" s="120">
        <v>1365</v>
      </c>
      <c r="C1368" s="122">
        <v>20508565934</v>
      </c>
      <c r="D1368" s="125" t="s">
        <v>459</v>
      </c>
      <c r="E1368" s="125" t="s">
        <v>2715</v>
      </c>
      <c r="F1368" s="122" t="s">
        <v>30</v>
      </c>
      <c r="G1368" s="122" t="s">
        <v>30</v>
      </c>
      <c r="H1368" s="122" t="s">
        <v>39</v>
      </c>
      <c r="I1368" s="125" t="s">
        <v>1939</v>
      </c>
      <c r="J1368" s="129" t="s">
        <v>2721</v>
      </c>
      <c r="K1368" s="122" t="s">
        <v>2722</v>
      </c>
      <c r="L1368" s="122" t="s">
        <v>1558</v>
      </c>
      <c r="M1368" s="133" t="s">
        <v>2718</v>
      </c>
      <c r="N1368" s="122" t="s">
        <v>30</v>
      </c>
    </row>
    <row r="1369" spans="2:14" s="9" customFormat="1" hidden="1" x14ac:dyDescent="0.25">
      <c r="B1369" s="120">
        <v>1366</v>
      </c>
      <c r="C1369" s="122">
        <v>20508565934</v>
      </c>
      <c r="D1369" s="125" t="s">
        <v>459</v>
      </c>
      <c r="E1369" s="125" t="s">
        <v>2715</v>
      </c>
      <c r="F1369" s="122" t="s">
        <v>30</v>
      </c>
      <c r="G1369" s="122" t="s">
        <v>30</v>
      </c>
      <c r="H1369" s="122" t="s">
        <v>39</v>
      </c>
      <c r="I1369" s="125" t="s">
        <v>1939</v>
      </c>
      <c r="J1369" s="129" t="s">
        <v>2719</v>
      </c>
      <c r="K1369" s="122" t="s">
        <v>2720</v>
      </c>
      <c r="L1369" s="122" t="s">
        <v>1712</v>
      </c>
      <c r="M1369" s="133" t="s">
        <v>2718</v>
      </c>
      <c r="N1369" s="122" t="s">
        <v>30</v>
      </c>
    </row>
    <row r="1370" spans="2:14" s="9" customFormat="1" hidden="1" x14ac:dyDescent="0.25">
      <c r="B1370" s="120">
        <v>1367</v>
      </c>
      <c r="C1370" s="122">
        <v>20508565934</v>
      </c>
      <c r="D1370" s="125" t="s">
        <v>459</v>
      </c>
      <c r="E1370" s="125" t="s">
        <v>2715</v>
      </c>
      <c r="F1370" s="122" t="s">
        <v>30</v>
      </c>
      <c r="G1370" s="122" t="s">
        <v>30</v>
      </c>
      <c r="H1370" s="122" t="s">
        <v>39</v>
      </c>
      <c r="I1370" s="125" t="s">
        <v>1939</v>
      </c>
      <c r="J1370" s="129" t="s">
        <v>2716</v>
      </c>
      <c r="K1370" s="122" t="s">
        <v>2717</v>
      </c>
      <c r="L1370" s="122" t="s">
        <v>1558</v>
      </c>
      <c r="M1370" s="133" t="s">
        <v>2718</v>
      </c>
      <c r="N1370" s="122" t="s">
        <v>30</v>
      </c>
    </row>
    <row r="1371" spans="2:14" s="9" customFormat="1" hidden="1" x14ac:dyDescent="0.25">
      <c r="B1371" s="120">
        <v>1368</v>
      </c>
      <c r="C1371" s="122">
        <v>20506025169</v>
      </c>
      <c r="D1371" s="125" t="s">
        <v>554</v>
      </c>
      <c r="E1371" s="125" t="s">
        <v>2712</v>
      </c>
      <c r="F1371" s="122" t="s">
        <v>30</v>
      </c>
      <c r="G1371" s="122" t="s">
        <v>30</v>
      </c>
      <c r="H1371" s="122" t="s">
        <v>58</v>
      </c>
      <c r="I1371" s="125" t="s">
        <v>1961</v>
      </c>
      <c r="J1371" s="129" t="s">
        <v>8165</v>
      </c>
      <c r="K1371" s="122" t="s">
        <v>2713</v>
      </c>
      <c r="L1371" s="122" t="s">
        <v>731</v>
      </c>
      <c r="M1371" s="133" t="s">
        <v>2714</v>
      </c>
      <c r="N1371" s="122" t="s">
        <v>30</v>
      </c>
    </row>
    <row r="1372" spans="2:14" s="9" customFormat="1" hidden="1" x14ac:dyDescent="0.25">
      <c r="B1372" s="120">
        <v>1369</v>
      </c>
      <c r="C1372" s="122">
        <v>20515415611</v>
      </c>
      <c r="D1372" s="125" t="s">
        <v>659</v>
      </c>
      <c r="E1372" s="125" t="s">
        <v>1133</v>
      </c>
      <c r="F1372" s="122" t="s">
        <v>30</v>
      </c>
      <c r="G1372" s="122" t="s">
        <v>30</v>
      </c>
      <c r="H1372" s="122" t="s">
        <v>103</v>
      </c>
      <c r="I1372" s="125" t="s">
        <v>1450</v>
      </c>
      <c r="J1372" s="129" t="s">
        <v>8264</v>
      </c>
      <c r="K1372" s="122" t="s">
        <v>2710</v>
      </c>
      <c r="L1372" s="122" t="s">
        <v>731</v>
      </c>
      <c r="M1372" s="133" t="s">
        <v>2711</v>
      </c>
      <c r="N1372" s="122" t="s">
        <v>30</v>
      </c>
    </row>
    <row r="1373" spans="2:14" s="9" customFormat="1" hidden="1" x14ac:dyDescent="0.25">
      <c r="B1373" s="120">
        <v>1370</v>
      </c>
      <c r="C1373" s="122">
        <v>20606194065</v>
      </c>
      <c r="D1373" s="125" t="s">
        <v>2705</v>
      </c>
      <c r="E1373" s="125" t="s">
        <v>2706</v>
      </c>
      <c r="F1373" s="122" t="s">
        <v>30</v>
      </c>
      <c r="G1373" s="122" t="s">
        <v>30</v>
      </c>
      <c r="H1373" s="122" t="s">
        <v>41</v>
      </c>
      <c r="I1373" s="125" t="s">
        <v>1441</v>
      </c>
      <c r="J1373" s="129" t="s">
        <v>2707</v>
      </c>
      <c r="K1373" s="122" t="s">
        <v>2708</v>
      </c>
      <c r="L1373" s="122" t="s">
        <v>1577</v>
      </c>
      <c r="M1373" s="133" t="s">
        <v>2709</v>
      </c>
      <c r="N1373" s="122" t="s">
        <v>30</v>
      </c>
    </row>
    <row r="1374" spans="2:14" s="9" customFormat="1" hidden="1" x14ac:dyDescent="0.25">
      <c r="B1374" s="120">
        <v>1371</v>
      </c>
      <c r="C1374" s="122">
        <v>20602516165</v>
      </c>
      <c r="D1374" s="125" t="s">
        <v>475</v>
      </c>
      <c r="E1374" s="125" t="s">
        <v>2701</v>
      </c>
      <c r="F1374" s="122" t="s">
        <v>30</v>
      </c>
      <c r="G1374" s="122" t="s">
        <v>30</v>
      </c>
      <c r="H1374" s="122" t="s">
        <v>72</v>
      </c>
      <c r="I1374" s="125" t="s">
        <v>1447</v>
      </c>
      <c r="J1374" s="129" t="s">
        <v>2702</v>
      </c>
      <c r="K1374" s="122" t="s">
        <v>2703</v>
      </c>
      <c r="L1374" s="122" t="s">
        <v>731</v>
      </c>
      <c r="M1374" s="133" t="s">
        <v>2704</v>
      </c>
      <c r="N1374" s="122" t="s">
        <v>30</v>
      </c>
    </row>
    <row r="1375" spans="2:14" s="9" customFormat="1" hidden="1" x14ac:dyDescent="0.25">
      <c r="B1375" s="120">
        <v>1372</v>
      </c>
      <c r="C1375" s="122">
        <v>20378092419</v>
      </c>
      <c r="D1375" s="125" t="s">
        <v>229</v>
      </c>
      <c r="E1375" s="125" t="s">
        <v>2693</v>
      </c>
      <c r="F1375" s="122" t="s">
        <v>30</v>
      </c>
      <c r="G1375" s="122" t="s">
        <v>30</v>
      </c>
      <c r="H1375" s="122" t="s">
        <v>43</v>
      </c>
      <c r="I1375" s="125" t="s">
        <v>2489</v>
      </c>
      <c r="J1375" s="129" t="s">
        <v>2699</v>
      </c>
      <c r="K1375" s="122" t="s">
        <v>2700</v>
      </c>
      <c r="L1375" s="122" t="s">
        <v>119</v>
      </c>
      <c r="M1375" s="133" t="s">
        <v>2696</v>
      </c>
      <c r="N1375" s="122" t="s">
        <v>30</v>
      </c>
    </row>
    <row r="1376" spans="2:14" s="9" customFormat="1" hidden="1" x14ac:dyDescent="0.25">
      <c r="B1376" s="120">
        <v>1373</v>
      </c>
      <c r="C1376" s="122">
        <v>20378092419</v>
      </c>
      <c r="D1376" s="125" t="s">
        <v>229</v>
      </c>
      <c r="E1376" s="125" t="s">
        <v>2693</v>
      </c>
      <c r="F1376" s="122" t="s">
        <v>30</v>
      </c>
      <c r="G1376" s="122" t="s">
        <v>30</v>
      </c>
      <c r="H1376" s="122" t="s">
        <v>43</v>
      </c>
      <c r="I1376" s="125" t="s">
        <v>2489</v>
      </c>
      <c r="J1376" s="129" t="s">
        <v>2697</v>
      </c>
      <c r="K1376" s="122" t="s">
        <v>2698</v>
      </c>
      <c r="L1376" s="122" t="s">
        <v>731</v>
      </c>
      <c r="M1376" s="133" t="s">
        <v>2696</v>
      </c>
      <c r="N1376" s="122" t="s">
        <v>30</v>
      </c>
    </row>
    <row r="1377" spans="2:14" s="9" customFormat="1" hidden="1" x14ac:dyDescent="0.25">
      <c r="B1377" s="120">
        <v>1374</v>
      </c>
      <c r="C1377" s="122">
        <v>20378092419</v>
      </c>
      <c r="D1377" s="125" t="s">
        <v>229</v>
      </c>
      <c r="E1377" s="125" t="s">
        <v>2693</v>
      </c>
      <c r="F1377" s="122" t="s">
        <v>30</v>
      </c>
      <c r="G1377" s="122" t="s">
        <v>30</v>
      </c>
      <c r="H1377" s="122" t="s">
        <v>43</v>
      </c>
      <c r="I1377" s="125" t="s">
        <v>2489</v>
      </c>
      <c r="J1377" s="129" t="s">
        <v>2694</v>
      </c>
      <c r="K1377" s="122" t="s">
        <v>2695</v>
      </c>
      <c r="L1377" s="122" t="s">
        <v>2030</v>
      </c>
      <c r="M1377" s="133" t="s">
        <v>2696</v>
      </c>
      <c r="N1377" s="122" t="s">
        <v>30</v>
      </c>
    </row>
    <row r="1378" spans="2:14" s="9" customFormat="1" hidden="1" x14ac:dyDescent="0.25">
      <c r="B1378" s="120">
        <v>1375</v>
      </c>
      <c r="C1378" s="122">
        <v>20509423840</v>
      </c>
      <c r="D1378" s="125" t="s">
        <v>672</v>
      </c>
      <c r="E1378" s="125" t="s">
        <v>2689</v>
      </c>
      <c r="F1378" s="122" t="s">
        <v>30</v>
      </c>
      <c r="G1378" s="122" t="s">
        <v>30</v>
      </c>
      <c r="H1378" s="122" t="s">
        <v>30</v>
      </c>
      <c r="I1378" s="125" t="s">
        <v>1377</v>
      </c>
      <c r="J1378" s="129" t="s">
        <v>2690</v>
      </c>
      <c r="K1378" s="122" t="s">
        <v>2691</v>
      </c>
      <c r="L1378" s="122" t="s">
        <v>731</v>
      </c>
      <c r="M1378" s="133" t="s">
        <v>2692</v>
      </c>
      <c r="N1378" s="122" t="s">
        <v>30</v>
      </c>
    </row>
    <row r="1379" spans="2:14" s="9" customFormat="1" hidden="1" x14ac:dyDescent="0.25">
      <c r="B1379" s="120">
        <v>1376</v>
      </c>
      <c r="C1379" s="122">
        <v>20562731581</v>
      </c>
      <c r="D1379" s="125" t="s">
        <v>2684</v>
      </c>
      <c r="E1379" s="125" t="s">
        <v>2685</v>
      </c>
      <c r="F1379" s="122" t="s">
        <v>30</v>
      </c>
      <c r="G1379" s="122" t="s">
        <v>30</v>
      </c>
      <c r="H1379" s="122" t="s">
        <v>35</v>
      </c>
      <c r="I1379" s="125" t="s">
        <v>1424</v>
      </c>
      <c r="J1379" s="129" t="s">
        <v>2686</v>
      </c>
      <c r="K1379" s="122" t="s">
        <v>2687</v>
      </c>
      <c r="L1379" s="122" t="s">
        <v>731</v>
      </c>
      <c r="M1379" s="133" t="s">
        <v>2688</v>
      </c>
      <c r="N1379" s="122" t="s">
        <v>30</v>
      </c>
    </row>
    <row r="1380" spans="2:14" s="9" customFormat="1" hidden="1" x14ac:dyDescent="0.25">
      <c r="B1380" s="120">
        <v>1377</v>
      </c>
      <c r="C1380" s="122">
        <v>20608826085</v>
      </c>
      <c r="D1380" s="125" t="s">
        <v>469</v>
      </c>
      <c r="E1380" s="125" t="s">
        <v>2682</v>
      </c>
      <c r="F1380" s="122" t="s">
        <v>30</v>
      </c>
      <c r="G1380" s="122" t="s">
        <v>30</v>
      </c>
      <c r="H1380" s="122" t="s">
        <v>58</v>
      </c>
      <c r="I1380" s="125" t="s">
        <v>1395</v>
      </c>
      <c r="J1380" s="129" t="s">
        <v>8285</v>
      </c>
      <c r="K1380" s="122" t="s">
        <v>8286</v>
      </c>
      <c r="L1380" s="122" t="s">
        <v>731</v>
      </c>
      <c r="M1380" s="133" t="s">
        <v>2683</v>
      </c>
      <c r="N1380" s="122" t="s">
        <v>30</v>
      </c>
    </row>
    <row r="1381" spans="2:14" s="9" customFormat="1" hidden="1" x14ac:dyDescent="0.25">
      <c r="B1381" s="120">
        <v>1378</v>
      </c>
      <c r="C1381" s="122">
        <v>20603176601</v>
      </c>
      <c r="D1381" s="125" t="s">
        <v>2678</v>
      </c>
      <c r="E1381" s="125" t="s">
        <v>2679</v>
      </c>
      <c r="F1381" s="122" t="s">
        <v>30</v>
      </c>
      <c r="G1381" s="122" t="s">
        <v>30</v>
      </c>
      <c r="H1381" s="122" t="s">
        <v>72</v>
      </c>
      <c r="I1381" s="125" t="s">
        <v>1968</v>
      </c>
      <c r="J1381" s="129" t="s">
        <v>8305</v>
      </c>
      <c r="K1381" s="122" t="s">
        <v>2681</v>
      </c>
      <c r="L1381" s="122" t="s">
        <v>1577</v>
      </c>
      <c r="M1381" s="133" t="s">
        <v>2680</v>
      </c>
      <c r="N1381" s="122" t="s">
        <v>30</v>
      </c>
    </row>
    <row r="1382" spans="2:14" s="9" customFormat="1" hidden="1" x14ac:dyDescent="0.25">
      <c r="B1382" s="120">
        <v>1379</v>
      </c>
      <c r="C1382" s="122">
        <v>20602322905</v>
      </c>
      <c r="D1382" s="125" t="s">
        <v>2673</v>
      </c>
      <c r="E1382" s="125" t="s">
        <v>2674</v>
      </c>
      <c r="F1382" s="122" t="s">
        <v>30</v>
      </c>
      <c r="G1382" s="122" t="s">
        <v>30</v>
      </c>
      <c r="H1382" s="122" t="s">
        <v>45</v>
      </c>
      <c r="I1382" s="125" t="s">
        <v>1447</v>
      </c>
      <c r="J1382" s="129" t="s">
        <v>2675</v>
      </c>
      <c r="K1382" s="122" t="s">
        <v>2676</v>
      </c>
      <c r="L1382" s="122" t="s">
        <v>731</v>
      </c>
      <c r="M1382" s="133" t="s">
        <v>2677</v>
      </c>
      <c r="N1382" s="122" t="s">
        <v>30</v>
      </c>
    </row>
    <row r="1383" spans="2:14" s="9" customFormat="1" hidden="1" x14ac:dyDescent="0.25">
      <c r="B1383" s="120">
        <v>1380</v>
      </c>
      <c r="C1383" s="122">
        <v>20468068088</v>
      </c>
      <c r="D1383" s="125" t="s">
        <v>1115</v>
      </c>
      <c r="E1383" s="125" t="s">
        <v>2669</v>
      </c>
      <c r="F1383" s="122" t="s">
        <v>30</v>
      </c>
      <c r="G1383" s="122" t="s">
        <v>30</v>
      </c>
      <c r="H1383" s="122" t="s">
        <v>86</v>
      </c>
      <c r="I1383" s="125" t="s">
        <v>1956</v>
      </c>
      <c r="J1383" s="129" t="s">
        <v>2670</v>
      </c>
      <c r="K1383" s="122" t="s">
        <v>2671</v>
      </c>
      <c r="L1383" s="122" t="s">
        <v>731</v>
      </c>
      <c r="M1383" s="133" t="s">
        <v>2672</v>
      </c>
      <c r="N1383" s="122" t="s">
        <v>30</v>
      </c>
    </row>
    <row r="1384" spans="2:14" s="9" customFormat="1" hidden="1" x14ac:dyDescent="0.25">
      <c r="B1384" s="120">
        <v>1381</v>
      </c>
      <c r="C1384" s="122">
        <v>20602652310</v>
      </c>
      <c r="D1384" s="125" t="s">
        <v>535</v>
      </c>
      <c r="E1384" s="125" t="s">
        <v>2665</v>
      </c>
      <c r="F1384" s="122" t="s">
        <v>30</v>
      </c>
      <c r="G1384" s="122" t="s">
        <v>30</v>
      </c>
      <c r="H1384" s="122" t="s">
        <v>45</v>
      </c>
      <c r="I1384" s="125" t="s">
        <v>1983</v>
      </c>
      <c r="J1384" s="129" t="s">
        <v>2666</v>
      </c>
      <c r="K1384" s="122" t="s">
        <v>2667</v>
      </c>
      <c r="L1384" s="122" t="s">
        <v>731</v>
      </c>
      <c r="M1384" s="133" t="s">
        <v>2668</v>
      </c>
      <c r="N1384" s="122" t="s">
        <v>30</v>
      </c>
    </row>
    <row r="1385" spans="2:14" s="9" customFormat="1" hidden="1" x14ac:dyDescent="0.25">
      <c r="B1385" s="120">
        <v>1382</v>
      </c>
      <c r="C1385" s="122">
        <v>20546121331</v>
      </c>
      <c r="D1385" s="125" t="s">
        <v>1088</v>
      </c>
      <c r="E1385" s="125" t="s">
        <v>2662</v>
      </c>
      <c r="F1385" s="122" t="s">
        <v>30</v>
      </c>
      <c r="G1385" s="122" t="s">
        <v>30</v>
      </c>
      <c r="H1385" s="122" t="s">
        <v>30</v>
      </c>
      <c r="I1385" s="125" t="s">
        <v>2112</v>
      </c>
      <c r="J1385" s="129" t="s">
        <v>8319</v>
      </c>
      <c r="K1385" s="122" t="s">
        <v>2663</v>
      </c>
      <c r="L1385" s="122" t="s">
        <v>731</v>
      </c>
      <c r="M1385" s="133" t="s">
        <v>2664</v>
      </c>
      <c r="N1385" s="122" t="s">
        <v>30</v>
      </c>
    </row>
    <row r="1386" spans="2:14" s="9" customFormat="1" hidden="1" x14ac:dyDescent="0.25">
      <c r="B1386" s="120">
        <v>1383</v>
      </c>
      <c r="C1386" s="122">
        <v>20536335952</v>
      </c>
      <c r="D1386" s="125" t="s">
        <v>2658</v>
      </c>
      <c r="E1386" s="125" t="s">
        <v>2659</v>
      </c>
      <c r="F1386" s="122" t="s">
        <v>30</v>
      </c>
      <c r="G1386" s="122" t="s">
        <v>30</v>
      </c>
      <c r="H1386" s="122" t="s">
        <v>72</v>
      </c>
      <c r="I1386" s="125" t="s">
        <v>1464</v>
      </c>
      <c r="J1386" s="129" t="s">
        <v>8040</v>
      </c>
      <c r="K1386" s="122" t="s">
        <v>2660</v>
      </c>
      <c r="L1386" s="122" t="s">
        <v>731</v>
      </c>
      <c r="M1386" s="133" t="s">
        <v>2661</v>
      </c>
      <c r="N1386" s="122" t="s">
        <v>30</v>
      </c>
    </row>
    <row r="1387" spans="2:14" s="9" customFormat="1" hidden="1" x14ac:dyDescent="0.25">
      <c r="B1387" s="120">
        <v>1384</v>
      </c>
      <c r="C1387" s="122">
        <v>20536638939</v>
      </c>
      <c r="D1387" s="125" t="s">
        <v>647</v>
      </c>
      <c r="E1387" s="125" t="s">
        <v>2655</v>
      </c>
      <c r="F1387" s="122" t="s">
        <v>30</v>
      </c>
      <c r="G1387" s="122" t="s">
        <v>30</v>
      </c>
      <c r="H1387" s="122" t="s">
        <v>43</v>
      </c>
      <c r="I1387" s="125" t="s">
        <v>1395</v>
      </c>
      <c r="J1387" s="129" t="s">
        <v>6226</v>
      </c>
      <c r="K1387" s="122" t="s">
        <v>2656</v>
      </c>
      <c r="L1387" s="122" t="s">
        <v>1577</v>
      </c>
      <c r="M1387" s="133" t="s">
        <v>2657</v>
      </c>
      <c r="N1387" s="122" t="s">
        <v>30</v>
      </c>
    </row>
    <row r="1388" spans="2:14" s="9" customFormat="1" hidden="1" x14ac:dyDescent="0.25">
      <c r="B1388" s="120">
        <v>1385</v>
      </c>
      <c r="C1388" s="122">
        <v>20100712599</v>
      </c>
      <c r="D1388" s="125" t="s">
        <v>2648</v>
      </c>
      <c r="E1388" s="125" t="s">
        <v>2649</v>
      </c>
      <c r="F1388" s="122" t="s">
        <v>30</v>
      </c>
      <c r="G1388" s="122" t="s">
        <v>30</v>
      </c>
      <c r="H1388" s="122" t="s">
        <v>110</v>
      </c>
      <c r="I1388" s="125" t="s">
        <v>1395</v>
      </c>
      <c r="J1388" s="129" t="s">
        <v>2653</v>
      </c>
      <c r="K1388" s="122" t="s">
        <v>2654</v>
      </c>
      <c r="L1388" s="122" t="s">
        <v>731</v>
      </c>
      <c r="M1388" s="133" t="s">
        <v>2652</v>
      </c>
      <c r="N1388" s="122" t="s">
        <v>30</v>
      </c>
    </row>
    <row r="1389" spans="2:14" s="9" customFormat="1" hidden="1" x14ac:dyDescent="0.25">
      <c r="B1389" s="120">
        <v>1386</v>
      </c>
      <c r="C1389" s="122">
        <v>20100712599</v>
      </c>
      <c r="D1389" s="125" t="s">
        <v>2648</v>
      </c>
      <c r="E1389" s="125" t="s">
        <v>2649</v>
      </c>
      <c r="F1389" s="122" t="s">
        <v>30</v>
      </c>
      <c r="G1389" s="122" t="s">
        <v>30</v>
      </c>
      <c r="H1389" s="122" t="s">
        <v>110</v>
      </c>
      <c r="I1389" s="125" t="s">
        <v>1395</v>
      </c>
      <c r="J1389" s="129" t="s">
        <v>2650</v>
      </c>
      <c r="K1389" s="122" t="s">
        <v>2651</v>
      </c>
      <c r="L1389" s="122" t="s">
        <v>91</v>
      </c>
      <c r="M1389" s="133" t="s">
        <v>2652</v>
      </c>
      <c r="N1389" s="122" t="s">
        <v>30</v>
      </c>
    </row>
    <row r="1390" spans="2:14" s="9" customFormat="1" hidden="1" x14ac:dyDescent="0.25">
      <c r="B1390" s="120">
        <v>1387</v>
      </c>
      <c r="C1390" s="122">
        <v>20608436473</v>
      </c>
      <c r="D1390" s="125" t="s">
        <v>2644</v>
      </c>
      <c r="E1390" s="125" t="s">
        <v>2645</v>
      </c>
      <c r="F1390" s="122" t="s">
        <v>30</v>
      </c>
      <c r="G1390" s="122" t="s">
        <v>30</v>
      </c>
      <c r="H1390" s="122" t="s">
        <v>43</v>
      </c>
      <c r="I1390" s="125" t="s">
        <v>1424</v>
      </c>
      <c r="J1390" s="129" t="s">
        <v>8174</v>
      </c>
      <c r="K1390" s="122" t="s">
        <v>2646</v>
      </c>
      <c r="L1390" s="122" t="s">
        <v>42</v>
      </c>
      <c r="M1390" s="133" t="s">
        <v>2647</v>
      </c>
      <c r="N1390" s="122" t="s">
        <v>30</v>
      </c>
    </row>
    <row r="1391" spans="2:14" s="9" customFormat="1" hidden="1" x14ac:dyDescent="0.25">
      <c r="B1391" s="120">
        <v>1388</v>
      </c>
      <c r="C1391" s="122">
        <v>20609362830</v>
      </c>
      <c r="D1391" s="125" t="s">
        <v>613</v>
      </c>
      <c r="E1391" s="125" t="s">
        <v>2641</v>
      </c>
      <c r="F1391" s="122" t="s">
        <v>30</v>
      </c>
      <c r="G1391" s="122" t="s">
        <v>30</v>
      </c>
      <c r="H1391" s="122" t="s">
        <v>30</v>
      </c>
      <c r="I1391" s="125" t="s">
        <v>1561</v>
      </c>
      <c r="J1391" s="129" t="s">
        <v>8321</v>
      </c>
      <c r="K1391" s="122" t="s">
        <v>2642</v>
      </c>
      <c r="L1391" s="122" t="s">
        <v>1577</v>
      </c>
      <c r="M1391" s="133" t="s">
        <v>2643</v>
      </c>
      <c r="N1391" s="122" t="s">
        <v>30</v>
      </c>
    </row>
    <row r="1392" spans="2:14" s="9" customFormat="1" hidden="1" x14ac:dyDescent="0.25">
      <c r="B1392" s="120">
        <v>1389</v>
      </c>
      <c r="C1392" s="122">
        <v>20548604045</v>
      </c>
      <c r="D1392" s="125" t="s">
        <v>462</v>
      </c>
      <c r="E1392" s="125" t="s">
        <v>2638</v>
      </c>
      <c r="F1392" s="122" t="s">
        <v>30</v>
      </c>
      <c r="G1392" s="122" t="s">
        <v>30</v>
      </c>
      <c r="H1392" s="122" t="s">
        <v>30</v>
      </c>
      <c r="I1392" s="125" t="s">
        <v>1365</v>
      </c>
      <c r="J1392" s="129" t="s">
        <v>8486</v>
      </c>
      <c r="K1392" s="122" t="s">
        <v>2639</v>
      </c>
      <c r="L1392" s="122" t="s">
        <v>42</v>
      </c>
      <c r="M1392" s="133" t="s">
        <v>2640</v>
      </c>
      <c r="N1392" s="122" t="s">
        <v>30</v>
      </c>
    </row>
    <row r="1393" spans="2:14" s="9" customFormat="1" hidden="1" x14ac:dyDescent="0.25">
      <c r="B1393" s="120">
        <v>1390</v>
      </c>
      <c r="C1393" s="122">
        <v>20556210552</v>
      </c>
      <c r="D1393" s="125" t="s">
        <v>524</v>
      </c>
      <c r="E1393" s="125" t="s">
        <v>2635</v>
      </c>
      <c r="F1393" s="122" t="s">
        <v>30</v>
      </c>
      <c r="G1393" s="122" t="s">
        <v>30</v>
      </c>
      <c r="H1393" s="122" t="s">
        <v>43</v>
      </c>
      <c r="I1393" s="125" t="s">
        <v>1979</v>
      </c>
      <c r="J1393" s="129" t="s">
        <v>8487</v>
      </c>
      <c r="K1393" s="122" t="s">
        <v>2636</v>
      </c>
      <c r="L1393" s="122" t="s">
        <v>42</v>
      </c>
      <c r="M1393" s="133" t="s">
        <v>2637</v>
      </c>
      <c r="N1393" s="122" t="s">
        <v>30</v>
      </c>
    </row>
    <row r="1394" spans="2:14" s="9" customFormat="1" hidden="1" x14ac:dyDescent="0.25">
      <c r="B1394" s="120">
        <v>1391</v>
      </c>
      <c r="C1394" s="122">
        <v>20514719544</v>
      </c>
      <c r="D1394" s="125" t="s">
        <v>447</v>
      </c>
      <c r="E1394" s="125" t="s">
        <v>2632</v>
      </c>
      <c r="F1394" s="122" t="s">
        <v>30</v>
      </c>
      <c r="G1394" s="122" t="s">
        <v>30</v>
      </c>
      <c r="H1394" s="122" t="s">
        <v>52</v>
      </c>
      <c r="I1394" s="125" t="s">
        <v>193</v>
      </c>
      <c r="J1394" s="129" t="s">
        <v>8034</v>
      </c>
      <c r="K1394" s="122" t="s">
        <v>2633</v>
      </c>
      <c r="L1394" s="122" t="s">
        <v>731</v>
      </c>
      <c r="M1394" s="133" t="s">
        <v>2634</v>
      </c>
      <c r="N1394" s="122" t="s">
        <v>30</v>
      </c>
    </row>
    <row r="1395" spans="2:14" s="9" customFormat="1" hidden="1" x14ac:dyDescent="0.25">
      <c r="B1395" s="120">
        <v>1392</v>
      </c>
      <c r="C1395" s="122">
        <v>20605876740</v>
      </c>
      <c r="D1395" s="125" t="s">
        <v>625</v>
      </c>
      <c r="E1395" s="125" t="s">
        <v>2627</v>
      </c>
      <c r="F1395" s="122" t="s">
        <v>30</v>
      </c>
      <c r="G1395" s="122" t="s">
        <v>30</v>
      </c>
      <c r="H1395" s="122" t="s">
        <v>51</v>
      </c>
      <c r="I1395" s="125" t="s">
        <v>1394</v>
      </c>
      <c r="J1395" s="129" t="s">
        <v>2628</v>
      </c>
      <c r="K1395" s="122" t="s">
        <v>2629</v>
      </c>
      <c r="L1395" s="122" t="s">
        <v>1558</v>
      </c>
      <c r="M1395" s="133" t="s">
        <v>2630</v>
      </c>
      <c r="N1395" s="122" t="s">
        <v>30</v>
      </c>
    </row>
    <row r="1396" spans="2:14" s="9" customFormat="1" hidden="1" x14ac:dyDescent="0.25">
      <c r="B1396" s="120">
        <v>1393</v>
      </c>
      <c r="C1396" s="122">
        <v>20605876740</v>
      </c>
      <c r="D1396" s="125" t="s">
        <v>625</v>
      </c>
      <c r="E1396" s="125" t="s">
        <v>2627</v>
      </c>
      <c r="F1396" s="122" t="s">
        <v>30</v>
      </c>
      <c r="G1396" s="122" t="s">
        <v>30</v>
      </c>
      <c r="H1396" s="122" t="s">
        <v>51</v>
      </c>
      <c r="I1396" s="125" t="s">
        <v>1394</v>
      </c>
      <c r="J1396" s="129" t="s">
        <v>8497</v>
      </c>
      <c r="K1396" s="122" t="s">
        <v>2631</v>
      </c>
      <c r="L1396" s="122" t="s">
        <v>731</v>
      </c>
      <c r="M1396" s="133" t="s">
        <v>2630</v>
      </c>
      <c r="N1396" s="122" t="s">
        <v>30</v>
      </c>
    </row>
    <row r="1397" spans="2:14" s="9" customFormat="1" hidden="1" x14ac:dyDescent="0.25">
      <c r="B1397" s="120">
        <v>1394</v>
      </c>
      <c r="C1397" s="122">
        <v>20601367212</v>
      </c>
      <c r="D1397" s="125" t="s">
        <v>2622</v>
      </c>
      <c r="E1397" s="125" t="s">
        <v>2623</v>
      </c>
      <c r="F1397" s="122" t="s">
        <v>30</v>
      </c>
      <c r="G1397" s="122" t="s">
        <v>30</v>
      </c>
      <c r="H1397" s="122" t="s">
        <v>43</v>
      </c>
      <c r="I1397" s="125" t="s">
        <v>2446</v>
      </c>
      <c r="J1397" s="129" t="s">
        <v>2624</v>
      </c>
      <c r="K1397" s="122" t="s">
        <v>2625</v>
      </c>
      <c r="L1397" s="122" t="s">
        <v>42</v>
      </c>
      <c r="M1397" s="133" t="s">
        <v>2626</v>
      </c>
      <c r="N1397" s="122" t="s">
        <v>30</v>
      </c>
    </row>
    <row r="1398" spans="2:14" s="9" customFormat="1" hidden="1" x14ac:dyDescent="0.25">
      <c r="B1398" s="120">
        <v>1395</v>
      </c>
      <c r="C1398" s="122">
        <v>20601112729</v>
      </c>
      <c r="D1398" s="125" t="s">
        <v>498</v>
      </c>
      <c r="E1398" s="125" t="s">
        <v>2618</v>
      </c>
      <c r="F1398" s="122" t="s">
        <v>30</v>
      </c>
      <c r="G1398" s="122" t="s">
        <v>30</v>
      </c>
      <c r="H1398" s="122" t="s">
        <v>50</v>
      </c>
      <c r="I1398" s="125" t="s">
        <v>1958</v>
      </c>
      <c r="J1398" s="129" t="s">
        <v>2619</v>
      </c>
      <c r="K1398" s="122" t="s">
        <v>2620</v>
      </c>
      <c r="L1398" s="122" t="s">
        <v>731</v>
      </c>
      <c r="M1398" s="133" t="s">
        <v>2621</v>
      </c>
      <c r="N1398" s="122" t="s">
        <v>30</v>
      </c>
    </row>
    <row r="1399" spans="2:14" s="9" customFormat="1" hidden="1" x14ac:dyDescent="0.25">
      <c r="B1399" s="120">
        <v>1396</v>
      </c>
      <c r="C1399" s="122">
        <v>20604842833</v>
      </c>
      <c r="D1399" s="125" t="s">
        <v>657</v>
      </c>
      <c r="E1399" s="125" t="s">
        <v>2614</v>
      </c>
      <c r="F1399" s="122" t="s">
        <v>30</v>
      </c>
      <c r="G1399" s="122" t="s">
        <v>30</v>
      </c>
      <c r="H1399" s="122" t="s">
        <v>135</v>
      </c>
      <c r="I1399" s="125" t="s">
        <v>1983</v>
      </c>
      <c r="J1399" s="129" t="s">
        <v>2615</v>
      </c>
      <c r="K1399" s="122" t="s">
        <v>2616</v>
      </c>
      <c r="L1399" s="122" t="s">
        <v>42</v>
      </c>
      <c r="M1399" s="133" t="s">
        <v>2617</v>
      </c>
      <c r="N1399" s="122" t="s">
        <v>30</v>
      </c>
    </row>
    <row r="1400" spans="2:14" s="9" customFormat="1" hidden="1" x14ac:dyDescent="0.25">
      <c r="B1400" s="120">
        <v>1397</v>
      </c>
      <c r="C1400" s="122">
        <v>20600402260</v>
      </c>
      <c r="D1400" s="125" t="s">
        <v>2609</v>
      </c>
      <c r="E1400" s="125" t="s">
        <v>2610</v>
      </c>
      <c r="F1400" s="122" t="s">
        <v>67</v>
      </c>
      <c r="G1400" s="122" t="s">
        <v>67</v>
      </c>
      <c r="H1400" s="122" t="s">
        <v>67</v>
      </c>
      <c r="I1400" s="125" t="s">
        <v>1961</v>
      </c>
      <c r="J1400" s="129" t="s">
        <v>2611</v>
      </c>
      <c r="K1400" s="122" t="s">
        <v>2612</v>
      </c>
      <c r="L1400" s="122" t="s">
        <v>42</v>
      </c>
      <c r="M1400" s="133" t="s">
        <v>2613</v>
      </c>
      <c r="N1400" s="122" t="s">
        <v>30</v>
      </c>
    </row>
    <row r="1401" spans="2:14" s="9" customFormat="1" hidden="1" x14ac:dyDescent="0.25">
      <c r="B1401" s="120">
        <v>1398</v>
      </c>
      <c r="C1401" s="122">
        <v>20608267205</v>
      </c>
      <c r="D1401" s="125" t="s">
        <v>628</v>
      </c>
      <c r="E1401" s="125" t="s">
        <v>2605</v>
      </c>
      <c r="F1401" s="122" t="s">
        <v>30</v>
      </c>
      <c r="G1401" s="122" t="s">
        <v>30</v>
      </c>
      <c r="H1401" s="122" t="s">
        <v>72</v>
      </c>
      <c r="I1401" s="125" t="s">
        <v>1805</v>
      </c>
      <c r="J1401" s="129" t="s">
        <v>2606</v>
      </c>
      <c r="K1401" s="122" t="s">
        <v>2607</v>
      </c>
      <c r="L1401" s="122" t="s">
        <v>42</v>
      </c>
      <c r="M1401" s="133" t="s">
        <v>2608</v>
      </c>
      <c r="N1401" s="122" t="s">
        <v>30</v>
      </c>
    </row>
    <row r="1402" spans="2:14" s="9" customFormat="1" hidden="1" x14ac:dyDescent="0.25">
      <c r="B1402" s="120">
        <v>1399</v>
      </c>
      <c r="C1402" s="122">
        <v>20602650970</v>
      </c>
      <c r="D1402" s="125" t="s">
        <v>559</v>
      </c>
      <c r="E1402" s="125" t="s">
        <v>2601</v>
      </c>
      <c r="F1402" s="122" t="s">
        <v>30</v>
      </c>
      <c r="G1402" s="122" t="s">
        <v>30</v>
      </c>
      <c r="H1402" s="122" t="s">
        <v>68</v>
      </c>
      <c r="I1402" s="125" t="s">
        <v>1398</v>
      </c>
      <c r="J1402" s="129" t="s">
        <v>2602</v>
      </c>
      <c r="K1402" s="122" t="s">
        <v>2603</v>
      </c>
      <c r="L1402" s="122" t="s">
        <v>42</v>
      </c>
      <c r="M1402" s="133" t="s">
        <v>2604</v>
      </c>
      <c r="N1402" s="122" t="s">
        <v>30</v>
      </c>
    </row>
    <row r="1403" spans="2:14" s="9" customFormat="1" hidden="1" x14ac:dyDescent="0.25">
      <c r="B1403" s="120">
        <v>1400</v>
      </c>
      <c r="C1403" s="122">
        <v>20392476581</v>
      </c>
      <c r="D1403" s="125" t="s">
        <v>432</v>
      </c>
      <c r="E1403" s="125" t="s">
        <v>2598</v>
      </c>
      <c r="F1403" s="122" t="s">
        <v>30</v>
      </c>
      <c r="G1403" s="122" t="s">
        <v>30</v>
      </c>
      <c r="H1403" s="122" t="s">
        <v>51</v>
      </c>
      <c r="I1403" s="125" t="s">
        <v>1377</v>
      </c>
      <c r="J1403" s="129" t="s">
        <v>2599</v>
      </c>
      <c r="K1403" s="122" t="s">
        <v>2600</v>
      </c>
      <c r="L1403" s="122" t="s">
        <v>731</v>
      </c>
      <c r="M1403" s="133" t="s">
        <v>845</v>
      </c>
      <c r="N1403" s="122" t="s">
        <v>845</v>
      </c>
    </row>
    <row r="1404" spans="2:14" s="9" customFormat="1" hidden="1" x14ac:dyDescent="0.25">
      <c r="B1404" s="120">
        <v>1401</v>
      </c>
      <c r="C1404" s="122">
        <v>20605064478</v>
      </c>
      <c r="D1404" s="125" t="s">
        <v>2594</v>
      </c>
      <c r="E1404" s="125" t="s">
        <v>2595</v>
      </c>
      <c r="F1404" s="122" t="s">
        <v>30</v>
      </c>
      <c r="G1404" s="122" t="s">
        <v>30</v>
      </c>
      <c r="H1404" s="122" t="s">
        <v>79</v>
      </c>
      <c r="I1404" s="125" t="s">
        <v>1377</v>
      </c>
      <c r="J1404" s="129" t="s">
        <v>8520</v>
      </c>
      <c r="K1404" s="122" t="s">
        <v>2596</v>
      </c>
      <c r="L1404" s="122" t="s">
        <v>731</v>
      </c>
      <c r="M1404" s="133" t="s">
        <v>2597</v>
      </c>
      <c r="N1404" s="122" t="s">
        <v>30</v>
      </c>
    </row>
    <row r="1405" spans="2:14" s="9" customFormat="1" hidden="1" x14ac:dyDescent="0.25">
      <c r="B1405" s="120">
        <v>1402</v>
      </c>
      <c r="C1405" s="122">
        <v>20515898744</v>
      </c>
      <c r="D1405" s="125" t="s">
        <v>615</v>
      </c>
      <c r="E1405" s="125" t="s">
        <v>2590</v>
      </c>
      <c r="F1405" s="122" t="s">
        <v>30</v>
      </c>
      <c r="G1405" s="122" t="s">
        <v>30</v>
      </c>
      <c r="H1405" s="122" t="s">
        <v>79</v>
      </c>
      <c r="I1405" s="125" t="s">
        <v>1655</v>
      </c>
      <c r="J1405" s="129" t="s">
        <v>8033</v>
      </c>
      <c r="K1405" s="122" t="s">
        <v>2592</v>
      </c>
      <c r="L1405" s="122" t="s">
        <v>731</v>
      </c>
      <c r="M1405" s="133" t="s">
        <v>2593</v>
      </c>
      <c r="N1405" s="122" t="s">
        <v>30</v>
      </c>
    </row>
    <row r="1406" spans="2:14" s="9" customFormat="1" hidden="1" x14ac:dyDescent="0.25">
      <c r="B1406" s="120">
        <v>1403</v>
      </c>
      <c r="C1406" s="122">
        <v>20603005903</v>
      </c>
      <c r="D1406" s="125" t="s">
        <v>2587</v>
      </c>
      <c r="E1406" s="125" t="s">
        <v>2588</v>
      </c>
      <c r="F1406" s="122" t="s">
        <v>30</v>
      </c>
      <c r="G1406" s="122" t="s">
        <v>30</v>
      </c>
      <c r="H1406" s="122" t="s">
        <v>45</v>
      </c>
      <c r="I1406" s="125" t="s">
        <v>1441</v>
      </c>
      <c r="J1406" s="129" t="s">
        <v>8530</v>
      </c>
      <c r="K1406" s="122" t="s">
        <v>2589</v>
      </c>
      <c r="L1406" s="122" t="s">
        <v>1577</v>
      </c>
      <c r="M1406" s="133" t="s">
        <v>845</v>
      </c>
      <c r="N1406" s="122" t="s">
        <v>845</v>
      </c>
    </row>
    <row r="1407" spans="2:14" s="9" customFormat="1" hidden="1" x14ac:dyDescent="0.25">
      <c r="B1407" s="120">
        <v>1404</v>
      </c>
      <c r="C1407" s="122">
        <v>20607004103</v>
      </c>
      <c r="D1407" s="125" t="s">
        <v>2580</v>
      </c>
      <c r="E1407" s="125" t="s">
        <v>2581</v>
      </c>
      <c r="F1407" s="122" t="s">
        <v>30</v>
      </c>
      <c r="G1407" s="122" t="s">
        <v>30</v>
      </c>
      <c r="H1407" s="122" t="s">
        <v>51</v>
      </c>
      <c r="I1407" s="125" t="s">
        <v>1464</v>
      </c>
      <c r="J1407" s="129" t="s">
        <v>8532</v>
      </c>
      <c r="K1407" s="122" t="s">
        <v>2585</v>
      </c>
      <c r="L1407" s="122" t="s">
        <v>2586</v>
      </c>
      <c r="M1407" s="133" t="s">
        <v>2584</v>
      </c>
      <c r="N1407" s="122" t="s">
        <v>30</v>
      </c>
    </row>
    <row r="1408" spans="2:14" s="9" customFormat="1" hidden="1" x14ac:dyDescent="0.25">
      <c r="B1408" s="120">
        <v>1405</v>
      </c>
      <c r="C1408" s="122">
        <v>20607004103</v>
      </c>
      <c r="D1408" s="125" t="s">
        <v>2580</v>
      </c>
      <c r="E1408" s="125" t="s">
        <v>2581</v>
      </c>
      <c r="F1408" s="122" t="s">
        <v>30</v>
      </c>
      <c r="G1408" s="122" t="s">
        <v>30</v>
      </c>
      <c r="H1408" s="122" t="s">
        <v>51</v>
      </c>
      <c r="I1408" s="125" t="s">
        <v>1464</v>
      </c>
      <c r="J1408" s="129" t="s">
        <v>2582</v>
      </c>
      <c r="K1408" s="122" t="s">
        <v>2583</v>
      </c>
      <c r="L1408" s="122" t="s">
        <v>731</v>
      </c>
      <c r="M1408" s="133" t="s">
        <v>2584</v>
      </c>
      <c r="N1408" s="122" t="s">
        <v>30</v>
      </c>
    </row>
    <row r="1409" spans="2:14" s="9" customFormat="1" hidden="1" x14ac:dyDescent="0.25">
      <c r="B1409" s="120">
        <v>1406</v>
      </c>
      <c r="C1409" s="122">
        <v>20508442697</v>
      </c>
      <c r="D1409" s="125" t="s">
        <v>333</v>
      </c>
      <c r="E1409" s="125" t="s">
        <v>334</v>
      </c>
      <c r="F1409" s="122" t="s">
        <v>30</v>
      </c>
      <c r="G1409" s="122" t="s">
        <v>30</v>
      </c>
      <c r="H1409" s="122" t="s">
        <v>52</v>
      </c>
      <c r="I1409" s="125" t="s">
        <v>1450</v>
      </c>
      <c r="J1409" s="129" t="s">
        <v>2578</v>
      </c>
      <c r="K1409" s="122" t="s">
        <v>2579</v>
      </c>
      <c r="L1409" s="122" t="s">
        <v>42</v>
      </c>
      <c r="M1409" s="133" t="s">
        <v>845</v>
      </c>
      <c r="N1409" s="122" t="s">
        <v>845</v>
      </c>
    </row>
    <row r="1410" spans="2:14" s="9" customFormat="1" hidden="1" x14ac:dyDescent="0.25">
      <c r="B1410" s="120">
        <v>1407</v>
      </c>
      <c r="C1410" s="122">
        <v>20508442697</v>
      </c>
      <c r="D1410" s="125" t="s">
        <v>333</v>
      </c>
      <c r="E1410" s="125" t="s">
        <v>334</v>
      </c>
      <c r="F1410" s="122" t="s">
        <v>30</v>
      </c>
      <c r="G1410" s="122" t="s">
        <v>30</v>
      </c>
      <c r="H1410" s="122" t="s">
        <v>52</v>
      </c>
      <c r="I1410" s="125" t="s">
        <v>1450</v>
      </c>
      <c r="J1410" s="129" t="s">
        <v>2576</v>
      </c>
      <c r="K1410" s="122" t="s">
        <v>2577</v>
      </c>
      <c r="L1410" s="122" t="s">
        <v>36</v>
      </c>
      <c r="M1410" s="133" t="s">
        <v>845</v>
      </c>
      <c r="N1410" s="122" t="s">
        <v>845</v>
      </c>
    </row>
    <row r="1411" spans="2:14" s="9" customFormat="1" hidden="1" x14ac:dyDescent="0.25">
      <c r="B1411" s="120">
        <v>1408</v>
      </c>
      <c r="C1411" s="122">
        <v>20608950304</v>
      </c>
      <c r="D1411" s="125" t="s">
        <v>569</v>
      </c>
      <c r="E1411" s="125" t="s">
        <v>2573</v>
      </c>
      <c r="F1411" s="122" t="s">
        <v>30</v>
      </c>
      <c r="G1411" s="122" t="s">
        <v>30</v>
      </c>
      <c r="H1411" s="122" t="s">
        <v>40</v>
      </c>
      <c r="I1411" s="125" t="s">
        <v>1447</v>
      </c>
      <c r="J1411" s="129" t="s">
        <v>8070</v>
      </c>
      <c r="K1411" s="122" t="s">
        <v>2574</v>
      </c>
      <c r="L1411" s="122" t="s">
        <v>57</v>
      </c>
      <c r="M1411" s="133" t="s">
        <v>2575</v>
      </c>
      <c r="N1411" s="122" t="s">
        <v>30</v>
      </c>
    </row>
    <row r="1412" spans="2:14" s="9" customFormat="1" hidden="1" x14ac:dyDescent="0.25">
      <c r="B1412" s="120">
        <v>1409</v>
      </c>
      <c r="C1412" s="122">
        <v>20390293837</v>
      </c>
      <c r="D1412" s="125" t="s">
        <v>2570</v>
      </c>
      <c r="E1412" s="125" t="s">
        <v>2571</v>
      </c>
      <c r="F1412" s="122" t="s">
        <v>67</v>
      </c>
      <c r="G1412" s="122" t="s">
        <v>67</v>
      </c>
      <c r="H1412" s="122" t="s">
        <v>67</v>
      </c>
      <c r="I1412" s="125" t="s">
        <v>1412</v>
      </c>
      <c r="J1412" s="129" t="s">
        <v>8534</v>
      </c>
      <c r="K1412" s="122" t="s">
        <v>2572</v>
      </c>
      <c r="L1412" s="122" t="s">
        <v>36</v>
      </c>
      <c r="M1412" s="133" t="s">
        <v>845</v>
      </c>
      <c r="N1412" s="122" t="s">
        <v>845</v>
      </c>
    </row>
    <row r="1413" spans="2:14" s="9" customFormat="1" hidden="1" x14ac:dyDescent="0.25">
      <c r="B1413" s="120">
        <v>1410</v>
      </c>
      <c r="C1413" s="122">
        <v>20602222749</v>
      </c>
      <c r="D1413" s="125" t="s">
        <v>533</v>
      </c>
      <c r="E1413" s="125" t="s">
        <v>2567</v>
      </c>
      <c r="F1413" s="122" t="s">
        <v>30</v>
      </c>
      <c r="G1413" s="122" t="s">
        <v>30</v>
      </c>
      <c r="H1413" s="122" t="s">
        <v>72</v>
      </c>
      <c r="I1413" s="125" t="s">
        <v>1931</v>
      </c>
      <c r="J1413" s="129" t="s">
        <v>8538</v>
      </c>
      <c r="K1413" s="122" t="s">
        <v>2568</v>
      </c>
      <c r="L1413" s="122" t="s">
        <v>1577</v>
      </c>
      <c r="M1413" s="133" t="s">
        <v>2569</v>
      </c>
      <c r="N1413" s="122" t="s">
        <v>30</v>
      </c>
    </row>
    <row r="1414" spans="2:14" s="9" customFormat="1" hidden="1" x14ac:dyDescent="0.25">
      <c r="B1414" s="120">
        <v>1411</v>
      </c>
      <c r="C1414" s="122">
        <v>20604727465</v>
      </c>
      <c r="D1414" s="125" t="s">
        <v>324</v>
      </c>
      <c r="E1414" s="125" t="s">
        <v>2563</v>
      </c>
      <c r="F1414" s="122" t="s">
        <v>30</v>
      </c>
      <c r="G1414" s="122" t="s">
        <v>30</v>
      </c>
      <c r="H1414" s="122" t="s">
        <v>51</v>
      </c>
      <c r="I1414" s="125" t="s">
        <v>2460</v>
      </c>
      <c r="J1414" s="129" t="s">
        <v>2564</v>
      </c>
      <c r="K1414" s="122" t="s">
        <v>2565</v>
      </c>
      <c r="L1414" s="122" t="s">
        <v>1577</v>
      </c>
      <c r="M1414" s="133" t="s">
        <v>2566</v>
      </c>
      <c r="N1414" s="122" t="s">
        <v>30</v>
      </c>
    </row>
    <row r="1415" spans="2:14" s="9" customFormat="1" hidden="1" x14ac:dyDescent="0.25">
      <c r="B1415" s="120">
        <v>1412</v>
      </c>
      <c r="C1415" s="122">
        <v>20514299669</v>
      </c>
      <c r="D1415" s="125" t="s">
        <v>213</v>
      </c>
      <c r="E1415" s="125" t="s">
        <v>2559</v>
      </c>
      <c r="F1415" s="122" t="s">
        <v>30</v>
      </c>
      <c r="G1415" s="122" t="s">
        <v>30</v>
      </c>
      <c r="H1415" s="122" t="s">
        <v>30</v>
      </c>
      <c r="I1415" s="125" t="s">
        <v>1450</v>
      </c>
      <c r="J1415" s="129" t="s">
        <v>2560</v>
      </c>
      <c r="K1415" s="122" t="s">
        <v>2561</v>
      </c>
      <c r="L1415" s="122" t="s">
        <v>42</v>
      </c>
      <c r="M1415" s="133" t="s">
        <v>2562</v>
      </c>
      <c r="N1415" s="122" t="s">
        <v>30</v>
      </c>
    </row>
    <row r="1416" spans="2:14" s="9" customFormat="1" hidden="1" x14ac:dyDescent="0.25">
      <c r="B1416" s="120">
        <v>1413</v>
      </c>
      <c r="C1416" s="122">
        <v>20610437975</v>
      </c>
      <c r="D1416" s="125" t="s">
        <v>2556</v>
      </c>
      <c r="E1416" s="125" t="s">
        <v>2557</v>
      </c>
      <c r="F1416" s="122" t="s">
        <v>269</v>
      </c>
      <c r="G1416" s="122" t="s">
        <v>270</v>
      </c>
      <c r="H1416" s="122" t="s">
        <v>270</v>
      </c>
      <c r="I1416" s="125" t="s">
        <v>1394</v>
      </c>
      <c r="J1416" s="129" t="s">
        <v>8625</v>
      </c>
      <c r="K1416" s="122" t="s">
        <v>2558</v>
      </c>
      <c r="L1416" s="122" t="s">
        <v>1577</v>
      </c>
      <c r="M1416" s="133" t="s">
        <v>845</v>
      </c>
      <c r="N1416" s="122" t="s">
        <v>845</v>
      </c>
    </row>
    <row r="1417" spans="2:14" s="9" customFormat="1" hidden="1" x14ac:dyDescent="0.25">
      <c r="B1417" s="120">
        <v>1414</v>
      </c>
      <c r="C1417" s="122">
        <v>20602336264</v>
      </c>
      <c r="D1417" s="125" t="s">
        <v>669</v>
      </c>
      <c r="E1417" s="125" t="s">
        <v>2553</v>
      </c>
      <c r="F1417" s="122" t="s">
        <v>30</v>
      </c>
      <c r="G1417" s="122" t="s">
        <v>30</v>
      </c>
      <c r="H1417" s="122" t="s">
        <v>35</v>
      </c>
      <c r="I1417" s="125" t="s">
        <v>1365</v>
      </c>
      <c r="J1417" s="129" t="s">
        <v>8626</v>
      </c>
      <c r="K1417" s="122" t="s">
        <v>2554</v>
      </c>
      <c r="L1417" s="122" t="s">
        <v>731</v>
      </c>
      <c r="M1417" s="133" t="s">
        <v>2555</v>
      </c>
      <c r="N1417" s="122" t="s">
        <v>30</v>
      </c>
    </row>
    <row r="1418" spans="2:14" s="9" customFormat="1" hidden="1" x14ac:dyDescent="0.25">
      <c r="B1418" s="120">
        <v>1415</v>
      </c>
      <c r="C1418" s="122">
        <v>20604305617</v>
      </c>
      <c r="D1418" s="125" t="s">
        <v>2548</v>
      </c>
      <c r="E1418" s="125" t="s">
        <v>2549</v>
      </c>
      <c r="F1418" s="122" t="s">
        <v>30</v>
      </c>
      <c r="G1418" s="122" t="s">
        <v>30</v>
      </c>
      <c r="H1418" s="122" t="s">
        <v>30</v>
      </c>
      <c r="I1418" s="125" t="s">
        <v>2446</v>
      </c>
      <c r="J1418" s="129" t="s">
        <v>2550</v>
      </c>
      <c r="K1418" s="122" t="s">
        <v>2551</v>
      </c>
      <c r="L1418" s="122" t="s">
        <v>731</v>
      </c>
      <c r="M1418" s="133" t="s">
        <v>2552</v>
      </c>
      <c r="N1418" s="122" t="s">
        <v>30</v>
      </c>
    </row>
    <row r="1419" spans="2:14" s="9" customFormat="1" hidden="1" x14ac:dyDescent="0.25">
      <c r="B1419" s="120">
        <v>1416</v>
      </c>
      <c r="C1419" s="122">
        <v>20306781252</v>
      </c>
      <c r="D1419" s="125" t="s">
        <v>299</v>
      </c>
      <c r="E1419" s="125" t="s">
        <v>2544</v>
      </c>
      <c r="F1419" s="122" t="s">
        <v>30</v>
      </c>
      <c r="G1419" s="122" t="s">
        <v>30</v>
      </c>
      <c r="H1419" s="122" t="s">
        <v>51</v>
      </c>
      <c r="I1419" s="125" t="s">
        <v>1737</v>
      </c>
      <c r="J1419" s="129" t="s">
        <v>2545</v>
      </c>
      <c r="K1419" s="122" t="s">
        <v>2546</v>
      </c>
      <c r="L1419" s="122" t="s">
        <v>42</v>
      </c>
      <c r="M1419" s="133" t="s">
        <v>2547</v>
      </c>
      <c r="N1419" s="122" t="s">
        <v>30</v>
      </c>
    </row>
    <row r="1420" spans="2:14" s="9" customFormat="1" hidden="1" x14ac:dyDescent="0.25">
      <c r="B1420" s="120">
        <v>1417</v>
      </c>
      <c r="C1420" s="122">
        <v>20547132158</v>
      </c>
      <c r="D1420" s="125" t="s">
        <v>2536</v>
      </c>
      <c r="E1420" s="125" t="s">
        <v>254</v>
      </c>
      <c r="F1420" s="122" t="s">
        <v>30</v>
      </c>
      <c r="G1420" s="122" t="s">
        <v>30</v>
      </c>
      <c r="H1420" s="122" t="s">
        <v>37</v>
      </c>
      <c r="I1420" s="125" t="s">
        <v>1727</v>
      </c>
      <c r="J1420" s="129" t="s">
        <v>2542</v>
      </c>
      <c r="K1420" s="122" t="s">
        <v>2543</v>
      </c>
      <c r="L1420" s="122" t="s">
        <v>209</v>
      </c>
      <c r="M1420" s="133" t="s">
        <v>2539</v>
      </c>
      <c r="N1420" s="122" t="s">
        <v>30</v>
      </c>
    </row>
    <row r="1421" spans="2:14" s="9" customFormat="1" hidden="1" x14ac:dyDescent="0.25">
      <c r="B1421" s="120">
        <v>1418</v>
      </c>
      <c r="C1421" s="122">
        <v>20547132158</v>
      </c>
      <c r="D1421" s="125" t="s">
        <v>2536</v>
      </c>
      <c r="E1421" s="125" t="s">
        <v>254</v>
      </c>
      <c r="F1421" s="122" t="s">
        <v>30</v>
      </c>
      <c r="G1421" s="122" t="s">
        <v>30</v>
      </c>
      <c r="H1421" s="122" t="s">
        <v>37</v>
      </c>
      <c r="I1421" s="125" t="s">
        <v>1727</v>
      </c>
      <c r="J1421" s="129" t="s">
        <v>2540</v>
      </c>
      <c r="K1421" s="122" t="s">
        <v>2541</v>
      </c>
      <c r="L1421" s="122" t="s">
        <v>209</v>
      </c>
      <c r="M1421" s="133" t="s">
        <v>2539</v>
      </c>
      <c r="N1421" s="122" t="s">
        <v>30</v>
      </c>
    </row>
    <row r="1422" spans="2:14" s="9" customFormat="1" hidden="1" x14ac:dyDescent="0.25">
      <c r="B1422" s="120">
        <v>1419</v>
      </c>
      <c r="C1422" s="122">
        <v>20547132158</v>
      </c>
      <c r="D1422" s="125" t="s">
        <v>2536</v>
      </c>
      <c r="E1422" s="125" t="s">
        <v>254</v>
      </c>
      <c r="F1422" s="122" t="s">
        <v>30</v>
      </c>
      <c r="G1422" s="122" t="s">
        <v>30</v>
      </c>
      <c r="H1422" s="122" t="s">
        <v>37</v>
      </c>
      <c r="I1422" s="125" t="s">
        <v>1727</v>
      </c>
      <c r="J1422" s="129" t="s">
        <v>2537</v>
      </c>
      <c r="K1422" s="122" t="s">
        <v>2538</v>
      </c>
      <c r="L1422" s="122" t="s">
        <v>209</v>
      </c>
      <c r="M1422" s="133" t="s">
        <v>2539</v>
      </c>
      <c r="N1422" s="122" t="s">
        <v>30</v>
      </c>
    </row>
    <row r="1423" spans="2:14" s="9" customFormat="1" hidden="1" x14ac:dyDescent="0.25">
      <c r="B1423" s="120">
        <v>1420</v>
      </c>
      <c r="C1423" s="122">
        <v>20602729428</v>
      </c>
      <c r="D1423" s="125" t="s">
        <v>2532</v>
      </c>
      <c r="E1423" s="125" t="s">
        <v>2533</v>
      </c>
      <c r="F1423" s="122" t="s">
        <v>30</v>
      </c>
      <c r="G1423" s="122" t="s">
        <v>30</v>
      </c>
      <c r="H1423" s="122" t="s">
        <v>72</v>
      </c>
      <c r="I1423" s="125" t="s">
        <v>1706</v>
      </c>
      <c r="J1423" s="129" t="s">
        <v>8515</v>
      </c>
      <c r="K1423" s="122" t="s">
        <v>2534</v>
      </c>
      <c r="L1423" s="122" t="s">
        <v>1577</v>
      </c>
      <c r="M1423" s="133" t="s">
        <v>2535</v>
      </c>
      <c r="N1423" s="122" t="s">
        <v>30</v>
      </c>
    </row>
    <row r="1424" spans="2:14" s="9" customFormat="1" hidden="1" x14ac:dyDescent="0.25">
      <c r="B1424" s="120">
        <v>1421</v>
      </c>
      <c r="C1424" s="122">
        <v>20600485777</v>
      </c>
      <c r="D1424" s="125" t="s">
        <v>550</v>
      </c>
      <c r="E1424" s="125" t="s">
        <v>1319</v>
      </c>
      <c r="F1424" s="122" t="s">
        <v>30</v>
      </c>
      <c r="G1424" s="122" t="s">
        <v>30</v>
      </c>
      <c r="H1424" s="122" t="s">
        <v>58</v>
      </c>
      <c r="I1424" s="125" t="s">
        <v>1424</v>
      </c>
      <c r="J1424" s="129" t="s">
        <v>8483</v>
      </c>
      <c r="K1424" s="122" t="s">
        <v>2531</v>
      </c>
      <c r="L1424" s="122" t="s">
        <v>42</v>
      </c>
      <c r="M1424" s="133" t="s">
        <v>845</v>
      </c>
      <c r="N1424" s="122" t="s">
        <v>845</v>
      </c>
    </row>
    <row r="1425" spans="2:14" s="9" customFormat="1" hidden="1" x14ac:dyDescent="0.25">
      <c r="B1425" s="120">
        <v>1422</v>
      </c>
      <c r="C1425" s="122">
        <v>20333179301</v>
      </c>
      <c r="D1425" s="125" t="s">
        <v>2527</v>
      </c>
      <c r="E1425" s="125" t="s">
        <v>2528</v>
      </c>
      <c r="F1425" s="122" t="s">
        <v>30</v>
      </c>
      <c r="G1425" s="122" t="s">
        <v>30</v>
      </c>
      <c r="H1425" s="122" t="s">
        <v>37</v>
      </c>
      <c r="I1425" s="125" t="s">
        <v>1961</v>
      </c>
      <c r="J1425" s="129" t="s">
        <v>2529</v>
      </c>
      <c r="K1425" s="122" t="s">
        <v>2530</v>
      </c>
      <c r="L1425" s="122" t="s">
        <v>36</v>
      </c>
      <c r="M1425" s="133" t="s">
        <v>845</v>
      </c>
      <c r="N1425" s="122" t="s">
        <v>845</v>
      </c>
    </row>
    <row r="1426" spans="2:14" s="9" customFormat="1" hidden="1" x14ac:dyDescent="0.25">
      <c r="B1426" s="120">
        <v>1423</v>
      </c>
      <c r="C1426" s="122">
        <v>20606969296</v>
      </c>
      <c r="D1426" s="125" t="s">
        <v>2522</v>
      </c>
      <c r="E1426" s="125" t="s">
        <v>2523</v>
      </c>
      <c r="F1426" s="122" t="s">
        <v>30</v>
      </c>
      <c r="G1426" s="122" t="s">
        <v>30</v>
      </c>
      <c r="H1426" s="122" t="s">
        <v>58</v>
      </c>
      <c r="I1426" s="125" t="s">
        <v>1359</v>
      </c>
      <c r="J1426" s="129" t="s">
        <v>2524</v>
      </c>
      <c r="K1426" s="122" t="s">
        <v>2525</v>
      </c>
      <c r="L1426" s="122" t="s">
        <v>731</v>
      </c>
      <c r="M1426" s="133" t="s">
        <v>2526</v>
      </c>
      <c r="N1426" s="122" t="s">
        <v>30</v>
      </c>
    </row>
    <row r="1427" spans="2:14" s="9" customFormat="1" hidden="1" x14ac:dyDescent="0.25">
      <c r="B1427" s="120">
        <v>1424</v>
      </c>
      <c r="C1427" s="122">
        <v>20602053904</v>
      </c>
      <c r="D1427" s="125" t="s">
        <v>485</v>
      </c>
      <c r="E1427" s="125" t="s">
        <v>2517</v>
      </c>
      <c r="F1427" s="122" t="s">
        <v>67</v>
      </c>
      <c r="G1427" s="122" t="s">
        <v>67</v>
      </c>
      <c r="H1427" s="122" t="s">
        <v>67</v>
      </c>
      <c r="I1427" s="125" t="s">
        <v>1961</v>
      </c>
      <c r="J1427" s="129" t="s">
        <v>8632</v>
      </c>
      <c r="K1427" s="122" t="s">
        <v>2521</v>
      </c>
      <c r="L1427" s="122" t="s">
        <v>36</v>
      </c>
      <c r="M1427" s="133" t="s">
        <v>2520</v>
      </c>
      <c r="N1427" s="122" t="s">
        <v>30</v>
      </c>
    </row>
    <row r="1428" spans="2:14" s="9" customFormat="1" hidden="1" x14ac:dyDescent="0.25">
      <c r="B1428" s="120">
        <v>1425</v>
      </c>
      <c r="C1428" s="122">
        <v>20602053904</v>
      </c>
      <c r="D1428" s="125" t="s">
        <v>485</v>
      </c>
      <c r="E1428" s="125" t="s">
        <v>2517</v>
      </c>
      <c r="F1428" s="122" t="s">
        <v>67</v>
      </c>
      <c r="G1428" s="122" t="s">
        <v>67</v>
      </c>
      <c r="H1428" s="122" t="s">
        <v>67</v>
      </c>
      <c r="I1428" s="125" t="s">
        <v>1961</v>
      </c>
      <c r="J1428" s="129" t="s">
        <v>2518</v>
      </c>
      <c r="K1428" s="122" t="s">
        <v>2519</v>
      </c>
      <c r="L1428" s="122" t="s">
        <v>42</v>
      </c>
      <c r="M1428" s="133" t="s">
        <v>2520</v>
      </c>
      <c r="N1428" s="122" t="s">
        <v>30</v>
      </c>
    </row>
    <row r="1429" spans="2:14" s="9" customFormat="1" hidden="1" x14ac:dyDescent="0.25">
      <c r="B1429" s="120">
        <v>1426</v>
      </c>
      <c r="C1429" s="122">
        <v>20518347552</v>
      </c>
      <c r="D1429" s="125" t="s">
        <v>163</v>
      </c>
      <c r="E1429" s="125" t="s">
        <v>164</v>
      </c>
      <c r="F1429" s="122" t="s">
        <v>30</v>
      </c>
      <c r="G1429" s="122" t="s">
        <v>30</v>
      </c>
      <c r="H1429" s="122" t="s">
        <v>52</v>
      </c>
      <c r="I1429" s="125" t="s">
        <v>1384</v>
      </c>
      <c r="J1429" s="129" t="s">
        <v>2514</v>
      </c>
      <c r="K1429" s="122" t="s">
        <v>2515</v>
      </c>
      <c r="L1429" s="122" t="s">
        <v>731</v>
      </c>
      <c r="M1429" s="133" t="s">
        <v>2516</v>
      </c>
      <c r="N1429" s="122" t="s">
        <v>30</v>
      </c>
    </row>
    <row r="1430" spans="2:14" s="9" customFormat="1" hidden="1" x14ac:dyDescent="0.25">
      <c r="B1430" s="120">
        <v>1427</v>
      </c>
      <c r="C1430" s="122">
        <v>20600569385</v>
      </c>
      <c r="D1430" s="125" t="s">
        <v>2509</v>
      </c>
      <c r="E1430" s="125" t="s">
        <v>2510</v>
      </c>
      <c r="F1430" s="122" t="s">
        <v>67</v>
      </c>
      <c r="G1430" s="122" t="s">
        <v>67</v>
      </c>
      <c r="H1430" s="122" t="s">
        <v>67</v>
      </c>
      <c r="I1430" s="125" t="s">
        <v>1551</v>
      </c>
      <c r="J1430" s="129" t="s">
        <v>2511</v>
      </c>
      <c r="K1430" s="122" t="s">
        <v>2512</v>
      </c>
      <c r="L1430" s="122" t="s">
        <v>731</v>
      </c>
      <c r="M1430" s="133" t="s">
        <v>2513</v>
      </c>
      <c r="N1430" s="122" t="s">
        <v>30</v>
      </c>
    </row>
    <row r="1431" spans="2:14" s="9" customFormat="1" hidden="1" x14ac:dyDescent="0.25">
      <c r="B1431" s="120">
        <v>1428</v>
      </c>
      <c r="C1431" s="122">
        <v>20602596169</v>
      </c>
      <c r="D1431" s="125" t="s">
        <v>609</v>
      </c>
      <c r="E1431" s="125" t="s">
        <v>2505</v>
      </c>
      <c r="F1431" s="122" t="s">
        <v>30</v>
      </c>
      <c r="G1431" s="122" t="s">
        <v>30</v>
      </c>
      <c r="H1431" s="122" t="s">
        <v>30</v>
      </c>
      <c r="I1431" s="125" t="s">
        <v>1961</v>
      </c>
      <c r="J1431" s="129" t="s">
        <v>2506</v>
      </c>
      <c r="K1431" s="122" t="s">
        <v>2507</v>
      </c>
      <c r="L1431" s="122" t="s">
        <v>731</v>
      </c>
      <c r="M1431" s="133" t="s">
        <v>2508</v>
      </c>
      <c r="N1431" s="122" t="s">
        <v>30</v>
      </c>
    </row>
    <row r="1432" spans="2:14" s="9" customFormat="1" hidden="1" x14ac:dyDescent="0.25">
      <c r="B1432" s="120">
        <v>1429</v>
      </c>
      <c r="C1432" s="122">
        <v>20463969877</v>
      </c>
      <c r="D1432" s="125" t="s">
        <v>265</v>
      </c>
      <c r="E1432" s="125" t="s">
        <v>2499</v>
      </c>
      <c r="F1432" s="122" t="s">
        <v>30</v>
      </c>
      <c r="G1432" s="122" t="s">
        <v>30</v>
      </c>
      <c r="H1432" s="122" t="s">
        <v>43</v>
      </c>
      <c r="I1432" s="125" t="s">
        <v>1755</v>
      </c>
      <c r="J1432" s="129" t="s">
        <v>2503</v>
      </c>
      <c r="K1432" s="122" t="s">
        <v>2504</v>
      </c>
      <c r="L1432" s="122" t="s">
        <v>42</v>
      </c>
      <c r="M1432" s="133" t="s">
        <v>2502</v>
      </c>
      <c r="N1432" s="122" t="s">
        <v>30</v>
      </c>
    </row>
    <row r="1433" spans="2:14" s="9" customFormat="1" hidden="1" x14ac:dyDescent="0.25">
      <c r="B1433" s="120">
        <v>1430</v>
      </c>
      <c r="C1433" s="122">
        <v>20463969877</v>
      </c>
      <c r="D1433" s="125" t="s">
        <v>265</v>
      </c>
      <c r="E1433" s="125" t="s">
        <v>2499</v>
      </c>
      <c r="F1433" s="122" t="s">
        <v>30</v>
      </c>
      <c r="G1433" s="122" t="s">
        <v>30</v>
      </c>
      <c r="H1433" s="122" t="s">
        <v>43</v>
      </c>
      <c r="I1433" s="125" t="s">
        <v>1755</v>
      </c>
      <c r="J1433" s="129" t="s">
        <v>2500</v>
      </c>
      <c r="K1433" s="122" t="s">
        <v>2501</v>
      </c>
      <c r="L1433" s="122" t="s">
        <v>1558</v>
      </c>
      <c r="M1433" s="133" t="s">
        <v>2502</v>
      </c>
      <c r="N1433" s="122" t="s">
        <v>30</v>
      </c>
    </row>
    <row r="1434" spans="2:14" s="9" customFormat="1" hidden="1" x14ac:dyDescent="0.25">
      <c r="B1434" s="120">
        <v>1431</v>
      </c>
      <c r="C1434" s="122">
        <v>20516775018</v>
      </c>
      <c r="D1434" s="125" t="s">
        <v>491</v>
      </c>
      <c r="E1434" s="125" t="s">
        <v>2496</v>
      </c>
      <c r="F1434" s="122" t="s">
        <v>30</v>
      </c>
      <c r="G1434" s="122" t="s">
        <v>30</v>
      </c>
      <c r="H1434" s="122" t="s">
        <v>72</v>
      </c>
      <c r="I1434" s="125" t="s">
        <v>1377</v>
      </c>
      <c r="J1434" s="129" t="s">
        <v>2497</v>
      </c>
      <c r="K1434" s="122" t="s">
        <v>2498</v>
      </c>
      <c r="L1434" s="122" t="s">
        <v>42</v>
      </c>
      <c r="M1434" s="133" t="s">
        <v>845</v>
      </c>
      <c r="N1434" s="122" t="s">
        <v>845</v>
      </c>
    </row>
    <row r="1435" spans="2:14" s="9" customFormat="1" hidden="1" x14ac:dyDescent="0.25">
      <c r="B1435" s="120">
        <v>1432</v>
      </c>
      <c r="C1435" s="122">
        <v>20108028492</v>
      </c>
      <c r="D1435" s="125" t="s">
        <v>2487</v>
      </c>
      <c r="E1435" s="125" t="s">
        <v>2488</v>
      </c>
      <c r="F1435" s="122" t="s">
        <v>30</v>
      </c>
      <c r="G1435" s="122" t="s">
        <v>30</v>
      </c>
      <c r="H1435" s="122" t="s">
        <v>51</v>
      </c>
      <c r="I1435" s="125" t="s">
        <v>2489</v>
      </c>
      <c r="J1435" s="129" t="s">
        <v>2490</v>
      </c>
      <c r="K1435" s="122" t="s">
        <v>5972</v>
      </c>
      <c r="L1435" s="122" t="s">
        <v>1558</v>
      </c>
      <c r="M1435" s="133" t="s">
        <v>2491</v>
      </c>
      <c r="N1435" s="122" t="s">
        <v>30</v>
      </c>
    </row>
    <row r="1436" spans="2:14" s="9" customFormat="1" hidden="1" x14ac:dyDescent="0.25">
      <c r="B1436" s="120">
        <v>1433</v>
      </c>
      <c r="C1436" s="122">
        <v>20108028492</v>
      </c>
      <c r="D1436" s="125" t="s">
        <v>2487</v>
      </c>
      <c r="E1436" s="125" t="s">
        <v>2488</v>
      </c>
      <c r="F1436" s="122" t="s">
        <v>30</v>
      </c>
      <c r="G1436" s="122" t="s">
        <v>30</v>
      </c>
      <c r="H1436" s="122" t="s">
        <v>51</v>
      </c>
      <c r="I1436" s="125" t="s">
        <v>2489</v>
      </c>
      <c r="J1436" s="129" t="s">
        <v>2492</v>
      </c>
      <c r="K1436" s="122" t="s">
        <v>5971</v>
      </c>
      <c r="L1436" s="122" t="s">
        <v>42</v>
      </c>
      <c r="M1436" s="133" t="s">
        <v>2491</v>
      </c>
      <c r="N1436" s="122" t="s">
        <v>30</v>
      </c>
    </row>
    <row r="1437" spans="2:14" s="9" customFormat="1" hidden="1" x14ac:dyDescent="0.25">
      <c r="B1437" s="120">
        <v>1434</v>
      </c>
      <c r="C1437" s="122">
        <v>20108028492</v>
      </c>
      <c r="D1437" s="125" t="s">
        <v>2487</v>
      </c>
      <c r="E1437" s="125" t="s">
        <v>2488</v>
      </c>
      <c r="F1437" s="122" t="s">
        <v>30</v>
      </c>
      <c r="G1437" s="122" t="s">
        <v>30</v>
      </c>
      <c r="H1437" s="122" t="s">
        <v>51</v>
      </c>
      <c r="I1437" s="125" t="s">
        <v>2489</v>
      </c>
      <c r="J1437" s="129" t="s">
        <v>2493</v>
      </c>
      <c r="K1437" s="122" t="s">
        <v>8028</v>
      </c>
      <c r="L1437" s="122" t="s">
        <v>2494</v>
      </c>
      <c r="M1437" s="133" t="s">
        <v>2491</v>
      </c>
      <c r="N1437" s="122" t="s">
        <v>30</v>
      </c>
    </row>
    <row r="1438" spans="2:14" s="9" customFormat="1" hidden="1" x14ac:dyDescent="0.25">
      <c r="B1438" s="120">
        <v>1435</v>
      </c>
      <c r="C1438" s="122">
        <v>20108028492</v>
      </c>
      <c r="D1438" s="125" t="s">
        <v>2487</v>
      </c>
      <c r="E1438" s="125" t="s">
        <v>2488</v>
      </c>
      <c r="F1438" s="122" t="s">
        <v>30</v>
      </c>
      <c r="G1438" s="122" t="s">
        <v>30</v>
      </c>
      <c r="H1438" s="122" t="s">
        <v>51</v>
      </c>
      <c r="I1438" s="125" t="s">
        <v>2489</v>
      </c>
      <c r="J1438" s="129" t="s">
        <v>6227</v>
      </c>
      <c r="K1438" s="122" t="s">
        <v>2495</v>
      </c>
      <c r="L1438" s="122" t="s">
        <v>5970</v>
      </c>
      <c r="M1438" s="133" t="s">
        <v>2491</v>
      </c>
      <c r="N1438" s="122" t="s">
        <v>30</v>
      </c>
    </row>
    <row r="1439" spans="2:14" s="9" customFormat="1" hidden="1" x14ac:dyDescent="0.25">
      <c r="B1439" s="120">
        <v>1436</v>
      </c>
      <c r="C1439" s="122">
        <v>20407872674</v>
      </c>
      <c r="D1439" s="125" t="s">
        <v>186</v>
      </c>
      <c r="E1439" s="125" t="s">
        <v>2484</v>
      </c>
      <c r="F1439" s="122" t="s">
        <v>30</v>
      </c>
      <c r="G1439" s="122" t="s">
        <v>54</v>
      </c>
      <c r="H1439" s="122" t="s">
        <v>55</v>
      </c>
      <c r="I1439" s="125" t="s">
        <v>1551</v>
      </c>
      <c r="J1439" s="129" t="s">
        <v>8536</v>
      </c>
      <c r="K1439" s="122" t="s">
        <v>2485</v>
      </c>
      <c r="L1439" s="122" t="s">
        <v>36</v>
      </c>
      <c r="M1439" s="133" t="s">
        <v>2486</v>
      </c>
      <c r="N1439" s="122" t="s">
        <v>54</v>
      </c>
    </row>
    <row r="1440" spans="2:14" s="9" customFormat="1" hidden="1" x14ac:dyDescent="0.25">
      <c r="B1440" s="120">
        <v>1437</v>
      </c>
      <c r="C1440" s="122">
        <v>20603026277</v>
      </c>
      <c r="D1440" s="125" t="s">
        <v>2480</v>
      </c>
      <c r="E1440" s="125" t="s">
        <v>2481</v>
      </c>
      <c r="F1440" s="122" t="s">
        <v>30</v>
      </c>
      <c r="G1440" s="122" t="s">
        <v>30</v>
      </c>
      <c r="H1440" s="122" t="s">
        <v>72</v>
      </c>
      <c r="I1440" s="125" t="s">
        <v>1394</v>
      </c>
      <c r="J1440" s="129" t="s">
        <v>8634</v>
      </c>
      <c r="K1440" s="122" t="s">
        <v>2482</v>
      </c>
      <c r="L1440" s="122" t="s">
        <v>42</v>
      </c>
      <c r="M1440" s="133" t="s">
        <v>2483</v>
      </c>
      <c r="N1440" s="122" t="s">
        <v>30</v>
      </c>
    </row>
    <row r="1441" spans="2:14" s="9" customFormat="1" hidden="1" x14ac:dyDescent="0.25">
      <c r="B1441" s="120">
        <v>1438</v>
      </c>
      <c r="C1441" s="122">
        <v>20537512882</v>
      </c>
      <c r="D1441" s="125" t="s">
        <v>603</v>
      </c>
      <c r="E1441" s="125" t="s">
        <v>1074</v>
      </c>
      <c r="F1441" s="122" t="s">
        <v>30</v>
      </c>
      <c r="G1441" s="122" t="s">
        <v>30</v>
      </c>
      <c r="H1441" s="122" t="s">
        <v>68</v>
      </c>
      <c r="I1441" s="125" t="s">
        <v>1365</v>
      </c>
      <c r="J1441" s="129" t="s">
        <v>8635</v>
      </c>
      <c r="K1441" s="122" t="s">
        <v>2478</v>
      </c>
      <c r="L1441" s="122" t="s">
        <v>731</v>
      </c>
      <c r="M1441" s="133" t="s">
        <v>2479</v>
      </c>
      <c r="N1441" s="122" t="s">
        <v>30</v>
      </c>
    </row>
    <row r="1442" spans="2:14" s="9" customFormat="1" hidden="1" x14ac:dyDescent="0.25">
      <c r="B1442" s="120">
        <v>1439</v>
      </c>
      <c r="C1442" s="122">
        <v>20347995631</v>
      </c>
      <c r="D1442" s="125" t="s">
        <v>105</v>
      </c>
      <c r="E1442" s="125" t="s">
        <v>2475</v>
      </c>
      <c r="F1442" s="122" t="s">
        <v>30</v>
      </c>
      <c r="G1442" s="122" t="s">
        <v>30</v>
      </c>
      <c r="H1442" s="122" t="s">
        <v>45</v>
      </c>
      <c r="I1442" s="125" t="s">
        <v>1395</v>
      </c>
      <c r="J1442" s="129" t="s">
        <v>2476</v>
      </c>
      <c r="K1442" s="122" t="s">
        <v>2477</v>
      </c>
      <c r="L1442" s="122" t="s">
        <v>731</v>
      </c>
      <c r="M1442" s="133" t="s">
        <v>845</v>
      </c>
      <c r="N1442" s="122" t="s">
        <v>845</v>
      </c>
    </row>
    <row r="1443" spans="2:14" s="9" customFormat="1" hidden="1" x14ac:dyDescent="0.25">
      <c r="B1443" s="120">
        <v>1440</v>
      </c>
      <c r="C1443" s="122">
        <v>20100992851</v>
      </c>
      <c r="D1443" s="125" t="s">
        <v>2470</v>
      </c>
      <c r="E1443" s="125" t="s">
        <v>2471</v>
      </c>
      <c r="F1443" s="122" t="s">
        <v>30</v>
      </c>
      <c r="G1443" s="122" t="s">
        <v>30</v>
      </c>
      <c r="H1443" s="122" t="s">
        <v>86</v>
      </c>
      <c r="I1443" s="125" t="s">
        <v>1450</v>
      </c>
      <c r="J1443" s="129" t="s">
        <v>8026</v>
      </c>
      <c r="K1443" s="122" t="s">
        <v>8027</v>
      </c>
      <c r="L1443" s="131" t="s">
        <v>36</v>
      </c>
      <c r="M1443" s="133" t="s">
        <v>2474</v>
      </c>
      <c r="N1443" s="122" t="s">
        <v>30</v>
      </c>
    </row>
    <row r="1444" spans="2:14" s="9" customFormat="1" hidden="1" x14ac:dyDescent="0.25">
      <c r="B1444" s="120">
        <v>1441</v>
      </c>
      <c r="C1444" s="122">
        <v>20100992851</v>
      </c>
      <c r="D1444" s="125" t="s">
        <v>2470</v>
      </c>
      <c r="E1444" s="125" t="s">
        <v>2471</v>
      </c>
      <c r="F1444" s="122" t="s">
        <v>30</v>
      </c>
      <c r="G1444" s="122" t="s">
        <v>30</v>
      </c>
      <c r="H1444" s="122" t="s">
        <v>86</v>
      </c>
      <c r="I1444" s="125" t="s">
        <v>1450</v>
      </c>
      <c r="J1444" s="129" t="s">
        <v>2472</v>
      </c>
      <c r="K1444" s="122" t="s">
        <v>2473</v>
      </c>
      <c r="L1444" s="122" t="s">
        <v>1558</v>
      </c>
      <c r="M1444" s="133" t="s">
        <v>2474</v>
      </c>
      <c r="N1444" s="122" t="s">
        <v>30</v>
      </c>
    </row>
    <row r="1445" spans="2:14" s="9" customFormat="1" hidden="1" x14ac:dyDescent="0.25">
      <c r="B1445" s="120">
        <v>1442</v>
      </c>
      <c r="C1445" s="122">
        <v>20604186359</v>
      </c>
      <c r="D1445" s="125" t="s">
        <v>470</v>
      </c>
      <c r="E1445" s="125" t="s">
        <v>2462</v>
      </c>
      <c r="F1445" s="122" t="s">
        <v>30</v>
      </c>
      <c r="G1445" s="122" t="s">
        <v>30</v>
      </c>
      <c r="H1445" s="122" t="s">
        <v>2463</v>
      </c>
      <c r="I1445" s="125" t="s">
        <v>1533</v>
      </c>
      <c r="J1445" s="129" t="s">
        <v>2467</v>
      </c>
      <c r="K1445" s="122" t="s">
        <v>2468</v>
      </c>
      <c r="L1445" s="122" t="s">
        <v>2469</v>
      </c>
      <c r="M1445" s="133" t="s">
        <v>2466</v>
      </c>
      <c r="N1445" s="122" t="s">
        <v>30</v>
      </c>
    </row>
    <row r="1446" spans="2:14" s="9" customFormat="1" hidden="1" x14ac:dyDescent="0.25">
      <c r="B1446" s="120">
        <v>1443</v>
      </c>
      <c r="C1446" s="122">
        <v>20604186359</v>
      </c>
      <c r="D1446" s="125" t="s">
        <v>470</v>
      </c>
      <c r="E1446" s="125" t="s">
        <v>2462</v>
      </c>
      <c r="F1446" s="122" t="s">
        <v>30</v>
      </c>
      <c r="G1446" s="122" t="s">
        <v>30</v>
      </c>
      <c r="H1446" s="122" t="s">
        <v>2463</v>
      </c>
      <c r="I1446" s="125" t="s">
        <v>1533</v>
      </c>
      <c r="J1446" s="129" t="s">
        <v>2464</v>
      </c>
      <c r="K1446" s="122" t="s">
        <v>2465</v>
      </c>
      <c r="L1446" s="122" t="s">
        <v>731</v>
      </c>
      <c r="M1446" s="133" t="s">
        <v>2466</v>
      </c>
      <c r="N1446" s="122" t="s">
        <v>30</v>
      </c>
    </row>
    <row r="1447" spans="2:14" s="9" customFormat="1" hidden="1" x14ac:dyDescent="0.25">
      <c r="B1447" s="120">
        <v>1444</v>
      </c>
      <c r="C1447" s="122">
        <v>20492762149</v>
      </c>
      <c r="D1447" s="125" t="s">
        <v>517</v>
      </c>
      <c r="E1447" s="125" t="s">
        <v>2459</v>
      </c>
      <c r="F1447" s="122" t="s">
        <v>30</v>
      </c>
      <c r="G1447" s="122" t="s">
        <v>30</v>
      </c>
      <c r="H1447" s="122" t="s">
        <v>38</v>
      </c>
      <c r="I1447" s="125" t="s">
        <v>2460</v>
      </c>
      <c r="J1447" s="129" t="s">
        <v>8182</v>
      </c>
      <c r="K1447" s="122" t="s">
        <v>2461</v>
      </c>
      <c r="L1447" s="122" t="s">
        <v>731</v>
      </c>
      <c r="M1447" s="133" t="s">
        <v>845</v>
      </c>
      <c r="N1447" s="122" t="s">
        <v>845</v>
      </c>
    </row>
    <row r="1448" spans="2:14" s="9" customFormat="1" hidden="1" x14ac:dyDescent="0.25">
      <c r="B1448" s="120">
        <v>1445</v>
      </c>
      <c r="C1448" s="122">
        <v>20547505876</v>
      </c>
      <c r="D1448" s="125" t="s">
        <v>683</v>
      </c>
      <c r="E1448" s="125" t="s">
        <v>2456</v>
      </c>
      <c r="F1448" s="122" t="s">
        <v>30</v>
      </c>
      <c r="G1448" s="122" t="s">
        <v>30</v>
      </c>
      <c r="H1448" s="122" t="s">
        <v>30</v>
      </c>
      <c r="I1448" s="125" t="s">
        <v>1377</v>
      </c>
      <c r="J1448" s="129" t="s">
        <v>8284</v>
      </c>
      <c r="K1448" s="122" t="s">
        <v>2457</v>
      </c>
      <c r="L1448" s="122" t="s">
        <v>731</v>
      </c>
      <c r="M1448" s="133" t="s">
        <v>2458</v>
      </c>
      <c r="N1448" s="122" t="s">
        <v>30</v>
      </c>
    </row>
    <row r="1449" spans="2:14" s="9" customFormat="1" hidden="1" x14ac:dyDescent="0.25">
      <c r="B1449" s="120">
        <v>1446</v>
      </c>
      <c r="C1449" s="122">
        <v>20604825688</v>
      </c>
      <c r="D1449" s="125" t="s">
        <v>2449</v>
      </c>
      <c r="E1449" s="125" t="s">
        <v>2450</v>
      </c>
      <c r="F1449" s="122" t="s">
        <v>30</v>
      </c>
      <c r="G1449" s="122" t="s">
        <v>30</v>
      </c>
      <c r="H1449" s="122" t="s">
        <v>52</v>
      </c>
      <c r="I1449" s="125" t="s">
        <v>1447</v>
      </c>
      <c r="J1449" s="129" t="s">
        <v>2454</v>
      </c>
      <c r="K1449" s="122" t="s">
        <v>2455</v>
      </c>
      <c r="L1449" s="122" t="s">
        <v>1803</v>
      </c>
      <c r="M1449" s="133" t="s">
        <v>2453</v>
      </c>
      <c r="N1449" s="122" t="s">
        <v>30</v>
      </c>
    </row>
    <row r="1450" spans="2:14" s="9" customFormat="1" hidden="1" x14ac:dyDescent="0.25">
      <c r="B1450" s="120">
        <v>1447</v>
      </c>
      <c r="C1450" s="122">
        <v>20604825688</v>
      </c>
      <c r="D1450" s="125" t="s">
        <v>2449</v>
      </c>
      <c r="E1450" s="125" t="s">
        <v>2450</v>
      </c>
      <c r="F1450" s="122" t="s">
        <v>30</v>
      </c>
      <c r="G1450" s="122" t="s">
        <v>30</v>
      </c>
      <c r="H1450" s="122" t="s">
        <v>52</v>
      </c>
      <c r="I1450" s="125" t="s">
        <v>1447</v>
      </c>
      <c r="J1450" s="129" t="s">
        <v>2451</v>
      </c>
      <c r="K1450" s="122" t="s">
        <v>2452</v>
      </c>
      <c r="L1450" s="122" t="s">
        <v>731</v>
      </c>
      <c r="M1450" s="133" t="s">
        <v>2453</v>
      </c>
      <c r="N1450" s="122" t="s">
        <v>30</v>
      </c>
    </row>
    <row r="1451" spans="2:14" s="9" customFormat="1" hidden="1" x14ac:dyDescent="0.25">
      <c r="B1451" s="120">
        <v>1448</v>
      </c>
      <c r="C1451" s="122">
        <v>20610206833</v>
      </c>
      <c r="D1451" s="125" t="s">
        <v>2444</v>
      </c>
      <c r="E1451" s="125" t="s">
        <v>2445</v>
      </c>
      <c r="F1451" s="122" t="s">
        <v>30</v>
      </c>
      <c r="G1451" s="122" t="s">
        <v>30</v>
      </c>
      <c r="H1451" s="122" t="s">
        <v>51</v>
      </c>
      <c r="I1451" s="125" t="s">
        <v>2446</v>
      </c>
      <c r="J1451" s="129" t="s">
        <v>8531</v>
      </c>
      <c r="K1451" s="122" t="s">
        <v>2447</v>
      </c>
      <c r="L1451" s="122" t="s">
        <v>731</v>
      </c>
      <c r="M1451" s="133" t="s">
        <v>2448</v>
      </c>
      <c r="N1451" s="122" t="s">
        <v>30</v>
      </c>
    </row>
    <row r="1452" spans="2:14" s="9" customFormat="1" hidden="1" x14ac:dyDescent="0.25">
      <c r="B1452" s="120">
        <v>1449</v>
      </c>
      <c r="C1452" s="122">
        <v>20601092973</v>
      </c>
      <c r="D1452" s="125" t="s">
        <v>542</v>
      </c>
      <c r="E1452" s="125" t="s">
        <v>2441</v>
      </c>
      <c r="F1452" s="122" t="s">
        <v>30</v>
      </c>
      <c r="G1452" s="122" t="s">
        <v>30</v>
      </c>
      <c r="H1452" s="122" t="s">
        <v>45</v>
      </c>
      <c r="I1452" s="125" t="s">
        <v>1377</v>
      </c>
      <c r="J1452" s="129" t="s">
        <v>8633</v>
      </c>
      <c r="K1452" s="122" t="s">
        <v>2442</v>
      </c>
      <c r="L1452" s="122" t="s">
        <v>42</v>
      </c>
      <c r="M1452" s="133" t="s">
        <v>2443</v>
      </c>
      <c r="N1452" s="122" t="s">
        <v>30</v>
      </c>
    </row>
    <row r="1453" spans="2:14" s="9" customFormat="1" hidden="1" x14ac:dyDescent="0.25">
      <c r="B1453" s="120">
        <v>1450</v>
      </c>
      <c r="C1453" s="122">
        <v>20605106162</v>
      </c>
      <c r="D1453" s="125" t="s">
        <v>2437</v>
      </c>
      <c r="E1453" s="125" t="s">
        <v>2438</v>
      </c>
      <c r="F1453" s="122" t="s">
        <v>30</v>
      </c>
      <c r="G1453" s="122" t="s">
        <v>168</v>
      </c>
      <c r="H1453" s="122" t="s">
        <v>169</v>
      </c>
      <c r="I1453" s="125" t="s">
        <v>1374</v>
      </c>
      <c r="J1453" s="129" t="s">
        <v>8636</v>
      </c>
      <c r="K1453" s="122" t="s">
        <v>2439</v>
      </c>
      <c r="L1453" s="122" t="s">
        <v>731</v>
      </c>
      <c r="M1453" s="133" t="s">
        <v>2440</v>
      </c>
      <c r="N1453" s="122" t="s">
        <v>168</v>
      </c>
    </row>
    <row r="1454" spans="2:14" s="9" customFormat="1" hidden="1" x14ac:dyDescent="0.25">
      <c r="B1454" s="120">
        <v>1451</v>
      </c>
      <c r="C1454" s="122">
        <v>20515778170</v>
      </c>
      <c r="D1454" s="125" t="s">
        <v>430</v>
      </c>
      <c r="E1454" s="125" t="s">
        <v>2433</v>
      </c>
      <c r="F1454" s="122" t="s">
        <v>67</v>
      </c>
      <c r="G1454" s="122" t="s">
        <v>67</v>
      </c>
      <c r="H1454" s="122" t="s">
        <v>67</v>
      </c>
      <c r="I1454" s="125" t="s">
        <v>1441</v>
      </c>
      <c r="J1454" s="129" t="s">
        <v>2434</v>
      </c>
      <c r="K1454" s="122" t="s">
        <v>2435</v>
      </c>
      <c r="L1454" s="122" t="s">
        <v>731</v>
      </c>
      <c r="M1454" s="133" t="s">
        <v>2436</v>
      </c>
      <c r="N1454" s="122" t="s">
        <v>30</v>
      </c>
    </row>
    <row r="1455" spans="2:14" s="9" customFormat="1" hidden="1" x14ac:dyDescent="0.25">
      <c r="B1455" s="120">
        <v>1452</v>
      </c>
      <c r="C1455" s="122">
        <v>20511717648</v>
      </c>
      <c r="D1455" s="125" t="s">
        <v>525</v>
      </c>
      <c r="E1455" s="125" t="s">
        <v>2429</v>
      </c>
      <c r="F1455" s="122" t="s">
        <v>30</v>
      </c>
      <c r="G1455" s="122" t="s">
        <v>30</v>
      </c>
      <c r="H1455" s="122" t="s">
        <v>45</v>
      </c>
      <c r="I1455" s="125" t="s">
        <v>1398</v>
      </c>
      <c r="J1455" s="129" t="s">
        <v>2430</v>
      </c>
      <c r="K1455" s="122" t="s">
        <v>2431</v>
      </c>
      <c r="L1455" s="122" t="s">
        <v>731</v>
      </c>
      <c r="M1455" s="133" t="s">
        <v>2432</v>
      </c>
      <c r="N1455" s="122" t="s">
        <v>30</v>
      </c>
    </row>
    <row r="1456" spans="2:14" s="9" customFormat="1" hidden="1" x14ac:dyDescent="0.25">
      <c r="B1456" s="120">
        <v>1453</v>
      </c>
      <c r="C1456" s="122">
        <v>20607620971</v>
      </c>
      <c r="D1456" s="125" t="s">
        <v>2424</v>
      </c>
      <c r="E1456" s="125" t="s">
        <v>2425</v>
      </c>
      <c r="F1456" s="122" t="s">
        <v>30</v>
      </c>
      <c r="G1456" s="122" t="s">
        <v>30</v>
      </c>
      <c r="H1456" s="122" t="s">
        <v>88</v>
      </c>
      <c r="I1456" s="125" t="s">
        <v>1961</v>
      </c>
      <c r="J1456" s="129" t="s">
        <v>2426</v>
      </c>
      <c r="K1456" s="122" t="s">
        <v>2427</v>
      </c>
      <c r="L1456" s="122" t="s">
        <v>731</v>
      </c>
      <c r="M1456" s="133" t="s">
        <v>2428</v>
      </c>
      <c r="N1456" s="122" t="s">
        <v>30</v>
      </c>
    </row>
    <row r="1457" spans="2:14" s="9" customFormat="1" hidden="1" x14ac:dyDescent="0.25">
      <c r="B1457" s="120">
        <v>1454</v>
      </c>
      <c r="C1457" s="122">
        <v>20513020792</v>
      </c>
      <c r="D1457" s="125" t="s">
        <v>241</v>
      </c>
      <c r="E1457" s="125" t="s">
        <v>2407</v>
      </c>
      <c r="F1457" s="122" t="s">
        <v>30</v>
      </c>
      <c r="G1457" s="122" t="s">
        <v>30</v>
      </c>
      <c r="H1457" s="122" t="s">
        <v>135</v>
      </c>
      <c r="I1457" s="125" t="s">
        <v>2408</v>
      </c>
      <c r="J1457" s="129" t="s">
        <v>2422</v>
      </c>
      <c r="K1457" s="122" t="s">
        <v>2423</v>
      </c>
      <c r="L1457" s="122" t="s">
        <v>1558</v>
      </c>
      <c r="M1457" s="133" t="s">
        <v>2411</v>
      </c>
      <c r="N1457" s="122" t="s">
        <v>30</v>
      </c>
    </row>
    <row r="1458" spans="2:14" s="9" customFormat="1" hidden="1" x14ac:dyDescent="0.25">
      <c r="B1458" s="120">
        <v>1455</v>
      </c>
      <c r="C1458" s="122">
        <v>20513020792</v>
      </c>
      <c r="D1458" s="125" t="s">
        <v>241</v>
      </c>
      <c r="E1458" s="125" t="s">
        <v>2407</v>
      </c>
      <c r="F1458" s="122" t="s">
        <v>30</v>
      </c>
      <c r="G1458" s="122" t="s">
        <v>30</v>
      </c>
      <c r="H1458" s="122" t="s">
        <v>135</v>
      </c>
      <c r="I1458" s="125" t="s">
        <v>2408</v>
      </c>
      <c r="J1458" s="129" t="s">
        <v>2420</v>
      </c>
      <c r="K1458" s="122" t="s">
        <v>2421</v>
      </c>
      <c r="L1458" s="122" t="s">
        <v>1558</v>
      </c>
      <c r="M1458" s="133" t="s">
        <v>2411</v>
      </c>
      <c r="N1458" s="122" t="s">
        <v>30</v>
      </c>
    </row>
    <row r="1459" spans="2:14" s="9" customFormat="1" hidden="1" x14ac:dyDescent="0.25">
      <c r="B1459" s="120">
        <v>1456</v>
      </c>
      <c r="C1459" s="122">
        <v>20513020792</v>
      </c>
      <c r="D1459" s="125" t="s">
        <v>241</v>
      </c>
      <c r="E1459" s="125" t="s">
        <v>2407</v>
      </c>
      <c r="F1459" s="122" t="s">
        <v>30</v>
      </c>
      <c r="G1459" s="122" t="s">
        <v>30</v>
      </c>
      <c r="H1459" s="122" t="s">
        <v>135</v>
      </c>
      <c r="I1459" s="125" t="s">
        <v>2408</v>
      </c>
      <c r="J1459" s="129" t="s">
        <v>2418</v>
      </c>
      <c r="K1459" s="122" t="s">
        <v>2419</v>
      </c>
      <c r="L1459" s="122" t="s">
        <v>1558</v>
      </c>
      <c r="M1459" s="133" t="s">
        <v>2411</v>
      </c>
      <c r="N1459" s="122" t="s">
        <v>30</v>
      </c>
    </row>
    <row r="1460" spans="2:14" s="9" customFormat="1" hidden="1" x14ac:dyDescent="0.25">
      <c r="B1460" s="120">
        <v>1457</v>
      </c>
      <c r="C1460" s="122">
        <v>20513020792</v>
      </c>
      <c r="D1460" s="125" t="s">
        <v>241</v>
      </c>
      <c r="E1460" s="125" t="s">
        <v>2407</v>
      </c>
      <c r="F1460" s="122" t="s">
        <v>30</v>
      </c>
      <c r="G1460" s="122" t="s">
        <v>30</v>
      </c>
      <c r="H1460" s="122" t="s">
        <v>135</v>
      </c>
      <c r="I1460" s="125" t="s">
        <v>2408</v>
      </c>
      <c r="J1460" s="129" t="s">
        <v>2416</v>
      </c>
      <c r="K1460" s="122" t="s">
        <v>2417</v>
      </c>
      <c r="L1460" s="122" t="s">
        <v>731</v>
      </c>
      <c r="M1460" s="133" t="s">
        <v>2411</v>
      </c>
      <c r="N1460" s="122" t="s">
        <v>30</v>
      </c>
    </row>
    <row r="1461" spans="2:14" s="9" customFormat="1" hidden="1" x14ac:dyDescent="0.25">
      <c r="B1461" s="120">
        <v>1458</v>
      </c>
      <c r="C1461" s="122">
        <v>20513020792</v>
      </c>
      <c r="D1461" s="125" t="s">
        <v>241</v>
      </c>
      <c r="E1461" s="125" t="s">
        <v>2407</v>
      </c>
      <c r="F1461" s="122" t="s">
        <v>30</v>
      </c>
      <c r="G1461" s="122" t="s">
        <v>30</v>
      </c>
      <c r="H1461" s="122" t="s">
        <v>135</v>
      </c>
      <c r="I1461" s="125" t="s">
        <v>2408</v>
      </c>
      <c r="J1461" s="129" t="s">
        <v>2414</v>
      </c>
      <c r="K1461" s="122" t="s">
        <v>2415</v>
      </c>
      <c r="L1461" s="122" t="s">
        <v>1558</v>
      </c>
      <c r="M1461" s="133" t="s">
        <v>2411</v>
      </c>
      <c r="N1461" s="122" t="s">
        <v>30</v>
      </c>
    </row>
    <row r="1462" spans="2:14" s="9" customFormat="1" hidden="1" x14ac:dyDescent="0.25">
      <c r="B1462" s="120">
        <v>1459</v>
      </c>
      <c r="C1462" s="122">
        <v>20513020792</v>
      </c>
      <c r="D1462" s="125" t="s">
        <v>241</v>
      </c>
      <c r="E1462" s="125" t="s">
        <v>2407</v>
      </c>
      <c r="F1462" s="122" t="s">
        <v>30</v>
      </c>
      <c r="G1462" s="122" t="s">
        <v>30</v>
      </c>
      <c r="H1462" s="122" t="s">
        <v>135</v>
      </c>
      <c r="I1462" s="125" t="s">
        <v>2408</v>
      </c>
      <c r="J1462" s="129" t="s">
        <v>2412</v>
      </c>
      <c r="K1462" s="122" t="s">
        <v>2413</v>
      </c>
      <c r="L1462" s="122" t="s">
        <v>1558</v>
      </c>
      <c r="M1462" s="133" t="s">
        <v>2411</v>
      </c>
      <c r="N1462" s="122" t="s">
        <v>30</v>
      </c>
    </row>
    <row r="1463" spans="2:14" s="9" customFormat="1" hidden="1" x14ac:dyDescent="0.25">
      <c r="B1463" s="120">
        <v>1460</v>
      </c>
      <c r="C1463" s="122">
        <v>20513020792</v>
      </c>
      <c r="D1463" s="125" t="s">
        <v>241</v>
      </c>
      <c r="E1463" s="125" t="s">
        <v>2407</v>
      </c>
      <c r="F1463" s="122" t="s">
        <v>30</v>
      </c>
      <c r="G1463" s="122" t="s">
        <v>30</v>
      </c>
      <c r="H1463" s="122" t="s">
        <v>135</v>
      </c>
      <c r="I1463" s="125" t="s">
        <v>2408</v>
      </c>
      <c r="J1463" s="129" t="s">
        <v>2409</v>
      </c>
      <c r="K1463" s="122" t="s">
        <v>2410</v>
      </c>
      <c r="L1463" s="122" t="s">
        <v>1712</v>
      </c>
      <c r="M1463" s="133" t="s">
        <v>2411</v>
      </c>
      <c r="N1463" s="122" t="s">
        <v>30</v>
      </c>
    </row>
    <row r="1464" spans="2:14" s="9" customFormat="1" hidden="1" x14ac:dyDescent="0.25">
      <c r="B1464" s="120">
        <v>1461</v>
      </c>
      <c r="C1464" s="122">
        <v>20551615937</v>
      </c>
      <c r="D1464" s="125" t="s">
        <v>614</v>
      </c>
      <c r="E1464" s="125" t="s">
        <v>2405</v>
      </c>
      <c r="F1464" s="122" t="s">
        <v>30</v>
      </c>
      <c r="G1464" s="122" t="s">
        <v>30</v>
      </c>
      <c r="H1464" s="122" t="s">
        <v>45</v>
      </c>
      <c r="I1464" s="125" t="s">
        <v>1394</v>
      </c>
      <c r="J1464" s="129" t="s">
        <v>8493</v>
      </c>
      <c r="K1464" s="122" t="s">
        <v>2406</v>
      </c>
      <c r="L1464" s="122" t="s">
        <v>731</v>
      </c>
      <c r="M1464" s="133" t="s">
        <v>845</v>
      </c>
      <c r="N1464" s="122" t="s">
        <v>845</v>
      </c>
    </row>
    <row r="1465" spans="2:14" s="9" customFormat="1" hidden="1" x14ac:dyDescent="0.25">
      <c r="B1465" s="120">
        <v>1462</v>
      </c>
      <c r="C1465" s="122">
        <v>20601610729</v>
      </c>
      <c r="D1465" s="125" t="s">
        <v>2401</v>
      </c>
      <c r="E1465" s="125" t="s">
        <v>2402</v>
      </c>
      <c r="F1465" s="122" t="s">
        <v>30</v>
      </c>
      <c r="G1465" s="122" t="s">
        <v>30</v>
      </c>
      <c r="H1465" s="122" t="s">
        <v>75</v>
      </c>
      <c r="I1465" s="125" t="s">
        <v>1377</v>
      </c>
      <c r="J1465" s="129" t="s">
        <v>8510</v>
      </c>
      <c r="K1465" s="122" t="s">
        <v>2403</v>
      </c>
      <c r="L1465" s="122" t="s">
        <v>731</v>
      </c>
      <c r="M1465" s="133" t="s">
        <v>2404</v>
      </c>
      <c r="N1465" s="122" t="s">
        <v>30</v>
      </c>
    </row>
    <row r="1466" spans="2:14" s="9" customFormat="1" hidden="1" x14ac:dyDescent="0.25">
      <c r="B1466" s="120">
        <v>1463</v>
      </c>
      <c r="C1466" s="122">
        <v>20520794469</v>
      </c>
      <c r="D1466" s="125" t="s">
        <v>2395</v>
      </c>
      <c r="E1466" s="125" t="s">
        <v>2396</v>
      </c>
      <c r="F1466" s="122" t="s">
        <v>30</v>
      </c>
      <c r="G1466" s="122" t="s">
        <v>30</v>
      </c>
      <c r="H1466" s="122" t="s">
        <v>75</v>
      </c>
      <c r="I1466" s="125" t="s">
        <v>1371</v>
      </c>
      <c r="J1466" s="129" t="s">
        <v>2399</v>
      </c>
      <c r="K1466" s="122" t="s">
        <v>2400</v>
      </c>
      <c r="L1466" s="122" t="s">
        <v>1712</v>
      </c>
      <c r="M1466" s="133" t="s">
        <v>845</v>
      </c>
      <c r="N1466" s="122" t="s">
        <v>845</v>
      </c>
    </row>
    <row r="1467" spans="2:14" s="9" customFormat="1" hidden="1" x14ac:dyDescent="0.25">
      <c r="B1467" s="120">
        <v>1464</v>
      </c>
      <c r="C1467" s="122">
        <v>20520794469</v>
      </c>
      <c r="D1467" s="125" t="s">
        <v>2395</v>
      </c>
      <c r="E1467" s="125" t="s">
        <v>2396</v>
      </c>
      <c r="F1467" s="122" t="s">
        <v>30</v>
      </c>
      <c r="G1467" s="122" t="s">
        <v>30</v>
      </c>
      <c r="H1467" s="122" t="s">
        <v>75</v>
      </c>
      <c r="I1467" s="125" t="s">
        <v>1371</v>
      </c>
      <c r="J1467" s="129" t="s">
        <v>2397</v>
      </c>
      <c r="K1467" s="122" t="s">
        <v>2398</v>
      </c>
      <c r="L1467" s="122" t="s">
        <v>731</v>
      </c>
      <c r="M1467" s="133" t="s">
        <v>845</v>
      </c>
      <c r="N1467" s="122" t="s">
        <v>845</v>
      </c>
    </row>
    <row r="1468" spans="2:14" s="9" customFormat="1" hidden="1" x14ac:dyDescent="0.25">
      <c r="B1468" s="120">
        <v>1465</v>
      </c>
      <c r="C1468" s="122">
        <v>20417378911</v>
      </c>
      <c r="D1468" s="125" t="s">
        <v>450</v>
      </c>
      <c r="E1468" s="125" t="s">
        <v>2352</v>
      </c>
      <c r="F1468" s="122" t="s">
        <v>30</v>
      </c>
      <c r="G1468" s="122" t="s">
        <v>30</v>
      </c>
      <c r="H1468" s="122" t="s">
        <v>37</v>
      </c>
      <c r="I1468" s="125" t="s">
        <v>2353</v>
      </c>
      <c r="J1468" s="129" t="s">
        <v>2393</v>
      </c>
      <c r="K1468" s="122" t="s">
        <v>2394</v>
      </c>
      <c r="L1468" s="122" t="s">
        <v>731</v>
      </c>
      <c r="M1468" s="133" t="s">
        <v>2356</v>
      </c>
      <c r="N1468" s="122" t="s">
        <v>30</v>
      </c>
    </row>
    <row r="1469" spans="2:14" s="9" customFormat="1" hidden="1" x14ac:dyDescent="0.25">
      <c r="B1469" s="120">
        <v>1466</v>
      </c>
      <c r="C1469" s="122">
        <v>20417378911</v>
      </c>
      <c r="D1469" s="125" t="s">
        <v>450</v>
      </c>
      <c r="E1469" s="125" t="s">
        <v>2352</v>
      </c>
      <c r="F1469" s="122" t="s">
        <v>30</v>
      </c>
      <c r="G1469" s="122" t="s">
        <v>30</v>
      </c>
      <c r="H1469" s="122" t="s">
        <v>37</v>
      </c>
      <c r="I1469" s="125" t="s">
        <v>2353</v>
      </c>
      <c r="J1469" s="129" t="s">
        <v>2391</v>
      </c>
      <c r="K1469" s="122" t="s">
        <v>2392</v>
      </c>
      <c r="L1469" s="122" t="s">
        <v>209</v>
      </c>
      <c r="M1469" s="133" t="s">
        <v>2356</v>
      </c>
      <c r="N1469" s="122" t="s">
        <v>30</v>
      </c>
    </row>
    <row r="1470" spans="2:14" s="9" customFormat="1" hidden="1" x14ac:dyDescent="0.25">
      <c r="B1470" s="120">
        <v>1467</v>
      </c>
      <c r="C1470" s="122">
        <v>20417378911</v>
      </c>
      <c r="D1470" s="125" t="s">
        <v>450</v>
      </c>
      <c r="E1470" s="125" t="s">
        <v>2352</v>
      </c>
      <c r="F1470" s="122" t="s">
        <v>30</v>
      </c>
      <c r="G1470" s="122" t="s">
        <v>30</v>
      </c>
      <c r="H1470" s="122" t="s">
        <v>37</v>
      </c>
      <c r="I1470" s="125" t="s">
        <v>2353</v>
      </c>
      <c r="J1470" s="129" t="s">
        <v>2389</v>
      </c>
      <c r="K1470" s="122" t="s">
        <v>2390</v>
      </c>
      <c r="L1470" s="122" t="s">
        <v>209</v>
      </c>
      <c r="M1470" s="133" t="s">
        <v>2356</v>
      </c>
      <c r="N1470" s="122" t="s">
        <v>30</v>
      </c>
    </row>
    <row r="1471" spans="2:14" s="9" customFormat="1" hidden="1" x14ac:dyDescent="0.25">
      <c r="B1471" s="120">
        <v>1468</v>
      </c>
      <c r="C1471" s="122">
        <v>20417378911</v>
      </c>
      <c r="D1471" s="125" t="s">
        <v>450</v>
      </c>
      <c r="E1471" s="125" t="s">
        <v>2352</v>
      </c>
      <c r="F1471" s="122" t="s">
        <v>30</v>
      </c>
      <c r="G1471" s="122" t="s">
        <v>30</v>
      </c>
      <c r="H1471" s="122" t="s">
        <v>37</v>
      </c>
      <c r="I1471" s="125" t="s">
        <v>2353</v>
      </c>
      <c r="J1471" s="129" t="s">
        <v>2387</v>
      </c>
      <c r="K1471" s="122" t="s">
        <v>2388</v>
      </c>
      <c r="L1471" s="122" t="s">
        <v>209</v>
      </c>
      <c r="M1471" s="133" t="s">
        <v>2356</v>
      </c>
      <c r="N1471" s="122" t="s">
        <v>30</v>
      </c>
    </row>
    <row r="1472" spans="2:14" s="9" customFormat="1" hidden="1" x14ac:dyDescent="0.25">
      <c r="B1472" s="120">
        <v>1469</v>
      </c>
      <c r="C1472" s="122">
        <v>20417378911</v>
      </c>
      <c r="D1472" s="125" t="s">
        <v>450</v>
      </c>
      <c r="E1472" s="125" t="s">
        <v>2352</v>
      </c>
      <c r="F1472" s="122" t="s">
        <v>30</v>
      </c>
      <c r="G1472" s="122" t="s">
        <v>30</v>
      </c>
      <c r="H1472" s="122" t="s">
        <v>37</v>
      </c>
      <c r="I1472" s="125" t="s">
        <v>2353</v>
      </c>
      <c r="J1472" s="129" t="s">
        <v>2385</v>
      </c>
      <c r="K1472" s="122" t="s">
        <v>2386</v>
      </c>
      <c r="L1472" s="122" t="s">
        <v>209</v>
      </c>
      <c r="M1472" s="133" t="s">
        <v>2356</v>
      </c>
      <c r="N1472" s="122" t="s">
        <v>30</v>
      </c>
    </row>
    <row r="1473" spans="2:14" s="9" customFormat="1" hidden="1" x14ac:dyDescent="0.25">
      <c r="B1473" s="120">
        <v>1470</v>
      </c>
      <c r="C1473" s="122">
        <v>20417378911</v>
      </c>
      <c r="D1473" s="125" t="s">
        <v>450</v>
      </c>
      <c r="E1473" s="125" t="s">
        <v>2352</v>
      </c>
      <c r="F1473" s="122" t="s">
        <v>30</v>
      </c>
      <c r="G1473" s="122" t="s">
        <v>30</v>
      </c>
      <c r="H1473" s="122" t="s">
        <v>37</v>
      </c>
      <c r="I1473" s="125" t="s">
        <v>2353</v>
      </c>
      <c r="J1473" s="129" t="s">
        <v>2383</v>
      </c>
      <c r="K1473" s="122" t="s">
        <v>2384</v>
      </c>
      <c r="L1473" s="122" t="s">
        <v>209</v>
      </c>
      <c r="M1473" s="133" t="s">
        <v>2356</v>
      </c>
      <c r="N1473" s="122" t="s">
        <v>30</v>
      </c>
    </row>
    <row r="1474" spans="2:14" s="9" customFormat="1" hidden="1" x14ac:dyDescent="0.25">
      <c r="B1474" s="120">
        <v>1471</v>
      </c>
      <c r="C1474" s="122">
        <v>20417378911</v>
      </c>
      <c r="D1474" s="125" t="s">
        <v>450</v>
      </c>
      <c r="E1474" s="125" t="s">
        <v>2352</v>
      </c>
      <c r="F1474" s="122" t="s">
        <v>30</v>
      </c>
      <c r="G1474" s="122" t="s">
        <v>30</v>
      </c>
      <c r="H1474" s="122" t="s">
        <v>37</v>
      </c>
      <c r="I1474" s="125" t="s">
        <v>2353</v>
      </c>
      <c r="J1474" s="129" t="s">
        <v>2381</v>
      </c>
      <c r="K1474" s="122" t="s">
        <v>2382</v>
      </c>
      <c r="L1474" s="122" t="s">
        <v>209</v>
      </c>
      <c r="M1474" s="133" t="s">
        <v>2356</v>
      </c>
      <c r="N1474" s="122" t="s">
        <v>30</v>
      </c>
    </row>
    <row r="1475" spans="2:14" s="9" customFormat="1" hidden="1" x14ac:dyDescent="0.25">
      <c r="B1475" s="120">
        <v>1472</v>
      </c>
      <c r="C1475" s="122">
        <v>20417378911</v>
      </c>
      <c r="D1475" s="125" t="s">
        <v>450</v>
      </c>
      <c r="E1475" s="125" t="s">
        <v>2352</v>
      </c>
      <c r="F1475" s="122" t="s">
        <v>30</v>
      </c>
      <c r="G1475" s="122" t="s">
        <v>30</v>
      </c>
      <c r="H1475" s="122" t="s">
        <v>37</v>
      </c>
      <c r="I1475" s="125" t="s">
        <v>2353</v>
      </c>
      <c r="J1475" s="129" t="s">
        <v>2379</v>
      </c>
      <c r="K1475" s="122" t="s">
        <v>2380</v>
      </c>
      <c r="L1475" s="122" t="s">
        <v>209</v>
      </c>
      <c r="M1475" s="133" t="s">
        <v>2356</v>
      </c>
      <c r="N1475" s="122" t="s">
        <v>30</v>
      </c>
    </row>
    <row r="1476" spans="2:14" s="9" customFormat="1" hidden="1" x14ac:dyDescent="0.25">
      <c r="B1476" s="120">
        <v>1473</v>
      </c>
      <c r="C1476" s="122">
        <v>20417378911</v>
      </c>
      <c r="D1476" s="125" t="s">
        <v>450</v>
      </c>
      <c r="E1476" s="125" t="s">
        <v>2352</v>
      </c>
      <c r="F1476" s="122" t="s">
        <v>30</v>
      </c>
      <c r="G1476" s="122" t="s">
        <v>30</v>
      </c>
      <c r="H1476" s="122" t="s">
        <v>37</v>
      </c>
      <c r="I1476" s="125" t="s">
        <v>2353</v>
      </c>
      <c r="J1476" s="129" t="s">
        <v>8024</v>
      </c>
      <c r="K1476" s="122" t="s">
        <v>8025</v>
      </c>
      <c r="L1476" s="122" t="s">
        <v>209</v>
      </c>
      <c r="M1476" s="133" t="s">
        <v>2356</v>
      </c>
      <c r="N1476" s="122" t="s">
        <v>30</v>
      </c>
    </row>
    <row r="1477" spans="2:14" s="9" customFormat="1" hidden="1" x14ac:dyDescent="0.25">
      <c r="B1477" s="120">
        <v>1474</v>
      </c>
      <c r="C1477" s="122">
        <v>20417378911</v>
      </c>
      <c r="D1477" s="125" t="s">
        <v>450</v>
      </c>
      <c r="E1477" s="125" t="s">
        <v>2352</v>
      </c>
      <c r="F1477" s="122" t="s">
        <v>30</v>
      </c>
      <c r="G1477" s="122" t="s">
        <v>30</v>
      </c>
      <c r="H1477" s="122" t="s">
        <v>37</v>
      </c>
      <c r="I1477" s="125" t="s">
        <v>2353</v>
      </c>
      <c r="J1477" s="129" t="s">
        <v>2377</v>
      </c>
      <c r="K1477" s="122" t="s">
        <v>2378</v>
      </c>
      <c r="L1477" s="122" t="s">
        <v>209</v>
      </c>
      <c r="M1477" s="133" t="s">
        <v>2356</v>
      </c>
      <c r="N1477" s="122" t="s">
        <v>30</v>
      </c>
    </row>
    <row r="1478" spans="2:14" s="9" customFormat="1" hidden="1" x14ac:dyDescent="0.25">
      <c r="B1478" s="120">
        <v>1475</v>
      </c>
      <c r="C1478" s="122">
        <v>20417378911</v>
      </c>
      <c r="D1478" s="125" t="s">
        <v>450</v>
      </c>
      <c r="E1478" s="125" t="s">
        <v>2352</v>
      </c>
      <c r="F1478" s="122" t="s">
        <v>30</v>
      </c>
      <c r="G1478" s="122" t="s">
        <v>30</v>
      </c>
      <c r="H1478" s="122" t="s">
        <v>37</v>
      </c>
      <c r="I1478" s="125" t="s">
        <v>2353</v>
      </c>
      <c r="J1478" s="129" t="s">
        <v>2375</v>
      </c>
      <c r="K1478" s="122" t="s">
        <v>2376</v>
      </c>
      <c r="L1478" s="122" t="s">
        <v>209</v>
      </c>
      <c r="M1478" s="133" t="s">
        <v>2356</v>
      </c>
      <c r="N1478" s="122" t="s">
        <v>30</v>
      </c>
    </row>
    <row r="1479" spans="2:14" s="9" customFormat="1" hidden="1" x14ac:dyDescent="0.25">
      <c r="B1479" s="120">
        <v>1476</v>
      </c>
      <c r="C1479" s="122">
        <v>20417378911</v>
      </c>
      <c r="D1479" s="125" t="s">
        <v>450</v>
      </c>
      <c r="E1479" s="125" t="s">
        <v>2352</v>
      </c>
      <c r="F1479" s="122" t="s">
        <v>30</v>
      </c>
      <c r="G1479" s="122" t="s">
        <v>30</v>
      </c>
      <c r="H1479" s="122" t="s">
        <v>37</v>
      </c>
      <c r="I1479" s="125" t="s">
        <v>2353</v>
      </c>
      <c r="J1479" s="129" t="s">
        <v>2373</v>
      </c>
      <c r="K1479" s="122" t="s">
        <v>2374</v>
      </c>
      <c r="L1479" s="122" t="s">
        <v>209</v>
      </c>
      <c r="M1479" s="133" t="s">
        <v>2356</v>
      </c>
      <c r="N1479" s="122" t="s">
        <v>30</v>
      </c>
    </row>
    <row r="1480" spans="2:14" s="9" customFormat="1" hidden="1" x14ac:dyDescent="0.25">
      <c r="B1480" s="120">
        <v>1477</v>
      </c>
      <c r="C1480" s="122">
        <v>20417378911</v>
      </c>
      <c r="D1480" s="125" t="s">
        <v>450</v>
      </c>
      <c r="E1480" s="125" t="s">
        <v>2352</v>
      </c>
      <c r="F1480" s="122" t="s">
        <v>30</v>
      </c>
      <c r="G1480" s="122" t="s">
        <v>30</v>
      </c>
      <c r="H1480" s="122" t="s">
        <v>37</v>
      </c>
      <c r="I1480" s="125" t="s">
        <v>2353</v>
      </c>
      <c r="J1480" s="129" t="s">
        <v>2371</v>
      </c>
      <c r="K1480" s="122" t="s">
        <v>2372</v>
      </c>
      <c r="L1480" s="122" t="s">
        <v>209</v>
      </c>
      <c r="M1480" s="133" t="s">
        <v>2356</v>
      </c>
      <c r="N1480" s="122" t="s">
        <v>30</v>
      </c>
    </row>
    <row r="1481" spans="2:14" s="9" customFormat="1" hidden="1" x14ac:dyDescent="0.25">
      <c r="B1481" s="120">
        <v>1478</v>
      </c>
      <c r="C1481" s="122">
        <v>20417378911</v>
      </c>
      <c r="D1481" s="125" t="s">
        <v>450</v>
      </c>
      <c r="E1481" s="125" t="s">
        <v>2352</v>
      </c>
      <c r="F1481" s="122" t="s">
        <v>30</v>
      </c>
      <c r="G1481" s="122" t="s">
        <v>30</v>
      </c>
      <c r="H1481" s="122" t="s">
        <v>37</v>
      </c>
      <c r="I1481" s="125" t="s">
        <v>2353</v>
      </c>
      <c r="J1481" s="129" t="s">
        <v>2369</v>
      </c>
      <c r="K1481" s="122" t="s">
        <v>2370</v>
      </c>
      <c r="L1481" s="122" t="s">
        <v>209</v>
      </c>
      <c r="M1481" s="133" t="s">
        <v>2356</v>
      </c>
      <c r="N1481" s="122" t="s">
        <v>30</v>
      </c>
    </row>
    <row r="1482" spans="2:14" s="9" customFormat="1" hidden="1" x14ac:dyDescent="0.25">
      <c r="B1482" s="120">
        <v>1479</v>
      </c>
      <c r="C1482" s="122">
        <v>20417378911</v>
      </c>
      <c r="D1482" s="125" t="s">
        <v>450</v>
      </c>
      <c r="E1482" s="125" t="s">
        <v>2352</v>
      </c>
      <c r="F1482" s="122" t="s">
        <v>30</v>
      </c>
      <c r="G1482" s="122" t="s">
        <v>30</v>
      </c>
      <c r="H1482" s="122" t="s">
        <v>37</v>
      </c>
      <c r="I1482" s="125" t="s">
        <v>2353</v>
      </c>
      <c r="J1482" s="129" t="s">
        <v>2365</v>
      </c>
      <c r="K1482" s="122" t="s">
        <v>2366</v>
      </c>
      <c r="L1482" s="122" t="s">
        <v>209</v>
      </c>
      <c r="M1482" s="133" t="s">
        <v>2356</v>
      </c>
      <c r="N1482" s="122" t="s">
        <v>30</v>
      </c>
    </row>
    <row r="1483" spans="2:14" s="9" customFormat="1" hidden="1" x14ac:dyDescent="0.25">
      <c r="B1483" s="120">
        <v>1480</v>
      </c>
      <c r="C1483" s="122">
        <v>20417378911</v>
      </c>
      <c r="D1483" s="125" t="s">
        <v>450</v>
      </c>
      <c r="E1483" s="125" t="s">
        <v>2352</v>
      </c>
      <c r="F1483" s="122" t="s">
        <v>30</v>
      </c>
      <c r="G1483" s="122" t="s">
        <v>30</v>
      </c>
      <c r="H1483" s="122" t="s">
        <v>37</v>
      </c>
      <c r="I1483" s="125" t="s">
        <v>2353</v>
      </c>
      <c r="J1483" s="129" t="s">
        <v>2363</v>
      </c>
      <c r="K1483" s="122" t="s">
        <v>2364</v>
      </c>
      <c r="L1483" s="122" t="s">
        <v>209</v>
      </c>
      <c r="M1483" s="133" t="s">
        <v>2356</v>
      </c>
      <c r="N1483" s="122" t="s">
        <v>30</v>
      </c>
    </row>
    <row r="1484" spans="2:14" s="9" customFormat="1" hidden="1" x14ac:dyDescent="0.25">
      <c r="B1484" s="120">
        <v>1481</v>
      </c>
      <c r="C1484" s="122">
        <v>20417378911</v>
      </c>
      <c r="D1484" s="125" t="s">
        <v>450</v>
      </c>
      <c r="E1484" s="125" t="s">
        <v>2352</v>
      </c>
      <c r="F1484" s="122" t="s">
        <v>30</v>
      </c>
      <c r="G1484" s="122" t="s">
        <v>30</v>
      </c>
      <c r="H1484" s="122" t="s">
        <v>37</v>
      </c>
      <c r="I1484" s="125" t="s">
        <v>2353</v>
      </c>
      <c r="J1484" s="129" t="s">
        <v>2361</v>
      </c>
      <c r="K1484" s="122" t="s">
        <v>2362</v>
      </c>
      <c r="L1484" s="122" t="s">
        <v>209</v>
      </c>
      <c r="M1484" s="133" t="s">
        <v>2356</v>
      </c>
      <c r="N1484" s="122" t="s">
        <v>30</v>
      </c>
    </row>
    <row r="1485" spans="2:14" s="9" customFormat="1" hidden="1" x14ac:dyDescent="0.25">
      <c r="B1485" s="120">
        <v>1482</v>
      </c>
      <c r="C1485" s="122">
        <v>20417378911</v>
      </c>
      <c r="D1485" s="125" t="s">
        <v>450</v>
      </c>
      <c r="E1485" s="125" t="s">
        <v>2352</v>
      </c>
      <c r="F1485" s="122" t="s">
        <v>30</v>
      </c>
      <c r="G1485" s="122" t="s">
        <v>30</v>
      </c>
      <c r="H1485" s="122" t="s">
        <v>37</v>
      </c>
      <c r="I1485" s="125" t="s">
        <v>2353</v>
      </c>
      <c r="J1485" s="129" t="s">
        <v>2359</v>
      </c>
      <c r="K1485" s="122" t="s">
        <v>2360</v>
      </c>
      <c r="L1485" s="122" t="s">
        <v>209</v>
      </c>
      <c r="M1485" s="133" t="s">
        <v>2356</v>
      </c>
      <c r="N1485" s="122" t="s">
        <v>30</v>
      </c>
    </row>
    <row r="1486" spans="2:14" s="9" customFormat="1" hidden="1" x14ac:dyDescent="0.25">
      <c r="B1486" s="120">
        <v>1483</v>
      </c>
      <c r="C1486" s="122">
        <v>20417378911</v>
      </c>
      <c r="D1486" s="125" t="s">
        <v>450</v>
      </c>
      <c r="E1486" s="125" t="s">
        <v>2352</v>
      </c>
      <c r="F1486" s="122" t="s">
        <v>30</v>
      </c>
      <c r="G1486" s="122" t="s">
        <v>30</v>
      </c>
      <c r="H1486" s="122" t="s">
        <v>37</v>
      </c>
      <c r="I1486" s="125" t="s">
        <v>2353</v>
      </c>
      <c r="J1486" s="129" t="s">
        <v>2357</v>
      </c>
      <c r="K1486" s="122" t="s">
        <v>2358</v>
      </c>
      <c r="L1486" s="122" t="s">
        <v>209</v>
      </c>
      <c r="M1486" s="133" t="s">
        <v>2356</v>
      </c>
      <c r="N1486" s="122" t="s">
        <v>30</v>
      </c>
    </row>
    <row r="1487" spans="2:14" s="9" customFormat="1" hidden="1" x14ac:dyDescent="0.25">
      <c r="B1487" s="120">
        <v>1484</v>
      </c>
      <c r="C1487" s="122">
        <v>20417378911</v>
      </c>
      <c r="D1487" s="125" t="s">
        <v>450</v>
      </c>
      <c r="E1487" s="125" t="s">
        <v>2352</v>
      </c>
      <c r="F1487" s="122" t="s">
        <v>30</v>
      </c>
      <c r="G1487" s="122" t="s">
        <v>30</v>
      </c>
      <c r="H1487" s="122" t="s">
        <v>37</v>
      </c>
      <c r="I1487" s="125" t="s">
        <v>2353</v>
      </c>
      <c r="J1487" s="129" t="s">
        <v>2354</v>
      </c>
      <c r="K1487" s="122" t="s">
        <v>2355</v>
      </c>
      <c r="L1487" s="122" t="s">
        <v>209</v>
      </c>
      <c r="M1487" s="133" t="s">
        <v>2356</v>
      </c>
      <c r="N1487" s="122" t="s">
        <v>30</v>
      </c>
    </row>
    <row r="1488" spans="2:14" s="9" customFormat="1" hidden="1" x14ac:dyDescent="0.25">
      <c r="B1488" s="120">
        <v>1485</v>
      </c>
      <c r="C1488" s="122">
        <v>20605676155</v>
      </c>
      <c r="D1488" s="125" t="s">
        <v>2349</v>
      </c>
      <c r="E1488" s="125" t="s">
        <v>2350</v>
      </c>
      <c r="F1488" s="122" t="s">
        <v>30</v>
      </c>
      <c r="G1488" s="122" t="s">
        <v>30</v>
      </c>
      <c r="H1488" s="122" t="s">
        <v>43</v>
      </c>
      <c r="I1488" s="125" t="s">
        <v>1447</v>
      </c>
      <c r="J1488" s="129" t="s">
        <v>8099</v>
      </c>
      <c r="K1488" s="122" t="s">
        <v>2351</v>
      </c>
      <c r="L1488" s="122" t="s">
        <v>731</v>
      </c>
      <c r="M1488" s="133" t="s">
        <v>845</v>
      </c>
      <c r="N1488" s="122" t="s">
        <v>845</v>
      </c>
    </row>
    <row r="1489" spans="2:14" s="9" customFormat="1" hidden="1" x14ac:dyDescent="0.25">
      <c r="B1489" s="120">
        <v>1486</v>
      </c>
      <c r="C1489" s="122">
        <v>20296217213</v>
      </c>
      <c r="D1489" s="125" t="s">
        <v>495</v>
      </c>
      <c r="E1489" s="125" t="s">
        <v>2345</v>
      </c>
      <c r="F1489" s="122" t="s">
        <v>30</v>
      </c>
      <c r="G1489" s="122" t="s">
        <v>30</v>
      </c>
      <c r="H1489" s="122" t="s">
        <v>43</v>
      </c>
      <c r="I1489" s="125" t="s">
        <v>1384</v>
      </c>
      <c r="J1489" s="129" t="s">
        <v>2346</v>
      </c>
      <c r="K1489" s="122" t="s">
        <v>2347</v>
      </c>
      <c r="L1489" s="122" t="s">
        <v>42</v>
      </c>
      <c r="M1489" s="133" t="s">
        <v>2348</v>
      </c>
      <c r="N1489" s="122" t="s">
        <v>30</v>
      </c>
    </row>
    <row r="1490" spans="2:14" s="9" customFormat="1" hidden="1" x14ac:dyDescent="0.25">
      <c r="B1490" s="120">
        <v>1487</v>
      </c>
      <c r="C1490" s="122">
        <v>20600705866</v>
      </c>
      <c r="D1490" s="125" t="s">
        <v>2341</v>
      </c>
      <c r="E1490" s="125" t="s">
        <v>2342</v>
      </c>
      <c r="F1490" s="122" t="s">
        <v>30</v>
      </c>
      <c r="G1490" s="122" t="s">
        <v>54</v>
      </c>
      <c r="H1490" s="122" t="s">
        <v>55</v>
      </c>
      <c r="I1490" s="125" t="s">
        <v>1464</v>
      </c>
      <c r="J1490" s="129" t="s">
        <v>8247</v>
      </c>
      <c r="K1490" s="122" t="s">
        <v>2343</v>
      </c>
      <c r="L1490" s="122" t="s">
        <v>731</v>
      </c>
      <c r="M1490" s="133" t="s">
        <v>2344</v>
      </c>
      <c r="N1490" s="122" t="s">
        <v>54</v>
      </c>
    </row>
    <row r="1491" spans="2:14" s="9" customFormat="1" hidden="1" x14ac:dyDescent="0.25">
      <c r="B1491" s="120">
        <v>1488</v>
      </c>
      <c r="C1491" s="122">
        <v>20100412447</v>
      </c>
      <c r="D1491" s="125" t="s">
        <v>467</v>
      </c>
      <c r="E1491" s="125" t="s">
        <v>2327</v>
      </c>
      <c r="F1491" s="122" t="s">
        <v>67</v>
      </c>
      <c r="G1491" s="122" t="s">
        <v>67</v>
      </c>
      <c r="H1491" s="122" t="s">
        <v>67</v>
      </c>
      <c r="I1491" s="125" t="s">
        <v>1985</v>
      </c>
      <c r="J1491" s="129" t="s">
        <v>2338</v>
      </c>
      <c r="K1491" s="122" t="s">
        <v>2339</v>
      </c>
      <c r="L1491" s="122" t="s">
        <v>2030</v>
      </c>
      <c r="M1491" s="133" t="s">
        <v>2330</v>
      </c>
      <c r="N1491" s="122" t="s">
        <v>67</v>
      </c>
    </row>
    <row r="1492" spans="2:14" s="9" customFormat="1" hidden="1" x14ac:dyDescent="0.25">
      <c r="B1492" s="120">
        <v>1489</v>
      </c>
      <c r="C1492" s="122">
        <v>20100412447</v>
      </c>
      <c r="D1492" s="125" t="s">
        <v>467</v>
      </c>
      <c r="E1492" s="125" t="s">
        <v>2327</v>
      </c>
      <c r="F1492" s="122" t="s">
        <v>67</v>
      </c>
      <c r="G1492" s="122" t="s">
        <v>67</v>
      </c>
      <c r="H1492" s="122" t="s">
        <v>67</v>
      </c>
      <c r="I1492" s="125" t="s">
        <v>1985</v>
      </c>
      <c r="J1492" s="129" t="s">
        <v>2335</v>
      </c>
      <c r="K1492" s="122" t="s">
        <v>2336</v>
      </c>
      <c r="L1492" s="122" t="s">
        <v>209</v>
      </c>
      <c r="M1492" s="133" t="s">
        <v>2330</v>
      </c>
      <c r="N1492" s="122" t="s">
        <v>67</v>
      </c>
    </row>
    <row r="1493" spans="2:14" s="9" customFormat="1" hidden="1" x14ac:dyDescent="0.25">
      <c r="B1493" s="120">
        <v>1490</v>
      </c>
      <c r="C1493" s="122">
        <v>20100412447</v>
      </c>
      <c r="D1493" s="125" t="s">
        <v>467</v>
      </c>
      <c r="E1493" s="125" t="s">
        <v>2327</v>
      </c>
      <c r="F1493" s="122" t="s">
        <v>67</v>
      </c>
      <c r="G1493" s="122" t="s">
        <v>67</v>
      </c>
      <c r="H1493" s="122" t="s">
        <v>67</v>
      </c>
      <c r="I1493" s="125" t="s">
        <v>1985</v>
      </c>
      <c r="J1493" s="129" t="s">
        <v>2337</v>
      </c>
      <c r="K1493" s="122" t="s">
        <v>8023</v>
      </c>
      <c r="L1493" s="122" t="s">
        <v>42</v>
      </c>
      <c r="M1493" s="133" t="s">
        <v>2330</v>
      </c>
      <c r="N1493" s="122" t="s">
        <v>67</v>
      </c>
    </row>
    <row r="1494" spans="2:14" s="9" customFormat="1" hidden="1" x14ac:dyDescent="0.25">
      <c r="B1494" s="120">
        <v>1491</v>
      </c>
      <c r="C1494" s="122">
        <v>20100412447</v>
      </c>
      <c r="D1494" s="125" t="s">
        <v>467</v>
      </c>
      <c r="E1494" s="125" t="s">
        <v>2327</v>
      </c>
      <c r="F1494" s="122" t="s">
        <v>67</v>
      </c>
      <c r="G1494" s="122" t="s">
        <v>67</v>
      </c>
      <c r="H1494" s="122" t="s">
        <v>67</v>
      </c>
      <c r="I1494" s="125" t="s">
        <v>1985</v>
      </c>
      <c r="J1494" s="129" t="s">
        <v>2333</v>
      </c>
      <c r="K1494" s="122" t="s">
        <v>2334</v>
      </c>
      <c r="L1494" s="122" t="s">
        <v>1558</v>
      </c>
      <c r="M1494" s="133" t="s">
        <v>2330</v>
      </c>
      <c r="N1494" s="122" t="s">
        <v>67</v>
      </c>
    </row>
    <row r="1495" spans="2:14" s="9" customFormat="1" hidden="1" x14ac:dyDescent="0.25">
      <c r="B1495" s="120">
        <v>1492</v>
      </c>
      <c r="C1495" s="122">
        <v>20100412447</v>
      </c>
      <c r="D1495" s="125" t="s">
        <v>467</v>
      </c>
      <c r="E1495" s="125" t="s">
        <v>2327</v>
      </c>
      <c r="F1495" s="122" t="s">
        <v>67</v>
      </c>
      <c r="G1495" s="122" t="s">
        <v>67</v>
      </c>
      <c r="H1495" s="122" t="s">
        <v>67</v>
      </c>
      <c r="I1495" s="125" t="s">
        <v>1985</v>
      </c>
      <c r="J1495" s="129" t="s">
        <v>2331</v>
      </c>
      <c r="K1495" s="122" t="s">
        <v>2332</v>
      </c>
      <c r="L1495" s="122" t="s">
        <v>1558</v>
      </c>
      <c r="M1495" s="133" t="s">
        <v>2330</v>
      </c>
      <c r="N1495" s="122" t="s">
        <v>67</v>
      </c>
    </row>
    <row r="1496" spans="2:14" s="9" customFormat="1" hidden="1" x14ac:dyDescent="0.25">
      <c r="B1496" s="120">
        <v>1493</v>
      </c>
      <c r="C1496" s="122">
        <v>20100412447</v>
      </c>
      <c r="D1496" s="125" t="s">
        <v>467</v>
      </c>
      <c r="E1496" s="125" t="s">
        <v>2327</v>
      </c>
      <c r="F1496" s="122" t="s">
        <v>67</v>
      </c>
      <c r="G1496" s="122" t="s">
        <v>67</v>
      </c>
      <c r="H1496" s="122" t="s">
        <v>67</v>
      </c>
      <c r="I1496" s="125" t="s">
        <v>1985</v>
      </c>
      <c r="J1496" s="129" t="s">
        <v>2328</v>
      </c>
      <c r="K1496" s="122" t="s">
        <v>2329</v>
      </c>
      <c r="L1496" s="122" t="s">
        <v>1558</v>
      </c>
      <c r="M1496" s="133" t="s">
        <v>2330</v>
      </c>
      <c r="N1496" s="122" t="s">
        <v>67</v>
      </c>
    </row>
    <row r="1497" spans="2:14" s="9" customFormat="1" hidden="1" x14ac:dyDescent="0.25">
      <c r="B1497" s="120">
        <v>1494</v>
      </c>
      <c r="C1497" s="122">
        <v>20603782187</v>
      </c>
      <c r="D1497" s="125" t="s">
        <v>2322</v>
      </c>
      <c r="E1497" s="125" t="s">
        <v>2323</v>
      </c>
      <c r="F1497" s="122" t="s">
        <v>30</v>
      </c>
      <c r="G1497" s="122" t="s">
        <v>30</v>
      </c>
      <c r="H1497" s="122" t="s">
        <v>88</v>
      </c>
      <c r="I1497" s="125" t="s">
        <v>1969</v>
      </c>
      <c r="J1497" s="129" t="s">
        <v>8260</v>
      </c>
      <c r="K1497" s="122" t="s">
        <v>2324</v>
      </c>
      <c r="L1497" s="122" t="s">
        <v>731</v>
      </c>
      <c r="M1497" s="133" t="s">
        <v>2325</v>
      </c>
      <c r="N1497" s="122" t="s">
        <v>2326</v>
      </c>
    </row>
    <row r="1498" spans="2:14" s="9" customFormat="1" hidden="1" x14ac:dyDescent="0.25">
      <c r="B1498" s="120">
        <v>1495</v>
      </c>
      <c r="C1498" s="122">
        <v>20607629201</v>
      </c>
      <c r="D1498" s="125" t="s">
        <v>2318</v>
      </c>
      <c r="E1498" s="125" t="s">
        <v>2319</v>
      </c>
      <c r="F1498" s="122" t="s">
        <v>30</v>
      </c>
      <c r="G1498" s="122" t="s">
        <v>30</v>
      </c>
      <c r="H1498" s="122" t="s">
        <v>68</v>
      </c>
      <c r="I1498" s="125" t="s">
        <v>1595</v>
      </c>
      <c r="J1498" s="129" t="s">
        <v>8304</v>
      </c>
      <c r="K1498" s="122" t="s">
        <v>2320</v>
      </c>
      <c r="L1498" s="122" t="s">
        <v>57</v>
      </c>
      <c r="M1498" s="133" t="s">
        <v>2321</v>
      </c>
      <c r="N1498" s="122" t="s">
        <v>30</v>
      </c>
    </row>
    <row r="1499" spans="2:14" s="9" customFormat="1" hidden="1" x14ac:dyDescent="0.25">
      <c r="B1499" s="120">
        <v>1496</v>
      </c>
      <c r="C1499" s="122">
        <v>20600918088</v>
      </c>
      <c r="D1499" s="125" t="s">
        <v>2315</v>
      </c>
      <c r="E1499" s="125" t="s">
        <v>2316</v>
      </c>
      <c r="F1499" s="122" t="s">
        <v>30</v>
      </c>
      <c r="G1499" s="122" t="s">
        <v>30</v>
      </c>
      <c r="H1499" s="122" t="s">
        <v>64</v>
      </c>
      <c r="I1499" s="125" t="s">
        <v>1424</v>
      </c>
      <c r="J1499" s="129" t="s">
        <v>8482</v>
      </c>
      <c r="K1499" s="122" t="s">
        <v>2317</v>
      </c>
      <c r="L1499" s="122" t="s">
        <v>731</v>
      </c>
      <c r="M1499" s="133" t="s">
        <v>845</v>
      </c>
      <c r="N1499" s="122" t="s">
        <v>845</v>
      </c>
    </row>
    <row r="1500" spans="2:14" s="9" customFormat="1" hidden="1" x14ac:dyDescent="0.25">
      <c r="B1500" s="120">
        <v>1497</v>
      </c>
      <c r="C1500" s="122">
        <v>20109346722</v>
      </c>
      <c r="D1500" s="125" t="s">
        <v>215</v>
      </c>
      <c r="E1500" s="125" t="s">
        <v>2298</v>
      </c>
      <c r="F1500" s="122" t="s">
        <v>30</v>
      </c>
      <c r="G1500" s="122" t="s">
        <v>30</v>
      </c>
      <c r="H1500" s="122" t="s">
        <v>52</v>
      </c>
      <c r="I1500" s="125" t="s">
        <v>2299</v>
      </c>
      <c r="J1500" s="129" t="s">
        <v>2313</v>
      </c>
      <c r="K1500" s="122" t="s">
        <v>2314</v>
      </c>
      <c r="L1500" s="122" t="s">
        <v>1558</v>
      </c>
      <c r="M1500" s="133" t="s">
        <v>2302</v>
      </c>
      <c r="N1500" s="122" t="s">
        <v>30</v>
      </c>
    </row>
    <row r="1501" spans="2:14" s="9" customFormat="1" hidden="1" x14ac:dyDescent="0.25">
      <c r="B1501" s="120">
        <v>1498</v>
      </c>
      <c r="C1501" s="122">
        <v>20109346722</v>
      </c>
      <c r="D1501" s="125" t="s">
        <v>215</v>
      </c>
      <c r="E1501" s="125" t="s">
        <v>2298</v>
      </c>
      <c r="F1501" s="122" t="s">
        <v>30</v>
      </c>
      <c r="G1501" s="122" t="s">
        <v>30</v>
      </c>
      <c r="H1501" s="122" t="s">
        <v>52</v>
      </c>
      <c r="I1501" s="125" t="s">
        <v>2299</v>
      </c>
      <c r="J1501" s="129" t="s">
        <v>2311</v>
      </c>
      <c r="K1501" s="122" t="s">
        <v>2312</v>
      </c>
      <c r="L1501" s="122" t="s">
        <v>1558</v>
      </c>
      <c r="M1501" s="133" t="s">
        <v>2302</v>
      </c>
      <c r="N1501" s="122" t="s">
        <v>30</v>
      </c>
    </row>
    <row r="1502" spans="2:14" s="9" customFormat="1" hidden="1" x14ac:dyDescent="0.25">
      <c r="B1502" s="120">
        <v>1499</v>
      </c>
      <c r="C1502" s="122">
        <v>20109346722</v>
      </c>
      <c r="D1502" s="125" t="s">
        <v>215</v>
      </c>
      <c r="E1502" s="125" t="s">
        <v>2298</v>
      </c>
      <c r="F1502" s="122" t="s">
        <v>30</v>
      </c>
      <c r="G1502" s="122" t="s">
        <v>30</v>
      </c>
      <c r="H1502" s="122" t="s">
        <v>52</v>
      </c>
      <c r="I1502" s="125" t="s">
        <v>2299</v>
      </c>
      <c r="J1502" s="129" t="s">
        <v>2309</v>
      </c>
      <c r="K1502" s="122" t="s">
        <v>2310</v>
      </c>
      <c r="L1502" s="122" t="s">
        <v>1558</v>
      </c>
      <c r="M1502" s="133" t="s">
        <v>2302</v>
      </c>
      <c r="N1502" s="122" t="s">
        <v>30</v>
      </c>
    </row>
    <row r="1503" spans="2:14" s="9" customFormat="1" hidden="1" x14ac:dyDescent="0.25">
      <c r="B1503" s="120">
        <v>1500</v>
      </c>
      <c r="C1503" s="122">
        <v>20109346722</v>
      </c>
      <c r="D1503" s="125" t="s">
        <v>215</v>
      </c>
      <c r="E1503" s="125" t="s">
        <v>2298</v>
      </c>
      <c r="F1503" s="122" t="s">
        <v>30</v>
      </c>
      <c r="G1503" s="122" t="s">
        <v>30</v>
      </c>
      <c r="H1503" s="122" t="s">
        <v>52</v>
      </c>
      <c r="I1503" s="125" t="s">
        <v>2299</v>
      </c>
      <c r="J1503" s="129" t="s">
        <v>2307</v>
      </c>
      <c r="K1503" s="122" t="s">
        <v>2308</v>
      </c>
      <c r="L1503" s="122" t="s">
        <v>1558</v>
      </c>
      <c r="M1503" s="133" t="s">
        <v>2302</v>
      </c>
      <c r="N1503" s="122" t="s">
        <v>30</v>
      </c>
    </row>
    <row r="1504" spans="2:14" s="9" customFormat="1" hidden="1" x14ac:dyDescent="0.25">
      <c r="B1504" s="120">
        <v>1501</v>
      </c>
      <c r="C1504" s="122">
        <v>20109346722</v>
      </c>
      <c r="D1504" s="125" t="s">
        <v>215</v>
      </c>
      <c r="E1504" s="125" t="s">
        <v>2298</v>
      </c>
      <c r="F1504" s="122" t="s">
        <v>30</v>
      </c>
      <c r="G1504" s="122" t="s">
        <v>30</v>
      </c>
      <c r="H1504" s="122" t="s">
        <v>52</v>
      </c>
      <c r="I1504" s="125" t="s">
        <v>2299</v>
      </c>
      <c r="J1504" s="129" t="s">
        <v>2305</v>
      </c>
      <c r="K1504" s="122" t="s">
        <v>2306</v>
      </c>
      <c r="L1504" s="122" t="s">
        <v>42</v>
      </c>
      <c r="M1504" s="133" t="s">
        <v>2302</v>
      </c>
      <c r="N1504" s="122" t="s">
        <v>30</v>
      </c>
    </row>
    <row r="1505" spans="2:14" s="9" customFormat="1" hidden="1" x14ac:dyDescent="0.25">
      <c r="B1505" s="120">
        <v>1502</v>
      </c>
      <c r="C1505" s="122">
        <v>20109346722</v>
      </c>
      <c r="D1505" s="125" t="s">
        <v>215</v>
      </c>
      <c r="E1505" s="125" t="s">
        <v>2298</v>
      </c>
      <c r="F1505" s="122" t="s">
        <v>30</v>
      </c>
      <c r="G1505" s="122" t="s">
        <v>30</v>
      </c>
      <c r="H1505" s="122" t="s">
        <v>52</v>
      </c>
      <c r="I1505" s="125" t="s">
        <v>2299</v>
      </c>
      <c r="J1505" s="129" t="s">
        <v>2303</v>
      </c>
      <c r="K1505" s="122" t="s">
        <v>2304</v>
      </c>
      <c r="L1505" s="122" t="s">
        <v>1558</v>
      </c>
      <c r="M1505" s="133" t="s">
        <v>2302</v>
      </c>
      <c r="N1505" s="122" t="s">
        <v>30</v>
      </c>
    </row>
    <row r="1506" spans="2:14" s="9" customFormat="1" hidden="1" x14ac:dyDescent="0.25">
      <c r="B1506" s="120">
        <v>1503</v>
      </c>
      <c r="C1506" s="122">
        <v>20109346722</v>
      </c>
      <c r="D1506" s="125" t="s">
        <v>215</v>
      </c>
      <c r="E1506" s="125" t="s">
        <v>2298</v>
      </c>
      <c r="F1506" s="122" t="s">
        <v>30</v>
      </c>
      <c r="G1506" s="122" t="s">
        <v>30</v>
      </c>
      <c r="H1506" s="122" t="s">
        <v>52</v>
      </c>
      <c r="I1506" s="125" t="s">
        <v>2299</v>
      </c>
      <c r="J1506" s="129" t="s">
        <v>2300</v>
      </c>
      <c r="K1506" s="122" t="s">
        <v>2301</v>
      </c>
      <c r="L1506" s="122" t="s">
        <v>1558</v>
      </c>
      <c r="M1506" s="133" t="s">
        <v>2302</v>
      </c>
      <c r="N1506" s="122" t="s">
        <v>30</v>
      </c>
    </row>
    <row r="1507" spans="2:14" s="9" customFormat="1" hidden="1" x14ac:dyDescent="0.25">
      <c r="B1507" s="120">
        <v>1504</v>
      </c>
      <c r="C1507" s="122">
        <v>20563594277</v>
      </c>
      <c r="D1507" s="125" t="s">
        <v>144</v>
      </c>
      <c r="E1507" s="125" t="s">
        <v>2293</v>
      </c>
      <c r="F1507" s="122" t="s">
        <v>67</v>
      </c>
      <c r="G1507" s="122" t="s">
        <v>67</v>
      </c>
      <c r="H1507" s="122" t="s">
        <v>67</v>
      </c>
      <c r="I1507" s="125" t="s">
        <v>2294</v>
      </c>
      <c r="J1507" s="129" t="s">
        <v>8489</v>
      </c>
      <c r="K1507" s="122" t="s">
        <v>2297</v>
      </c>
      <c r="L1507" s="122" t="s">
        <v>42</v>
      </c>
      <c r="M1507" s="133" t="s">
        <v>2296</v>
      </c>
      <c r="N1507" s="122" t="s">
        <v>67</v>
      </c>
    </row>
    <row r="1508" spans="2:14" s="9" customFormat="1" hidden="1" x14ac:dyDescent="0.25">
      <c r="B1508" s="120">
        <v>1505</v>
      </c>
      <c r="C1508" s="122">
        <v>20563594277</v>
      </c>
      <c r="D1508" s="125" t="s">
        <v>144</v>
      </c>
      <c r="E1508" s="125" t="s">
        <v>2293</v>
      </c>
      <c r="F1508" s="122" t="s">
        <v>67</v>
      </c>
      <c r="G1508" s="122" t="s">
        <v>67</v>
      </c>
      <c r="H1508" s="122" t="s">
        <v>67</v>
      </c>
      <c r="I1508" s="125" t="s">
        <v>2294</v>
      </c>
      <c r="J1508" s="129" t="s">
        <v>8488</v>
      </c>
      <c r="K1508" s="122" t="s">
        <v>2295</v>
      </c>
      <c r="L1508" s="122" t="s">
        <v>1558</v>
      </c>
      <c r="M1508" s="133" t="s">
        <v>2296</v>
      </c>
      <c r="N1508" s="122" t="s">
        <v>67</v>
      </c>
    </row>
    <row r="1509" spans="2:14" s="9" customFormat="1" hidden="1" x14ac:dyDescent="0.25">
      <c r="B1509" s="120">
        <v>1506</v>
      </c>
      <c r="C1509" s="122">
        <v>20514007714</v>
      </c>
      <c r="D1509" s="125" t="s">
        <v>2287</v>
      </c>
      <c r="E1509" s="125" t="s">
        <v>2288</v>
      </c>
      <c r="F1509" s="122" t="s">
        <v>30</v>
      </c>
      <c r="G1509" s="122" t="s">
        <v>30</v>
      </c>
      <c r="H1509" s="122" t="s">
        <v>75</v>
      </c>
      <c r="I1509" s="125" t="s">
        <v>2289</v>
      </c>
      <c r="J1509" s="129" t="s">
        <v>2290</v>
      </c>
      <c r="K1509" s="122" t="s">
        <v>2291</v>
      </c>
      <c r="L1509" s="122" t="s">
        <v>42</v>
      </c>
      <c r="M1509" s="133" t="s">
        <v>2292</v>
      </c>
      <c r="N1509" s="122" t="s">
        <v>30</v>
      </c>
    </row>
    <row r="1510" spans="2:14" s="9" customFormat="1" hidden="1" x14ac:dyDescent="0.25">
      <c r="B1510" s="120">
        <v>1507</v>
      </c>
      <c r="C1510" s="122">
        <v>20520664174</v>
      </c>
      <c r="D1510" s="125" t="s">
        <v>487</v>
      </c>
      <c r="E1510" s="125" t="s">
        <v>2284</v>
      </c>
      <c r="F1510" s="122" t="s">
        <v>30</v>
      </c>
      <c r="G1510" s="122" t="s">
        <v>30</v>
      </c>
      <c r="H1510" s="122" t="s">
        <v>72</v>
      </c>
      <c r="I1510" s="125" t="s">
        <v>1398</v>
      </c>
      <c r="J1510" s="129" t="s">
        <v>8533</v>
      </c>
      <c r="K1510" s="122" t="s">
        <v>2285</v>
      </c>
      <c r="L1510" s="122" t="s">
        <v>42</v>
      </c>
      <c r="M1510" s="133" t="s">
        <v>2286</v>
      </c>
      <c r="N1510" s="122" t="s">
        <v>30</v>
      </c>
    </row>
    <row r="1511" spans="2:14" s="9" customFormat="1" hidden="1" x14ac:dyDescent="0.25">
      <c r="B1511" s="120">
        <v>1508</v>
      </c>
      <c r="C1511" s="122">
        <v>20515778331</v>
      </c>
      <c r="D1511" s="125" t="s">
        <v>620</v>
      </c>
      <c r="E1511" s="125" t="s">
        <v>2281</v>
      </c>
      <c r="F1511" s="122" t="s">
        <v>30</v>
      </c>
      <c r="G1511" s="122" t="s">
        <v>30</v>
      </c>
      <c r="H1511" s="122" t="s">
        <v>50</v>
      </c>
      <c r="I1511" s="125" t="s">
        <v>1374</v>
      </c>
      <c r="J1511" s="129" t="s">
        <v>8628</v>
      </c>
      <c r="K1511" s="122" t="s">
        <v>2283</v>
      </c>
      <c r="L1511" s="122" t="s">
        <v>36</v>
      </c>
      <c r="M1511" s="133" t="s">
        <v>2282</v>
      </c>
      <c r="N1511" s="122" t="s">
        <v>30</v>
      </c>
    </row>
    <row r="1512" spans="2:14" s="9" customFormat="1" hidden="1" x14ac:dyDescent="0.25">
      <c r="B1512" s="120">
        <v>1509</v>
      </c>
      <c r="C1512" s="122">
        <v>20607922587</v>
      </c>
      <c r="D1512" s="125" t="s">
        <v>519</v>
      </c>
      <c r="E1512" s="125" t="s">
        <v>2278</v>
      </c>
      <c r="F1512" s="122" t="s">
        <v>30</v>
      </c>
      <c r="G1512" s="122" t="s">
        <v>30</v>
      </c>
      <c r="H1512" s="122" t="s">
        <v>75</v>
      </c>
      <c r="I1512" s="125" t="s">
        <v>1424</v>
      </c>
      <c r="J1512" s="129" t="s">
        <v>8629</v>
      </c>
      <c r="K1512" s="122" t="s">
        <v>2279</v>
      </c>
      <c r="L1512" s="122" t="s">
        <v>731</v>
      </c>
      <c r="M1512" s="133" t="s">
        <v>2280</v>
      </c>
      <c r="N1512" s="122" t="s">
        <v>30</v>
      </c>
    </row>
    <row r="1513" spans="2:14" s="9" customFormat="1" hidden="1" x14ac:dyDescent="0.25">
      <c r="B1513" s="120">
        <v>1510</v>
      </c>
      <c r="C1513" s="122">
        <v>20544560001</v>
      </c>
      <c r="D1513" s="125" t="s">
        <v>191</v>
      </c>
      <c r="E1513" s="125" t="s">
        <v>2275</v>
      </c>
      <c r="F1513" s="122" t="s">
        <v>30</v>
      </c>
      <c r="G1513" s="122" t="s">
        <v>30</v>
      </c>
      <c r="H1513" s="122" t="s">
        <v>58</v>
      </c>
      <c r="I1513" s="125" t="s">
        <v>1394</v>
      </c>
      <c r="J1513" s="129" t="s">
        <v>2276</v>
      </c>
      <c r="K1513" s="122" t="s">
        <v>2277</v>
      </c>
      <c r="L1513" s="122" t="s">
        <v>42</v>
      </c>
      <c r="M1513" s="133" t="s">
        <v>845</v>
      </c>
      <c r="N1513" s="122" t="s">
        <v>845</v>
      </c>
    </row>
    <row r="1514" spans="2:14" s="9" customFormat="1" hidden="1" x14ac:dyDescent="0.25">
      <c r="B1514" s="120">
        <v>1511</v>
      </c>
      <c r="C1514" s="122">
        <v>20512625577</v>
      </c>
      <c r="D1514" s="125" t="s">
        <v>2270</v>
      </c>
      <c r="E1514" s="125" t="s">
        <v>2271</v>
      </c>
      <c r="F1514" s="122" t="s">
        <v>30</v>
      </c>
      <c r="G1514" s="122" t="s">
        <v>30</v>
      </c>
      <c r="H1514" s="122" t="s">
        <v>30</v>
      </c>
      <c r="I1514" s="125" t="s">
        <v>1805</v>
      </c>
      <c r="J1514" s="129" t="s">
        <v>2272</v>
      </c>
      <c r="K1514" s="122" t="s">
        <v>2273</v>
      </c>
      <c r="L1514" s="122" t="s">
        <v>36</v>
      </c>
      <c r="M1514" s="133" t="s">
        <v>2274</v>
      </c>
      <c r="N1514" s="122" t="s">
        <v>30</v>
      </c>
    </row>
    <row r="1515" spans="2:14" s="9" customFormat="1" hidden="1" x14ac:dyDescent="0.25">
      <c r="B1515" s="120">
        <v>1512</v>
      </c>
      <c r="C1515" s="122">
        <v>20519446741</v>
      </c>
      <c r="D1515" s="125" t="s">
        <v>2266</v>
      </c>
      <c r="E1515" s="125" t="s">
        <v>1109</v>
      </c>
      <c r="F1515" s="122" t="s">
        <v>30</v>
      </c>
      <c r="G1515" s="122" t="s">
        <v>30</v>
      </c>
      <c r="H1515" s="122" t="s">
        <v>43</v>
      </c>
      <c r="I1515" s="125" t="s">
        <v>1374</v>
      </c>
      <c r="J1515" s="129" t="s">
        <v>2267</v>
      </c>
      <c r="K1515" s="122" t="s">
        <v>2268</v>
      </c>
      <c r="L1515" s="122" t="s">
        <v>36</v>
      </c>
      <c r="M1515" s="133" t="s">
        <v>2269</v>
      </c>
      <c r="N1515" s="122" t="s">
        <v>30</v>
      </c>
    </row>
    <row r="1516" spans="2:14" s="9" customFormat="1" hidden="1" x14ac:dyDescent="0.25">
      <c r="B1516" s="120">
        <v>1513</v>
      </c>
      <c r="C1516" s="122">
        <v>20291327126</v>
      </c>
      <c r="D1516" s="125" t="s">
        <v>701</v>
      </c>
      <c r="E1516" s="125" t="s">
        <v>2262</v>
      </c>
      <c r="F1516" s="122" t="s">
        <v>67</v>
      </c>
      <c r="G1516" s="122" t="s">
        <v>67</v>
      </c>
      <c r="H1516" s="122" t="s">
        <v>67</v>
      </c>
      <c r="I1516" s="125" t="s">
        <v>1398</v>
      </c>
      <c r="J1516" s="129" t="s">
        <v>2263</v>
      </c>
      <c r="K1516" s="122" t="s">
        <v>2264</v>
      </c>
      <c r="L1516" s="122" t="s">
        <v>2256</v>
      </c>
      <c r="M1516" s="133" t="s">
        <v>2265</v>
      </c>
      <c r="N1516" s="122" t="s">
        <v>30</v>
      </c>
    </row>
    <row r="1517" spans="2:14" s="9" customFormat="1" hidden="1" x14ac:dyDescent="0.25">
      <c r="B1517" s="120">
        <v>1514</v>
      </c>
      <c r="C1517" s="122">
        <v>20550253632</v>
      </c>
      <c r="D1517" s="125" t="s">
        <v>256</v>
      </c>
      <c r="E1517" s="125" t="s">
        <v>2258</v>
      </c>
      <c r="F1517" s="122" t="s">
        <v>30</v>
      </c>
      <c r="G1517" s="122" t="s">
        <v>30</v>
      </c>
      <c r="H1517" s="122" t="s">
        <v>30</v>
      </c>
      <c r="I1517" s="125" t="s">
        <v>1561</v>
      </c>
      <c r="J1517" s="129" t="s">
        <v>2259</v>
      </c>
      <c r="K1517" s="122" t="s">
        <v>2260</v>
      </c>
      <c r="L1517" s="122" t="s">
        <v>731</v>
      </c>
      <c r="M1517" s="133" t="s">
        <v>2261</v>
      </c>
      <c r="N1517" s="122" t="s">
        <v>30</v>
      </c>
    </row>
    <row r="1518" spans="2:14" s="9" customFormat="1" hidden="1" x14ac:dyDescent="0.25">
      <c r="B1518" s="120">
        <v>1515</v>
      </c>
      <c r="C1518" s="122">
        <v>20503929377</v>
      </c>
      <c r="D1518" s="125" t="s">
        <v>2254</v>
      </c>
      <c r="E1518" s="125" t="s">
        <v>1134</v>
      </c>
      <c r="F1518" s="122" t="s">
        <v>30</v>
      </c>
      <c r="G1518" s="122" t="s">
        <v>30</v>
      </c>
      <c r="H1518" s="122" t="s">
        <v>50</v>
      </c>
      <c r="I1518" s="125" t="s">
        <v>1706</v>
      </c>
      <c r="J1518" s="129" t="s">
        <v>8637</v>
      </c>
      <c r="K1518" s="122" t="s">
        <v>2255</v>
      </c>
      <c r="L1518" s="122" t="s">
        <v>2256</v>
      </c>
      <c r="M1518" s="133" t="s">
        <v>2257</v>
      </c>
      <c r="N1518" s="122" t="s">
        <v>30</v>
      </c>
    </row>
    <row r="1519" spans="2:14" s="9" customFormat="1" hidden="1" x14ac:dyDescent="0.25">
      <c r="B1519" s="120">
        <v>1516</v>
      </c>
      <c r="C1519" s="122">
        <v>20553903719</v>
      </c>
      <c r="D1519" s="125" t="s">
        <v>529</v>
      </c>
      <c r="E1519" s="125" t="s">
        <v>2250</v>
      </c>
      <c r="F1519" s="122" t="s">
        <v>30</v>
      </c>
      <c r="G1519" s="122" t="s">
        <v>30</v>
      </c>
      <c r="H1519" s="122" t="s">
        <v>50</v>
      </c>
      <c r="I1519" s="125" t="s">
        <v>1809</v>
      </c>
      <c r="J1519" s="129" t="s">
        <v>2251</v>
      </c>
      <c r="K1519" s="122" t="s">
        <v>2252</v>
      </c>
      <c r="L1519" s="122" t="s">
        <v>731</v>
      </c>
      <c r="M1519" s="133" t="s">
        <v>2253</v>
      </c>
      <c r="N1519" s="122" t="s">
        <v>30</v>
      </c>
    </row>
    <row r="1520" spans="2:14" s="9" customFormat="1" hidden="1" x14ac:dyDescent="0.25">
      <c r="B1520" s="120">
        <v>1517</v>
      </c>
      <c r="C1520" s="122">
        <v>20538294145</v>
      </c>
      <c r="D1520" s="125" t="s">
        <v>1121</v>
      </c>
      <c r="E1520" s="125" t="s">
        <v>2246</v>
      </c>
      <c r="F1520" s="122" t="s">
        <v>30</v>
      </c>
      <c r="G1520" s="122" t="s">
        <v>30</v>
      </c>
      <c r="H1520" s="122" t="s">
        <v>50</v>
      </c>
      <c r="I1520" s="125" t="s">
        <v>1980</v>
      </c>
      <c r="J1520" s="129" t="s">
        <v>2247</v>
      </c>
      <c r="K1520" s="122" t="s">
        <v>2248</v>
      </c>
      <c r="L1520" s="122" t="s">
        <v>1577</v>
      </c>
      <c r="M1520" s="133" t="s">
        <v>2249</v>
      </c>
      <c r="N1520" s="122" t="s">
        <v>30</v>
      </c>
    </row>
    <row r="1521" spans="2:14" s="9" customFormat="1" hidden="1" x14ac:dyDescent="0.25">
      <c r="B1521" s="120">
        <v>1518</v>
      </c>
      <c r="C1521" s="122">
        <v>20544270690</v>
      </c>
      <c r="D1521" s="125" t="s">
        <v>633</v>
      </c>
      <c r="E1521" s="125" t="s">
        <v>2242</v>
      </c>
      <c r="F1521" s="122" t="s">
        <v>30</v>
      </c>
      <c r="G1521" s="122" t="s">
        <v>30</v>
      </c>
      <c r="H1521" s="122" t="s">
        <v>45</v>
      </c>
      <c r="I1521" s="125" t="s">
        <v>1450</v>
      </c>
      <c r="J1521" s="129" t="s">
        <v>2243</v>
      </c>
      <c r="K1521" s="122" t="s">
        <v>2244</v>
      </c>
      <c r="L1521" s="122" t="s">
        <v>42</v>
      </c>
      <c r="M1521" s="133" t="s">
        <v>2245</v>
      </c>
      <c r="N1521" s="122" t="s">
        <v>30</v>
      </c>
    </row>
    <row r="1522" spans="2:14" s="9" customFormat="1" hidden="1" x14ac:dyDescent="0.25">
      <c r="B1522" s="120">
        <v>1519</v>
      </c>
      <c r="C1522" s="122">
        <v>20503701864</v>
      </c>
      <c r="D1522" s="125" t="s">
        <v>2237</v>
      </c>
      <c r="E1522" s="125" t="s">
        <v>2238</v>
      </c>
      <c r="F1522" s="122" t="s">
        <v>30</v>
      </c>
      <c r="G1522" s="122" t="s">
        <v>30</v>
      </c>
      <c r="H1522" s="122" t="s">
        <v>72</v>
      </c>
      <c r="I1522" s="125" t="s">
        <v>1398</v>
      </c>
      <c r="J1522" s="129" t="s">
        <v>2239</v>
      </c>
      <c r="K1522" s="122" t="s">
        <v>2240</v>
      </c>
      <c r="L1522" s="122" t="s">
        <v>731</v>
      </c>
      <c r="M1522" s="133" t="s">
        <v>2241</v>
      </c>
      <c r="N1522" s="122" t="s">
        <v>30</v>
      </c>
    </row>
    <row r="1523" spans="2:14" s="9" customFormat="1" hidden="1" x14ac:dyDescent="0.25">
      <c r="B1523" s="120">
        <v>1520</v>
      </c>
      <c r="C1523" s="122">
        <v>20505693907</v>
      </c>
      <c r="D1523" s="125" t="s">
        <v>551</v>
      </c>
      <c r="E1523" s="125" t="s">
        <v>2234</v>
      </c>
      <c r="F1523" s="122" t="s">
        <v>30</v>
      </c>
      <c r="G1523" s="122" t="s">
        <v>30</v>
      </c>
      <c r="H1523" s="122" t="s">
        <v>75</v>
      </c>
      <c r="I1523" s="125" t="s">
        <v>1395</v>
      </c>
      <c r="J1523" s="129" t="s">
        <v>2235</v>
      </c>
      <c r="K1523" s="122" t="s">
        <v>2236</v>
      </c>
      <c r="L1523" s="122" t="s">
        <v>1712</v>
      </c>
      <c r="M1523" s="133" t="s">
        <v>845</v>
      </c>
      <c r="N1523" s="122" t="s">
        <v>845</v>
      </c>
    </row>
    <row r="1524" spans="2:14" s="9" customFormat="1" hidden="1" x14ac:dyDescent="0.25">
      <c r="B1524" s="120">
        <v>1521</v>
      </c>
      <c r="C1524" s="122">
        <v>20600655141</v>
      </c>
      <c r="D1524" s="125" t="s">
        <v>2229</v>
      </c>
      <c r="E1524" s="125" t="s">
        <v>2230</v>
      </c>
      <c r="F1524" s="122" t="s">
        <v>30</v>
      </c>
      <c r="G1524" s="122" t="s">
        <v>30</v>
      </c>
      <c r="H1524" s="122" t="s">
        <v>50</v>
      </c>
      <c r="I1524" s="125" t="s">
        <v>1809</v>
      </c>
      <c r="J1524" s="129" t="s">
        <v>2231</v>
      </c>
      <c r="K1524" s="122" t="s">
        <v>2232</v>
      </c>
      <c r="L1524" s="122" t="s">
        <v>731</v>
      </c>
      <c r="M1524" s="133" t="s">
        <v>2233</v>
      </c>
      <c r="N1524" s="122" t="s">
        <v>30</v>
      </c>
    </row>
    <row r="1525" spans="2:14" s="9" customFormat="1" hidden="1" x14ac:dyDescent="0.25">
      <c r="B1525" s="120">
        <v>1522</v>
      </c>
      <c r="C1525" s="122">
        <v>20100057523</v>
      </c>
      <c r="D1525" s="125" t="s">
        <v>210</v>
      </c>
      <c r="E1525" s="125" t="s">
        <v>2220</v>
      </c>
      <c r="F1525" s="122" t="s">
        <v>30</v>
      </c>
      <c r="G1525" s="122" t="s">
        <v>30</v>
      </c>
      <c r="H1525" s="122" t="s">
        <v>51</v>
      </c>
      <c r="I1525" s="125" t="s">
        <v>1533</v>
      </c>
      <c r="J1525" s="129" t="s">
        <v>2227</v>
      </c>
      <c r="K1525" s="122" t="s">
        <v>2228</v>
      </c>
      <c r="L1525" s="122" t="s">
        <v>731</v>
      </c>
      <c r="M1525" s="133" t="s">
        <v>2223</v>
      </c>
      <c r="N1525" s="122" t="s">
        <v>30</v>
      </c>
    </row>
    <row r="1526" spans="2:14" s="9" customFormat="1" hidden="1" x14ac:dyDescent="0.25">
      <c r="B1526" s="120">
        <v>1523</v>
      </c>
      <c r="C1526" s="122">
        <v>20100057523</v>
      </c>
      <c r="D1526" s="125" t="s">
        <v>210</v>
      </c>
      <c r="E1526" s="125" t="s">
        <v>2220</v>
      </c>
      <c r="F1526" s="122" t="s">
        <v>30</v>
      </c>
      <c r="G1526" s="122" t="s">
        <v>30</v>
      </c>
      <c r="H1526" s="122" t="s">
        <v>51</v>
      </c>
      <c r="I1526" s="125" t="s">
        <v>1533</v>
      </c>
      <c r="J1526" s="129" t="s">
        <v>8022</v>
      </c>
      <c r="K1526" s="122" t="s">
        <v>2226</v>
      </c>
      <c r="L1526" s="122" t="s">
        <v>1558</v>
      </c>
      <c r="M1526" s="133" t="s">
        <v>2223</v>
      </c>
      <c r="N1526" s="122" t="s">
        <v>30</v>
      </c>
    </row>
    <row r="1527" spans="2:14" s="9" customFormat="1" hidden="1" x14ac:dyDescent="0.25">
      <c r="B1527" s="120">
        <v>1524</v>
      </c>
      <c r="C1527" s="122">
        <v>20100057523</v>
      </c>
      <c r="D1527" s="125" t="s">
        <v>210</v>
      </c>
      <c r="E1527" s="125" t="s">
        <v>2220</v>
      </c>
      <c r="F1527" s="122" t="s">
        <v>30</v>
      </c>
      <c r="G1527" s="122" t="s">
        <v>30</v>
      </c>
      <c r="H1527" s="122" t="s">
        <v>51</v>
      </c>
      <c r="I1527" s="125" t="s">
        <v>1533</v>
      </c>
      <c r="J1527" s="129" t="s">
        <v>2224</v>
      </c>
      <c r="K1527" s="122" t="s">
        <v>2225</v>
      </c>
      <c r="L1527" s="122" t="s">
        <v>1712</v>
      </c>
      <c r="M1527" s="133" t="s">
        <v>2223</v>
      </c>
      <c r="N1527" s="122" t="s">
        <v>30</v>
      </c>
    </row>
    <row r="1528" spans="2:14" s="9" customFormat="1" hidden="1" x14ac:dyDescent="0.25">
      <c r="B1528" s="120">
        <v>1525</v>
      </c>
      <c r="C1528" s="122">
        <v>20100057523</v>
      </c>
      <c r="D1528" s="125" t="s">
        <v>210</v>
      </c>
      <c r="E1528" s="125" t="s">
        <v>2220</v>
      </c>
      <c r="F1528" s="122" t="s">
        <v>30</v>
      </c>
      <c r="G1528" s="122" t="s">
        <v>30</v>
      </c>
      <c r="H1528" s="122" t="s">
        <v>51</v>
      </c>
      <c r="I1528" s="125" t="s">
        <v>1533</v>
      </c>
      <c r="J1528" s="129" t="s">
        <v>2221</v>
      </c>
      <c r="K1528" s="122" t="s">
        <v>2222</v>
      </c>
      <c r="L1528" s="122" t="s">
        <v>1558</v>
      </c>
      <c r="M1528" s="133" t="s">
        <v>2223</v>
      </c>
      <c r="N1528" s="122" t="s">
        <v>30</v>
      </c>
    </row>
    <row r="1529" spans="2:14" s="9" customFormat="1" hidden="1" x14ac:dyDescent="0.25">
      <c r="B1529" s="120">
        <v>1526</v>
      </c>
      <c r="C1529" s="122">
        <v>20517895041</v>
      </c>
      <c r="D1529" s="125" t="s">
        <v>246</v>
      </c>
      <c r="E1529" s="125" t="s">
        <v>2216</v>
      </c>
      <c r="F1529" s="122" t="s">
        <v>30</v>
      </c>
      <c r="G1529" s="122" t="s">
        <v>30</v>
      </c>
      <c r="H1529" s="122" t="s">
        <v>51</v>
      </c>
      <c r="I1529" s="125" t="s">
        <v>1377</v>
      </c>
      <c r="J1529" s="129" t="s">
        <v>2217</v>
      </c>
      <c r="K1529" s="122" t="s">
        <v>2218</v>
      </c>
      <c r="L1529" s="122" t="s">
        <v>731</v>
      </c>
      <c r="M1529" s="133" t="s">
        <v>845</v>
      </c>
      <c r="N1529" s="122" t="s">
        <v>845</v>
      </c>
    </row>
    <row r="1530" spans="2:14" s="9" customFormat="1" hidden="1" x14ac:dyDescent="0.25">
      <c r="B1530" s="120">
        <v>1527</v>
      </c>
      <c r="C1530" s="122">
        <v>20509862843</v>
      </c>
      <c r="D1530" s="125" t="s">
        <v>2194</v>
      </c>
      <c r="E1530" s="125" t="s">
        <v>2195</v>
      </c>
      <c r="F1530" s="122" t="s">
        <v>30</v>
      </c>
      <c r="G1530" s="122" t="s">
        <v>30</v>
      </c>
      <c r="H1530" s="122" t="s">
        <v>30</v>
      </c>
      <c r="I1530" s="125" t="s">
        <v>2196</v>
      </c>
      <c r="J1530" s="129" t="s">
        <v>8018</v>
      </c>
      <c r="K1530" s="122" t="s">
        <v>8019</v>
      </c>
      <c r="L1530" s="122" t="s">
        <v>42</v>
      </c>
      <c r="M1530" s="133" t="s">
        <v>2199</v>
      </c>
      <c r="N1530" s="122" t="s">
        <v>30</v>
      </c>
    </row>
    <row r="1531" spans="2:14" s="9" customFormat="1" hidden="1" x14ac:dyDescent="0.25">
      <c r="B1531" s="120">
        <v>1528</v>
      </c>
      <c r="C1531" s="122">
        <v>20509862843</v>
      </c>
      <c r="D1531" s="125" t="s">
        <v>2194</v>
      </c>
      <c r="E1531" s="125" t="s">
        <v>2195</v>
      </c>
      <c r="F1531" s="122" t="s">
        <v>30</v>
      </c>
      <c r="G1531" s="122" t="s">
        <v>30</v>
      </c>
      <c r="H1531" s="122" t="s">
        <v>30</v>
      </c>
      <c r="I1531" s="125" t="s">
        <v>2196</v>
      </c>
      <c r="J1531" s="129" t="s">
        <v>2214</v>
      </c>
      <c r="K1531" s="122" t="s">
        <v>2215</v>
      </c>
      <c r="L1531" s="122" t="s">
        <v>1558</v>
      </c>
      <c r="M1531" s="133" t="s">
        <v>2199</v>
      </c>
      <c r="N1531" s="122" t="s">
        <v>30</v>
      </c>
    </row>
    <row r="1532" spans="2:14" s="9" customFormat="1" hidden="1" x14ac:dyDescent="0.25">
      <c r="B1532" s="120">
        <v>1529</v>
      </c>
      <c r="C1532" s="122">
        <v>20509862843</v>
      </c>
      <c r="D1532" s="125" t="s">
        <v>2194</v>
      </c>
      <c r="E1532" s="125" t="s">
        <v>2195</v>
      </c>
      <c r="F1532" s="122" t="s">
        <v>30</v>
      </c>
      <c r="G1532" s="122" t="s">
        <v>30</v>
      </c>
      <c r="H1532" s="122" t="s">
        <v>30</v>
      </c>
      <c r="I1532" s="125" t="s">
        <v>2196</v>
      </c>
      <c r="J1532" s="129" t="s">
        <v>2212</v>
      </c>
      <c r="K1532" s="122" t="s">
        <v>2213</v>
      </c>
      <c r="L1532" s="122" t="s">
        <v>1558</v>
      </c>
      <c r="M1532" s="133" t="s">
        <v>2199</v>
      </c>
      <c r="N1532" s="122" t="s">
        <v>30</v>
      </c>
    </row>
    <row r="1533" spans="2:14" s="9" customFormat="1" hidden="1" x14ac:dyDescent="0.25">
      <c r="B1533" s="120">
        <v>1530</v>
      </c>
      <c r="C1533" s="122">
        <v>20509862843</v>
      </c>
      <c r="D1533" s="125" t="s">
        <v>2194</v>
      </c>
      <c r="E1533" s="125" t="s">
        <v>2195</v>
      </c>
      <c r="F1533" s="122" t="s">
        <v>30</v>
      </c>
      <c r="G1533" s="122" t="s">
        <v>30</v>
      </c>
      <c r="H1533" s="122" t="s">
        <v>30</v>
      </c>
      <c r="I1533" s="125" t="s">
        <v>2196</v>
      </c>
      <c r="J1533" s="129" t="s">
        <v>2210</v>
      </c>
      <c r="K1533" s="122" t="s">
        <v>2211</v>
      </c>
      <c r="L1533" s="122" t="s">
        <v>1558</v>
      </c>
      <c r="M1533" s="133" t="s">
        <v>2199</v>
      </c>
      <c r="N1533" s="122" t="s">
        <v>30</v>
      </c>
    </row>
    <row r="1534" spans="2:14" s="9" customFormat="1" hidden="1" x14ac:dyDescent="0.25">
      <c r="B1534" s="120">
        <v>1531</v>
      </c>
      <c r="C1534" s="122">
        <v>20509862843</v>
      </c>
      <c r="D1534" s="125" t="s">
        <v>2194</v>
      </c>
      <c r="E1534" s="125" t="s">
        <v>2195</v>
      </c>
      <c r="F1534" s="122" t="s">
        <v>30</v>
      </c>
      <c r="G1534" s="122" t="s">
        <v>30</v>
      </c>
      <c r="H1534" s="122" t="s">
        <v>30</v>
      </c>
      <c r="I1534" s="125" t="s">
        <v>2196</v>
      </c>
      <c r="J1534" s="129" t="s">
        <v>2208</v>
      </c>
      <c r="K1534" s="122" t="s">
        <v>2209</v>
      </c>
      <c r="L1534" s="122" t="s">
        <v>1558</v>
      </c>
      <c r="M1534" s="133" t="s">
        <v>2199</v>
      </c>
      <c r="N1534" s="122" t="s">
        <v>30</v>
      </c>
    </row>
    <row r="1535" spans="2:14" s="9" customFormat="1" hidden="1" x14ac:dyDescent="0.25">
      <c r="B1535" s="120">
        <v>1532</v>
      </c>
      <c r="C1535" s="122">
        <v>20509862843</v>
      </c>
      <c r="D1535" s="125" t="s">
        <v>2194</v>
      </c>
      <c r="E1535" s="125" t="s">
        <v>2195</v>
      </c>
      <c r="F1535" s="122" t="s">
        <v>30</v>
      </c>
      <c r="G1535" s="122" t="s">
        <v>30</v>
      </c>
      <c r="H1535" s="122" t="s">
        <v>30</v>
      </c>
      <c r="I1535" s="125" t="s">
        <v>2196</v>
      </c>
      <c r="J1535" s="129" t="s">
        <v>2206</v>
      </c>
      <c r="K1535" s="122" t="s">
        <v>2207</v>
      </c>
      <c r="L1535" s="122" t="s">
        <v>1558</v>
      </c>
      <c r="M1535" s="133" t="s">
        <v>2199</v>
      </c>
      <c r="N1535" s="122" t="s">
        <v>30</v>
      </c>
    </row>
    <row r="1536" spans="2:14" s="9" customFormat="1" hidden="1" x14ac:dyDescent="0.25">
      <c r="B1536" s="120">
        <v>1533</v>
      </c>
      <c r="C1536" s="122">
        <v>20509862843</v>
      </c>
      <c r="D1536" s="125" t="s">
        <v>2194</v>
      </c>
      <c r="E1536" s="125" t="s">
        <v>2195</v>
      </c>
      <c r="F1536" s="122" t="s">
        <v>30</v>
      </c>
      <c r="G1536" s="122" t="s">
        <v>30</v>
      </c>
      <c r="H1536" s="122" t="s">
        <v>30</v>
      </c>
      <c r="I1536" s="125" t="s">
        <v>2196</v>
      </c>
      <c r="J1536" s="129" t="s">
        <v>2204</v>
      </c>
      <c r="K1536" s="122" t="s">
        <v>2205</v>
      </c>
      <c r="L1536" s="122" t="s">
        <v>1558</v>
      </c>
      <c r="M1536" s="133" t="s">
        <v>2199</v>
      </c>
      <c r="N1536" s="122" t="s">
        <v>30</v>
      </c>
    </row>
    <row r="1537" spans="2:14" s="9" customFormat="1" hidden="1" x14ac:dyDescent="0.25">
      <c r="B1537" s="120">
        <v>1534</v>
      </c>
      <c r="C1537" s="122">
        <v>20509862843</v>
      </c>
      <c r="D1537" s="125" t="s">
        <v>2194</v>
      </c>
      <c r="E1537" s="125" t="s">
        <v>2195</v>
      </c>
      <c r="F1537" s="122" t="s">
        <v>30</v>
      </c>
      <c r="G1537" s="122" t="s">
        <v>30</v>
      </c>
      <c r="H1537" s="122" t="s">
        <v>30</v>
      </c>
      <c r="I1537" s="125" t="s">
        <v>2196</v>
      </c>
      <c r="J1537" s="129" t="s">
        <v>2202</v>
      </c>
      <c r="K1537" s="122" t="s">
        <v>2203</v>
      </c>
      <c r="L1537" s="122" t="s">
        <v>1558</v>
      </c>
      <c r="M1537" s="133" t="s">
        <v>2199</v>
      </c>
      <c r="N1537" s="122" t="s">
        <v>30</v>
      </c>
    </row>
    <row r="1538" spans="2:14" s="9" customFormat="1" hidden="1" x14ac:dyDescent="0.25">
      <c r="B1538" s="120">
        <v>1535</v>
      </c>
      <c r="C1538" s="122">
        <v>20509862843</v>
      </c>
      <c r="D1538" s="125" t="s">
        <v>2194</v>
      </c>
      <c r="E1538" s="125" t="s">
        <v>2195</v>
      </c>
      <c r="F1538" s="122" t="s">
        <v>30</v>
      </c>
      <c r="G1538" s="122" t="s">
        <v>30</v>
      </c>
      <c r="H1538" s="122" t="s">
        <v>30</v>
      </c>
      <c r="I1538" s="125" t="s">
        <v>2196</v>
      </c>
      <c r="J1538" s="129" t="s">
        <v>8020</v>
      </c>
      <c r="K1538" s="122" t="s">
        <v>8021</v>
      </c>
      <c r="L1538" s="122" t="s">
        <v>1558</v>
      </c>
      <c r="M1538" s="133" t="s">
        <v>2199</v>
      </c>
      <c r="N1538" s="122" t="s">
        <v>30</v>
      </c>
    </row>
    <row r="1539" spans="2:14" s="9" customFormat="1" hidden="1" x14ac:dyDescent="0.25">
      <c r="B1539" s="120">
        <v>1536</v>
      </c>
      <c r="C1539" s="122">
        <v>20509862843</v>
      </c>
      <c r="D1539" s="125" t="s">
        <v>2194</v>
      </c>
      <c r="E1539" s="125" t="s">
        <v>2195</v>
      </c>
      <c r="F1539" s="122" t="s">
        <v>30</v>
      </c>
      <c r="G1539" s="122" t="s">
        <v>30</v>
      </c>
      <c r="H1539" s="122" t="s">
        <v>30</v>
      </c>
      <c r="I1539" s="125" t="s">
        <v>2196</v>
      </c>
      <c r="J1539" s="129" t="s">
        <v>2200</v>
      </c>
      <c r="K1539" s="122" t="s">
        <v>2201</v>
      </c>
      <c r="L1539" s="122" t="s">
        <v>1558</v>
      </c>
      <c r="M1539" s="133" t="s">
        <v>2199</v>
      </c>
      <c r="N1539" s="122" t="s">
        <v>30</v>
      </c>
    </row>
    <row r="1540" spans="2:14" s="9" customFormat="1" hidden="1" x14ac:dyDescent="0.25">
      <c r="B1540" s="120">
        <v>1537</v>
      </c>
      <c r="C1540" s="122">
        <v>20509862843</v>
      </c>
      <c r="D1540" s="125" t="s">
        <v>2194</v>
      </c>
      <c r="E1540" s="125" t="s">
        <v>2195</v>
      </c>
      <c r="F1540" s="122" t="s">
        <v>30</v>
      </c>
      <c r="G1540" s="122" t="s">
        <v>30</v>
      </c>
      <c r="H1540" s="122" t="s">
        <v>30</v>
      </c>
      <c r="I1540" s="125" t="s">
        <v>2196</v>
      </c>
      <c r="J1540" s="129" t="s">
        <v>2197</v>
      </c>
      <c r="K1540" s="122" t="s">
        <v>2198</v>
      </c>
      <c r="L1540" s="122" t="s">
        <v>1558</v>
      </c>
      <c r="M1540" s="133" t="s">
        <v>2199</v>
      </c>
      <c r="N1540" s="122" t="s">
        <v>30</v>
      </c>
    </row>
    <row r="1541" spans="2:14" s="9" customFormat="1" hidden="1" x14ac:dyDescent="0.25">
      <c r="B1541" s="120">
        <v>1538</v>
      </c>
      <c r="C1541" s="122">
        <v>20516758865</v>
      </c>
      <c r="D1541" s="125" t="s">
        <v>584</v>
      </c>
      <c r="E1541" s="125" t="s">
        <v>2184</v>
      </c>
      <c r="F1541" s="122" t="s">
        <v>30</v>
      </c>
      <c r="G1541" s="122" t="s">
        <v>30</v>
      </c>
      <c r="H1541" s="122" t="s">
        <v>35</v>
      </c>
      <c r="I1541" s="125" t="s">
        <v>1960</v>
      </c>
      <c r="J1541" s="129" t="s">
        <v>2192</v>
      </c>
      <c r="K1541" s="122" t="s">
        <v>2193</v>
      </c>
      <c r="L1541" s="122" t="s">
        <v>209</v>
      </c>
      <c r="M1541" s="133" t="s">
        <v>2187</v>
      </c>
      <c r="N1541" s="122" t="s">
        <v>30</v>
      </c>
    </row>
    <row r="1542" spans="2:14" s="9" customFormat="1" hidden="1" x14ac:dyDescent="0.25">
      <c r="B1542" s="120">
        <v>1539</v>
      </c>
      <c r="C1542" s="122">
        <v>20516758865</v>
      </c>
      <c r="D1542" s="125" t="s">
        <v>584</v>
      </c>
      <c r="E1542" s="125" t="s">
        <v>2184</v>
      </c>
      <c r="F1542" s="122" t="s">
        <v>30</v>
      </c>
      <c r="G1542" s="122" t="s">
        <v>30</v>
      </c>
      <c r="H1542" s="122" t="s">
        <v>35</v>
      </c>
      <c r="I1542" s="125" t="s">
        <v>1960</v>
      </c>
      <c r="J1542" s="129" t="s">
        <v>2190</v>
      </c>
      <c r="K1542" s="122" t="s">
        <v>2191</v>
      </c>
      <c r="L1542" s="122" t="s">
        <v>731</v>
      </c>
      <c r="M1542" s="133" t="s">
        <v>2187</v>
      </c>
      <c r="N1542" s="122" t="s">
        <v>30</v>
      </c>
    </row>
    <row r="1543" spans="2:14" s="9" customFormat="1" hidden="1" x14ac:dyDescent="0.25">
      <c r="B1543" s="120">
        <v>1540</v>
      </c>
      <c r="C1543" s="122">
        <v>20516758865</v>
      </c>
      <c r="D1543" s="125" t="s">
        <v>584</v>
      </c>
      <c r="E1543" s="125" t="s">
        <v>2184</v>
      </c>
      <c r="F1543" s="122" t="s">
        <v>30</v>
      </c>
      <c r="G1543" s="122" t="s">
        <v>30</v>
      </c>
      <c r="H1543" s="122" t="s">
        <v>35</v>
      </c>
      <c r="I1543" s="125" t="s">
        <v>1960</v>
      </c>
      <c r="J1543" s="129" t="s">
        <v>2188</v>
      </c>
      <c r="K1543" s="122" t="s">
        <v>2189</v>
      </c>
      <c r="L1543" s="122" t="s">
        <v>1558</v>
      </c>
      <c r="M1543" s="133" t="s">
        <v>2187</v>
      </c>
      <c r="N1543" s="122" t="s">
        <v>30</v>
      </c>
    </row>
    <row r="1544" spans="2:14" s="9" customFormat="1" hidden="1" x14ac:dyDescent="0.25">
      <c r="B1544" s="120">
        <v>1541</v>
      </c>
      <c r="C1544" s="122">
        <v>20516758865</v>
      </c>
      <c r="D1544" s="125" t="s">
        <v>584</v>
      </c>
      <c r="E1544" s="125" t="s">
        <v>2184</v>
      </c>
      <c r="F1544" s="122" t="s">
        <v>30</v>
      </c>
      <c r="G1544" s="122" t="s">
        <v>30</v>
      </c>
      <c r="H1544" s="122" t="s">
        <v>35</v>
      </c>
      <c r="I1544" s="125" t="s">
        <v>1960</v>
      </c>
      <c r="J1544" s="129" t="s">
        <v>2185</v>
      </c>
      <c r="K1544" s="122" t="s">
        <v>2186</v>
      </c>
      <c r="L1544" s="122" t="s">
        <v>1712</v>
      </c>
      <c r="M1544" s="133" t="s">
        <v>2187</v>
      </c>
      <c r="N1544" s="122" t="s">
        <v>30</v>
      </c>
    </row>
    <row r="1545" spans="2:14" s="9" customFormat="1" hidden="1" x14ac:dyDescent="0.25">
      <c r="B1545" s="120">
        <v>1542</v>
      </c>
      <c r="C1545" s="122">
        <v>20605593993</v>
      </c>
      <c r="D1545" s="125" t="s">
        <v>321</v>
      </c>
      <c r="E1545" s="125" t="s">
        <v>2180</v>
      </c>
      <c r="F1545" s="122" t="s">
        <v>30</v>
      </c>
      <c r="G1545" s="122" t="s">
        <v>30</v>
      </c>
      <c r="H1545" s="122" t="s">
        <v>75</v>
      </c>
      <c r="I1545" s="125" t="s">
        <v>2181</v>
      </c>
      <c r="J1545" s="129" t="s">
        <v>8365</v>
      </c>
      <c r="K1545" s="122" t="s">
        <v>2182</v>
      </c>
      <c r="L1545" s="122" t="s">
        <v>57</v>
      </c>
      <c r="M1545" s="133" t="s">
        <v>2183</v>
      </c>
      <c r="N1545" s="122" t="s">
        <v>30</v>
      </c>
    </row>
    <row r="1546" spans="2:14" s="9" customFormat="1" hidden="1" x14ac:dyDescent="0.25">
      <c r="B1546" s="120">
        <v>1543</v>
      </c>
      <c r="C1546" s="122">
        <v>20548820848</v>
      </c>
      <c r="D1546" s="125" t="s">
        <v>472</v>
      </c>
      <c r="E1546" s="125" t="s">
        <v>1132</v>
      </c>
      <c r="F1546" s="122" t="s">
        <v>30</v>
      </c>
      <c r="G1546" s="122" t="s">
        <v>30</v>
      </c>
      <c r="H1546" s="122" t="s">
        <v>58</v>
      </c>
      <c r="I1546" s="125" t="s">
        <v>2174</v>
      </c>
      <c r="J1546" s="129" t="s">
        <v>8508</v>
      </c>
      <c r="K1546" s="122" t="s">
        <v>2179</v>
      </c>
      <c r="L1546" s="122" t="s">
        <v>1558</v>
      </c>
      <c r="M1546" s="133" t="s">
        <v>2177</v>
      </c>
      <c r="N1546" s="122" t="s">
        <v>30</v>
      </c>
    </row>
    <row r="1547" spans="2:14" s="9" customFormat="1" hidden="1" x14ac:dyDescent="0.25">
      <c r="B1547" s="120">
        <v>1544</v>
      </c>
      <c r="C1547" s="122">
        <v>20548820848</v>
      </c>
      <c r="D1547" s="125" t="s">
        <v>472</v>
      </c>
      <c r="E1547" s="125" t="s">
        <v>1132</v>
      </c>
      <c r="F1547" s="122" t="s">
        <v>30</v>
      </c>
      <c r="G1547" s="122" t="s">
        <v>30</v>
      </c>
      <c r="H1547" s="122" t="s">
        <v>58</v>
      </c>
      <c r="I1547" s="125" t="s">
        <v>2174</v>
      </c>
      <c r="J1547" s="129" t="s">
        <v>8507</v>
      </c>
      <c r="K1547" s="122" t="s">
        <v>2178</v>
      </c>
      <c r="L1547" s="122" t="s">
        <v>1546</v>
      </c>
      <c r="M1547" s="133" t="s">
        <v>2177</v>
      </c>
      <c r="N1547" s="122" t="s">
        <v>30</v>
      </c>
    </row>
    <row r="1548" spans="2:14" s="9" customFormat="1" hidden="1" x14ac:dyDescent="0.25">
      <c r="B1548" s="120">
        <v>1545</v>
      </c>
      <c r="C1548" s="122">
        <v>20548820848</v>
      </c>
      <c r="D1548" s="125" t="s">
        <v>472</v>
      </c>
      <c r="E1548" s="125" t="s">
        <v>1132</v>
      </c>
      <c r="F1548" s="122" t="s">
        <v>30</v>
      </c>
      <c r="G1548" s="122" t="s">
        <v>30</v>
      </c>
      <c r="H1548" s="122" t="s">
        <v>58</v>
      </c>
      <c r="I1548" s="125" t="s">
        <v>2174</v>
      </c>
      <c r="J1548" s="129" t="s">
        <v>2175</v>
      </c>
      <c r="K1548" s="122" t="s">
        <v>2176</v>
      </c>
      <c r="L1548" s="122" t="s">
        <v>731</v>
      </c>
      <c r="M1548" s="133" t="s">
        <v>2177</v>
      </c>
      <c r="N1548" s="122" t="s">
        <v>30</v>
      </c>
    </row>
    <row r="1549" spans="2:14" s="9" customFormat="1" hidden="1" x14ac:dyDescent="0.25">
      <c r="B1549" s="120">
        <v>1546</v>
      </c>
      <c r="C1549" s="122">
        <v>20607747505</v>
      </c>
      <c r="D1549" s="125" t="s">
        <v>303</v>
      </c>
      <c r="E1549" s="125" t="s">
        <v>2171</v>
      </c>
      <c r="F1549" s="122" t="s">
        <v>30</v>
      </c>
      <c r="G1549" s="122" t="s">
        <v>30</v>
      </c>
      <c r="H1549" s="122" t="s">
        <v>50</v>
      </c>
      <c r="I1549" s="125" t="s">
        <v>1574</v>
      </c>
      <c r="J1549" s="129" t="s">
        <v>8537</v>
      </c>
      <c r="K1549" s="122" t="s">
        <v>2172</v>
      </c>
      <c r="L1549" s="122" t="s">
        <v>731</v>
      </c>
      <c r="M1549" s="133" t="s">
        <v>2173</v>
      </c>
      <c r="N1549" s="122" t="s">
        <v>30</v>
      </c>
    </row>
    <row r="1550" spans="2:14" s="9" customFormat="1" hidden="1" x14ac:dyDescent="0.25">
      <c r="B1550" s="120">
        <v>1547</v>
      </c>
      <c r="C1550" s="122">
        <v>20601779944</v>
      </c>
      <c r="D1550" s="125" t="s">
        <v>225</v>
      </c>
      <c r="E1550" s="125" t="s">
        <v>2167</v>
      </c>
      <c r="F1550" s="122" t="s">
        <v>30</v>
      </c>
      <c r="G1550" s="122" t="s">
        <v>30</v>
      </c>
      <c r="H1550" s="122" t="s">
        <v>35</v>
      </c>
      <c r="I1550" s="125" t="s">
        <v>1450</v>
      </c>
      <c r="J1550" s="129" t="s">
        <v>8631</v>
      </c>
      <c r="K1550" s="122" t="s">
        <v>2170</v>
      </c>
      <c r="L1550" s="122" t="s">
        <v>731</v>
      </c>
      <c r="M1550" s="133" t="s">
        <v>2169</v>
      </c>
      <c r="N1550" s="122" t="s">
        <v>30</v>
      </c>
    </row>
    <row r="1551" spans="2:14" s="9" customFormat="1" hidden="1" x14ac:dyDescent="0.25">
      <c r="B1551" s="120">
        <v>1548</v>
      </c>
      <c r="C1551" s="122">
        <v>20601779944</v>
      </c>
      <c r="D1551" s="125" t="s">
        <v>225</v>
      </c>
      <c r="E1551" s="125" t="s">
        <v>2167</v>
      </c>
      <c r="F1551" s="122" t="s">
        <v>30</v>
      </c>
      <c r="G1551" s="122" t="s">
        <v>30</v>
      </c>
      <c r="H1551" s="122" t="s">
        <v>35</v>
      </c>
      <c r="I1551" s="125" t="s">
        <v>1450</v>
      </c>
      <c r="J1551" s="129" t="s">
        <v>8630</v>
      </c>
      <c r="K1551" s="122" t="s">
        <v>2168</v>
      </c>
      <c r="L1551" s="122" t="s">
        <v>1558</v>
      </c>
      <c r="M1551" s="133" t="s">
        <v>2169</v>
      </c>
      <c r="N1551" s="122" t="s">
        <v>30</v>
      </c>
    </row>
    <row r="1552" spans="2:14" s="9" customFormat="1" hidden="1" x14ac:dyDescent="0.25">
      <c r="B1552" s="120">
        <v>1549</v>
      </c>
      <c r="C1552" s="122">
        <v>20607873411</v>
      </c>
      <c r="D1552" s="125" t="s">
        <v>2162</v>
      </c>
      <c r="E1552" s="125" t="s">
        <v>2163</v>
      </c>
      <c r="F1552" s="122" t="s">
        <v>30</v>
      </c>
      <c r="G1552" s="122" t="s">
        <v>30</v>
      </c>
      <c r="H1552" s="122" t="s">
        <v>110</v>
      </c>
      <c r="I1552" s="125" t="s">
        <v>1930</v>
      </c>
      <c r="J1552" s="129" t="s">
        <v>2164</v>
      </c>
      <c r="K1552" s="122" t="s">
        <v>2165</v>
      </c>
      <c r="L1552" s="122" t="s">
        <v>57</v>
      </c>
      <c r="M1552" s="133" t="s">
        <v>2166</v>
      </c>
      <c r="N1552" s="122" t="s">
        <v>30</v>
      </c>
    </row>
    <row r="1553" spans="2:14" s="9" customFormat="1" hidden="1" x14ac:dyDescent="0.25">
      <c r="B1553" s="120">
        <v>1550</v>
      </c>
      <c r="C1553" s="122">
        <v>20608065394</v>
      </c>
      <c r="D1553" s="125" t="s">
        <v>154</v>
      </c>
      <c r="E1553" s="125" t="s">
        <v>2154</v>
      </c>
      <c r="F1553" s="122" t="s">
        <v>30</v>
      </c>
      <c r="G1553" s="122" t="s">
        <v>30</v>
      </c>
      <c r="H1553" s="122" t="s">
        <v>2155</v>
      </c>
      <c r="I1553" s="125" t="s">
        <v>1424</v>
      </c>
      <c r="J1553" s="129" t="s">
        <v>2156</v>
      </c>
      <c r="K1553" s="122" t="s">
        <v>2157</v>
      </c>
      <c r="L1553" s="122" t="s">
        <v>36</v>
      </c>
      <c r="M1553" s="133" t="s">
        <v>845</v>
      </c>
      <c r="N1553" s="122" t="s">
        <v>845</v>
      </c>
    </row>
    <row r="1554" spans="2:14" s="9" customFormat="1" hidden="1" x14ac:dyDescent="0.25">
      <c r="B1554" s="120">
        <v>1551</v>
      </c>
      <c r="C1554" s="122">
        <v>20604993238</v>
      </c>
      <c r="D1554" s="125" t="s">
        <v>2149</v>
      </c>
      <c r="E1554" s="125" t="s">
        <v>2150</v>
      </c>
      <c r="F1554" s="122" t="s">
        <v>30</v>
      </c>
      <c r="G1554" s="122" t="s">
        <v>30</v>
      </c>
      <c r="H1554" s="122" t="s">
        <v>72</v>
      </c>
      <c r="I1554" s="125" t="s">
        <v>1441</v>
      </c>
      <c r="J1554" s="129" t="s">
        <v>2151</v>
      </c>
      <c r="K1554" s="122" t="s">
        <v>2152</v>
      </c>
      <c r="L1554" s="122" t="s">
        <v>731</v>
      </c>
      <c r="M1554" s="133" t="s">
        <v>2153</v>
      </c>
      <c r="N1554" s="122" t="s">
        <v>67</v>
      </c>
    </row>
    <row r="1555" spans="2:14" s="9" customFormat="1" hidden="1" x14ac:dyDescent="0.25">
      <c r="B1555" s="120">
        <v>1552</v>
      </c>
      <c r="C1555" s="122">
        <v>20446182901</v>
      </c>
      <c r="D1555" s="125" t="s">
        <v>570</v>
      </c>
      <c r="E1555" s="125" t="s">
        <v>1138</v>
      </c>
      <c r="F1555" s="122" t="s">
        <v>30</v>
      </c>
      <c r="G1555" s="122" t="s">
        <v>54</v>
      </c>
      <c r="H1555" s="122" t="s">
        <v>54</v>
      </c>
      <c r="I1555" s="125" t="s">
        <v>1945</v>
      </c>
      <c r="J1555" s="129" t="s">
        <v>2147</v>
      </c>
      <c r="K1555" s="122" t="s">
        <v>2148</v>
      </c>
      <c r="L1555" s="122" t="s">
        <v>57</v>
      </c>
      <c r="M1555" s="133" t="s">
        <v>2146</v>
      </c>
      <c r="N1555" s="122" t="s">
        <v>54</v>
      </c>
    </row>
    <row r="1556" spans="2:14" s="9" customFormat="1" hidden="1" x14ac:dyDescent="0.25">
      <c r="B1556" s="120">
        <v>1553</v>
      </c>
      <c r="C1556" s="122">
        <v>20446182901</v>
      </c>
      <c r="D1556" s="125" t="s">
        <v>570</v>
      </c>
      <c r="E1556" s="125" t="s">
        <v>1138</v>
      </c>
      <c r="F1556" s="122" t="s">
        <v>30</v>
      </c>
      <c r="G1556" s="122" t="s">
        <v>54</v>
      </c>
      <c r="H1556" s="122" t="s">
        <v>54</v>
      </c>
      <c r="I1556" s="125" t="s">
        <v>1945</v>
      </c>
      <c r="J1556" s="129" t="s">
        <v>2143</v>
      </c>
      <c r="K1556" s="122" t="s">
        <v>2144</v>
      </c>
      <c r="L1556" s="122" t="s">
        <v>2145</v>
      </c>
      <c r="M1556" s="133" t="s">
        <v>2146</v>
      </c>
      <c r="N1556" s="122" t="s">
        <v>54</v>
      </c>
    </row>
    <row r="1557" spans="2:14" s="9" customFormat="1" hidden="1" x14ac:dyDescent="0.25">
      <c r="B1557" s="120">
        <v>1554</v>
      </c>
      <c r="C1557" s="122">
        <v>20602373976</v>
      </c>
      <c r="D1557" s="125" t="s">
        <v>685</v>
      </c>
      <c r="E1557" s="125" t="s">
        <v>2158</v>
      </c>
      <c r="F1557" s="122" t="s">
        <v>30</v>
      </c>
      <c r="G1557" s="122" t="s">
        <v>30</v>
      </c>
      <c r="H1557" s="122" t="s">
        <v>75</v>
      </c>
      <c r="I1557" s="125" t="s">
        <v>1398</v>
      </c>
      <c r="J1557" s="129" t="s">
        <v>2159</v>
      </c>
      <c r="K1557" s="122" t="s">
        <v>2160</v>
      </c>
      <c r="L1557" s="122" t="s">
        <v>57</v>
      </c>
      <c r="M1557" s="133" t="s">
        <v>2161</v>
      </c>
      <c r="N1557" s="122" t="s">
        <v>30</v>
      </c>
    </row>
    <row r="1558" spans="2:14" s="9" customFormat="1" hidden="1" x14ac:dyDescent="0.25">
      <c r="B1558" s="120">
        <v>1555</v>
      </c>
      <c r="C1558" s="122">
        <v>20297986130</v>
      </c>
      <c r="D1558" s="125" t="s">
        <v>645</v>
      </c>
      <c r="E1558" s="125" t="s">
        <v>2122</v>
      </c>
      <c r="F1558" s="122" t="s">
        <v>30</v>
      </c>
      <c r="G1558" s="122" t="s">
        <v>30</v>
      </c>
      <c r="H1558" s="122" t="s">
        <v>43</v>
      </c>
      <c r="I1558" s="125" t="s">
        <v>2123</v>
      </c>
      <c r="J1558" s="129" t="s">
        <v>8016</v>
      </c>
      <c r="K1558" s="122" t="s">
        <v>2141</v>
      </c>
      <c r="L1558" s="122" t="s">
        <v>1558</v>
      </c>
      <c r="M1558" s="133" t="s">
        <v>2126</v>
      </c>
      <c r="N1558" s="122" t="s">
        <v>30</v>
      </c>
    </row>
    <row r="1559" spans="2:14" s="9" customFormat="1" hidden="1" x14ac:dyDescent="0.25">
      <c r="B1559" s="120">
        <v>1556</v>
      </c>
      <c r="C1559" s="122">
        <v>20297986130</v>
      </c>
      <c r="D1559" s="125" t="s">
        <v>645</v>
      </c>
      <c r="E1559" s="125" t="s">
        <v>2122</v>
      </c>
      <c r="F1559" s="122" t="s">
        <v>30</v>
      </c>
      <c r="G1559" s="122" t="s">
        <v>30</v>
      </c>
      <c r="H1559" s="122" t="s">
        <v>43</v>
      </c>
      <c r="I1559" s="125" t="s">
        <v>2123</v>
      </c>
      <c r="J1559" s="129" t="s">
        <v>2139</v>
      </c>
      <c r="K1559" s="122" t="s">
        <v>2140</v>
      </c>
      <c r="L1559" s="122" t="s">
        <v>1558</v>
      </c>
      <c r="M1559" s="133" t="s">
        <v>2126</v>
      </c>
      <c r="N1559" s="122" t="s">
        <v>30</v>
      </c>
    </row>
    <row r="1560" spans="2:14" s="9" customFormat="1" hidden="1" x14ac:dyDescent="0.25">
      <c r="B1560" s="120">
        <v>1557</v>
      </c>
      <c r="C1560" s="122">
        <v>20297986130</v>
      </c>
      <c r="D1560" s="125" t="s">
        <v>645</v>
      </c>
      <c r="E1560" s="125" t="s">
        <v>2122</v>
      </c>
      <c r="F1560" s="122" t="s">
        <v>30</v>
      </c>
      <c r="G1560" s="122" t="s">
        <v>30</v>
      </c>
      <c r="H1560" s="122" t="s">
        <v>43</v>
      </c>
      <c r="I1560" s="125" t="s">
        <v>2123</v>
      </c>
      <c r="J1560" s="129" t="s">
        <v>2137</v>
      </c>
      <c r="K1560" s="122" t="s">
        <v>2138</v>
      </c>
      <c r="L1560" s="122" t="s">
        <v>1558</v>
      </c>
      <c r="M1560" s="133" t="s">
        <v>2126</v>
      </c>
      <c r="N1560" s="122" t="s">
        <v>30</v>
      </c>
    </row>
    <row r="1561" spans="2:14" s="9" customFormat="1" hidden="1" x14ac:dyDescent="0.25">
      <c r="B1561" s="120">
        <v>1558</v>
      </c>
      <c r="C1561" s="122">
        <v>20297986130</v>
      </c>
      <c r="D1561" s="125" t="s">
        <v>645</v>
      </c>
      <c r="E1561" s="125" t="s">
        <v>2122</v>
      </c>
      <c r="F1561" s="122" t="s">
        <v>30</v>
      </c>
      <c r="G1561" s="122" t="s">
        <v>30</v>
      </c>
      <c r="H1561" s="122" t="s">
        <v>43</v>
      </c>
      <c r="I1561" s="125" t="s">
        <v>2123</v>
      </c>
      <c r="J1561" s="129" t="s">
        <v>2135</v>
      </c>
      <c r="K1561" s="122" t="s">
        <v>2136</v>
      </c>
      <c r="L1561" s="122" t="s">
        <v>1558</v>
      </c>
      <c r="M1561" s="133" t="s">
        <v>2126</v>
      </c>
      <c r="N1561" s="122" t="s">
        <v>30</v>
      </c>
    </row>
    <row r="1562" spans="2:14" s="9" customFormat="1" hidden="1" x14ac:dyDescent="0.25">
      <c r="B1562" s="120">
        <v>1559</v>
      </c>
      <c r="C1562" s="122">
        <v>20297986130</v>
      </c>
      <c r="D1562" s="125" t="s">
        <v>645</v>
      </c>
      <c r="E1562" s="125" t="s">
        <v>2122</v>
      </c>
      <c r="F1562" s="122" t="s">
        <v>30</v>
      </c>
      <c r="G1562" s="122" t="s">
        <v>30</v>
      </c>
      <c r="H1562" s="122" t="s">
        <v>43</v>
      </c>
      <c r="I1562" s="125" t="s">
        <v>2123</v>
      </c>
      <c r="J1562" s="129" t="s">
        <v>2142</v>
      </c>
      <c r="K1562" s="122" t="s">
        <v>8015</v>
      </c>
      <c r="L1562" s="122" t="s">
        <v>119</v>
      </c>
      <c r="M1562" s="133" t="s">
        <v>2126</v>
      </c>
      <c r="N1562" s="122" t="s">
        <v>30</v>
      </c>
    </row>
    <row r="1563" spans="2:14" s="9" customFormat="1" hidden="1" x14ac:dyDescent="0.25">
      <c r="B1563" s="120">
        <v>1560</v>
      </c>
      <c r="C1563" s="122">
        <v>20297986130</v>
      </c>
      <c r="D1563" s="125" t="s">
        <v>645</v>
      </c>
      <c r="E1563" s="125" t="s">
        <v>2122</v>
      </c>
      <c r="F1563" s="122" t="s">
        <v>30</v>
      </c>
      <c r="G1563" s="122" t="s">
        <v>30</v>
      </c>
      <c r="H1563" s="122" t="s">
        <v>43</v>
      </c>
      <c r="I1563" s="125" t="s">
        <v>2123</v>
      </c>
      <c r="J1563" s="129" t="s">
        <v>2133</v>
      </c>
      <c r="K1563" s="122" t="s">
        <v>2134</v>
      </c>
      <c r="L1563" s="122" t="s">
        <v>1558</v>
      </c>
      <c r="M1563" s="133" t="s">
        <v>2126</v>
      </c>
      <c r="N1563" s="122" t="s">
        <v>30</v>
      </c>
    </row>
    <row r="1564" spans="2:14" s="9" customFormat="1" hidden="1" x14ac:dyDescent="0.25">
      <c r="B1564" s="120">
        <v>1561</v>
      </c>
      <c r="C1564" s="122">
        <v>20297986130</v>
      </c>
      <c r="D1564" s="125" t="s">
        <v>645</v>
      </c>
      <c r="E1564" s="125" t="s">
        <v>2122</v>
      </c>
      <c r="F1564" s="122" t="s">
        <v>30</v>
      </c>
      <c r="G1564" s="122" t="s">
        <v>30</v>
      </c>
      <c r="H1564" s="122" t="s">
        <v>43</v>
      </c>
      <c r="I1564" s="125" t="s">
        <v>2123</v>
      </c>
      <c r="J1564" s="129" t="s">
        <v>2131</v>
      </c>
      <c r="K1564" s="122" t="s">
        <v>2132</v>
      </c>
      <c r="L1564" s="122" t="s">
        <v>1558</v>
      </c>
      <c r="M1564" s="133" t="s">
        <v>2126</v>
      </c>
      <c r="N1564" s="122" t="s">
        <v>30</v>
      </c>
    </row>
    <row r="1565" spans="2:14" s="9" customFormat="1" hidden="1" x14ac:dyDescent="0.25">
      <c r="B1565" s="120">
        <v>1562</v>
      </c>
      <c r="C1565" s="122">
        <v>20297986130</v>
      </c>
      <c r="D1565" s="125" t="s">
        <v>645</v>
      </c>
      <c r="E1565" s="125" t="s">
        <v>2122</v>
      </c>
      <c r="F1565" s="122" t="s">
        <v>30</v>
      </c>
      <c r="G1565" s="122" t="s">
        <v>30</v>
      </c>
      <c r="H1565" s="122" t="s">
        <v>43</v>
      </c>
      <c r="I1565" s="125" t="s">
        <v>2123</v>
      </c>
      <c r="J1565" s="129" t="s">
        <v>2129</v>
      </c>
      <c r="K1565" s="122" t="s">
        <v>2130</v>
      </c>
      <c r="L1565" s="122" t="s">
        <v>1558</v>
      </c>
      <c r="M1565" s="133" t="s">
        <v>2126</v>
      </c>
      <c r="N1565" s="122" t="s">
        <v>30</v>
      </c>
    </row>
    <row r="1566" spans="2:14" s="9" customFormat="1" hidden="1" x14ac:dyDescent="0.25">
      <c r="B1566" s="120">
        <v>1563</v>
      </c>
      <c r="C1566" s="123">
        <v>20297986130</v>
      </c>
      <c r="D1566" s="126" t="s">
        <v>645</v>
      </c>
      <c r="E1566" s="126" t="s">
        <v>2122</v>
      </c>
      <c r="F1566" s="123" t="s">
        <v>30</v>
      </c>
      <c r="G1566" s="123" t="s">
        <v>30</v>
      </c>
      <c r="H1566" s="123" t="s">
        <v>43</v>
      </c>
      <c r="I1566" s="126" t="s">
        <v>2123</v>
      </c>
      <c r="J1566" s="130" t="s">
        <v>2127</v>
      </c>
      <c r="K1566" s="123" t="s">
        <v>2128</v>
      </c>
      <c r="L1566" s="122" t="s">
        <v>1558</v>
      </c>
      <c r="M1566" s="134" t="s">
        <v>2126</v>
      </c>
      <c r="N1566" s="123" t="s">
        <v>30</v>
      </c>
    </row>
    <row r="1567" spans="2:14" s="9" customFormat="1" hidden="1" x14ac:dyDescent="0.25">
      <c r="B1567" s="120">
        <v>1564</v>
      </c>
      <c r="C1567" s="123">
        <v>20297986130</v>
      </c>
      <c r="D1567" s="126" t="s">
        <v>645</v>
      </c>
      <c r="E1567" s="126" t="s">
        <v>2122</v>
      </c>
      <c r="F1567" s="123" t="s">
        <v>30</v>
      </c>
      <c r="G1567" s="123" t="s">
        <v>30</v>
      </c>
      <c r="H1567" s="123" t="s">
        <v>43</v>
      </c>
      <c r="I1567" s="126" t="s">
        <v>2123</v>
      </c>
      <c r="J1567" s="130" t="s">
        <v>2124</v>
      </c>
      <c r="K1567" s="123" t="s">
        <v>2125</v>
      </c>
      <c r="L1567" s="131" t="s">
        <v>731</v>
      </c>
      <c r="M1567" s="134" t="s">
        <v>2126</v>
      </c>
      <c r="N1567" s="123" t="s">
        <v>30</v>
      </c>
    </row>
    <row r="1568" spans="2:14" s="9" customFormat="1" hidden="1" x14ac:dyDescent="0.25">
      <c r="B1568" s="120">
        <v>1565</v>
      </c>
      <c r="C1568" s="123">
        <v>20357259976</v>
      </c>
      <c r="D1568" s="126" t="s">
        <v>216</v>
      </c>
      <c r="E1568" s="126" t="s">
        <v>2111</v>
      </c>
      <c r="F1568" s="123" t="s">
        <v>30</v>
      </c>
      <c r="G1568" s="123" t="s">
        <v>1530</v>
      </c>
      <c r="H1568" s="123" t="s">
        <v>135</v>
      </c>
      <c r="I1568" s="126" t="s">
        <v>2112</v>
      </c>
      <c r="J1568" s="130" t="s">
        <v>2120</v>
      </c>
      <c r="K1568" s="123" t="s">
        <v>2121</v>
      </c>
      <c r="L1568" s="131" t="s">
        <v>1558</v>
      </c>
      <c r="M1568" s="134" t="s">
        <v>2115</v>
      </c>
      <c r="N1568" s="123" t="s">
        <v>30</v>
      </c>
    </row>
    <row r="1569" spans="2:14" s="9" customFormat="1" hidden="1" x14ac:dyDescent="0.25">
      <c r="B1569" s="120">
        <v>1566</v>
      </c>
      <c r="C1569" s="123">
        <v>20357259976</v>
      </c>
      <c r="D1569" s="126" t="s">
        <v>216</v>
      </c>
      <c r="E1569" s="126" t="s">
        <v>2111</v>
      </c>
      <c r="F1569" s="123" t="s">
        <v>30</v>
      </c>
      <c r="G1569" s="123" t="s">
        <v>1530</v>
      </c>
      <c r="H1569" s="123" t="s">
        <v>135</v>
      </c>
      <c r="I1569" s="126" t="s">
        <v>2112</v>
      </c>
      <c r="J1569" s="130" t="s">
        <v>2118</v>
      </c>
      <c r="K1569" s="123" t="s">
        <v>2119</v>
      </c>
      <c r="L1569" s="131" t="s">
        <v>1558</v>
      </c>
      <c r="M1569" s="134" t="s">
        <v>2115</v>
      </c>
      <c r="N1569" s="123" t="s">
        <v>30</v>
      </c>
    </row>
    <row r="1570" spans="2:14" s="9" customFormat="1" hidden="1" x14ac:dyDescent="0.25">
      <c r="B1570" s="120">
        <v>1567</v>
      </c>
      <c r="C1570" s="123">
        <v>20357259976</v>
      </c>
      <c r="D1570" s="126" t="s">
        <v>216</v>
      </c>
      <c r="E1570" s="126" t="s">
        <v>2111</v>
      </c>
      <c r="F1570" s="123" t="s">
        <v>30</v>
      </c>
      <c r="G1570" s="123" t="s">
        <v>1530</v>
      </c>
      <c r="H1570" s="123" t="s">
        <v>135</v>
      </c>
      <c r="I1570" s="126" t="s">
        <v>2112</v>
      </c>
      <c r="J1570" s="130" t="s">
        <v>2116</v>
      </c>
      <c r="K1570" s="123" t="s">
        <v>2117</v>
      </c>
      <c r="L1570" s="131" t="s">
        <v>1558</v>
      </c>
      <c r="M1570" s="134" t="s">
        <v>2115</v>
      </c>
      <c r="N1570" s="123" t="s">
        <v>30</v>
      </c>
    </row>
    <row r="1571" spans="2:14" hidden="1" x14ac:dyDescent="0.25">
      <c r="B1571" s="120">
        <v>1568</v>
      </c>
      <c r="C1571" s="123">
        <v>20357259976</v>
      </c>
      <c r="D1571" s="126" t="s">
        <v>216</v>
      </c>
      <c r="E1571" s="126" t="s">
        <v>2111</v>
      </c>
      <c r="F1571" s="123" t="s">
        <v>30</v>
      </c>
      <c r="G1571" s="123" t="s">
        <v>1530</v>
      </c>
      <c r="H1571" s="123" t="s">
        <v>135</v>
      </c>
      <c r="I1571" s="126" t="s">
        <v>2112</v>
      </c>
      <c r="J1571" s="130" t="s">
        <v>2113</v>
      </c>
      <c r="K1571" s="123" t="s">
        <v>2114</v>
      </c>
      <c r="L1571" s="131" t="s">
        <v>36</v>
      </c>
      <c r="M1571" s="134" t="s">
        <v>2115</v>
      </c>
      <c r="N1571" s="123" t="s">
        <v>30</v>
      </c>
    </row>
    <row r="1572" spans="2:14" hidden="1" x14ac:dyDescent="0.25">
      <c r="B1572" s="120">
        <v>1569</v>
      </c>
      <c r="C1572" s="123">
        <v>20517581705</v>
      </c>
      <c r="D1572" s="126" t="s">
        <v>2109</v>
      </c>
      <c r="E1572" s="126" t="s">
        <v>1531</v>
      </c>
      <c r="F1572" s="123" t="s">
        <v>30</v>
      </c>
      <c r="G1572" s="123" t="s">
        <v>30</v>
      </c>
      <c r="H1572" s="123" t="s">
        <v>30</v>
      </c>
      <c r="I1572" s="126" t="s">
        <v>1412</v>
      </c>
      <c r="J1572" s="130" t="s">
        <v>8270</v>
      </c>
      <c r="K1572" s="123" t="s">
        <v>8271</v>
      </c>
      <c r="L1572" s="131" t="s">
        <v>42</v>
      </c>
      <c r="M1572" s="134" t="s">
        <v>2110</v>
      </c>
      <c r="N1572" s="123" t="s">
        <v>30</v>
      </c>
    </row>
    <row r="1573" spans="2:14" hidden="1" x14ac:dyDescent="0.25">
      <c r="B1573" s="120">
        <v>1570</v>
      </c>
      <c r="C1573" s="123">
        <v>20602238319</v>
      </c>
      <c r="D1573" s="126" t="s">
        <v>557</v>
      </c>
      <c r="E1573" s="126" t="s">
        <v>2106</v>
      </c>
      <c r="F1573" s="123" t="s">
        <v>30</v>
      </c>
      <c r="G1573" s="123" t="s">
        <v>30</v>
      </c>
      <c r="H1573" s="123" t="s">
        <v>51</v>
      </c>
      <c r="I1573" s="126" t="s">
        <v>1952</v>
      </c>
      <c r="J1573" s="130" t="s">
        <v>8307</v>
      </c>
      <c r="K1573" s="123" t="s">
        <v>2107</v>
      </c>
      <c r="L1573" s="131" t="s">
        <v>42</v>
      </c>
      <c r="M1573" s="134" t="s">
        <v>2108</v>
      </c>
      <c r="N1573" s="123" t="s">
        <v>30</v>
      </c>
    </row>
    <row r="1574" spans="2:14" hidden="1" x14ac:dyDescent="0.25">
      <c r="B1574" s="120">
        <v>1571</v>
      </c>
      <c r="C1574" s="123">
        <v>20510973942</v>
      </c>
      <c r="D1574" s="126" t="s">
        <v>369</v>
      </c>
      <c r="E1574" s="126" t="s">
        <v>2103</v>
      </c>
      <c r="F1574" s="123" t="s">
        <v>30</v>
      </c>
      <c r="G1574" s="123" t="s">
        <v>30</v>
      </c>
      <c r="H1574" s="123" t="s">
        <v>45</v>
      </c>
      <c r="I1574" s="126" t="s">
        <v>1384</v>
      </c>
      <c r="J1574" s="130" t="s">
        <v>8529</v>
      </c>
      <c r="K1574" s="123" t="s">
        <v>2104</v>
      </c>
      <c r="L1574" s="131" t="s">
        <v>731</v>
      </c>
      <c r="M1574" s="134" t="s">
        <v>2105</v>
      </c>
      <c r="N1574" s="123" t="s">
        <v>30</v>
      </c>
    </row>
    <row r="1575" spans="2:14" hidden="1" x14ac:dyDescent="0.25">
      <c r="B1575" s="120">
        <v>1572</v>
      </c>
      <c r="C1575" s="123">
        <v>20254053822</v>
      </c>
      <c r="D1575" s="126" t="s">
        <v>415</v>
      </c>
      <c r="E1575" s="126" t="s">
        <v>2088</v>
      </c>
      <c r="F1575" s="123" t="s">
        <v>67</v>
      </c>
      <c r="G1575" s="123" t="s">
        <v>67</v>
      </c>
      <c r="H1575" s="123" t="s">
        <v>67</v>
      </c>
      <c r="I1575" s="126" t="s">
        <v>2089</v>
      </c>
      <c r="J1575" s="130" t="s">
        <v>2099</v>
      </c>
      <c r="K1575" s="123" t="s">
        <v>2100</v>
      </c>
      <c r="L1575" s="131" t="s">
        <v>209</v>
      </c>
      <c r="M1575" s="134" t="s">
        <v>2092</v>
      </c>
      <c r="N1575" s="123" t="s">
        <v>67</v>
      </c>
    </row>
    <row r="1576" spans="2:14" hidden="1" x14ac:dyDescent="0.25">
      <c r="B1576" s="120">
        <v>1573</v>
      </c>
      <c r="C1576" s="123">
        <v>20254053822</v>
      </c>
      <c r="D1576" s="126" t="s">
        <v>415</v>
      </c>
      <c r="E1576" s="126" t="s">
        <v>2088</v>
      </c>
      <c r="F1576" s="123" t="s">
        <v>67</v>
      </c>
      <c r="G1576" s="123" t="s">
        <v>67</v>
      </c>
      <c r="H1576" s="123" t="s">
        <v>67</v>
      </c>
      <c r="I1576" s="126" t="s">
        <v>2089</v>
      </c>
      <c r="J1576" s="130" t="s">
        <v>2101</v>
      </c>
      <c r="K1576" s="123" t="s">
        <v>2102</v>
      </c>
      <c r="L1576" s="131" t="s">
        <v>42</v>
      </c>
      <c r="M1576" s="134" t="s">
        <v>2092</v>
      </c>
      <c r="N1576" s="123" t="s">
        <v>67</v>
      </c>
    </row>
    <row r="1577" spans="2:14" hidden="1" x14ac:dyDescent="0.25">
      <c r="B1577" s="120">
        <v>1574</v>
      </c>
      <c r="C1577" s="123">
        <v>20254053822</v>
      </c>
      <c r="D1577" s="126" t="s">
        <v>415</v>
      </c>
      <c r="E1577" s="126" t="s">
        <v>2088</v>
      </c>
      <c r="F1577" s="123" t="s">
        <v>67</v>
      </c>
      <c r="G1577" s="123" t="s">
        <v>67</v>
      </c>
      <c r="H1577" s="123" t="s">
        <v>67</v>
      </c>
      <c r="I1577" s="126" t="s">
        <v>2089</v>
      </c>
      <c r="J1577" s="130" t="s">
        <v>2097</v>
      </c>
      <c r="K1577" s="123" t="s">
        <v>2098</v>
      </c>
      <c r="L1577" s="131" t="s">
        <v>1558</v>
      </c>
      <c r="M1577" s="134" t="s">
        <v>2092</v>
      </c>
      <c r="N1577" s="123" t="s">
        <v>67</v>
      </c>
    </row>
    <row r="1578" spans="2:14" hidden="1" x14ac:dyDescent="0.25">
      <c r="B1578" s="120">
        <v>1575</v>
      </c>
      <c r="C1578" s="123">
        <v>20254053822</v>
      </c>
      <c r="D1578" s="126" t="s">
        <v>415</v>
      </c>
      <c r="E1578" s="126" t="s">
        <v>2088</v>
      </c>
      <c r="F1578" s="123" t="s">
        <v>67</v>
      </c>
      <c r="G1578" s="123" t="s">
        <v>67</v>
      </c>
      <c r="H1578" s="123" t="s">
        <v>67</v>
      </c>
      <c r="I1578" s="126" t="s">
        <v>2089</v>
      </c>
      <c r="J1578" s="130" t="s">
        <v>2095</v>
      </c>
      <c r="K1578" s="123" t="s">
        <v>2096</v>
      </c>
      <c r="L1578" s="131" t="s">
        <v>1558</v>
      </c>
      <c r="M1578" s="134" t="s">
        <v>2092</v>
      </c>
      <c r="N1578" s="123" t="s">
        <v>67</v>
      </c>
    </row>
    <row r="1579" spans="2:14" hidden="1" x14ac:dyDescent="0.25">
      <c r="B1579" s="120">
        <v>1576</v>
      </c>
      <c r="C1579" s="123">
        <v>20254053822</v>
      </c>
      <c r="D1579" s="126" t="s">
        <v>415</v>
      </c>
      <c r="E1579" s="126" t="s">
        <v>2088</v>
      </c>
      <c r="F1579" s="123" t="s">
        <v>67</v>
      </c>
      <c r="G1579" s="123" t="s">
        <v>67</v>
      </c>
      <c r="H1579" s="123" t="s">
        <v>67</v>
      </c>
      <c r="I1579" s="126" t="s">
        <v>2089</v>
      </c>
      <c r="J1579" s="130" t="s">
        <v>2093</v>
      </c>
      <c r="K1579" s="123" t="s">
        <v>2094</v>
      </c>
      <c r="L1579" s="131" t="s">
        <v>1558</v>
      </c>
      <c r="M1579" s="134" t="s">
        <v>2092</v>
      </c>
      <c r="N1579" s="123" t="s">
        <v>67</v>
      </c>
    </row>
    <row r="1580" spans="2:14" hidden="1" x14ac:dyDescent="0.25">
      <c r="B1580" s="120">
        <v>1577</v>
      </c>
      <c r="C1580" s="123">
        <v>20254053822</v>
      </c>
      <c r="D1580" s="126" t="s">
        <v>415</v>
      </c>
      <c r="E1580" s="126" t="s">
        <v>2088</v>
      </c>
      <c r="F1580" s="123" t="s">
        <v>67</v>
      </c>
      <c r="G1580" s="123" t="s">
        <v>67</v>
      </c>
      <c r="H1580" s="123" t="s">
        <v>67</v>
      </c>
      <c r="I1580" s="126" t="s">
        <v>2089</v>
      </c>
      <c r="J1580" s="130" t="s">
        <v>2090</v>
      </c>
      <c r="K1580" s="123" t="s">
        <v>2091</v>
      </c>
      <c r="L1580" s="131" t="s">
        <v>1558</v>
      </c>
      <c r="M1580" s="134" t="s">
        <v>2092</v>
      </c>
      <c r="N1580" s="123" t="s">
        <v>67</v>
      </c>
    </row>
    <row r="1581" spans="2:14" hidden="1" x14ac:dyDescent="0.25">
      <c r="B1581" s="120">
        <v>1578</v>
      </c>
      <c r="C1581" s="123">
        <v>20514584789</v>
      </c>
      <c r="D1581" s="126" t="s">
        <v>2076</v>
      </c>
      <c r="E1581" s="126" t="s">
        <v>2077</v>
      </c>
      <c r="F1581" s="123" t="s">
        <v>30</v>
      </c>
      <c r="G1581" s="123" t="s">
        <v>30</v>
      </c>
      <c r="H1581" s="123" t="s">
        <v>30</v>
      </c>
      <c r="I1581" s="126" t="s">
        <v>2078</v>
      </c>
      <c r="J1581" s="130" t="s">
        <v>8301</v>
      </c>
      <c r="K1581" s="123" t="s">
        <v>2087</v>
      </c>
      <c r="L1581" s="131" t="s">
        <v>731</v>
      </c>
      <c r="M1581" s="134" t="s">
        <v>2081</v>
      </c>
      <c r="N1581" s="123" t="s">
        <v>30</v>
      </c>
    </row>
    <row r="1582" spans="2:14" hidden="1" x14ac:dyDescent="0.25">
      <c r="B1582" s="120">
        <v>1579</v>
      </c>
      <c r="C1582" s="123">
        <v>20514584789</v>
      </c>
      <c r="D1582" s="126" t="s">
        <v>2076</v>
      </c>
      <c r="E1582" s="126" t="s">
        <v>2077</v>
      </c>
      <c r="F1582" s="123" t="s">
        <v>30</v>
      </c>
      <c r="G1582" s="123" t="s">
        <v>30</v>
      </c>
      <c r="H1582" s="123" t="s">
        <v>30</v>
      </c>
      <c r="I1582" s="126" t="s">
        <v>2078</v>
      </c>
      <c r="J1582" s="130" t="s">
        <v>8300</v>
      </c>
      <c r="K1582" s="123" t="s">
        <v>2086</v>
      </c>
      <c r="L1582" s="131" t="s">
        <v>209</v>
      </c>
      <c r="M1582" s="134" t="s">
        <v>2081</v>
      </c>
      <c r="N1582" s="123" t="s">
        <v>30</v>
      </c>
    </row>
    <row r="1583" spans="2:14" hidden="1" x14ac:dyDescent="0.25">
      <c r="B1583" s="120">
        <v>1580</v>
      </c>
      <c r="C1583" s="123">
        <v>20514584789</v>
      </c>
      <c r="D1583" s="126" t="s">
        <v>2076</v>
      </c>
      <c r="E1583" s="126" t="s">
        <v>2077</v>
      </c>
      <c r="F1583" s="123" t="s">
        <v>30</v>
      </c>
      <c r="G1583" s="123" t="s">
        <v>30</v>
      </c>
      <c r="H1583" s="123" t="s">
        <v>30</v>
      </c>
      <c r="I1583" s="126" t="s">
        <v>2078</v>
      </c>
      <c r="J1583" s="130" t="s">
        <v>2084</v>
      </c>
      <c r="K1583" s="123" t="s">
        <v>2085</v>
      </c>
      <c r="L1583" s="131" t="s">
        <v>209</v>
      </c>
      <c r="M1583" s="134" t="s">
        <v>2081</v>
      </c>
      <c r="N1583" s="123" t="s">
        <v>30</v>
      </c>
    </row>
    <row r="1584" spans="2:14" hidden="1" x14ac:dyDescent="0.25">
      <c r="B1584" s="120">
        <v>1581</v>
      </c>
      <c r="C1584" s="123">
        <v>20514584789</v>
      </c>
      <c r="D1584" s="126" t="s">
        <v>2076</v>
      </c>
      <c r="E1584" s="126" t="s">
        <v>2077</v>
      </c>
      <c r="F1584" s="123" t="s">
        <v>30</v>
      </c>
      <c r="G1584" s="123" t="s">
        <v>30</v>
      </c>
      <c r="H1584" s="123" t="s">
        <v>30</v>
      </c>
      <c r="I1584" s="126" t="s">
        <v>2078</v>
      </c>
      <c r="J1584" s="130" t="s">
        <v>8298</v>
      </c>
      <c r="K1584" s="123" t="s">
        <v>8299</v>
      </c>
      <c r="L1584" s="131" t="s">
        <v>209</v>
      </c>
      <c r="M1584" s="134" t="s">
        <v>2081</v>
      </c>
      <c r="N1584" s="123" t="s">
        <v>30</v>
      </c>
    </row>
    <row r="1585" spans="2:14" hidden="1" x14ac:dyDescent="0.25">
      <c r="B1585" s="120">
        <v>1582</v>
      </c>
      <c r="C1585" s="123">
        <v>20514584789</v>
      </c>
      <c r="D1585" s="126" t="s">
        <v>2076</v>
      </c>
      <c r="E1585" s="126" t="s">
        <v>2077</v>
      </c>
      <c r="F1585" s="123" t="s">
        <v>30</v>
      </c>
      <c r="G1585" s="123" t="s">
        <v>30</v>
      </c>
      <c r="H1585" s="123" t="s">
        <v>30</v>
      </c>
      <c r="I1585" s="126" t="s">
        <v>2078</v>
      </c>
      <c r="J1585" s="130" t="s">
        <v>2082</v>
      </c>
      <c r="K1585" s="123" t="s">
        <v>2083</v>
      </c>
      <c r="L1585" s="131" t="s">
        <v>209</v>
      </c>
      <c r="M1585" s="134" t="s">
        <v>2081</v>
      </c>
      <c r="N1585" s="123" t="s">
        <v>30</v>
      </c>
    </row>
    <row r="1586" spans="2:14" hidden="1" x14ac:dyDescent="0.25">
      <c r="B1586" s="120">
        <v>1583</v>
      </c>
      <c r="C1586" s="123">
        <v>20514584789</v>
      </c>
      <c r="D1586" s="126" t="s">
        <v>2076</v>
      </c>
      <c r="E1586" s="126" t="s">
        <v>2077</v>
      </c>
      <c r="F1586" s="123" t="s">
        <v>30</v>
      </c>
      <c r="G1586" s="123" t="s">
        <v>30</v>
      </c>
      <c r="H1586" s="123" t="s">
        <v>30</v>
      </c>
      <c r="I1586" s="126" t="s">
        <v>2078</v>
      </c>
      <c r="J1586" s="130" t="s">
        <v>2079</v>
      </c>
      <c r="K1586" s="123" t="s">
        <v>2080</v>
      </c>
      <c r="L1586" s="131" t="s">
        <v>209</v>
      </c>
      <c r="M1586" s="134" t="s">
        <v>2081</v>
      </c>
      <c r="N1586" s="123" t="s">
        <v>30</v>
      </c>
    </row>
    <row r="1587" spans="2:14" hidden="1" x14ac:dyDescent="0.25">
      <c r="B1587" s="120">
        <v>1584</v>
      </c>
      <c r="C1587" s="123">
        <v>20155261570</v>
      </c>
      <c r="D1587" s="126" t="s">
        <v>218</v>
      </c>
      <c r="E1587" s="126" t="s">
        <v>2067</v>
      </c>
      <c r="F1587" s="123" t="s">
        <v>30</v>
      </c>
      <c r="G1587" s="123" t="s">
        <v>30</v>
      </c>
      <c r="H1587" s="123" t="s">
        <v>35</v>
      </c>
      <c r="I1587" s="126" t="s">
        <v>2068</v>
      </c>
      <c r="J1587" s="130" t="s">
        <v>8013</v>
      </c>
      <c r="K1587" s="123" t="s">
        <v>8014</v>
      </c>
      <c r="L1587" s="131" t="s">
        <v>1712</v>
      </c>
      <c r="M1587" s="134" t="s">
        <v>2071</v>
      </c>
      <c r="N1587" s="123" t="s">
        <v>30</v>
      </c>
    </row>
    <row r="1588" spans="2:14" hidden="1" x14ac:dyDescent="0.25">
      <c r="B1588" s="120">
        <v>1585</v>
      </c>
      <c r="C1588" s="123">
        <v>20155261570</v>
      </c>
      <c r="D1588" s="126" t="s">
        <v>218</v>
      </c>
      <c r="E1588" s="126" t="s">
        <v>2067</v>
      </c>
      <c r="F1588" s="123" t="s">
        <v>30</v>
      </c>
      <c r="G1588" s="123" t="s">
        <v>30</v>
      </c>
      <c r="H1588" s="123" t="s">
        <v>35</v>
      </c>
      <c r="I1588" s="126" t="s">
        <v>2068</v>
      </c>
      <c r="J1588" s="130" t="s">
        <v>2074</v>
      </c>
      <c r="K1588" s="123" t="s">
        <v>2075</v>
      </c>
      <c r="L1588" s="131" t="s">
        <v>36</v>
      </c>
      <c r="M1588" s="134" t="s">
        <v>2071</v>
      </c>
      <c r="N1588" s="123" t="s">
        <v>30</v>
      </c>
    </row>
    <row r="1589" spans="2:14" hidden="1" x14ac:dyDescent="0.25">
      <c r="B1589" s="120">
        <v>1586</v>
      </c>
      <c r="C1589" s="123">
        <v>20155261570</v>
      </c>
      <c r="D1589" s="126" t="s">
        <v>218</v>
      </c>
      <c r="E1589" s="126" t="s">
        <v>2067</v>
      </c>
      <c r="F1589" s="123" t="s">
        <v>30</v>
      </c>
      <c r="G1589" s="123" t="s">
        <v>30</v>
      </c>
      <c r="H1589" s="123" t="s">
        <v>35</v>
      </c>
      <c r="I1589" s="126" t="s">
        <v>2068</v>
      </c>
      <c r="J1589" s="130" t="s">
        <v>2072</v>
      </c>
      <c r="K1589" s="123" t="s">
        <v>2073</v>
      </c>
      <c r="L1589" s="131" t="s">
        <v>731</v>
      </c>
      <c r="M1589" s="134" t="s">
        <v>2071</v>
      </c>
      <c r="N1589" s="123" t="s">
        <v>30</v>
      </c>
    </row>
    <row r="1590" spans="2:14" hidden="1" x14ac:dyDescent="0.25">
      <c r="B1590" s="120">
        <v>1587</v>
      </c>
      <c r="C1590" s="123">
        <v>20155261570</v>
      </c>
      <c r="D1590" s="126" t="s">
        <v>218</v>
      </c>
      <c r="E1590" s="126" t="s">
        <v>2067</v>
      </c>
      <c r="F1590" s="123" t="s">
        <v>30</v>
      </c>
      <c r="G1590" s="123" t="s">
        <v>30</v>
      </c>
      <c r="H1590" s="123" t="s">
        <v>35</v>
      </c>
      <c r="I1590" s="126" t="s">
        <v>2068</v>
      </c>
      <c r="J1590" s="130" t="s">
        <v>2069</v>
      </c>
      <c r="K1590" s="123" t="s">
        <v>2070</v>
      </c>
      <c r="L1590" s="131" t="s">
        <v>1712</v>
      </c>
      <c r="M1590" s="134" t="s">
        <v>2071</v>
      </c>
      <c r="N1590" s="123" t="s">
        <v>30</v>
      </c>
    </row>
    <row r="1591" spans="2:14" hidden="1" x14ac:dyDescent="0.25">
      <c r="B1591" s="120">
        <v>1588</v>
      </c>
      <c r="C1591" s="123">
        <v>20100084172</v>
      </c>
      <c r="D1591" s="126" t="s">
        <v>2056</v>
      </c>
      <c r="E1591" s="126" t="s">
        <v>2057</v>
      </c>
      <c r="F1591" s="123" t="s">
        <v>30</v>
      </c>
      <c r="G1591" s="123" t="s">
        <v>30</v>
      </c>
      <c r="H1591" s="123" t="s">
        <v>41</v>
      </c>
      <c r="I1591" s="126" t="s">
        <v>1561</v>
      </c>
      <c r="J1591" s="130" t="s">
        <v>2065</v>
      </c>
      <c r="K1591" s="123" t="s">
        <v>2066</v>
      </c>
      <c r="L1591" s="131" t="s">
        <v>209</v>
      </c>
      <c r="M1591" s="134" t="s">
        <v>2060</v>
      </c>
      <c r="N1591" s="123" t="s">
        <v>30</v>
      </c>
    </row>
    <row r="1592" spans="2:14" hidden="1" x14ac:dyDescent="0.25">
      <c r="B1592" s="120">
        <v>1589</v>
      </c>
      <c r="C1592" s="123">
        <v>20100084172</v>
      </c>
      <c r="D1592" s="126" t="s">
        <v>2056</v>
      </c>
      <c r="E1592" s="126" t="s">
        <v>2057</v>
      </c>
      <c r="F1592" s="123" t="s">
        <v>30</v>
      </c>
      <c r="G1592" s="123" t="s">
        <v>30</v>
      </c>
      <c r="H1592" s="123" t="s">
        <v>41</v>
      </c>
      <c r="I1592" s="126" t="s">
        <v>1561</v>
      </c>
      <c r="J1592" s="130" t="s">
        <v>8011</v>
      </c>
      <c r="K1592" s="123" t="s">
        <v>8012</v>
      </c>
      <c r="L1592" s="131" t="s">
        <v>42</v>
      </c>
      <c r="M1592" s="134" t="s">
        <v>2060</v>
      </c>
      <c r="N1592" s="123" t="s">
        <v>30</v>
      </c>
    </row>
    <row r="1593" spans="2:14" hidden="1" x14ac:dyDescent="0.25">
      <c r="B1593" s="120">
        <v>1590</v>
      </c>
      <c r="C1593" s="123">
        <v>20100084172</v>
      </c>
      <c r="D1593" s="126" t="s">
        <v>2056</v>
      </c>
      <c r="E1593" s="126" t="s">
        <v>2057</v>
      </c>
      <c r="F1593" s="123" t="s">
        <v>30</v>
      </c>
      <c r="G1593" s="123" t="s">
        <v>30</v>
      </c>
      <c r="H1593" s="123" t="s">
        <v>41</v>
      </c>
      <c r="I1593" s="126" t="s">
        <v>1561</v>
      </c>
      <c r="J1593" s="130" t="s">
        <v>2063</v>
      </c>
      <c r="K1593" s="123" t="s">
        <v>2064</v>
      </c>
      <c r="L1593" s="131" t="s">
        <v>1558</v>
      </c>
      <c r="M1593" s="134" t="s">
        <v>2060</v>
      </c>
      <c r="N1593" s="123" t="s">
        <v>30</v>
      </c>
    </row>
    <row r="1594" spans="2:14" hidden="1" x14ac:dyDescent="0.25">
      <c r="B1594" s="120">
        <v>1591</v>
      </c>
      <c r="C1594" s="123">
        <v>20100084172</v>
      </c>
      <c r="D1594" s="126" t="s">
        <v>2056</v>
      </c>
      <c r="E1594" s="126" t="s">
        <v>2057</v>
      </c>
      <c r="F1594" s="123" t="s">
        <v>30</v>
      </c>
      <c r="G1594" s="123" t="s">
        <v>30</v>
      </c>
      <c r="H1594" s="123" t="s">
        <v>41</v>
      </c>
      <c r="I1594" s="126" t="s">
        <v>1561</v>
      </c>
      <c r="J1594" s="130" t="s">
        <v>2061</v>
      </c>
      <c r="K1594" s="123" t="s">
        <v>2062</v>
      </c>
      <c r="L1594" s="131" t="s">
        <v>1558</v>
      </c>
      <c r="M1594" s="134" t="s">
        <v>2060</v>
      </c>
      <c r="N1594" s="123" t="s">
        <v>30</v>
      </c>
    </row>
    <row r="1595" spans="2:14" hidden="1" x14ac:dyDescent="0.25">
      <c r="B1595" s="120">
        <v>1592</v>
      </c>
      <c r="C1595" s="123">
        <v>20100084172</v>
      </c>
      <c r="D1595" s="126" t="s">
        <v>2056</v>
      </c>
      <c r="E1595" s="126" t="s">
        <v>2057</v>
      </c>
      <c r="F1595" s="123" t="s">
        <v>30</v>
      </c>
      <c r="G1595" s="123" t="s">
        <v>30</v>
      </c>
      <c r="H1595" s="123" t="s">
        <v>41</v>
      </c>
      <c r="I1595" s="126" t="s">
        <v>1561</v>
      </c>
      <c r="J1595" s="130" t="s">
        <v>2058</v>
      </c>
      <c r="K1595" s="123" t="s">
        <v>2059</v>
      </c>
      <c r="L1595" s="131" t="s">
        <v>1558</v>
      </c>
      <c r="M1595" s="134" t="s">
        <v>2060</v>
      </c>
      <c r="N1595" s="123" t="s">
        <v>30</v>
      </c>
    </row>
    <row r="1596" spans="2:14" hidden="1" x14ac:dyDescent="0.25">
      <c r="B1596" s="120">
        <v>1593</v>
      </c>
      <c r="C1596" s="123">
        <v>20135948641</v>
      </c>
      <c r="D1596" s="126" t="s">
        <v>167</v>
      </c>
      <c r="E1596" s="126" t="s">
        <v>2031</v>
      </c>
      <c r="F1596" s="123" t="s">
        <v>30</v>
      </c>
      <c r="G1596" s="123" t="s">
        <v>168</v>
      </c>
      <c r="H1596" s="123" t="s">
        <v>169</v>
      </c>
      <c r="I1596" s="126" t="s">
        <v>2032</v>
      </c>
      <c r="J1596" s="130" t="s">
        <v>2054</v>
      </c>
      <c r="K1596" s="123" t="s">
        <v>2055</v>
      </c>
      <c r="L1596" s="131" t="s">
        <v>36</v>
      </c>
      <c r="M1596" s="134" t="s">
        <v>2035</v>
      </c>
      <c r="N1596" s="123" t="s">
        <v>168</v>
      </c>
    </row>
    <row r="1597" spans="2:14" hidden="1" x14ac:dyDescent="0.25">
      <c r="B1597" s="120">
        <v>1594</v>
      </c>
      <c r="C1597" s="123">
        <v>20135948641</v>
      </c>
      <c r="D1597" s="126" t="s">
        <v>167</v>
      </c>
      <c r="E1597" s="126" t="s">
        <v>2031</v>
      </c>
      <c r="F1597" s="123" t="s">
        <v>30</v>
      </c>
      <c r="G1597" s="123" t="s">
        <v>168</v>
      </c>
      <c r="H1597" s="123" t="s">
        <v>169</v>
      </c>
      <c r="I1597" s="126" t="s">
        <v>2032</v>
      </c>
      <c r="J1597" s="130" t="s">
        <v>2052</v>
      </c>
      <c r="K1597" s="123" t="s">
        <v>2053</v>
      </c>
      <c r="L1597" s="131" t="s">
        <v>209</v>
      </c>
      <c r="M1597" s="134" t="s">
        <v>2035</v>
      </c>
      <c r="N1597" s="123" t="s">
        <v>168</v>
      </c>
    </row>
    <row r="1598" spans="2:14" hidden="1" x14ac:dyDescent="0.25">
      <c r="B1598" s="120">
        <v>1595</v>
      </c>
      <c r="C1598" s="123">
        <v>20135948641</v>
      </c>
      <c r="D1598" s="126" t="s">
        <v>167</v>
      </c>
      <c r="E1598" s="126" t="s">
        <v>2031</v>
      </c>
      <c r="F1598" s="123" t="s">
        <v>30</v>
      </c>
      <c r="G1598" s="123" t="s">
        <v>168</v>
      </c>
      <c r="H1598" s="123" t="s">
        <v>169</v>
      </c>
      <c r="I1598" s="126" t="s">
        <v>2032</v>
      </c>
      <c r="J1598" s="130" t="s">
        <v>2050</v>
      </c>
      <c r="K1598" s="123" t="s">
        <v>2051</v>
      </c>
      <c r="L1598" s="131" t="s">
        <v>1712</v>
      </c>
      <c r="M1598" s="134" t="s">
        <v>2035</v>
      </c>
      <c r="N1598" s="123" t="s">
        <v>168</v>
      </c>
    </row>
    <row r="1599" spans="2:14" hidden="1" x14ac:dyDescent="0.25">
      <c r="B1599" s="120">
        <v>1596</v>
      </c>
      <c r="C1599" s="123">
        <v>20135948641</v>
      </c>
      <c r="D1599" s="126" t="s">
        <v>167</v>
      </c>
      <c r="E1599" s="126" t="s">
        <v>2031</v>
      </c>
      <c r="F1599" s="123" t="s">
        <v>30</v>
      </c>
      <c r="G1599" s="123" t="s">
        <v>168</v>
      </c>
      <c r="H1599" s="123" t="s">
        <v>169</v>
      </c>
      <c r="I1599" s="126" t="s">
        <v>2032</v>
      </c>
      <c r="J1599" s="130" t="s">
        <v>2048</v>
      </c>
      <c r="K1599" s="123" t="s">
        <v>2049</v>
      </c>
      <c r="L1599" s="131" t="s">
        <v>731</v>
      </c>
      <c r="M1599" s="134" t="s">
        <v>2035</v>
      </c>
      <c r="N1599" s="123" t="s">
        <v>168</v>
      </c>
    </row>
    <row r="1600" spans="2:14" hidden="1" x14ac:dyDescent="0.25">
      <c r="B1600" s="120">
        <v>1597</v>
      </c>
      <c r="C1600" s="123">
        <v>20135948641</v>
      </c>
      <c r="D1600" s="126" t="s">
        <v>167</v>
      </c>
      <c r="E1600" s="126" t="s">
        <v>2031</v>
      </c>
      <c r="F1600" s="123" t="s">
        <v>30</v>
      </c>
      <c r="G1600" s="123" t="s">
        <v>168</v>
      </c>
      <c r="H1600" s="123" t="s">
        <v>169</v>
      </c>
      <c r="I1600" s="126" t="s">
        <v>2032</v>
      </c>
      <c r="J1600" s="130" t="s">
        <v>2046</v>
      </c>
      <c r="K1600" s="123" t="s">
        <v>2047</v>
      </c>
      <c r="L1600" s="131" t="s">
        <v>36</v>
      </c>
      <c r="M1600" s="134" t="s">
        <v>2035</v>
      </c>
      <c r="N1600" s="123" t="s">
        <v>168</v>
      </c>
    </row>
    <row r="1601" spans="2:14" hidden="1" x14ac:dyDescent="0.25">
      <c r="B1601" s="120">
        <v>1598</v>
      </c>
      <c r="C1601" s="123">
        <v>20135948641</v>
      </c>
      <c r="D1601" s="126" t="s">
        <v>167</v>
      </c>
      <c r="E1601" s="126" t="s">
        <v>2031</v>
      </c>
      <c r="F1601" s="123" t="s">
        <v>30</v>
      </c>
      <c r="G1601" s="123" t="s">
        <v>168</v>
      </c>
      <c r="H1601" s="123" t="s">
        <v>169</v>
      </c>
      <c r="I1601" s="126" t="s">
        <v>2032</v>
      </c>
      <c r="J1601" s="130" t="s">
        <v>2044</v>
      </c>
      <c r="K1601" s="123" t="s">
        <v>2045</v>
      </c>
      <c r="L1601" s="131" t="s">
        <v>2030</v>
      </c>
      <c r="M1601" s="134" t="s">
        <v>2035</v>
      </c>
      <c r="N1601" s="123" t="s">
        <v>168</v>
      </c>
    </row>
    <row r="1602" spans="2:14" hidden="1" x14ac:dyDescent="0.25">
      <c r="B1602" s="120">
        <v>1599</v>
      </c>
      <c r="C1602" s="123">
        <v>20135948641</v>
      </c>
      <c r="D1602" s="126" t="s">
        <v>167</v>
      </c>
      <c r="E1602" s="126" t="s">
        <v>2031</v>
      </c>
      <c r="F1602" s="123" t="s">
        <v>30</v>
      </c>
      <c r="G1602" s="123" t="s">
        <v>168</v>
      </c>
      <c r="H1602" s="123" t="s">
        <v>169</v>
      </c>
      <c r="I1602" s="126" t="s">
        <v>2032</v>
      </c>
      <c r="J1602" s="130" t="s">
        <v>2042</v>
      </c>
      <c r="K1602" s="123" t="s">
        <v>2043</v>
      </c>
      <c r="L1602" s="131" t="s">
        <v>2030</v>
      </c>
      <c r="M1602" s="134" t="s">
        <v>2035</v>
      </c>
      <c r="N1602" s="123" t="s">
        <v>168</v>
      </c>
    </row>
    <row r="1603" spans="2:14" hidden="1" x14ac:dyDescent="0.25">
      <c r="B1603" s="120">
        <v>1600</v>
      </c>
      <c r="C1603" s="123">
        <v>20135948641</v>
      </c>
      <c r="D1603" s="126" t="s">
        <v>167</v>
      </c>
      <c r="E1603" s="126" t="s">
        <v>2031</v>
      </c>
      <c r="F1603" s="123" t="s">
        <v>30</v>
      </c>
      <c r="G1603" s="123" t="s">
        <v>168</v>
      </c>
      <c r="H1603" s="123" t="s">
        <v>169</v>
      </c>
      <c r="I1603" s="126" t="s">
        <v>2032</v>
      </c>
      <c r="J1603" s="130" t="s">
        <v>2040</v>
      </c>
      <c r="K1603" s="123" t="s">
        <v>2041</v>
      </c>
      <c r="L1603" s="131" t="s">
        <v>209</v>
      </c>
      <c r="M1603" s="134" t="s">
        <v>2035</v>
      </c>
      <c r="N1603" s="123" t="s">
        <v>168</v>
      </c>
    </row>
    <row r="1604" spans="2:14" hidden="1" x14ac:dyDescent="0.25">
      <c r="B1604" s="120">
        <v>1601</v>
      </c>
      <c r="C1604" s="123">
        <v>20135948641</v>
      </c>
      <c r="D1604" s="126" t="s">
        <v>167</v>
      </c>
      <c r="E1604" s="126" t="s">
        <v>2031</v>
      </c>
      <c r="F1604" s="123" t="s">
        <v>30</v>
      </c>
      <c r="G1604" s="123" t="s">
        <v>168</v>
      </c>
      <c r="H1604" s="123" t="s">
        <v>169</v>
      </c>
      <c r="I1604" s="126" t="s">
        <v>2032</v>
      </c>
      <c r="J1604" s="130" t="s">
        <v>2038</v>
      </c>
      <c r="K1604" s="123" t="s">
        <v>2039</v>
      </c>
      <c r="L1604" s="131" t="s">
        <v>2030</v>
      </c>
      <c r="M1604" s="134" t="s">
        <v>2035</v>
      </c>
      <c r="N1604" s="123" t="s">
        <v>168</v>
      </c>
    </row>
    <row r="1605" spans="2:14" hidden="1" x14ac:dyDescent="0.25">
      <c r="B1605" s="120">
        <v>1602</v>
      </c>
      <c r="C1605" s="123">
        <v>20135948641</v>
      </c>
      <c r="D1605" s="126" t="s">
        <v>167</v>
      </c>
      <c r="E1605" s="126" t="s">
        <v>2031</v>
      </c>
      <c r="F1605" s="123" t="s">
        <v>30</v>
      </c>
      <c r="G1605" s="123" t="s">
        <v>168</v>
      </c>
      <c r="H1605" s="123" t="s">
        <v>169</v>
      </c>
      <c r="I1605" s="126" t="s">
        <v>2032</v>
      </c>
      <c r="J1605" s="130" t="s">
        <v>2036</v>
      </c>
      <c r="K1605" s="123" t="s">
        <v>2037</v>
      </c>
      <c r="L1605" s="131" t="s">
        <v>1558</v>
      </c>
      <c r="M1605" s="134" t="s">
        <v>2035</v>
      </c>
      <c r="N1605" s="123" t="s">
        <v>168</v>
      </c>
    </row>
    <row r="1606" spans="2:14" hidden="1" x14ac:dyDescent="0.25">
      <c r="B1606" s="120">
        <v>1603</v>
      </c>
      <c r="C1606" s="123">
        <v>20135948641</v>
      </c>
      <c r="D1606" s="126" t="s">
        <v>167</v>
      </c>
      <c r="E1606" s="126" t="s">
        <v>2031</v>
      </c>
      <c r="F1606" s="123" t="s">
        <v>30</v>
      </c>
      <c r="G1606" s="123" t="s">
        <v>168</v>
      </c>
      <c r="H1606" s="123" t="s">
        <v>169</v>
      </c>
      <c r="I1606" s="126" t="s">
        <v>2032</v>
      </c>
      <c r="J1606" s="130" t="s">
        <v>2033</v>
      </c>
      <c r="K1606" s="123" t="s">
        <v>2034</v>
      </c>
      <c r="L1606" s="131" t="s">
        <v>1558</v>
      </c>
      <c r="M1606" s="134" t="s">
        <v>2035</v>
      </c>
      <c r="N1606" s="123" t="s">
        <v>168</v>
      </c>
    </row>
    <row r="1607" spans="2:14" hidden="1" x14ac:dyDescent="0.25">
      <c r="B1607" s="120">
        <v>1604</v>
      </c>
      <c r="C1607" s="123">
        <v>20100166811</v>
      </c>
      <c r="D1607" s="126" t="s">
        <v>2018</v>
      </c>
      <c r="E1607" s="126" t="s">
        <v>2019</v>
      </c>
      <c r="F1607" s="123" t="s">
        <v>30</v>
      </c>
      <c r="G1607" s="123" t="s">
        <v>30</v>
      </c>
      <c r="H1607" s="123" t="s">
        <v>30</v>
      </c>
      <c r="I1607" s="126" t="s">
        <v>1387</v>
      </c>
      <c r="J1607" s="130" t="s">
        <v>2028</v>
      </c>
      <c r="K1607" s="123" t="s">
        <v>2029</v>
      </c>
      <c r="L1607" s="131" t="s">
        <v>2030</v>
      </c>
      <c r="M1607" s="134" t="s">
        <v>2023</v>
      </c>
      <c r="N1607" s="123" t="s">
        <v>30</v>
      </c>
    </row>
    <row r="1608" spans="2:14" hidden="1" x14ac:dyDescent="0.25">
      <c r="B1608" s="120">
        <v>1605</v>
      </c>
      <c r="C1608" s="123">
        <v>20100166811</v>
      </c>
      <c r="D1608" s="126" t="s">
        <v>2018</v>
      </c>
      <c r="E1608" s="126" t="s">
        <v>2019</v>
      </c>
      <c r="F1608" s="123" t="s">
        <v>30</v>
      </c>
      <c r="G1608" s="123" t="s">
        <v>30</v>
      </c>
      <c r="H1608" s="123" t="s">
        <v>30</v>
      </c>
      <c r="I1608" s="126" t="s">
        <v>1387</v>
      </c>
      <c r="J1608" s="130" t="s">
        <v>2026</v>
      </c>
      <c r="K1608" s="123" t="s">
        <v>2027</v>
      </c>
      <c r="L1608" s="131" t="s">
        <v>209</v>
      </c>
      <c r="M1608" s="134" t="s">
        <v>2023</v>
      </c>
      <c r="N1608" s="123" t="s">
        <v>30</v>
      </c>
    </row>
    <row r="1609" spans="2:14" hidden="1" x14ac:dyDescent="0.25">
      <c r="B1609" s="120">
        <v>1606</v>
      </c>
      <c r="C1609" s="123">
        <v>20100166811</v>
      </c>
      <c r="D1609" s="126" t="s">
        <v>2018</v>
      </c>
      <c r="E1609" s="126" t="s">
        <v>2019</v>
      </c>
      <c r="F1609" s="123" t="s">
        <v>30</v>
      </c>
      <c r="G1609" s="123" t="s">
        <v>30</v>
      </c>
      <c r="H1609" s="123" t="s">
        <v>30</v>
      </c>
      <c r="I1609" s="126" t="s">
        <v>1387</v>
      </c>
      <c r="J1609" s="130" t="s">
        <v>2024</v>
      </c>
      <c r="K1609" s="123" t="s">
        <v>2025</v>
      </c>
      <c r="L1609" s="131" t="s">
        <v>42</v>
      </c>
      <c r="M1609" s="134" t="s">
        <v>2023</v>
      </c>
      <c r="N1609" s="123" t="s">
        <v>30</v>
      </c>
    </row>
    <row r="1610" spans="2:14" hidden="1" x14ac:dyDescent="0.25">
      <c r="B1610" s="120">
        <v>1607</v>
      </c>
      <c r="C1610" s="123">
        <v>20100166811</v>
      </c>
      <c r="D1610" s="126" t="s">
        <v>2018</v>
      </c>
      <c r="E1610" s="126" t="s">
        <v>2019</v>
      </c>
      <c r="F1610" s="123" t="s">
        <v>30</v>
      </c>
      <c r="G1610" s="123" t="s">
        <v>30</v>
      </c>
      <c r="H1610" s="123" t="s">
        <v>30</v>
      </c>
      <c r="I1610" s="126" t="s">
        <v>1387</v>
      </c>
      <c r="J1610" s="130" t="s">
        <v>2020</v>
      </c>
      <c r="K1610" s="123" t="s">
        <v>2021</v>
      </c>
      <c r="L1610" s="131" t="s">
        <v>2022</v>
      </c>
      <c r="M1610" s="134" t="s">
        <v>2023</v>
      </c>
      <c r="N1610" s="123" t="s">
        <v>30</v>
      </c>
    </row>
    <row r="1611" spans="2:14" hidden="1" x14ac:dyDescent="0.25">
      <c r="B1611" s="120">
        <v>1608</v>
      </c>
      <c r="C1611" s="123">
        <v>20423925028</v>
      </c>
      <c r="D1611" s="126" t="s">
        <v>387</v>
      </c>
      <c r="E1611" s="126" t="s">
        <v>2014</v>
      </c>
      <c r="F1611" s="123" t="s">
        <v>30</v>
      </c>
      <c r="G1611" s="123" t="s">
        <v>30</v>
      </c>
      <c r="H1611" s="123" t="s">
        <v>43</v>
      </c>
      <c r="I1611" s="126" t="s">
        <v>1737</v>
      </c>
      <c r="J1611" s="130" t="s">
        <v>2015</v>
      </c>
      <c r="K1611" s="123" t="s">
        <v>2016</v>
      </c>
      <c r="L1611" s="131" t="s">
        <v>731</v>
      </c>
      <c r="M1611" s="134" t="s">
        <v>2017</v>
      </c>
      <c r="N1611" s="123" t="s">
        <v>30</v>
      </c>
    </row>
    <row r="1612" spans="2:14" hidden="1" x14ac:dyDescent="0.25">
      <c r="B1612" s="120">
        <v>1609</v>
      </c>
      <c r="C1612" s="123">
        <v>20251293181</v>
      </c>
      <c r="D1612" s="126" t="s">
        <v>2000</v>
      </c>
      <c r="E1612" s="126" t="s">
        <v>2001</v>
      </c>
      <c r="F1612" s="123" t="s">
        <v>30</v>
      </c>
      <c r="G1612" s="123" t="s">
        <v>30</v>
      </c>
      <c r="H1612" s="123" t="s">
        <v>30</v>
      </c>
      <c r="I1612" s="126" t="s">
        <v>2002</v>
      </c>
      <c r="J1612" s="130" t="s">
        <v>8009</v>
      </c>
      <c r="K1612" s="123" t="s">
        <v>8010</v>
      </c>
      <c r="L1612" s="131" t="s">
        <v>1558</v>
      </c>
      <c r="M1612" s="134" t="s">
        <v>2005</v>
      </c>
      <c r="N1612" s="123" t="s">
        <v>30</v>
      </c>
    </row>
    <row r="1613" spans="2:14" hidden="1" x14ac:dyDescent="0.25">
      <c r="B1613" s="120">
        <v>1610</v>
      </c>
      <c r="C1613" s="123">
        <v>20251293181</v>
      </c>
      <c r="D1613" s="126" t="s">
        <v>2000</v>
      </c>
      <c r="E1613" s="126" t="s">
        <v>2001</v>
      </c>
      <c r="F1613" s="123" t="s">
        <v>30</v>
      </c>
      <c r="G1613" s="123" t="s">
        <v>30</v>
      </c>
      <c r="H1613" s="123" t="s">
        <v>30</v>
      </c>
      <c r="I1613" s="126" t="s">
        <v>2002</v>
      </c>
      <c r="J1613" s="130" t="s">
        <v>2012</v>
      </c>
      <c r="K1613" s="123" t="s">
        <v>2013</v>
      </c>
      <c r="L1613" s="131" t="s">
        <v>1558</v>
      </c>
      <c r="M1613" s="134" t="s">
        <v>2005</v>
      </c>
      <c r="N1613" s="123" t="s">
        <v>30</v>
      </c>
    </row>
    <row r="1614" spans="2:14" hidden="1" x14ac:dyDescent="0.25">
      <c r="B1614" s="120">
        <v>1611</v>
      </c>
      <c r="C1614" s="123">
        <v>20251293181</v>
      </c>
      <c r="D1614" s="126" t="s">
        <v>2000</v>
      </c>
      <c r="E1614" s="126" t="s">
        <v>2001</v>
      </c>
      <c r="F1614" s="123" t="s">
        <v>30</v>
      </c>
      <c r="G1614" s="123" t="s">
        <v>30</v>
      </c>
      <c r="H1614" s="123" t="s">
        <v>30</v>
      </c>
      <c r="I1614" s="126" t="s">
        <v>2002</v>
      </c>
      <c r="J1614" s="130" t="s">
        <v>2010</v>
      </c>
      <c r="K1614" s="123" t="s">
        <v>2011</v>
      </c>
      <c r="L1614" s="131" t="s">
        <v>1558</v>
      </c>
      <c r="M1614" s="134" t="s">
        <v>2005</v>
      </c>
      <c r="N1614" s="123" t="s">
        <v>30</v>
      </c>
    </row>
    <row r="1615" spans="2:14" hidden="1" x14ac:dyDescent="0.25">
      <c r="B1615" s="120">
        <v>1612</v>
      </c>
      <c r="C1615" s="123">
        <v>20251293181</v>
      </c>
      <c r="D1615" s="126" t="s">
        <v>2000</v>
      </c>
      <c r="E1615" s="126" t="s">
        <v>2001</v>
      </c>
      <c r="F1615" s="123" t="s">
        <v>30</v>
      </c>
      <c r="G1615" s="123" t="s">
        <v>30</v>
      </c>
      <c r="H1615" s="123" t="s">
        <v>30</v>
      </c>
      <c r="I1615" s="126" t="s">
        <v>2002</v>
      </c>
      <c r="J1615" s="130" t="s">
        <v>2008</v>
      </c>
      <c r="K1615" s="123" t="s">
        <v>2009</v>
      </c>
      <c r="L1615" s="131" t="s">
        <v>36</v>
      </c>
      <c r="M1615" s="134" t="s">
        <v>2005</v>
      </c>
      <c r="N1615" s="123" t="s">
        <v>30</v>
      </c>
    </row>
    <row r="1616" spans="2:14" hidden="1" x14ac:dyDescent="0.25">
      <c r="B1616" s="120">
        <v>1613</v>
      </c>
      <c r="C1616" s="123">
        <v>20251293181</v>
      </c>
      <c r="D1616" s="126" t="s">
        <v>2000</v>
      </c>
      <c r="E1616" s="126" t="s">
        <v>2001</v>
      </c>
      <c r="F1616" s="123" t="s">
        <v>30</v>
      </c>
      <c r="G1616" s="123" t="s">
        <v>30</v>
      </c>
      <c r="H1616" s="123" t="s">
        <v>30</v>
      </c>
      <c r="I1616" s="126" t="s">
        <v>2002</v>
      </c>
      <c r="J1616" s="130" t="s">
        <v>8007</v>
      </c>
      <c r="K1616" s="123" t="s">
        <v>8008</v>
      </c>
      <c r="L1616" s="131" t="s">
        <v>1558</v>
      </c>
      <c r="M1616" s="134" t="s">
        <v>2005</v>
      </c>
      <c r="N1616" s="123" t="s">
        <v>30</v>
      </c>
    </row>
    <row r="1617" spans="2:14" hidden="1" x14ac:dyDescent="0.25">
      <c r="B1617" s="120">
        <v>1614</v>
      </c>
      <c r="C1617" s="123">
        <v>20251293181</v>
      </c>
      <c r="D1617" s="126" t="s">
        <v>2000</v>
      </c>
      <c r="E1617" s="126" t="s">
        <v>2001</v>
      </c>
      <c r="F1617" s="123" t="s">
        <v>30</v>
      </c>
      <c r="G1617" s="123" t="s">
        <v>30</v>
      </c>
      <c r="H1617" s="123" t="s">
        <v>30</v>
      </c>
      <c r="I1617" s="126" t="s">
        <v>2002</v>
      </c>
      <c r="J1617" s="130" t="s">
        <v>2006</v>
      </c>
      <c r="K1617" s="123" t="s">
        <v>2007</v>
      </c>
      <c r="L1617" s="131" t="s">
        <v>36</v>
      </c>
      <c r="M1617" s="134" t="s">
        <v>2005</v>
      </c>
      <c r="N1617" s="123" t="s">
        <v>30</v>
      </c>
    </row>
    <row r="1618" spans="2:14" hidden="1" x14ac:dyDescent="0.25">
      <c r="B1618" s="120">
        <v>1615</v>
      </c>
      <c r="C1618" s="123">
        <v>20251293181</v>
      </c>
      <c r="D1618" s="126" t="s">
        <v>2000</v>
      </c>
      <c r="E1618" s="126" t="s">
        <v>2001</v>
      </c>
      <c r="F1618" s="123" t="s">
        <v>30</v>
      </c>
      <c r="G1618" s="123" t="s">
        <v>30</v>
      </c>
      <c r="H1618" s="123" t="s">
        <v>30</v>
      </c>
      <c r="I1618" s="126" t="s">
        <v>2002</v>
      </c>
      <c r="J1618" s="130" t="s">
        <v>2003</v>
      </c>
      <c r="K1618" s="123" t="s">
        <v>2004</v>
      </c>
      <c r="L1618" s="131" t="s">
        <v>1558</v>
      </c>
      <c r="M1618" s="134" t="s">
        <v>2005</v>
      </c>
      <c r="N1618" s="123" t="s">
        <v>30</v>
      </c>
    </row>
    <row r="1619" spans="2:14" hidden="1" x14ac:dyDescent="0.25">
      <c r="B1619" s="120">
        <v>1616</v>
      </c>
      <c r="C1619" s="123">
        <v>20566073740</v>
      </c>
      <c r="D1619" s="126" t="s">
        <v>287</v>
      </c>
      <c r="E1619" s="126" t="s">
        <v>1996</v>
      </c>
      <c r="F1619" s="123" t="s">
        <v>30</v>
      </c>
      <c r="G1619" s="123" t="s">
        <v>30</v>
      </c>
      <c r="H1619" s="123" t="s">
        <v>50</v>
      </c>
      <c r="I1619" s="126" t="s">
        <v>1809</v>
      </c>
      <c r="J1619" s="130" t="s">
        <v>1997</v>
      </c>
      <c r="K1619" s="123" t="s">
        <v>1998</v>
      </c>
      <c r="L1619" s="131" t="s">
        <v>731</v>
      </c>
      <c r="M1619" s="134" t="s">
        <v>1999</v>
      </c>
      <c r="N1619" s="123" t="s">
        <v>30</v>
      </c>
    </row>
    <row r="1620" spans="2:14" hidden="1" x14ac:dyDescent="0.25">
      <c r="B1620" s="120">
        <v>1617</v>
      </c>
      <c r="C1620" s="123">
        <v>20259829594</v>
      </c>
      <c r="D1620" s="126" t="s">
        <v>95</v>
      </c>
      <c r="E1620" s="126" t="s">
        <v>1116</v>
      </c>
      <c r="F1620" s="123" t="s">
        <v>67</v>
      </c>
      <c r="G1620" s="123" t="s">
        <v>67</v>
      </c>
      <c r="H1620" s="123" t="s">
        <v>94</v>
      </c>
      <c r="I1620" s="126" t="s">
        <v>1848</v>
      </c>
      <c r="J1620" s="130" t="s">
        <v>1862</v>
      </c>
      <c r="K1620" s="123" t="s">
        <v>1863</v>
      </c>
      <c r="L1620" s="131" t="s">
        <v>731</v>
      </c>
      <c r="M1620" s="134" t="s">
        <v>1851</v>
      </c>
      <c r="N1620" s="123" t="s">
        <v>67</v>
      </c>
    </row>
    <row r="1621" spans="2:14" hidden="1" x14ac:dyDescent="0.25">
      <c r="B1621" s="120">
        <v>1618</v>
      </c>
      <c r="C1621" s="123">
        <v>20259829594</v>
      </c>
      <c r="D1621" s="126" t="s">
        <v>95</v>
      </c>
      <c r="E1621" s="126" t="s">
        <v>1116</v>
      </c>
      <c r="F1621" s="123" t="s">
        <v>67</v>
      </c>
      <c r="G1621" s="123" t="s">
        <v>67</v>
      </c>
      <c r="H1621" s="123" t="s">
        <v>94</v>
      </c>
      <c r="I1621" s="126" t="s">
        <v>1848</v>
      </c>
      <c r="J1621" s="130" t="s">
        <v>8006</v>
      </c>
      <c r="K1621" s="123" t="s">
        <v>1861</v>
      </c>
      <c r="L1621" s="131" t="s">
        <v>731</v>
      </c>
      <c r="M1621" s="134" t="s">
        <v>1851</v>
      </c>
      <c r="N1621" s="123" t="s">
        <v>67</v>
      </c>
    </row>
    <row r="1622" spans="2:14" hidden="1" x14ac:dyDescent="0.25">
      <c r="B1622" s="120">
        <v>1619</v>
      </c>
      <c r="C1622" s="123">
        <v>20259829594</v>
      </c>
      <c r="D1622" s="126" t="s">
        <v>95</v>
      </c>
      <c r="E1622" s="126" t="s">
        <v>1116</v>
      </c>
      <c r="F1622" s="123" t="s">
        <v>67</v>
      </c>
      <c r="G1622" s="123" t="s">
        <v>67</v>
      </c>
      <c r="H1622" s="123" t="s">
        <v>94</v>
      </c>
      <c r="I1622" s="126" t="s">
        <v>1848</v>
      </c>
      <c r="J1622" s="130" t="s">
        <v>1859</v>
      </c>
      <c r="K1622" s="123" t="s">
        <v>1860</v>
      </c>
      <c r="L1622" s="131" t="s">
        <v>209</v>
      </c>
      <c r="M1622" s="134" t="s">
        <v>1851</v>
      </c>
      <c r="N1622" s="123" t="s">
        <v>67</v>
      </c>
    </row>
    <row r="1623" spans="2:14" hidden="1" x14ac:dyDescent="0.25">
      <c r="B1623" s="120">
        <v>1620</v>
      </c>
      <c r="C1623" s="123">
        <v>20259829594</v>
      </c>
      <c r="D1623" s="126" t="s">
        <v>95</v>
      </c>
      <c r="E1623" s="126" t="s">
        <v>1116</v>
      </c>
      <c r="F1623" s="123" t="s">
        <v>67</v>
      </c>
      <c r="G1623" s="123" t="s">
        <v>67</v>
      </c>
      <c r="H1623" s="123" t="s">
        <v>94</v>
      </c>
      <c r="I1623" s="126" t="s">
        <v>1848</v>
      </c>
      <c r="J1623" s="130" t="s">
        <v>1857</v>
      </c>
      <c r="K1623" s="123" t="s">
        <v>1858</v>
      </c>
      <c r="L1623" s="131" t="s">
        <v>209</v>
      </c>
      <c r="M1623" s="134" t="s">
        <v>1851</v>
      </c>
      <c r="N1623" s="123" t="s">
        <v>67</v>
      </c>
    </row>
    <row r="1624" spans="2:14" hidden="1" x14ac:dyDescent="0.25">
      <c r="B1624" s="120">
        <v>1621</v>
      </c>
      <c r="C1624" s="123">
        <v>20259829594</v>
      </c>
      <c r="D1624" s="126" t="s">
        <v>95</v>
      </c>
      <c r="E1624" s="126" t="s">
        <v>1116</v>
      </c>
      <c r="F1624" s="123" t="s">
        <v>67</v>
      </c>
      <c r="G1624" s="123" t="s">
        <v>67</v>
      </c>
      <c r="H1624" s="123" t="s">
        <v>94</v>
      </c>
      <c r="I1624" s="126" t="s">
        <v>1848</v>
      </c>
      <c r="J1624" s="130" t="s">
        <v>1854</v>
      </c>
      <c r="K1624" s="123" t="s">
        <v>1855</v>
      </c>
      <c r="L1624" s="131" t="s">
        <v>1856</v>
      </c>
      <c r="M1624" s="134" t="s">
        <v>1851</v>
      </c>
      <c r="N1624" s="123" t="s">
        <v>67</v>
      </c>
    </row>
    <row r="1625" spans="2:14" hidden="1" x14ac:dyDescent="0.25">
      <c r="B1625" s="120">
        <v>1622</v>
      </c>
      <c r="C1625" s="123">
        <v>20259829594</v>
      </c>
      <c r="D1625" s="126" t="s">
        <v>95</v>
      </c>
      <c r="E1625" s="126" t="s">
        <v>1116</v>
      </c>
      <c r="F1625" s="123" t="s">
        <v>67</v>
      </c>
      <c r="G1625" s="123" t="s">
        <v>67</v>
      </c>
      <c r="H1625" s="123" t="s">
        <v>94</v>
      </c>
      <c r="I1625" s="126" t="s">
        <v>1848</v>
      </c>
      <c r="J1625" s="130" t="s">
        <v>1852</v>
      </c>
      <c r="K1625" s="123" t="s">
        <v>1853</v>
      </c>
      <c r="L1625" s="131" t="s">
        <v>1558</v>
      </c>
      <c r="M1625" s="134" t="s">
        <v>1851</v>
      </c>
      <c r="N1625" s="123" t="s">
        <v>67</v>
      </c>
    </row>
    <row r="1626" spans="2:14" hidden="1" x14ac:dyDescent="0.25">
      <c r="B1626" s="120">
        <v>1623</v>
      </c>
      <c r="C1626" s="123">
        <v>20259829594</v>
      </c>
      <c r="D1626" s="126" t="s">
        <v>95</v>
      </c>
      <c r="E1626" s="126" t="s">
        <v>1116</v>
      </c>
      <c r="F1626" s="123" t="s">
        <v>67</v>
      </c>
      <c r="G1626" s="123" t="s">
        <v>67</v>
      </c>
      <c r="H1626" s="123" t="s">
        <v>94</v>
      </c>
      <c r="I1626" s="126" t="s">
        <v>1848</v>
      </c>
      <c r="J1626" s="130" t="s">
        <v>1849</v>
      </c>
      <c r="K1626" s="123" t="s">
        <v>1850</v>
      </c>
      <c r="L1626" s="131" t="s">
        <v>1558</v>
      </c>
      <c r="M1626" s="134" t="s">
        <v>1851</v>
      </c>
      <c r="N1626" s="123" t="s">
        <v>67</v>
      </c>
    </row>
    <row r="1627" spans="2:14" hidden="1" x14ac:dyDescent="0.25">
      <c r="B1627" s="120">
        <v>1624</v>
      </c>
      <c r="C1627" s="123">
        <v>20547846193</v>
      </c>
      <c r="D1627" s="126" t="s">
        <v>582</v>
      </c>
      <c r="E1627" s="126" t="s">
        <v>1845</v>
      </c>
      <c r="F1627" s="123" t="s">
        <v>30</v>
      </c>
      <c r="G1627" s="123" t="s">
        <v>30</v>
      </c>
      <c r="H1627" s="123" t="s">
        <v>40</v>
      </c>
      <c r="I1627" s="126" t="s">
        <v>1387</v>
      </c>
      <c r="J1627" s="130" t="s">
        <v>8228</v>
      </c>
      <c r="K1627" s="123" t="s">
        <v>1847</v>
      </c>
      <c r="L1627" s="131" t="s">
        <v>209</v>
      </c>
      <c r="M1627" s="134" t="s">
        <v>845</v>
      </c>
      <c r="N1627" s="123" t="s">
        <v>845</v>
      </c>
    </row>
    <row r="1628" spans="2:14" hidden="1" x14ac:dyDescent="0.25">
      <c r="B1628" s="120">
        <v>1625</v>
      </c>
      <c r="C1628" s="123">
        <v>20547846193</v>
      </c>
      <c r="D1628" s="126" t="s">
        <v>582</v>
      </c>
      <c r="E1628" s="126" t="s">
        <v>1845</v>
      </c>
      <c r="F1628" s="123" t="s">
        <v>30</v>
      </c>
      <c r="G1628" s="123" t="s">
        <v>30</v>
      </c>
      <c r="H1628" s="123" t="s">
        <v>40</v>
      </c>
      <c r="I1628" s="126" t="s">
        <v>1387</v>
      </c>
      <c r="J1628" s="130" t="s">
        <v>8227</v>
      </c>
      <c r="K1628" s="123" t="s">
        <v>1846</v>
      </c>
      <c r="L1628" s="131" t="s">
        <v>731</v>
      </c>
      <c r="M1628" s="134" t="s">
        <v>845</v>
      </c>
      <c r="N1628" s="123" t="s">
        <v>845</v>
      </c>
    </row>
    <row r="1629" spans="2:14" hidden="1" x14ac:dyDescent="0.25">
      <c r="B1629" s="120">
        <v>1626</v>
      </c>
      <c r="C1629" s="123">
        <v>20459485369</v>
      </c>
      <c r="D1629" s="126" t="s">
        <v>1839</v>
      </c>
      <c r="E1629" s="126" t="s">
        <v>1840</v>
      </c>
      <c r="F1629" s="123" t="s">
        <v>30</v>
      </c>
      <c r="G1629" s="123" t="s">
        <v>30</v>
      </c>
      <c r="H1629" s="123" t="s">
        <v>147</v>
      </c>
      <c r="I1629" s="126" t="s">
        <v>1841</v>
      </c>
      <c r="J1629" s="130" t="s">
        <v>1842</v>
      </c>
      <c r="K1629" s="123" t="s">
        <v>1843</v>
      </c>
      <c r="L1629" s="131" t="s">
        <v>42</v>
      </c>
      <c r="M1629" s="134" t="s">
        <v>1844</v>
      </c>
      <c r="N1629" s="123" t="s">
        <v>30</v>
      </c>
    </row>
    <row r="1630" spans="2:14" hidden="1" x14ac:dyDescent="0.25">
      <c r="B1630" s="120">
        <v>1627</v>
      </c>
      <c r="C1630" s="123">
        <v>20101026001</v>
      </c>
      <c r="D1630" s="126" t="s">
        <v>267</v>
      </c>
      <c r="E1630" s="126" t="s">
        <v>1812</v>
      </c>
      <c r="F1630" s="123" t="s">
        <v>30</v>
      </c>
      <c r="G1630" s="123" t="s">
        <v>30</v>
      </c>
      <c r="H1630" s="123" t="s">
        <v>135</v>
      </c>
      <c r="I1630" s="126" t="s">
        <v>1813</v>
      </c>
      <c r="J1630" s="130" t="s">
        <v>1837</v>
      </c>
      <c r="K1630" s="123" t="s">
        <v>1838</v>
      </c>
      <c r="L1630" s="131" t="s">
        <v>209</v>
      </c>
      <c r="M1630" s="134" t="s">
        <v>1816</v>
      </c>
      <c r="N1630" s="123" t="s">
        <v>30</v>
      </c>
    </row>
    <row r="1631" spans="2:14" hidden="1" x14ac:dyDescent="0.25">
      <c r="B1631" s="120">
        <v>1628</v>
      </c>
      <c r="C1631" s="123">
        <v>20101026001</v>
      </c>
      <c r="D1631" s="126" t="s">
        <v>267</v>
      </c>
      <c r="E1631" s="126" t="s">
        <v>1812</v>
      </c>
      <c r="F1631" s="123" t="s">
        <v>30</v>
      </c>
      <c r="G1631" s="123" t="s">
        <v>30</v>
      </c>
      <c r="H1631" s="123" t="s">
        <v>135</v>
      </c>
      <c r="I1631" s="126" t="s">
        <v>1813</v>
      </c>
      <c r="J1631" s="130" t="s">
        <v>1835</v>
      </c>
      <c r="K1631" s="123" t="s">
        <v>1836</v>
      </c>
      <c r="L1631" s="131" t="s">
        <v>209</v>
      </c>
      <c r="M1631" s="134" t="s">
        <v>1816</v>
      </c>
      <c r="N1631" s="123" t="s">
        <v>30</v>
      </c>
    </row>
    <row r="1632" spans="2:14" hidden="1" x14ac:dyDescent="0.25">
      <c r="B1632" s="120">
        <v>1629</v>
      </c>
      <c r="C1632" s="123">
        <v>20101026001</v>
      </c>
      <c r="D1632" s="126" t="s">
        <v>267</v>
      </c>
      <c r="E1632" s="126" t="s">
        <v>1812</v>
      </c>
      <c r="F1632" s="123" t="s">
        <v>30</v>
      </c>
      <c r="G1632" s="123" t="s">
        <v>30</v>
      </c>
      <c r="H1632" s="123" t="s">
        <v>135</v>
      </c>
      <c r="I1632" s="126" t="s">
        <v>1813</v>
      </c>
      <c r="J1632" s="130" t="s">
        <v>1833</v>
      </c>
      <c r="K1632" s="123" t="s">
        <v>1834</v>
      </c>
      <c r="L1632" s="131" t="s">
        <v>209</v>
      </c>
      <c r="M1632" s="134" t="s">
        <v>1816</v>
      </c>
      <c r="N1632" s="123" t="s">
        <v>30</v>
      </c>
    </row>
    <row r="1633" spans="2:14" hidden="1" x14ac:dyDescent="0.25">
      <c r="B1633" s="120">
        <v>1630</v>
      </c>
      <c r="C1633" s="123">
        <v>20101026001</v>
      </c>
      <c r="D1633" s="126" t="s">
        <v>267</v>
      </c>
      <c r="E1633" s="126" t="s">
        <v>1812</v>
      </c>
      <c r="F1633" s="123" t="s">
        <v>30</v>
      </c>
      <c r="G1633" s="123" t="s">
        <v>30</v>
      </c>
      <c r="H1633" s="123" t="s">
        <v>135</v>
      </c>
      <c r="I1633" s="126" t="s">
        <v>1813</v>
      </c>
      <c r="J1633" s="130" t="s">
        <v>1831</v>
      </c>
      <c r="K1633" s="123" t="s">
        <v>1832</v>
      </c>
      <c r="L1633" s="131" t="s">
        <v>209</v>
      </c>
      <c r="M1633" s="134" t="s">
        <v>1816</v>
      </c>
      <c r="N1633" s="123" t="s">
        <v>30</v>
      </c>
    </row>
    <row r="1634" spans="2:14" hidden="1" x14ac:dyDescent="0.25">
      <c r="B1634" s="120">
        <v>1631</v>
      </c>
      <c r="C1634" s="123">
        <v>20101026001</v>
      </c>
      <c r="D1634" s="126" t="s">
        <v>267</v>
      </c>
      <c r="E1634" s="126" t="s">
        <v>1812</v>
      </c>
      <c r="F1634" s="123" t="s">
        <v>30</v>
      </c>
      <c r="G1634" s="123" t="s">
        <v>30</v>
      </c>
      <c r="H1634" s="123" t="s">
        <v>135</v>
      </c>
      <c r="I1634" s="126" t="s">
        <v>1813</v>
      </c>
      <c r="J1634" s="130" t="s">
        <v>1829</v>
      </c>
      <c r="K1634" s="123" t="s">
        <v>1830</v>
      </c>
      <c r="L1634" s="131" t="s">
        <v>209</v>
      </c>
      <c r="M1634" s="134" t="s">
        <v>1816</v>
      </c>
      <c r="N1634" s="123" t="s">
        <v>30</v>
      </c>
    </row>
    <row r="1635" spans="2:14" hidden="1" x14ac:dyDescent="0.25">
      <c r="B1635" s="120">
        <v>1632</v>
      </c>
      <c r="C1635" s="123">
        <v>20101026001</v>
      </c>
      <c r="D1635" s="126" t="s">
        <v>267</v>
      </c>
      <c r="E1635" s="126" t="s">
        <v>1812</v>
      </c>
      <c r="F1635" s="123" t="s">
        <v>30</v>
      </c>
      <c r="G1635" s="123" t="s">
        <v>30</v>
      </c>
      <c r="H1635" s="123" t="s">
        <v>135</v>
      </c>
      <c r="I1635" s="126" t="s">
        <v>1813</v>
      </c>
      <c r="J1635" s="130" t="s">
        <v>1827</v>
      </c>
      <c r="K1635" s="123" t="s">
        <v>1828</v>
      </c>
      <c r="L1635" s="131" t="s">
        <v>42</v>
      </c>
      <c r="M1635" s="134" t="s">
        <v>1816</v>
      </c>
      <c r="N1635" s="123" t="s">
        <v>30</v>
      </c>
    </row>
    <row r="1636" spans="2:14" hidden="1" x14ac:dyDescent="0.25">
      <c r="B1636" s="120">
        <v>1633</v>
      </c>
      <c r="C1636" s="123">
        <v>20101026001</v>
      </c>
      <c r="D1636" s="126" t="s">
        <v>267</v>
      </c>
      <c r="E1636" s="126" t="s">
        <v>1812</v>
      </c>
      <c r="F1636" s="123" t="s">
        <v>30</v>
      </c>
      <c r="G1636" s="123" t="s">
        <v>30</v>
      </c>
      <c r="H1636" s="123" t="s">
        <v>135</v>
      </c>
      <c r="I1636" s="126" t="s">
        <v>1813</v>
      </c>
      <c r="J1636" s="130" t="s">
        <v>1825</v>
      </c>
      <c r="K1636" s="123" t="s">
        <v>1826</v>
      </c>
      <c r="L1636" s="131" t="s">
        <v>209</v>
      </c>
      <c r="M1636" s="134" t="s">
        <v>1816</v>
      </c>
      <c r="N1636" s="123" t="s">
        <v>30</v>
      </c>
    </row>
    <row r="1637" spans="2:14" hidden="1" x14ac:dyDescent="0.25">
      <c r="B1637" s="120">
        <v>1634</v>
      </c>
      <c r="C1637" s="123">
        <v>20101026001</v>
      </c>
      <c r="D1637" s="126" t="s">
        <v>267</v>
      </c>
      <c r="E1637" s="126" t="s">
        <v>1812</v>
      </c>
      <c r="F1637" s="123" t="s">
        <v>30</v>
      </c>
      <c r="G1637" s="123" t="s">
        <v>30</v>
      </c>
      <c r="H1637" s="123" t="s">
        <v>135</v>
      </c>
      <c r="I1637" s="126" t="s">
        <v>1813</v>
      </c>
      <c r="J1637" s="130" t="s">
        <v>1823</v>
      </c>
      <c r="K1637" s="123" t="s">
        <v>1824</v>
      </c>
      <c r="L1637" s="131" t="s">
        <v>209</v>
      </c>
      <c r="M1637" s="134" t="s">
        <v>1816</v>
      </c>
      <c r="N1637" s="123" t="s">
        <v>30</v>
      </c>
    </row>
    <row r="1638" spans="2:14" hidden="1" x14ac:dyDescent="0.25">
      <c r="B1638" s="120">
        <v>1635</v>
      </c>
      <c r="C1638" s="123">
        <v>20101026001</v>
      </c>
      <c r="D1638" s="126" t="s">
        <v>267</v>
      </c>
      <c r="E1638" s="126" t="s">
        <v>1812</v>
      </c>
      <c r="F1638" s="123" t="s">
        <v>30</v>
      </c>
      <c r="G1638" s="123" t="s">
        <v>30</v>
      </c>
      <c r="H1638" s="123" t="s">
        <v>135</v>
      </c>
      <c r="I1638" s="126" t="s">
        <v>1813</v>
      </c>
      <c r="J1638" s="130" t="s">
        <v>1821</v>
      </c>
      <c r="K1638" s="123" t="s">
        <v>1822</v>
      </c>
      <c r="L1638" s="131" t="s">
        <v>209</v>
      </c>
      <c r="M1638" s="134" t="s">
        <v>1816</v>
      </c>
      <c r="N1638" s="123" t="s">
        <v>30</v>
      </c>
    </row>
    <row r="1639" spans="2:14" hidden="1" x14ac:dyDescent="0.25">
      <c r="B1639" s="120">
        <v>1636</v>
      </c>
      <c r="C1639" s="123">
        <v>20101026001</v>
      </c>
      <c r="D1639" s="126" t="s">
        <v>267</v>
      </c>
      <c r="E1639" s="126" t="s">
        <v>1812</v>
      </c>
      <c r="F1639" s="123" t="s">
        <v>30</v>
      </c>
      <c r="G1639" s="123" t="s">
        <v>30</v>
      </c>
      <c r="H1639" s="123" t="s">
        <v>135</v>
      </c>
      <c r="I1639" s="126" t="s">
        <v>1813</v>
      </c>
      <c r="J1639" s="130" t="s">
        <v>1819</v>
      </c>
      <c r="K1639" s="123" t="s">
        <v>1820</v>
      </c>
      <c r="L1639" s="131" t="s">
        <v>209</v>
      </c>
      <c r="M1639" s="134" t="s">
        <v>1816</v>
      </c>
      <c r="N1639" s="123" t="s">
        <v>30</v>
      </c>
    </row>
    <row r="1640" spans="2:14" hidden="1" x14ac:dyDescent="0.25">
      <c r="B1640" s="120">
        <v>1637</v>
      </c>
      <c r="C1640" s="123">
        <v>20101026001</v>
      </c>
      <c r="D1640" s="126" t="s">
        <v>267</v>
      </c>
      <c r="E1640" s="126" t="s">
        <v>1812</v>
      </c>
      <c r="F1640" s="123" t="s">
        <v>30</v>
      </c>
      <c r="G1640" s="123" t="s">
        <v>30</v>
      </c>
      <c r="H1640" s="123" t="s">
        <v>135</v>
      </c>
      <c r="I1640" s="126" t="s">
        <v>1813</v>
      </c>
      <c r="J1640" s="130" t="s">
        <v>1817</v>
      </c>
      <c r="K1640" s="123" t="s">
        <v>1818</v>
      </c>
      <c r="L1640" s="131" t="s">
        <v>119</v>
      </c>
      <c r="M1640" s="134" t="s">
        <v>1816</v>
      </c>
      <c r="N1640" s="123" t="s">
        <v>30</v>
      </c>
    </row>
    <row r="1641" spans="2:14" hidden="1" x14ac:dyDescent="0.25">
      <c r="B1641" s="120">
        <v>1638</v>
      </c>
      <c r="C1641" s="123">
        <v>20101026001</v>
      </c>
      <c r="D1641" s="126" t="s">
        <v>267</v>
      </c>
      <c r="E1641" s="126" t="s">
        <v>1812</v>
      </c>
      <c r="F1641" s="123" t="s">
        <v>30</v>
      </c>
      <c r="G1641" s="123" t="s">
        <v>30</v>
      </c>
      <c r="H1641" s="123" t="s">
        <v>135</v>
      </c>
      <c r="I1641" s="126" t="s">
        <v>1813</v>
      </c>
      <c r="J1641" s="130" t="s">
        <v>1814</v>
      </c>
      <c r="K1641" s="123" t="s">
        <v>1815</v>
      </c>
      <c r="L1641" s="131" t="s">
        <v>209</v>
      </c>
      <c r="M1641" s="134" t="s">
        <v>1816</v>
      </c>
      <c r="N1641" s="123" t="s">
        <v>30</v>
      </c>
    </row>
    <row r="1642" spans="2:14" hidden="1" x14ac:dyDescent="0.25">
      <c r="B1642" s="120">
        <v>1639</v>
      </c>
      <c r="C1642" s="123">
        <v>20553537275</v>
      </c>
      <c r="D1642" s="126" t="s">
        <v>538</v>
      </c>
      <c r="E1642" s="126" t="s">
        <v>1808</v>
      </c>
      <c r="F1642" s="123" t="s">
        <v>30</v>
      </c>
      <c r="G1642" s="123" t="s">
        <v>30</v>
      </c>
      <c r="H1642" s="123" t="s">
        <v>45</v>
      </c>
      <c r="I1642" s="126" t="s">
        <v>1809</v>
      </c>
      <c r="J1642" s="130" t="s">
        <v>8638</v>
      </c>
      <c r="K1642" s="123" t="s">
        <v>1810</v>
      </c>
      <c r="L1642" s="131" t="s">
        <v>731</v>
      </c>
      <c r="M1642" s="134" t="s">
        <v>1811</v>
      </c>
      <c r="N1642" s="123" t="s">
        <v>30</v>
      </c>
    </row>
    <row r="1643" spans="2:14" hidden="1" x14ac:dyDescent="0.25">
      <c r="B1643" s="120">
        <v>1640</v>
      </c>
      <c r="C1643" s="123">
        <v>20600106687</v>
      </c>
      <c r="D1643" s="126" t="s">
        <v>468</v>
      </c>
      <c r="E1643" s="126" t="s">
        <v>1804</v>
      </c>
      <c r="F1643" s="123" t="s">
        <v>30</v>
      </c>
      <c r="G1643" s="123" t="s">
        <v>30</v>
      </c>
      <c r="H1643" s="123" t="s">
        <v>51</v>
      </c>
      <c r="I1643" s="126" t="s">
        <v>1805</v>
      </c>
      <c r="J1643" s="130" t="s">
        <v>8639</v>
      </c>
      <c r="K1643" s="123" t="s">
        <v>1806</v>
      </c>
      <c r="L1643" s="131" t="s">
        <v>57</v>
      </c>
      <c r="M1643" s="134" t="s">
        <v>1807</v>
      </c>
      <c r="N1643" s="123" t="s">
        <v>30</v>
      </c>
    </row>
    <row r="1644" spans="2:14" hidden="1" x14ac:dyDescent="0.25">
      <c r="B1644" s="120">
        <v>1641</v>
      </c>
      <c r="C1644" s="123">
        <v>20492719308</v>
      </c>
      <c r="D1644" s="126" t="s">
        <v>648</v>
      </c>
      <c r="E1644" s="126" t="s">
        <v>1797</v>
      </c>
      <c r="F1644" s="123" t="s">
        <v>30</v>
      </c>
      <c r="G1644" s="123" t="s">
        <v>30</v>
      </c>
      <c r="H1644" s="123" t="s">
        <v>50</v>
      </c>
      <c r="I1644" s="126" t="s">
        <v>1384</v>
      </c>
      <c r="J1644" s="130" t="s">
        <v>1801</v>
      </c>
      <c r="K1644" s="123" t="s">
        <v>1802</v>
      </c>
      <c r="L1644" s="131" t="s">
        <v>1803</v>
      </c>
      <c r="M1644" s="134" t="s">
        <v>1800</v>
      </c>
      <c r="N1644" s="123" t="s">
        <v>30</v>
      </c>
    </row>
    <row r="1645" spans="2:14" hidden="1" x14ac:dyDescent="0.25">
      <c r="B1645" s="120">
        <v>1642</v>
      </c>
      <c r="C1645" s="123">
        <v>20492719308</v>
      </c>
      <c r="D1645" s="126" t="s">
        <v>648</v>
      </c>
      <c r="E1645" s="126" t="s">
        <v>1797</v>
      </c>
      <c r="F1645" s="123" t="s">
        <v>30</v>
      </c>
      <c r="G1645" s="123" t="s">
        <v>30</v>
      </c>
      <c r="H1645" s="123" t="s">
        <v>50</v>
      </c>
      <c r="I1645" s="126" t="s">
        <v>1384</v>
      </c>
      <c r="J1645" s="130" t="s">
        <v>1798</v>
      </c>
      <c r="K1645" s="123" t="s">
        <v>1799</v>
      </c>
      <c r="L1645" s="131" t="s">
        <v>731</v>
      </c>
      <c r="M1645" s="134" t="s">
        <v>1800</v>
      </c>
      <c r="N1645" s="123" t="s">
        <v>30</v>
      </c>
    </row>
    <row r="1646" spans="2:14" hidden="1" x14ac:dyDescent="0.25">
      <c r="B1646" s="120">
        <v>1643</v>
      </c>
      <c r="C1646" s="123">
        <v>20546591051</v>
      </c>
      <c r="D1646" s="126" t="s">
        <v>454</v>
      </c>
      <c r="E1646" s="126" t="s">
        <v>1793</v>
      </c>
      <c r="F1646" s="123" t="s">
        <v>30</v>
      </c>
      <c r="G1646" s="123" t="s">
        <v>30</v>
      </c>
      <c r="H1646" s="123" t="s">
        <v>43</v>
      </c>
      <c r="I1646" s="126" t="s">
        <v>1398</v>
      </c>
      <c r="J1646" s="130" t="s">
        <v>1794</v>
      </c>
      <c r="K1646" s="123" t="s">
        <v>1795</v>
      </c>
      <c r="L1646" s="131" t="s">
        <v>57</v>
      </c>
      <c r="M1646" s="134" t="s">
        <v>1796</v>
      </c>
      <c r="N1646" s="123" t="s">
        <v>30</v>
      </c>
    </row>
    <row r="1647" spans="2:14" hidden="1" x14ac:dyDescent="0.25">
      <c r="B1647" s="120">
        <v>1644</v>
      </c>
      <c r="C1647" s="123">
        <v>20607682934</v>
      </c>
      <c r="D1647" s="126" t="s">
        <v>463</v>
      </c>
      <c r="E1647" s="126" t="s">
        <v>1789</v>
      </c>
      <c r="F1647" s="123" t="s">
        <v>30</v>
      </c>
      <c r="G1647" s="123" t="s">
        <v>30</v>
      </c>
      <c r="H1647" s="123" t="s">
        <v>72</v>
      </c>
      <c r="I1647" s="126" t="s">
        <v>1374</v>
      </c>
      <c r="J1647" s="130" t="s">
        <v>1790</v>
      </c>
      <c r="K1647" s="123" t="s">
        <v>1791</v>
      </c>
      <c r="L1647" s="131" t="s">
        <v>731</v>
      </c>
      <c r="M1647" s="134" t="s">
        <v>1792</v>
      </c>
      <c r="N1647" s="123" t="s">
        <v>30</v>
      </c>
    </row>
    <row r="1648" spans="2:14" hidden="1" x14ac:dyDescent="0.25">
      <c r="B1648" s="120">
        <v>1645</v>
      </c>
      <c r="C1648" s="123">
        <v>20100112214</v>
      </c>
      <c r="D1648" s="126" t="s">
        <v>188</v>
      </c>
      <c r="E1648" s="126" t="s">
        <v>1772</v>
      </c>
      <c r="F1648" s="123" t="s">
        <v>30</v>
      </c>
      <c r="G1648" s="123" t="s">
        <v>30</v>
      </c>
      <c r="H1648" s="123" t="s">
        <v>75</v>
      </c>
      <c r="I1648" s="126" t="s">
        <v>1773</v>
      </c>
      <c r="J1648" s="130" t="s">
        <v>1787</v>
      </c>
      <c r="K1648" s="123" t="s">
        <v>1788</v>
      </c>
      <c r="L1648" s="131" t="s">
        <v>36</v>
      </c>
      <c r="M1648" s="134" t="s">
        <v>1776</v>
      </c>
      <c r="N1648" s="123" t="s">
        <v>30</v>
      </c>
    </row>
    <row r="1649" spans="2:14" hidden="1" x14ac:dyDescent="0.25">
      <c r="B1649" s="120">
        <v>1646</v>
      </c>
      <c r="C1649" s="123">
        <v>20100112214</v>
      </c>
      <c r="D1649" s="126" t="s">
        <v>188</v>
      </c>
      <c r="E1649" s="126" t="s">
        <v>1772</v>
      </c>
      <c r="F1649" s="123" t="s">
        <v>30</v>
      </c>
      <c r="G1649" s="123" t="s">
        <v>30</v>
      </c>
      <c r="H1649" s="123" t="s">
        <v>75</v>
      </c>
      <c r="I1649" s="126" t="s">
        <v>1773</v>
      </c>
      <c r="J1649" s="130" t="s">
        <v>1785</v>
      </c>
      <c r="K1649" s="123" t="s">
        <v>1786</v>
      </c>
      <c r="L1649" s="131" t="s">
        <v>731</v>
      </c>
      <c r="M1649" s="134" t="s">
        <v>1776</v>
      </c>
      <c r="N1649" s="123" t="s">
        <v>30</v>
      </c>
    </row>
    <row r="1650" spans="2:14" hidden="1" x14ac:dyDescent="0.25">
      <c r="B1650" s="120">
        <v>1647</v>
      </c>
      <c r="C1650" s="123">
        <v>20100112214</v>
      </c>
      <c r="D1650" s="126" t="s">
        <v>188</v>
      </c>
      <c r="E1650" s="126" t="s">
        <v>1772</v>
      </c>
      <c r="F1650" s="123" t="s">
        <v>30</v>
      </c>
      <c r="G1650" s="123" t="s">
        <v>30</v>
      </c>
      <c r="H1650" s="123" t="s">
        <v>75</v>
      </c>
      <c r="I1650" s="126" t="s">
        <v>1773</v>
      </c>
      <c r="J1650" s="130" t="s">
        <v>1783</v>
      </c>
      <c r="K1650" s="123" t="s">
        <v>1784</v>
      </c>
      <c r="L1650" s="131" t="s">
        <v>209</v>
      </c>
      <c r="M1650" s="134" t="s">
        <v>1776</v>
      </c>
      <c r="N1650" s="123" t="s">
        <v>30</v>
      </c>
    </row>
    <row r="1651" spans="2:14" hidden="1" x14ac:dyDescent="0.25">
      <c r="B1651" s="120">
        <v>1648</v>
      </c>
      <c r="C1651" s="123">
        <v>20100112214</v>
      </c>
      <c r="D1651" s="126" t="s">
        <v>188</v>
      </c>
      <c r="E1651" s="126" t="s">
        <v>1772</v>
      </c>
      <c r="F1651" s="123" t="s">
        <v>30</v>
      </c>
      <c r="G1651" s="123" t="s">
        <v>30</v>
      </c>
      <c r="H1651" s="123" t="s">
        <v>75</v>
      </c>
      <c r="I1651" s="126" t="s">
        <v>1773</v>
      </c>
      <c r="J1651" s="130" t="s">
        <v>1781</v>
      </c>
      <c r="K1651" s="123" t="s">
        <v>1782</v>
      </c>
      <c r="L1651" s="131" t="s">
        <v>209</v>
      </c>
      <c r="M1651" s="134" t="s">
        <v>1776</v>
      </c>
      <c r="N1651" s="123" t="s">
        <v>30</v>
      </c>
    </row>
    <row r="1652" spans="2:14" hidden="1" x14ac:dyDescent="0.25">
      <c r="B1652" s="120">
        <v>1649</v>
      </c>
      <c r="C1652" s="123">
        <v>20100112214</v>
      </c>
      <c r="D1652" s="126" t="s">
        <v>188</v>
      </c>
      <c r="E1652" s="126" t="s">
        <v>1772</v>
      </c>
      <c r="F1652" s="123" t="s">
        <v>30</v>
      </c>
      <c r="G1652" s="123" t="s">
        <v>30</v>
      </c>
      <c r="H1652" s="123" t="s">
        <v>75</v>
      </c>
      <c r="I1652" s="126" t="s">
        <v>1773</v>
      </c>
      <c r="J1652" s="130" t="s">
        <v>1779</v>
      </c>
      <c r="K1652" s="123" t="s">
        <v>1780</v>
      </c>
      <c r="L1652" s="131" t="s">
        <v>209</v>
      </c>
      <c r="M1652" s="134" t="s">
        <v>1776</v>
      </c>
      <c r="N1652" s="123" t="s">
        <v>30</v>
      </c>
    </row>
    <row r="1653" spans="2:14" hidden="1" x14ac:dyDescent="0.25">
      <c r="B1653" s="120">
        <v>1650</v>
      </c>
      <c r="C1653" s="123">
        <v>20100112214</v>
      </c>
      <c r="D1653" s="126" t="s">
        <v>188</v>
      </c>
      <c r="E1653" s="126" t="s">
        <v>1772</v>
      </c>
      <c r="F1653" s="123" t="s">
        <v>30</v>
      </c>
      <c r="G1653" s="123" t="s">
        <v>30</v>
      </c>
      <c r="H1653" s="123" t="s">
        <v>75</v>
      </c>
      <c r="I1653" s="126" t="s">
        <v>1773</v>
      </c>
      <c r="J1653" s="130" t="s">
        <v>1777</v>
      </c>
      <c r="K1653" s="123" t="s">
        <v>1778</v>
      </c>
      <c r="L1653" s="131" t="s">
        <v>209</v>
      </c>
      <c r="M1653" s="134" t="s">
        <v>1776</v>
      </c>
      <c r="N1653" s="123" t="s">
        <v>30</v>
      </c>
    </row>
    <row r="1654" spans="2:14" hidden="1" x14ac:dyDescent="0.25">
      <c r="B1654" s="120">
        <v>1651</v>
      </c>
      <c r="C1654" s="123">
        <v>20100112214</v>
      </c>
      <c r="D1654" s="126" t="s">
        <v>188</v>
      </c>
      <c r="E1654" s="126" t="s">
        <v>1772</v>
      </c>
      <c r="F1654" s="123" t="s">
        <v>30</v>
      </c>
      <c r="G1654" s="123" t="s">
        <v>30</v>
      </c>
      <c r="H1654" s="123" t="s">
        <v>75</v>
      </c>
      <c r="I1654" s="126" t="s">
        <v>1773</v>
      </c>
      <c r="J1654" s="130" t="s">
        <v>1774</v>
      </c>
      <c r="K1654" s="123" t="s">
        <v>1775</v>
      </c>
      <c r="L1654" s="131" t="s">
        <v>209</v>
      </c>
      <c r="M1654" s="134" t="s">
        <v>1776</v>
      </c>
      <c r="N1654" s="123" t="s">
        <v>30</v>
      </c>
    </row>
    <row r="1655" spans="2:14" hidden="1" x14ac:dyDescent="0.25">
      <c r="B1655" s="120">
        <v>1652</v>
      </c>
      <c r="C1655" s="123">
        <v>10100709436</v>
      </c>
      <c r="D1655" s="126" t="s">
        <v>1769</v>
      </c>
      <c r="E1655" s="126" t="s">
        <v>1771</v>
      </c>
      <c r="F1655" s="123" t="s">
        <v>30</v>
      </c>
      <c r="G1655" s="123" t="s">
        <v>30</v>
      </c>
      <c r="H1655" s="123" t="s">
        <v>50</v>
      </c>
      <c r="I1655" s="126" t="s">
        <v>1643</v>
      </c>
      <c r="J1655" s="130" t="s">
        <v>8640</v>
      </c>
      <c r="K1655" s="123" t="s">
        <v>1770</v>
      </c>
      <c r="L1655" s="131" t="s">
        <v>100</v>
      </c>
      <c r="M1655" s="134" t="s">
        <v>845</v>
      </c>
      <c r="N1655" s="123" t="s">
        <v>845</v>
      </c>
    </row>
    <row r="1656" spans="2:14" hidden="1" x14ac:dyDescent="0.25">
      <c r="B1656" s="120">
        <v>1653</v>
      </c>
      <c r="C1656" s="123">
        <v>10101745606</v>
      </c>
      <c r="D1656" s="126" t="s">
        <v>694</v>
      </c>
      <c r="E1656" s="126" t="s">
        <v>1768</v>
      </c>
      <c r="F1656" s="123" t="s">
        <v>30</v>
      </c>
      <c r="G1656" s="123" t="s">
        <v>30</v>
      </c>
      <c r="H1656" s="123" t="s">
        <v>40</v>
      </c>
      <c r="I1656" s="126" t="s">
        <v>1767</v>
      </c>
      <c r="J1656" s="130" t="s">
        <v>8641</v>
      </c>
      <c r="K1656" s="123" t="s">
        <v>1766</v>
      </c>
      <c r="L1656" s="131" t="s">
        <v>100</v>
      </c>
      <c r="M1656" s="134" t="s">
        <v>845</v>
      </c>
      <c r="N1656" s="123" t="s">
        <v>845</v>
      </c>
    </row>
    <row r="1657" spans="2:14" hidden="1" x14ac:dyDescent="0.25">
      <c r="B1657" s="120">
        <v>1654</v>
      </c>
      <c r="C1657" s="123">
        <v>10106064518</v>
      </c>
      <c r="D1657" s="126" t="s">
        <v>1763</v>
      </c>
      <c r="E1657" s="126" t="s">
        <v>1765</v>
      </c>
      <c r="F1657" s="123" t="s">
        <v>30</v>
      </c>
      <c r="G1657" s="123" t="s">
        <v>30</v>
      </c>
      <c r="H1657" s="123" t="s">
        <v>30</v>
      </c>
      <c r="I1657" s="126" t="s">
        <v>1365</v>
      </c>
      <c r="J1657" s="130" t="s">
        <v>8642</v>
      </c>
      <c r="K1657" s="123" t="s">
        <v>1764</v>
      </c>
      <c r="L1657" s="131" t="s">
        <v>100</v>
      </c>
      <c r="M1657" s="134" t="s">
        <v>1188</v>
      </c>
      <c r="N1657" s="123" t="s">
        <v>845</v>
      </c>
    </row>
    <row r="1658" spans="2:14" hidden="1" x14ac:dyDescent="0.25">
      <c r="B1658" s="120">
        <v>1655</v>
      </c>
      <c r="C1658" s="123">
        <v>20600827601</v>
      </c>
      <c r="D1658" s="126" t="s">
        <v>566</v>
      </c>
      <c r="E1658" s="126" t="s">
        <v>1759</v>
      </c>
      <c r="F1658" s="123" t="s">
        <v>30</v>
      </c>
      <c r="G1658" s="123" t="s">
        <v>30</v>
      </c>
      <c r="H1658" s="123" t="s">
        <v>103</v>
      </c>
      <c r="I1658" s="126" t="s">
        <v>1398</v>
      </c>
      <c r="J1658" s="130" t="s">
        <v>1760</v>
      </c>
      <c r="K1658" s="123" t="s">
        <v>1761</v>
      </c>
      <c r="L1658" s="131" t="s">
        <v>42</v>
      </c>
      <c r="M1658" s="134" t="s">
        <v>1762</v>
      </c>
      <c r="N1658" s="123" t="s">
        <v>30</v>
      </c>
    </row>
    <row r="1659" spans="2:14" hidden="1" x14ac:dyDescent="0.25">
      <c r="B1659" s="120">
        <v>1656</v>
      </c>
      <c r="C1659" s="123">
        <v>20432427928</v>
      </c>
      <c r="D1659" s="126" t="s">
        <v>130</v>
      </c>
      <c r="E1659" s="126" t="s">
        <v>1754</v>
      </c>
      <c r="F1659" s="123" t="s">
        <v>30</v>
      </c>
      <c r="G1659" s="123" t="s">
        <v>30</v>
      </c>
      <c r="H1659" s="123" t="s">
        <v>50</v>
      </c>
      <c r="I1659" s="126" t="s">
        <v>1755</v>
      </c>
      <c r="J1659" s="130" t="s">
        <v>1756</v>
      </c>
      <c r="K1659" s="123" t="s">
        <v>1757</v>
      </c>
      <c r="L1659" s="131" t="s">
        <v>731</v>
      </c>
      <c r="M1659" s="134" t="s">
        <v>1758</v>
      </c>
      <c r="N1659" s="123" t="s">
        <v>30</v>
      </c>
    </row>
    <row r="1660" spans="2:14" hidden="1" x14ac:dyDescent="0.25">
      <c r="B1660" s="120">
        <v>1657</v>
      </c>
      <c r="C1660" s="123">
        <v>20553060878</v>
      </c>
      <c r="D1660" s="126" t="s">
        <v>1749</v>
      </c>
      <c r="E1660" s="126" t="s">
        <v>1750</v>
      </c>
      <c r="F1660" s="123" t="s">
        <v>30</v>
      </c>
      <c r="G1660" s="123" t="s">
        <v>30</v>
      </c>
      <c r="H1660" s="123" t="s">
        <v>30</v>
      </c>
      <c r="I1660" s="126" t="s">
        <v>1384</v>
      </c>
      <c r="J1660" s="130" t="s">
        <v>1751</v>
      </c>
      <c r="K1660" s="123" t="s">
        <v>1752</v>
      </c>
      <c r="L1660" s="131" t="s">
        <v>1577</v>
      </c>
      <c r="M1660" s="134" t="s">
        <v>1753</v>
      </c>
      <c r="N1660" s="123" t="s">
        <v>30</v>
      </c>
    </row>
    <row r="1661" spans="2:14" hidden="1" x14ac:dyDescent="0.25">
      <c r="B1661" s="120">
        <v>1658</v>
      </c>
      <c r="C1661" s="123">
        <v>20100047056</v>
      </c>
      <c r="D1661" s="126" t="s">
        <v>277</v>
      </c>
      <c r="E1661" s="126" t="s">
        <v>1736</v>
      </c>
      <c r="F1661" s="123" t="s">
        <v>30</v>
      </c>
      <c r="G1661" s="123" t="s">
        <v>30</v>
      </c>
      <c r="H1661" s="123" t="s">
        <v>43</v>
      </c>
      <c r="I1661" s="126" t="s">
        <v>1737</v>
      </c>
      <c r="J1661" s="130" t="s">
        <v>1747</v>
      </c>
      <c r="K1661" s="123" t="s">
        <v>1748</v>
      </c>
      <c r="L1661" s="131" t="s">
        <v>209</v>
      </c>
      <c r="M1661" s="134" t="s">
        <v>1740</v>
      </c>
      <c r="N1661" s="123" t="s">
        <v>30</v>
      </c>
    </row>
    <row r="1662" spans="2:14" hidden="1" x14ac:dyDescent="0.25">
      <c r="B1662" s="120">
        <v>1659</v>
      </c>
      <c r="C1662" s="123">
        <v>20100047056</v>
      </c>
      <c r="D1662" s="126" t="s">
        <v>277</v>
      </c>
      <c r="E1662" s="126" t="s">
        <v>1736</v>
      </c>
      <c r="F1662" s="123" t="s">
        <v>30</v>
      </c>
      <c r="G1662" s="123" t="s">
        <v>30</v>
      </c>
      <c r="H1662" s="123" t="s">
        <v>43</v>
      </c>
      <c r="I1662" s="126" t="s">
        <v>1737</v>
      </c>
      <c r="J1662" s="130" t="s">
        <v>1745</v>
      </c>
      <c r="K1662" s="123" t="s">
        <v>1746</v>
      </c>
      <c r="L1662" s="131" t="s">
        <v>731</v>
      </c>
      <c r="M1662" s="134" t="s">
        <v>1740</v>
      </c>
      <c r="N1662" s="123" t="s">
        <v>30</v>
      </c>
    </row>
    <row r="1663" spans="2:14" hidden="1" x14ac:dyDescent="0.25">
      <c r="B1663" s="120">
        <v>1660</v>
      </c>
      <c r="C1663" s="123">
        <v>20100047056</v>
      </c>
      <c r="D1663" s="126" t="s">
        <v>277</v>
      </c>
      <c r="E1663" s="126" t="s">
        <v>1736</v>
      </c>
      <c r="F1663" s="123" t="s">
        <v>30</v>
      </c>
      <c r="G1663" s="123" t="s">
        <v>30</v>
      </c>
      <c r="H1663" s="123" t="s">
        <v>43</v>
      </c>
      <c r="I1663" s="126" t="s">
        <v>1737</v>
      </c>
      <c r="J1663" s="130" t="s">
        <v>1743</v>
      </c>
      <c r="K1663" s="123" t="s">
        <v>1744</v>
      </c>
      <c r="L1663" s="131" t="s">
        <v>209</v>
      </c>
      <c r="M1663" s="134" t="s">
        <v>1740</v>
      </c>
      <c r="N1663" s="123" t="s">
        <v>30</v>
      </c>
    </row>
    <row r="1664" spans="2:14" hidden="1" x14ac:dyDescent="0.25">
      <c r="B1664" s="120">
        <v>1661</v>
      </c>
      <c r="C1664" s="123">
        <v>20100047056</v>
      </c>
      <c r="D1664" s="126" t="s">
        <v>277</v>
      </c>
      <c r="E1664" s="126" t="s">
        <v>1736</v>
      </c>
      <c r="F1664" s="123" t="s">
        <v>30</v>
      </c>
      <c r="G1664" s="123" t="s">
        <v>30</v>
      </c>
      <c r="H1664" s="123" t="s">
        <v>43</v>
      </c>
      <c r="I1664" s="126" t="s">
        <v>1737</v>
      </c>
      <c r="J1664" s="130" t="s">
        <v>1741</v>
      </c>
      <c r="K1664" s="123" t="s">
        <v>1742</v>
      </c>
      <c r="L1664" s="131" t="s">
        <v>209</v>
      </c>
      <c r="M1664" s="134" t="s">
        <v>1740</v>
      </c>
      <c r="N1664" s="123" t="s">
        <v>30</v>
      </c>
    </row>
    <row r="1665" spans="2:14" hidden="1" x14ac:dyDescent="0.25">
      <c r="B1665" s="120">
        <v>1662</v>
      </c>
      <c r="C1665" s="123">
        <v>20100047056</v>
      </c>
      <c r="D1665" s="126" t="s">
        <v>277</v>
      </c>
      <c r="E1665" s="126" t="s">
        <v>1736</v>
      </c>
      <c r="F1665" s="123" t="s">
        <v>30</v>
      </c>
      <c r="G1665" s="123" t="s">
        <v>30</v>
      </c>
      <c r="H1665" s="123" t="s">
        <v>43</v>
      </c>
      <c r="I1665" s="126" t="s">
        <v>1737</v>
      </c>
      <c r="J1665" s="130" t="s">
        <v>1738</v>
      </c>
      <c r="K1665" s="123" t="s">
        <v>1739</v>
      </c>
      <c r="L1665" s="131" t="s">
        <v>209</v>
      </c>
      <c r="M1665" s="134" t="s">
        <v>1740</v>
      </c>
      <c r="N1665" s="123" t="s">
        <v>30</v>
      </c>
    </row>
    <row r="1666" spans="2:14" hidden="1" x14ac:dyDescent="0.25">
      <c r="B1666" s="120">
        <v>1663</v>
      </c>
      <c r="C1666" s="123">
        <v>20297218078</v>
      </c>
      <c r="D1666" s="126" t="s">
        <v>1730</v>
      </c>
      <c r="E1666" s="126" t="s">
        <v>1731</v>
      </c>
      <c r="F1666" s="123" t="s">
        <v>67</v>
      </c>
      <c r="G1666" s="123" t="s">
        <v>67</v>
      </c>
      <c r="H1666" s="123" t="s">
        <v>67</v>
      </c>
      <c r="I1666" s="126" t="s">
        <v>1732</v>
      </c>
      <c r="J1666" s="130" t="s">
        <v>1733</v>
      </c>
      <c r="K1666" s="123" t="s">
        <v>1734</v>
      </c>
      <c r="L1666" s="131" t="s">
        <v>42</v>
      </c>
      <c r="M1666" s="134" t="s">
        <v>1735</v>
      </c>
      <c r="N1666" s="123" t="s">
        <v>67</v>
      </c>
    </row>
    <row r="1667" spans="2:14" hidden="1" x14ac:dyDescent="0.25">
      <c r="B1667" s="120">
        <v>1664</v>
      </c>
      <c r="C1667" s="123">
        <v>20555279117</v>
      </c>
      <c r="D1667" s="126" t="s">
        <v>637</v>
      </c>
      <c r="E1667" s="126" t="s">
        <v>1726</v>
      </c>
      <c r="F1667" s="123" t="s">
        <v>30</v>
      </c>
      <c r="G1667" s="123" t="s">
        <v>30</v>
      </c>
      <c r="H1667" s="123" t="s">
        <v>43</v>
      </c>
      <c r="I1667" s="126" t="s">
        <v>1727</v>
      </c>
      <c r="J1667" s="130" t="s">
        <v>8501</v>
      </c>
      <c r="K1667" s="123" t="s">
        <v>1728</v>
      </c>
      <c r="L1667" s="131" t="s">
        <v>42</v>
      </c>
      <c r="M1667" s="134" t="s">
        <v>1729</v>
      </c>
      <c r="N1667" s="123" t="s">
        <v>30</v>
      </c>
    </row>
    <row r="1668" spans="2:14" hidden="1" x14ac:dyDescent="0.25">
      <c r="B1668" s="120">
        <v>1665</v>
      </c>
      <c r="C1668" s="123">
        <v>20546979611</v>
      </c>
      <c r="D1668" s="126" t="s">
        <v>111</v>
      </c>
      <c r="E1668" s="126" t="s">
        <v>1721</v>
      </c>
      <c r="F1668" s="123" t="s">
        <v>67</v>
      </c>
      <c r="G1668" s="123" t="s">
        <v>67</v>
      </c>
      <c r="H1668" s="123" t="s">
        <v>1722</v>
      </c>
      <c r="I1668" s="126" t="s">
        <v>1387</v>
      </c>
      <c r="J1668" s="130" t="s">
        <v>8646</v>
      </c>
      <c r="K1668" s="123" t="s">
        <v>1725</v>
      </c>
      <c r="L1668" s="131" t="s">
        <v>42</v>
      </c>
      <c r="M1668" s="134" t="s">
        <v>1724</v>
      </c>
      <c r="N1668" s="123" t="s">
        <v>67</v>
      </c>
    </row>
    <row r="1669" spans="2:14" hidden="1" x14ac:dyDescent="0.25">
      <c r="B1669" s="120">
        <v>1666</v>
      </c>
      <c r="C1669" s="123">
        <v>20546979611</v>
      </c>
      <c r="D1669" s="126" t="s">
        <v>111</v>
      </c>
      <c r="E1669" s="126" t="s">
        <v>1721</v>
      </c>
      <c r="F1669" s="123" t="s">
        <v>67</v>
      </c>
      <c r="G1669" s="123" t="s">
        <v>67</v>
      </c>
      <c r="H1669" s="123" t="s">
        <v>1722</v>
      </c>
      <c r="I1669" s="126" t="s">
        <v>1387</v>
      </c>
      <c r="J1669" s="130" t="s">
        <v>8645</v>
      </c>
      <c r="K1669" s="123" t="s">
        <v>1723</v>
      </c>
      <c r="L1669" s="131" t="s">
        <v>209</v>
      </c>
      <c r="M1669" s="134" t="s">
        <v>1724</v>
      </c>
      <c r="N1669" s="123" t="s">
        <v>67</v>
      </c>
    </row>
    <row r="1670" spans="2:14" hidden="1" x14ac:dyDescent="0.25">
      <c r="B1670" s="120">
        <v>1667</v>
      </c>
      <c r="C1670" s="123">
        <v>20601224276</v>
      </c>
      <c r="D1670" s="126" t="s">
        <v>264</v>
      </c>
      <c r="E1670" s="126" t="s">
        <v>1718</v>
      </c>
      <c r="F1670" s="123" t="s">
        <v>30</v>
      </c>
      <c r="G1670" s="123" t="s">
        <v>30</v>
      </c>
      <c r="H1670" s="123" t="s">
        <v>72</v>
      </c>
      <c r="I1670" s="126" t="s">
        <v>1715</v>
      </c>
      <c r="J1670" s="130" t="s">
        <v>20554</v>
      </c>
      <c r="K1670" s="123" t="s">
        <v>1719</v>
      </c>
      <c r="L1670" s="131" t="s">
        <v>42</v>
      </c>
      <c r="M1670" s="134" t="s">
        <v>1720</v>
      </c>
      <c r="N1670" s="123" t="s">
        <v>30</v>
      </c>
    </row>
    <row r="1671" spans="2:14" hidden="1" x14ac:dyDescent="0.25">
      <c r="B1671" s="120">
        <v>1668</v>
      </c>
      <c r="C1671" s="123">
        <v>20602297226</v>
      </c>
      <c r="D1671" s="126" t="s">
        <v>426</v>
      </c>
      <c r="E1671" s="126" t="s">
        <v>1714</v>
      </c>
      <c r="F1671" s="123" t="s">
        <v>30</v>
      </c>
      <c r="G1671" s="123" t="s">
        <v>30</v>
      </c>
      <c r="H1671" s="123" t="s">
        <v>72</v>
      </c>
      <c r="I1671" s="126" t="s">
        <v>1715</v>
      </c>
      <c r="J1671" s="130" t="s">
        <v>20555</v>
      </c>
      <c r="K1671" s="123" t="s">
        <v>1716</v>
      </c>
      <c r="L1671" s="131" t="s">
        <v>42</v>
      </c>
      <c r="M1671" s="134" t="s">
        <v>1717</v>
      </c>
      <c r="N1671" s="123" t="s">
        <v>30</v>
      </c>
    </row>
    <row r="1672" spans="2:14" hidden="1" x14ac:dyDescent="0.25">
      <c r="B1672" s="120">
        <v>1669</v>
      </c>
      <c r="C1672" s="123">
        <v>20603560257</v>
      </c>
      <c r="D1672" s="126" t="s">
        <v>520</v>
      </c>
      <c r="E1672" s="126" t="s">
        <v>1709</v>
      </c>
      <c r="F1672" s="123" t="s">
        <v>30</v>
      </c>
      <c r="G1672" s="123" t="s">
        <v>30</v>
      </c>
      <c r="H1672" s="123" t="s">
        <v>30</v>
      </c>
      <c r="I1672" s="126" t="s">
        <v>1377</v>
      </c>
      <c r="J1672" s="130" t="s">
        <v>1710</v>
      </c>
      <c r="K1672" s="123" t="s">
        <v>1711</v>
      </c>
      <c r="L1672" s="131" t="s">
        <v>1712</v>
      </c>
      <c r="M1672" s="134" t="s">
        <v>1713</v>
      </c>
      <c r="N1672" s="123" t="s">
        <v>30</v>
      </c>
    </row>
    <row r="1673" spans="2:14" hidden="1" x14ac:dyDescent="0.25">
      <c r="B1673" s="120">
        <v>1670</v>
      </c>
      <c r="C1673" s="123">
        <v>20536676512</v>
      </c>
      <c r="D1673" s="126" t="s">
        <v>490</v>
      </c>
      <c r="E1673" s="126" t="s">
        <v>1705</v>
      </c>
      <c r="F1673" s="123" t="s">
        <v>30</v>
      </c>
      <c r="G1673" s="123" t="s">
        <v>30</v>
      </c>
      <c r="H1673" s="123" t="s">
        <v>50</v>
      </c>
      <c r="I1673" s="126" t="s">
        <v>1706</v>
      </c>
      <c r="J1673" s="130" t="s">
        <v>6116</v>
      </c>
      <c r="K1673" s="123" t="s">
        <v>1707</v>
      </c>
      <c r="L1673" s="131" t="s">
        <v>57</v>
      </c>
      <c r="M1673" s="134" t="s">
        <v>1708</v>
      </c>
      <c r="N1673" s="123" t="s">
        <v>30</v>
      </c>
    </row>
    <row r="1674" spans="2:14" hidden="1" x14ac:dyDescent="0.25">
      <c r="B1674" s="120">
        <v>1671</v>
      </c>
      <c r="C1674" s="123">
        <v>20603459831</v>
      </c>
      <c r="D1674" s="126" t="s">
        <v>564</v>
      </c>
      <c r="E1674" s="126" t="s">
        <v>1700</v>
      </c>
      <c r="F1674" s="123" t="s">
        <v>30</v>
      </c>
      <c r="G1674" s="123" t="s">
        <v>30</v>
      </c>
      <c r="H1674" s="123" t="s">
        <v>72</v>
      </c>
      <c r="I1674" s="126" t="s">
        <v>1701</v>
      </c>
      <c r="J1674" s="130" t="s">
        <v>1702</v>
      </c>
      <c r="K1674" s="123" t="s">
        <v>1703</v>
      </c>
      <c r="L1674" s="131" t="s">
        <v>1577</v>
      </c>
      <c r="M1674" s="134" t="s">
        <v>1704</v>
      </c>
      <c r="N1674" s="123" t="s">
        <v>30</v>
      </c>
    </row>
    <row r="1675" spans="2:14" hidden="1" x14ac:dyDescent="0.25">
      <c r="B1675" s="120">
        <v>1672</v>
      </c>
      <c r="C1675" s="123">
        <v>20523859898</v>
      </c>
      <c r="D1675" s="126" t="s">
        <v>226</v>
      </c>
      <c r="E1675" s="126" t="s">
        <v>227</v>
      </c>
      <c r="F1675" s="123" t="s">
        <v>30</v>
      </c>
      <c r="G1675" s="123" t="s">
        <v>30</v>
      </c>
      <c r="H1675" s="123" t="s">
        <v>43</v>
      </c>
      <c r="I1675" s="126" t="s">
        <v>1412</v>
      </c>
      <c r="J1675" s="130" t="s">
        <v>1697</v>
      </c>
      <c r="K1675" s="123" t="s">
        <v>1698</v>
      </c>
      <c r="L1675" s="131" t="s">
        <v>1698</v>
      </c>
      <c r="M1675" s="134" t="s">
        <v>1699</v>
      </c>
      <c r="N1675" s="123" t="s">
        <v>30</v>
      </c>
    </row>
    <row r="1676" spans="2:14" hidden="1" x14ac:dyDescent="0.25">
      <c r="B1676" s="120">
        <v>1673</v>
      </c>
      <c r="C1676" s="123">
        <v>20127149632</v>
      </c>
      <c r="D1676" s="126" t="s">
        <v>358</v>
      </c>
      <c r="E1676" s="126" t="s">
        <v>1693</v>
      </c>
      <c r="F1676" s="123" t="s">
        <v>30</v>
      </c>
      <c r="G1676" s="123" t="s">
        <v>30</v>
      </c>
      <c r="H1676" s="123" t="s">
        <v>110</v>
      </c>
      <c r="I1676" s="126" t="s">
        <v>1694</v>
      </c>
      <c r="J1676" s="130" t="s">
        <v>20575</v>
      </c>
      <c r="K1676" s="123" t="s">
        <v>1695</v>
      </c>
      <c r="L1676" s="131" t="s">
        <v>42</v>
      </c>
      <c r="M1676" s="134" t="s">
        <v>1696</v>
      </c>
      <c r="N1676" s="123" t="s">
        <v>30</v>
      </c>
    </row>
    <row r="1677" spans="2:14" hidden="1" x14ac:dyDescent="0.25">
      <c r="B1677" s="120">
        <v>1674</v>
      </c>
      <c r="C1677" s="123">
        <v>20330791684</v>
      </c>
      <c r="D1677" s="126" t="s">
        <v>133</v>
      </c>
      <c r="E1677" s="126" t="s">
        <v>1672</v>
      </c>
      <c r="F1677" s="123" t="s">
        <v>67</v>
      </c>
      <c r="G1677" s="123" t="s">
        <v>67</v>
      </c>
      <c r="H1677" s="123" t="s">
        <v>67</v>
      </c>
      <c r="I1677" s="126" t="s">
        <v>1673</v>
      </c>
      <c r="J1677" s="130" t="s">
        <v>1691</v>
      </c>
      <c r="K1677" s="123" t="s">
        <v>1692</v>
      </c>
      <c r="L1677" s="131" t="s">
        <v>1558</v>
      </c>
      <c r="M1677" s="134" t="s">
        <v>1676</v>
      </c>
      <c r="N1677" s="123" t="s">
        <v>30</v>
      </c>
    </row>
    <row r="1678" spans="2:14" hidden="1" x14ac:dyDescent="0.25">
      <c r="B1678" s="120">
        <v>1675</v>
      </c>
      <c r="C1678" s="123">
        <v>20330791684</v>
      </c>
      <c r="D1678" s="126" t="s">
        <v>133</v>
      </c>
      <c r="E1678" s="126" t="s">
        <v>1672</v>
      </c>
      <c r="F1678" s="123" t="s">
        <v>67</v>
      </c>
      <c r="G1678" s="123" t="s">
        <v>67</v>
      </c>
      <c r="H1678" s="123" t="s">
        <v>67</v>
      </c>
      <c r="I1678" s="126" t="s">
        <v>1673</v>
      </c>
      <c r="J1678" s="130" t="s">
        <v>1689</v>
      </c>
      <c r="K1678" s="123" t="s">
        <v>1690</v>
      </c>
      <c r="L1678" s="131" t="s">
        <v>1558</v>
      </c>
      <c r="M1678" s="134" t="s">
        <v>1676</v>
      </c>
      <c r="N1678" s="123" t="s">
        <v>30</v>
      </c>
    </row>
    <row r="1679" spans="2:14" hidden="1" x14ac:dyDescent="0.25">
      <c r="B1679" s="120">
        <v>1676</v>
      </c>
      <c r="C1679" s="123">
        <v>20330791684</v>
      </c>
      <c r="D1679" s="126" t="s">
        <v>133</v>
      </c>
      <c r="E1679" s="126" t="s">
        <v>1672</v>
      </c>
      <c r="F1679" s="123" t="s">
        <v>67</v>
      </c>
      <c r="G1679" s="123" t="s">
        <v>67</v>
      </c>
      <c r="H1679" s="123" t="s">
        <v>67</v>
      </c>
      <c r="I1679" s="126" t="s">
        <v>1673</v>
      </c>
      <c r="J1679" s="130" t="s">
        <v>1688</v>
      </c>
      <c r="K1679" s="123" t="s">
        <v>7992</v>
      </c>
      <c r="L1679" s="131" t="s">
        <v>1558</v>
      </c>
      <c r="M1679" s="134" t="s">
        <v>1676</v>
      </c>
      <c r="N1679" s="123" t="s">
        <v>30</v>
      </c>
    </row>
    <row r="1680" spans="2:14" hidden="1" x14ac:dyDescent="0.25">
      <c r="B1680" s="120">
        <v>1677</v>
      </c>
      <c r="C1680" s="123">
        <v>20330791684</v>
      </c>
      <c r="D1680" s="126" t="s">
        <v>133</v>
      </c>
      <c r="E1680" s="126" t="s">
        <v>1672</v>
      </c>
      <c r="F1680" s="123" t="s">
        <v>67</v>
      </c>
      <c r="G1680" s="123" t="s">
        <v>67</v>
      </c>
      <c r="H1680" s="123" t="s">
        <v>67</v>
      </c>
      <c r="I1680" s="126" t="s">
        <v>1673</v>
      </c>
      <c r="J1680" s="130" t="s">
        <v>1687</v>
      </c>
      <c r="K1680" s="123" t="s">
        <v>7991</v>
      </c>
      <c r="L1680" s="131" t="s">
        <v>1558</v>
      </c>
      <c r="M1680" s="134" t="s">
        <v>1676</v>
      </c>
      <c r="N1680" s="123" t="s">
        <v>30</v>
      </c>
    </row>
    <row r="1681" spans="2:14" hidden="1" x14ac:dyDescent="0.25">
      <c r="B1681" s="120">
        <v>1678</v>
      </c>
      <c r="C1681" s="123">
        <v>20330791684</v>
      </c>
      <c r="D1681" s="126" t="s">
        <v>133</v>
      </c>
      <c r="E1681" s="126" t="s">
        <v>1672</v>
      </c>
      <c r="F1681" s="123" t="s">
        <v>67</v>
      </c>
      <c r="G1681" s="123" t="s">
        <v>67</v>
      </c>
      <c r="H1681" s="123" t="s">
        <v>67</v>
      </c>
      <c r="I1681" s="126" t="s">
        <v>1673</v>
      </c>
      <c r="J1681" s="130" t="s">
        <v>7989</v>
      </c>
      <c r="K1681" s="123" t="s">
        <v>7990</v>
      </c>
      <c r="L1681" s="131" t="s">
        <v>1558</v>
      </c>
      <c r="M1681" s="134" t="s">
        <v>1676</v>
      </c>
      <c r="N1681" s="123" t="s">
        <v>30</v>
      </c>
    </row>
    <row r="1682" spans="2:14" hidden="1" x14ac:dyDescent="0.25">
      <c r="B1682" s="120">
        <v>1679</v>
      </c>
      <c r="C1682" s="123">
        <v>20330791684</v>
      </c>
      <c r="D1682" s="126" t="s">
        <v>133</v>
      </c>
      <c r="E1682" s="126" t="s">
        <v>1672</v>
      </c>
      <c r="F1682" s="123" t="s">
        <v>67</v>
      </c>
      <c r="G1682" s="123" t="s">
        <v>67</v>
      </c>
      <c r="H1682" s="123" t="s">
        <v>67</v>
      </c>
      <c r="I1682" s="126" t="s">
        <v>1673</v>
      </c>
      <c r="J1682" s="130" t="s">
        <v>1685</v>
      </c>
      <c r="K1682" s="123" t="s">
        <v>1686</v>
      </c>
      <c r="L1682" s="131" t="s">
        <v>7944</v>
      </c>
      <c r="M1682" s="134" t="s">
        <v>1676</v>
      </c>
      <c r="N1682" s="123" t="s">
        <v>30</v>
      </c>
    </row>
    <row r="1683" spans="2:14" hidden="1" x14ac:dyDescent="0.25">
      <c r="B1683" s="120">
        <v>1680</v>
      </c>
      <c r="C1683" s="123">
        <v>20330791684</v>
      </c>
      <c r="D1683" s="126" t="s">
        <v>133</v>
      </c>
      <c r="E1683" s="126" t="s">
        <v>1672</v>
      </c>
      <c r="F1683" s="123" t="s">
        <v>67</v>
      </c>
      <c r="G1683" s="123" t="s">
        <v>67</v>
      </c>
      <c r="H1683" s="123" t="s">
        <v>67</v>
      </c>
      <c r="I1683" s="126" t="s">
        <v>1673</v>
      </c>
      <c r="J1683" s="130" t="s">
        <v>1683</v>
      </c>
      <c r="K1683" s="123" t="s">
        <v>1684</v>
      </c>
      <c r="L1683" s="131" t="s">
        <v>1558</v>
      </c>
      <c r="M1683" s="134" t="s">
        <v>1676</v>
      </c>
      <c r="N1683" s="123" t="s">
        <v>30</v>
      </c>
    </row>
    <row r="1684" spans="2:14" hidden="1" x14ac:dyDescent="0.25">
      <c r="B1684" s="120">
        <v>1681</v>
      </c>
      <c r="C1684" s="123">
        <v>20330791684</v>
      </c>
      <c r="D1684" s="126" t="s">
        <v>133</v>
      </c>
      <c r="E1684" s="126" t="s">
        <v>1672</v>
      </c>
      <c r="F1684" s="123" t="s">
        <v>67</v>
      </c>
      <c r="G1684" s="123" t="s">
        <v>67</v>
      </c>
      <c r="H1684" s="123" t="s">
        <v>67</v>
      </c>
      <c r="I1684" s="126" t="s">
        <v>1673</v>
      </c>
      <c r="J1684" s="130" t="s">
        <v>1682</v>
      </c>
      <c r="K1684" s="123" t="s">
        <v>5975</v>
      </c>
      <c r="L1684" s="131" t="s">
        <v>1558</v>
      </c>
      <c r="M1684" s="134" t="s">
        <v>1676</v>
      </c>
      <c r="N1684" s="123" t="s">
        <v>30</v>
      </c>
    </row>
    <row r="1685" spans="2:14" hidden="1" x14ac:dyDescent="0.25">
      <c r="B1685" s="120">
        <v>1682</v>
      </c>
      <c r="C1685" s="123">
        <v>20330791684</v>
      </c>
      <c r="D1685" s="126" t="s">
        <v>133</v>
      </c>
      <c r="E1685" s="126" t="s">
        <v>1672</v>
      </c>
      <c r="F1685" s="123" t="s">
        <v>67</v>
      </c>
      <c r="G1685" s="123" t="s">
        <v>67</v>
      </c>
      <c r="H1685" s="123" t="s">
        <v>67</v>
      </c>
      <c r="I1685" s="126" t="s">
        <v>1673</v>
      </c>
      <c r="J1685" s="130" t="s">
        <v>1680</v>
      </c>
      <c r="K1685" s="123" t="s">
        <v>1681</v>
      </c>
      <c r="L1685" s="131" t="s">
        <v>1558</v>
      </c>
      <c r="M1685" s="134" t="s">
        <v>1676</v>
      </c>
      <c r="N1685" s="123" t="s">
        <v>30</v>
      </c>
    </row>
    <row r="1686" spans="2:14" hidden="1" x14ac:dyDescent="0.25">
      <c r="B1686" s="120">
        <v>1683</v>
      </c>
      <c r="C1686" s="123">
        <v>20330791684</v>
      </c>
      <c r="D1686" s="126" t="s">
        <v>133</v>
      </c>
      <c r="E1686" s="126" t="s">
        <v>1672</v>
      </c>
      <c r="F1686" s="123" t="s">
        <v>67</v>
      </c>
      <c r="G1686" s="123" t="s">
        <v>67</v>
      </c>
      <c r="H1686" s="123" t="s">
        <v>67</v>
      </c>
      <c r="I1686" s="126" t="s">
        <v>1673</v>
      </c>
      <c r="J1686" s="130" t="s">
        <v>1679</v>
      </c>
      <c r="K1686" s="123" t="s">
        <v>5976</v>
      </c>
      <c r="L1686" s="131" t="s">
        <v>1558</v>
      </c>
      <c r="M1686" s="134" t="s">
        <v>1676</v>
      </c>
      <c r="N1686" s="123" t="s">
        <v>30</v>
      </c>
    </row>
    <row r="1687" spans="2:14" hidden="1" x14ac:dyDescent="0.25">
      <c r="B1687" s="120">
        <v>1684</v>
      </c>
      <c r="C1687" s="123">
        <v>20330791684</v>
      </c>
      <c r="D1687" s="126" t="s">
        <v>133</v>
      </c>
      <c r="E1687" s="126" t="s">
        <v>1672</v>
      </c>
      <c r="F1687" s="123" t="s">
        <v>67</v>
      </c>
      <c r="G1687" s="123" t="s">
        <v>67</v>
      </c>
      <c r="H1687" s="123" t="s">
        <v>67</v>
      </c>
      <c r="I1687" s="126" t="s">
        <v>1673</v>
      </c>
      <c r="J1687" s="130" t="s">
        <v>1677</v>
      </c>
      <c r="K1687" s="123" t="s">
        <v>1678</v>
      </c>
      <c r="L1687" s="131" t="s">
        <v>1558</v>
      </c>
      <c r="M1687" s="134" t="s">
        <v>1676</v>
      </c>
      <c r="N1687" s="123" t="s">
        <v>30</v>
      </c>
    </row>
    <row r="1688" spans="2:14" hidden="1" x14ac:dyDescent="0.25">
      <c r="B1688" s="120">
        <v>1685</v>
      </c>
      <c r="C1688" s="123">
        <v>20330791684</v>
      </c>
      <c r="D1688" s="126" t="s">
        <v>133</v>
      </c>
      <c r="E1688" s="126" t="s">
        <v>1672</v>
      </c>
      <c r="F1688" s="123" t="s">
        <v>67</v>
      </c>
      <c r="G1688" s="123" t="s">
        <v>67</v>
      </c>
      <c r="H1688" s="123" t="s">
        <v>67</v>
      </c>
      <c r="I1688" s="126" t="s">
        <v>1673</v>
      </c>
      <c r="J1688" s="130" t="s">
        <v>1674</v>
      </c>
      <c r="K1688" s="123" t="s">
        <v>1675</v>
      </c>
      <c r="L1688" s="131" t="s">
        <v>1558</v>
      </c>
      <c r="M1688" s="134" t="s">
        <v>1676</v>
      </c>
      <c r="N1688" s="123" t="s">
        <v>30</v>
      </c>
    </row>
    <row r="1689" spans="2:14" hidden="1" x14ac:dyDescent="0.25">
      <c r="B1689" s="120">
        <v>1686</v>
      </c>
      <c r="C1689" s="123">
        <v>20100012856</v>
      </c>
      <c r="D1689" s="126" t="s">
        <v>96</v>
      </c>
      <c r="E1689" s="126" t="s">
        <v>1659</v>
      </c>
      <c r="F1689" s="123" t="s">
        <v>67</v>
      </c>
      <c r="G1689" s="123" t="s">
        <v>67</v>
      </c>
      <c r="H1689" s="123" t="s">
        <v>81</v>
      </c>
      <c r="I1689" s="126" t="s">
        <v>1660</v>
      </c>
      <c r="J1689" s="130" t="s">
        <v>20776</v>
      </c>
      <c r="K1689" s="123" t="s">
        <v>20777</v>
      </c>
      <c r="L1689" s="131" t="s">
        <v>731</v>
      </c>
      <c r="M1689" s="134" t="s">
        <v>1662</v>
      </c>
      <c r="N1689" s="123" t="s">
        <v>30</v>
      </c>
    </row>
    <row r="1690" spans="2:14" hidden="1" x14ac:dyDescent="0.25">
      <c r="B1690" s="120">
        <v>1687</v>
      </c>
      <c r="C1690" s="123">
        <v>20100012856</v>
      </c>
      <c r="D1690" s="126" t="s">
        <v>96</v>
      </c>
      <c r="E1690" s="126" t="s">
        <v>1659</v>
      </c>
      <c r="F1690" s="123" t="s">
        <v>67</v>
      </c>
      <c r="G1690" s="123" t="s">
        <v>67</v>
      </c>
      <c r="H1690" s="123" t="s">
        <v>81</v>
      </c>
      <c r="I1690" s="126" t="s">
        <v>1660</v>
      </c>
      <c r="J1690" s="130" t="s">
        <v>20775</v>
      </c>
      <c r="K1690" s="123" t="s">
        <v>1671</v>
      </c>
      <c r="L1690" s="131" t="s">
        <v>209</v>
      </c>
      <c r="M1690" s="134" t="s">
        <v>1662</v>
      </c>
      <c r="N1690" s="123" t="s">
        <v>30</v>
      </c>
    </row>
    <row r="1691" spans="2:14" hidden="1" x14ac:dyDescent="0.25">
      <c r="B1691" s="120">
        <v>1688</v>
      </c>
      <c r="C1691" s="123">
        <v>20100012856</v>
      </c>
      <c r="D1691" s="126" t="s">
        <v>96</v>
      </c>
      <c r="E1691" s="126" t="s">
        <v>1659</v>
      </c>
      <c r="F1691" s="123" t="s">
        <v>67</v>
      </c>
      <c r="G1691" s="123" t="s">
        <v>67</v>
      </c>
      <c r="H1691" s="123" t="s">
        <v>81</v>
      </c>
      <c r="I1691" s="126" t="s">
        <v>1660</v>
      </c>
      <c r="J1691" s="130" t="s">
        <v>20773</v>
      </c>
      <c r="K1691" s="123" t="s">
        <v>20774</v>
      </c>
      <c r="L1691" s="131" t="s">
        <v>209</v>
      </c>
      <c r="M1691" s="134" t="s">
        <v>1662</v>
      </c>
      <c r="N1691" s="123" t="s">
        <v>30</v>
      </c>
    </row>
    <row r="1692" spans="2:14" hidden="1" x14ac:dyDescent="0.25">
      <c r="B1692" s="120">
        <v>1689</v>
      </c>
      <c r="C1692" s="123">
        <v>20100012856</v>
      </c>
      <c r="D1692" s="126" t="s">
        <v>96</v>
      </c>
      <c r="E1692" s="126" t="s">
        <v>1659</v>
      </c>
      <c r="F1692" s="123" t="s">
        <v>67</v>
      </c>
      <c r="G1692" s="123" t="s">
        <v>67</v>
      </c>
      <c r="H1692" s="123" t="s">
        <v>81</v>
      </c>
      <c r="I1692" s="126" t="s">
        <v>1660</v>
      </c>
      <c r="J1692" s="130" t="s">
        <v>20771</v>
      </c>
      <c r="K1692" s="123" t="s">
        <v>20772</v>
      </c>
      <c r="L1692" s="131" t="s">
        <v>119</v>
      </c>
      <c r="M1692" s="134" t="s">
        <v>1662</v>
      </c>
      <c r="N1692" s="123" t="s">
        <v>30</v>
      </c>
    </row>
    <row r="1693" spans="2:14" hidden="1" x14ac:dyDescent="0.25">
      <c r="B1693" s="120">
        <v>1690</v>
      </c>
      <c r="C1693" s="123">
        <v>20100012856</v>
      </c>
      <c r="D1693" s="126" t="s">
        <v>96</v>
      </c>
      <c r="E1693" s="126" t="s">
        <v>1659</v>
      </c>
      <c r="F1693" s="123" t="s">
        <v>67</v>
      </c>
      <c r="G1693" s="123" t="s">
        <v>67</v>
      </c>
      <c r="H1693" s="123" t="s">
        <v>81</v>
      </c>
      <c r="I1693" s="126" t="s">
        <v>1660</v>
      </c>
      <c r="J1693" s="130" t="s">
        <v>1669</v>
      </c>
      <c r="K1693" s="123" t="s">
        <v>1670</v>
      </c>
      <c r="L1693" s="131" t="s">
        <v>209</v>
      </c>
      <c r="M1693" s="134" t="s">
        <v>1662</v>
      </c>
      <c r="N1693" s="123" t="s">
        <v>30</v>
      </c>
    </row>
    <row r="1694" spans="2:14" hidden="1" x14ac:dyDescent="0.25">
      <c r="B1694" s="120">
        <v>1691</v>
      </c>
      <c r="C1694" s="123">
        <v>20100012856</v>
      </c>
      <c r="D1694" s="126" t="s">
        <v>96</v>
      </c>
      <c r="E1694" s="126" t="s">
        <v>1659</v>
      </c>
      <c r="F1694" s="123" t="s">
        <v>67</v>
      </c>
      <c r="G1694" s="123" t="s">
        <v>67</v>
      </c>
      <c r="H1694" s="123" t="s">
        <v>81</v>
      </c>
      <c r="I1694" s="126" t="s">
        <v>1660</v>
      </c>
      <c r="J1694" s="130" t="s">
        <v>20769</v>
      </c>
      <c r="K1694" s="123" t="s">
        <v>20770</v>
      </c>
      <c r="L1694" s="131" t="s">
        <v>209</v>
      </c>
      <c r="M1694" s="134" t="s">
        <v>1662</v>
      </c>
      <c r="N1694" s="123" t="s">
        <v>30</v>
      </c>
    </row>
    <row r="1695" spans="2:14" hidden="1" x14ac:dyDescent="0.25">
      <c r="B1695" s="120">
        <v>1692</v>
      </c>
      <c r="C1695" s="123">
        <v>20100012856</v>
      </c>
      <c r="D1695" s="126" t="s">
        <v>96</v>
      </c>
      <c r="E1695" s="126" t="s">
        <v>1659</v>
      </c>
      <c r="F1695" s="123" t="s">
        <v>67</v>
      </c>
      <c r="G1695" s="123" t="s">
        <v>67</v>
      </c>
      <c r="H1695" s="123" t="s">
        <v>81</v>
      </c>
      <c r="I1695" s="126" t="s">
        <v>1660</v>
      </c>
      <c r="J1695" s="130" t="s">
        <v>1668</v>
      </c>
      <c r="K1695" s="123" t="s">
        <v>20768</v>
      </c>
      <c r="L1695" s="131" t="s">
        <v>209</v>
      </c>
      <c r="M1695" s="134" t="s">
        <v>1662</v>
      </c>
      <c r="N1695" s="123" t="s">
        <v>30</v>
      </c>
    </row>
    <row r="1696" spans="2:14" hidden="1" x14ac:dyDescent="0.25">
      <c r="B1696" s="120">
        <v>1693</v>
      </c>
      <c r="C1696" s="123">
        <v>20100012856</v>
      </c>
      <c r="D1696" s="126" t="s">
        <v>96</v>
      </c>
      <c r="E1696" s="126" t="s">
        <v>1659</v>
      </c>
      <c r="F1696" s="123" t="s">
        <v>67</v>
      </c>
      <c r="G1696" s="123" t="s">
        <v>67</v>
      </c>
      <c r="H1696" s="123" t="s">
        <v>81</v>
      </c>
      <c r="I1696" s="126" t="s">
        <v>1660</v>
      </c>
      <c r="J1696" s="130" t="s">
        <v>1666</v>
      </c>
      <c r="K1696" s="123" t="s">
        <v>1667</v>
      </c>
      <c r="L1696" s="131" t="s">
        <v>209</v>
      </c>
      <c r="M1696" s="134" t="s">
        <v>1662</v>
      </c>
      <c r="N1696" s="123" t="s">
        <v>30</v>
      </c>
    </row>
    <row r="1697" spans="2:14" hidden="1" x14ac:dyDescent="0.25">
      <c r="B1697" s="120">
        <v>1694</v>
      </c>
      <c r="C1697" s="123">
        <v>20100012856</v>
      </c>
      <c r="D1697" s="126" t="s">
        <v>96</v>
      </c>
      <c r="E1697" s="126" t="s">
        <v>1659</v>
      </c>
      <c r="F1697" s="123" t="s">
        <v>67</v>
      </c>
      <c r="G1697" s="123" t="s">
        <v>67</v>
      </c>
      <c r="H1697" s="123" t="s">
        <v>81</v>
      </c>
      <c r="I1697" s="126" t="s">
        <v>1660</v>
      </c>
      <c r="J1697" s="130" t="s">
        <v>1663</v>
      </c>
      <c r="K1697" s="123" t="s">
        <v>1664</v>
      </c>
      <c r="L1697" s="136" t="s">
        <v>1665</v>
      </c>
      <c r="M1697" s="134" t="s">
        <v>1662</v>
      </c>
      <c r="N1697" s="123" t="s">
        <v>30</v>
      </c>
    </row>
    <row r="1698" spans="2:14" hidden="1" x14ac:dyDescent="0.25">
      <c r="B1698" s="120">
        <v>1695</v>
      </c>
      <c r="C1698" s="123">
        <v>20100012856</v>
      </c>
      <c r="D1698" s="126" t="s">
        <v>96</v>
      </c>
      <c r="E1698" s="126" t="s">
        <v>1659</v>
      </c>
      <c r="F1698" s="123" t="s">
        <v>67</v>
      </c>
      <c r="G1698" s="123" t="s">
        <v>67</v>
      </c>
      <c r="H1698" s="123" t="s">
        <v>81</v>
      </c>
      <c r="I1698" s="126" t="s">
        <v>1660</v>
      </c>
      <c r="J1698" s="130" t="s">
        <v>20766</v>
      </c>
      <c r="K1698" s="123" t="s">
        <v>20767</v>
      </c>
      <c r="L1698" s="136" t="s">
        <v>209</v>
      </c>
      <c r="M1698" s="134" t="s">
        <v>1662</v>
      </c>
      <c r="N1698" s="123" t="s">
        <v>30</v>
      </c>
    </row>
    <row r="1699" spans="2:14" hidden="1" x14ac:dyDescent="0.25">
      <c r="B1699" s="120">
        <v>1696</v>
      </c>
      <c r="C1699" s="123">
        <v>20100012856</v>
      </c>
      <c r="D1699" s="126" t="s">
        <v>96</v>
      </c>
      <c r="E1699" s="126" t="s">
        <v>1659</v>
      </c>
      <c r="F1699" s="123" t="s">
        <v>67</v>
      </c>
      <c r="G1699" s="123" t="s">
        <v>67</v>
      </c>
      <c r="H1699" s="123" t="s">
        <v>81</v>
      </c>
      <c r="I1699" s="126" t="s">
        <v>1660</v>
      </c>
      <c r="J1699" s="130" t="s">
        <v>20764</v>
      </c>
      <c r="K1699" s="123" t="s">
        <v>20765</v>
      </c>
      <c r="L1699" s="131" t="s">
        <v>36</v>
      </c>
      <c r="M1699" s="134" t="s">
        <v>1662</v>
      </c>
      <c r="N1699" s="123" t="s">
        <v>30</v>
      </c>
    </row>
    <row r="1700" spans="2:14" hidden="1" x14ac:dyDescent="0.25">
      <c r="B1700" s="120">
        <v>1697</v>
      </c>
      <c r="C1700" s="123">
        <v>20100012856</v>
      </c>
      <c r="D1700" s="126" t="s">
        <v>96</v>
      </c>
      <c r="E1700" s="126" t="s">
        <v>1659</v>
      </c>
      <c r="F1700" s="123" t="s">
        <v>67</v>
      </c>
      <c r="G1700" s="123" t="s">
        <v>67</v>
      </c>
      <c r="H1700" s="123" t="s">
        <v>81</v>
      </c>
      <c r="I1700" s="126" t="s">
        <v>1660</v>
      </c>
      <c r="J1700" s="130" t="s">
        <v>20762</v>
      </c>
      <c r="K1700" s="123" t="s">
        <v>20763</v>
      </c>
      <c r="L1700" s="131" t="s">
        <v>209</v>
      </c>
      <c r="M1700" s="134" t="s">
        <v>1662</v>
      </c>
      <c r="N1700" s="123" t="s">
        <v>30</v>
      </c>
    </row>
    <row r="1701" spans="2:14" hidden="1" x14ac:dyDescent="0.25">
      <c r="B1701" s="120">
        <v>1698</v>
      </c>
      <c r="C1701" s="123">
        <v>20339204404</v>
      </c>
      <c r="D1701" s="126" t="s">
        <v>1653</v>
      </c>
      <c r="E1701" s="126" t="s">
        <v>1654</v>
      </c>
      <c r="F1701" s="123" t="s">
        <v>30</v>
      </c>
      <c r="G1701" s="123" t="s">
        <v>30</v>
      </c>
      <c r="H1701" s="123" t="s">
        <v>51</v>
      </c>
      <c r="I1701" s="126" t="s">
        <v>1655</v>
      </c>
      <c r="J1701" s="130" t="s">
        <v>1656</v>
      </c>
      <c r="K1701" s="123" t="s">
        <v>1657</v>
      </c>
      <c r="L1701" s="131" t="s">
        <v>731</v>
      </c>
      <c r="M1701" s="134" t="s">
        <v>1658</v>
      </c>
      <c r="N1701" s="123" t="s">
        <v>30</v>
      </c>
    </row>
    <row r="1702" spans="2:14" hidden="1" x14ac:dyDescent="0.25">
      <c r="B1702" s="120">
        <v>1699</v>
      </c>
      <c r="C1702" s="123">
        <v>20168805072</v>
      </c>
      <c r="D1702" s="126" t="s">
        <v>1641</v>
      </c>
      <c r="E1702" s="126" t="s">
        <v>1642</v>
      </c>
      <c r="F1702" s="123" t="s">
        <v>67</v>
      </c>
      <c r="G1702" s="123" t="s">
        <v>67</v>
      </c>
      <c r="H1702" s="123" t="s">
        <v>67</v>
      </c>
      <c r="I1702" s="126" t="s">
        <v>1643</v>
      </c>
      <c r="J1702" s="130" t="s">
        <v>1651</v>
      </c>
      <c r="K1702" s="123" t="s">
        <v>1652</v>
      </c>
      <c r="L1702" s="131" t="s">
        <v>209</v>
      </c>
      <c r="M1702" s="134" t="s">
        <v>1646</v>
      </c>
      <c r="N1702" s="123" t="s">
        <v>30</v>
      </c>
    </row>
    <row r="1703" spans="2:14" hidden="1" x14ac:dyDescent="0.25">
      <c r="B1703" s="120">
        <v>1700</v>
      </c>
      <c r="C1703" s="123">
        <v>20168805072</v>
      </c>
      <c r="D1703" s="126" t="s">
        <v>1641</v>
      </c>
      <c r="E1703" s="126" t="s">
        <v>1642</v>
      </c>
      <c r="F1703" s="123" t="s">
        <v>67</v>
      </c>
      <c r="G1703" s="123" t="s">
        <v>67</v>
      </c>
      <c r="H1703" s="123" t="s">
        <v>67</v>
      </c>
      <c r="I1703" s="126" t="s">
        <v>1643</v>
      </c>
      <c r="J1703" s="130" t="s">
        <v>1649</v>
      </c>
      <c r="K1703" s="123" t="s">
        <v>1650</v>
      </c>
      <c r="L1703" s="131" t="s">
        <v>209</v>
      </c>
      <c r="M1703" s="134" t="s">
        <v>1646</v>
      </c>
      <c r="N1703" s="123" t="s">
        <v>30</v>
      </c>
    </row>
    <row r="1704" spans="2:14" hidden="1" x14ac:dyDescent="0.25">
      <c r="B1704" s="120">
        <v>1701</v>
      </c>
      <c r="C1704" s="123">
        <v>20168805072</v>
      </c>
      <c r="D1704" s="126" t="s">
        <v>1641</v>
      </c>
      <c r="E1704" s="126" t="s">
        <v>1642</v>
      </c>
      <c r="F1704" s="123" t="s">
        <v>67</v>
      </c>
      <c r="G1704" s="123" t="s">
        <v>67</v>
      </c>
      <c r="H1704" s="123" t="s">
        <v>67</v>
      </c>
      <c r="I1704" s="126" t="s">
        <v>1643</v>
      </c>
      <c r="J1704" s="130" t="s">
        <v>1647</v>
      </c>
      <c r="K1704" s="123" t="s">
        <v>1648</v>
      </c>
      <c r="L1704" s="131" t="s">
        <v>209</v>
      </c>
      <c r="M1704" s="134" t="s">
        <v>1646</v>
      </c>
      <c r="N1704" s="123" t="s">
        <v>30</v>
      </c>
    </row>
    <row r="1705" spans="2:14" hidden="1" x14ac:dyDescent="0.25">
      <c r="B1705" s="120">
        <v>1702</v>
      </c>
      <c r="C1705" s="123">
        <v>20168805072</v>
      </c>
      <c r="D1705" s="126" t="s">
        <v>1641</v>
      </c>
      <c r="E1705" s="126" t="s">
        <v>1642</v>
      </c>
      <c r="F1705" s="123" t="s">
        <v>67</v>
      </c>
      <c r="G1705" s="123" t="s">
        <v>67</v>
      </c>
      <c r="H1705" s="123" t="s">
        <v>67</v>
      </c>
      <c r="I1705" s="126" t="s">
        <v>1643</v>
      </c>
      <c r="J1705" s="130" t="s">
        <v>1644</v>
      </c>
      <c r="K1705" s="123" t="s">
        <v>1645</v>
      </c>
      <c r="L1705" s="131" t="s">
        <v>209</v>
      </c>
      <c r="M1705" s="134" t="s">
        <v>1646</v>
      </c>
      <c r="N1705" s="123" t="s">
        <v>30</v>
      </c>
    </row>
    <row r="1706" spans="2:14" hidden="1" x14ac:dyDescent="0.25">
      <c r="B1706" s="120">
        <v>1703</v>
      </c>
      <c r="C1706" s="123">
        <v>20100003351</v>
      </c>
      <c r="D1706" s="126" t="s">
        <v>128</v>
      </c>
      <c r="E1706" s="126" t="s">
        <v>1630</v>
      </c>
      <c r="F1706" s="123" t="s">
        <v>67</v>
      </c>
      <c r="G1706" s="123" t="s">
        <v>67</v>
      </c>
      <c r="H1706" s="123" t="s">
        <v>67</v>
      </c>
      <c r="I1706" s="126" t="s">
        <v>1631</v>
      </c>
      <c r="J1706" s="130" t="s">
        <v>1639</v>
      </c>
      <c r="K1706" s="123" t="s">
        <v>1640</v>
      </c>
      <c r="L1706" s="131" t="s">
        <v>209</v>
      </c>
      <c r="M1706" s="134" t="s">
        <v>1634</v>
      </c>
      <c r="N1706" s="123" t="s">
        <v>67</v>
      </c>
    </row>
    <row r="1707" spans="2:14" hidden="1" x14ac:dyDescent="0.25">
      <c r="B1707" s="120">
        <v>1704</v>
      </c>
      <c r="C1707" s="123">
        <v>20100003351</v>
      </c>
      <c r="D1707" s="126" t="s">
        <v>128</v>
      </c>
      <c r="E1707" s="126" t="s">
        <v>1630</v>
      </c>
      <c r="F1707" s="123" t="s">
        <v>67</v>
      </c>
      <c r="G1707" s="123" t="s">
        <v>67</v>
      </c>
      <c r="H1707" s="123" t="s">
        <v>67</v>
      </c>
      <c r="I1707" s="126" t="s">
        <v>1631</v>
      </c>
      <c r="J1707" s="130" t="s">
        <v>1637</v>
      </c>
      <c r="K1707" s="123" t="s">
        <v>1638</v>
      </c>
      <c r="L1707" s="131" t="s">
        <v>1309</v>
      </c>
      <c r="M1707" s="134" t="s">
        <v>1634</v>
      </c>
      <c r="N1707" s="123" t="s">
        <v>67</v>
      </c>
    </row>
    <row r="1708" spans="2:14" hidden="1" x14ac:dyDescent="0.25">
      <c r="B1708" s="120">
        <v>1705</v>
      </c>
      <c r="C1708" s="123">
        <v>20100003351</v>
      </c>
      <c r="D1708" s="126" t="s">
        <v>128</v>
      </c>
      <c r="E1708" s="126" t="s">
        <v>1630</v>
      </c>
      <c r="F1708" s="123" t="s">
        <v>67</v>
      </c>
      <c r="G1708" s="123" t="s">
        <v>67</v>
      </c>
      <c r="H1708" s="123" t="s">
        <v>67</v>
      </c>
      <c r="I1708" s="126" t="s">
        <v>1631</v>
      </c>
      <c r="J1708" s="130" t="s">
        <v>1635</v>
      </c>
      <c r="K1708" s="123" t="s">
        <v>1636</v>
      </c>
      <c r="L1708" s="131" t="s">
        <v>73</v>
      </c>
      <c r="M1708" s="134" t="s">
        <v>1634</v>
      </c>
      <c r="N1708" s="123" t="s">
        <v>67</v>
      </c>
    </row>
    <row r="1709" spans="2:14" hidden="1" x14ac:dyDescent="0.25">
      <c r="B1709" s="120">
        <v>1706</v>
      </c>
      <c r="C1709" s="123">
        <v>20100003351</v>
      </c>
      <c r="D1709" s="126" t="s">
        <v>128</v>
      </c>
      <c r="E1709" s="126" t="s">
        <v>1630</v>
      </c>
      <c r="F1709" s="123" t="s">
        <v>67</v>
      </c>
      <c r="G1709" s="123" t="s">
        <v>67</v>
      </c>
      <c r="H1709" s="123" t="s">
        <v>67</v>
      </c>
      <c r="I1709" s="126" t="s">
        <v>1631</v>
      </c>
      <c r="J1709" s="130" t="s">
        <v>1632</v>
      </c>
      <c r="K1709" s="123" t="s">
        <v>1633</v>
      </c>
      <c r="L1709" s="131" t="s">
        <v>209</v>
      </c>
      <c r="M1709" s="134" t="s">
        <v>1634</v>
      </c>
      <c r="N1709" s="123" t="s">
        <v>67</v>
      </c>
    </row>
    <row r="1710" spans="2:14" hidden="1" x14ac:dyDescent="0.25">
      <c r="B1710" s="120">
        <v>1707</v>
      </c>
      <c r="C1710" s="123">
        <v>20600494300</v>
      </c>
      <c r="D1710" s="126" t="s">
        <v>461</v>
      </c>
      <c r="E1710" s="126" t="s">
        <v>1627</v>
      </c>
      <c r="F1710" s="123" t="s">
        <v>67</v>
      </c>
      <c r="G1710" s="123" t="s">
        <v>67</v>
      </c>
      <c r="H1710" s="123" t="s">
        <v>67</v>
      </c>
      <c r="I1710" s="126" t="s">
        <v>1377</v>
      </c>
      <c r="J1710" s="130" t="s">
        <v>8283</v>
      </c>
      <c r="K1710" s="123" t="s">
        <v>1628</v>
      </c>
      <c r="L1710" s="131" t="s">
        <v>42</v>
      </c>
      <c r="M1710" s="134" t="s">
        <v>1629</v>
      </c>
      <c r="N1710" s="123" t="s">
        <v>30</v>
      </c>
    </row>
    <row r="1711" spans="2:14" hidden="1" x14ac:dyDescent="0.25">
      <c r="B1711" s="120">
        <v>1708</v>
      </c>
      <c r="C1711" s="123">
        <v>20537689626</v>
      </c>
      <c r="D1711" s="126" t="s">
        <v>272</v>
      </c>
      <c r="E1711" s="126" t="s">
        <v>1623</v>
      </c>
      <c r="F1711" s="123" t="s">
        <v>30</v>
      </c>
      <c r="G1711" s="123" t="s">
        <v>30</v>
      </c>
      <c r="H1711" s="123" t="s">
        <v>37</v>
      </c>
      <c r="I1711" s="126" t="s">
        <v>1424</v>
      </c>
      <c r="J1711" s="130" t="s">
        <v>1624</v>
      </c>
      <c r="K1711" s="123" t="s">
        <v>1625</v>
      </c>
      <c r="L1711" s="131" t="s">
        <v>42</v>
      </c>
      <c r="M1711" s="134" t="s">
        <v>1626</v>
      </c>
      <c r="N1711" s="123" t="s">
        <v>30</v>
      </c>
    </row>
    <row r="1712" spans="2:14" hidden="1" x14ac:dyDescent="0.25">
      <c r="B1712" s="120">
        <v>1709</v>
      </c>
      <c r="C1712" s="123">
        <v>20522536599</v>
      </c>
      <c r="D1712" s="126" t="s">
        <v>1617</v>
      </c>
      <c r="E1712" s="126" t="s">
        <v>1618</v>
      </c>
      <c r="F1712" s="123" t="s">
        <v>30</v>
      </c>
      <c r="G1712" s="123" t="s">
        <v>30</v>
      </c>
      <c r="H1712" s="123" t="s">
        <v>37</v>
      </c>
      <c r="I1712" s="126" t="s">
        <v>1619</v>
      </c>
      <c r="J1712" s="130" t="s">
        <v>1621</v>
      </c>
      <c r="K1712" s="123" t="s">
        <v>1622</v>
      </c>
      <c r="L1712" s="131" t="s">
        <v>731</v>
      </c>
      <c r="M1712" s="134" t="s">
        <v>845</v>
      </c>
      <c r="N1712" s="123" t="s">
        <v>845</v>
      </c>
    </row>
    <row r="1713" spans="2:14" hidden="1" x14ac:dyDescent="0.25">
      <c r="B1713" s="120">
        <v>1710</v>
      </c>
      <c r="C1713" s="123">
        <v>20522536599</v>
      </c>
      <c r="D1713" s="126" t="s">
        <v>1617</v>
      </c>
      <c r="E1713" s="126" t="s">
        <v>1618</v>
      </c>
      <c r="F1713" s="123" t="s">
        <v>30</v>
      </c>
      <c r="G1713" s="123" t="s">
        <v>30</v>
      </c>
      <c r="H1713" s="123" t="s">
        <v>37</v>
      </c>
      <c r="I1713" s="126" t="s">
        <v>1619</v>
      </c>
      <c r="J1713" s="130" t="s">
        <v>7994</v>
      </c>
      <c r="K1713" s="123" t="s">
        <v>1620</v>
      </c>
      <c r="L1713" s="131" t="s">
        <v>209</v>
      </c>
      <c r="M1713" s="134" t="s">
        <v>845</v>
      </c>
      <c r="N1713" s="123" t="s">
        <v>845</v>
      </c>
    </row>
    <row r="1714" spans="2:14" hidden="1" x14ac:dyDescent="0.25">
      <c r="B1714" s="120">
        <v>1711</v>
      </c>
      <c r="C1714" s="123">
        <v>20511348855</v>
      </c>
      <c r="D1714" s="126" t="s">
        <v>1613</v>
      </c>
      <c r="E1714" s="126" t="s">
        <v>1614</v>
      </c>
      <c r="F1714" s="123" t="s">
        <v>67</v>
      </c>
      <c r="G1714" s="123" t="s">
        <v>67</v>
      </c>
      <c r="H1714" s="123" t="s">
        <v>67</v>
      </c>
      <c r="I1714" s="126" t="s">
        <v>1365</v>
      </c>
      <c r="J1714" s="130" t="s">
        <v>20573</v>
      </c>
      <c r="K1714" s="123" t="s">
        <v>1615</v>
      </c>
      <c r="L1714" s="131" t="s">
        <v>42</v>
      </c>
      <c r="M1714" s="134" t="s">
        <v>1616</v>
      </c>
      <c r="N1714" s="123" t="s">
        <v>67</v>
      </c>
    </row>
    <row r="1715" spans="2:14" hidden="1" x14ac:dyDescent="0.25">
      <c r="B1715" s="120">
        <v>1712</v>
      </c>
      <c r="C1715" s="123">
        <v>20547459319</v>
      </c>
      <c r="D1715" s="126" t="s">
        <v>1610</v>
      </c>
      <c r="E1715" s="126" t="s">
        <v>8474</v>
      </c>
      <c r="F1715" s="123" t="s">
        <v>30</v>
      </c>
      <c r="G1715" s="123" t="s">
        <v>30</v>
      </c>
      <c r="H1715" s="123" t="s">
        <v>72</v>
      </c>
      <c r="I1715" s="126" t="s">
        <v>1450</v>
      </c>
      <c r="J1715" s="130" t="s">
        <v>8475</v>
      </c>
      <c r="K1715" s="123" t="s">
        <v>1611</v>
      </c>
      <c r="L1715" s="131" t="s">
        <v>731</v>
      </c>
      <c r="M1715" s="134" t="s">
        <v>1612</v>
      </c>
      <c r="N1715" s="123" t="s">
        <v>30</v>
      </c>
    </row>
    <row r="1716" spans="2:14" hidden="1" x14ac:dyDescent="0.25">
      <c r="B1716" s="120">
        <v>1713</v>
      </c>
      <c r="C1716" s="123">
        <v>20545040710</v>
      </c>
      <c r="D1716" s="126" t="s">
        <v>513</v>
      </c>
      <c r="E1716" s="126" t="s">
        <v>1607</v>
      </c>
      <c r="F1716" s="123" t="s">
        <v>30</v>
      </c>
      <c r="G1716" s="123" t="s">
        <v>30</v>
      </c>
      <c r="H1716" s="123" t="s">
        <v>50</v>
      </c>
      <c r="I1716" s="126" t="s">
        <v>1398</v>
      </c>
      <c r="J1716" s="130" t="s">
        <v>20577</v>
      </c>
      <c r="K1716" s="123" t="s">
        <v>1608</v>
      </c>
      <c r="L1716" s="131" t="s">
        <v>42</v>
      </c>
      <c r="M1716" s="134" t="s">
        <v>1609</v>
      </c>
      <c r="N1716" s="123" t="s">
        <v>30</v>
      </c>
    </row>
    <row r="1717" spans="2:14" hidden="1" x14ac:dyDescent="0.25">
      <c r="B1717" s="120">
        <v>1714</v>
      </c>
      <c r="C1717" s="123">
        <v>20521052181</v>
      </c>
      <c r="D1717" s="126" t="s">
        <v>499</v>
      </c>
      <c r="E1717" s="126" t="s">
        <v>1603</v>
      </c>
      <c r="F1717" s="123" t="s">
        <v>30</v>
      </c>
      <c r="G1717" s="123" t="s">
        <v>30</v>
      </c>
      <c r="H1717" s="123" t="s">
        <v>64</v>
      </c>
      <c r="I1717" s="126" t="s">
        <v>1604</v>
      </c>
      <c r="J1717" s="130" t="s">
        <v>20578</v>
      </c>
      <c r="K1717" s="123" t="s">
        <v>1605</v>
      </c>
      <c r="L1717" s="131" t="s">
        <v>42</v>
      </c>
      <c r="M1717" s="134" t="s">
        <v>1606</v>
      </c>
      <c r="N1717" s="123" t="s">
        <v>67</v>
      </c>
    </row>
    <row r="1718" spans="2:14" hidden="1" x14ac:dyDescent="0.25">
      <c r="B1718" s="120">
        <v>1715</v>
      </c>
      <c r="C1718" s="123">
        <v>20550452325</v>
      </c>
      <c r="D1718" s="126" t="s">
        <v>655</v>
      </c>
      <c r="E1718" s="126" t="s">
        <v>1599</v>
      </c>
      <c r="F1718" s="123" t="s">
        <v>30</v>
      </c>
      <c r="G1718" s="123" t="s">
        <v>30</v>
      </c>
      <c r="H1718" s="123" t="s">
        <v>110</v>
      </c>
      <c r="I1718" s="126" t="s">
        <v>1365</v>
      </c>
      <c r="J1718" s="130" t="s">
        <v>1600</v>
      </c>
      <c r="K1718" s="123" t="s">
        <v>1601</v>
      </c>
      <c r="L1718" s="131" t="s">
        <v>731</v>
      </c>
      <c r="M1718" s="134" t="s">
        <v>1602</v>
      </c>
      <c r="N1718" s="123" t="s">
        <v>30</v>
      </c>
    </row>
    <row r="1719" spans="2:14" hidden="1" x14ac:dyDescent="0.25">
      <c r="B1719" s="120">
        <v>1716</v>
      </c>
      <c r="C1719" s="123">
        <v>20605247858</v>
      </c>
      <c r="D1719" s="126" t="s">
        <v>540</v>
      </c>
      <c r="E1719" s="126" t="s">
        <v>1064</v>
      </c>
      <c r="F1719" s="123" t="s">
        <v>30</v>
      </c>
      <c r="G1719" s="123" t="s">
        <v>30</v>
      </c>
      <c r="H1719" s="123" t="s">
        <v>72</v>
      </c>
      <c r="I1719" s="126" t="s">
        <v>1595</v>
      </c>
      <c r="J1719" s="130" t="s">
        <v>1596</v>
      </c>
      <c r="K1719" s="123" t="s">
        <v>1597</v>
      </c>
      <c r="L1719" s="131" t="s">
        <v>1577</v>
      </c>
      <c r="M1719" s="134" t="s">
        <v>1598</v>
      </c>
      <c r="N1719" s="123" t="s">
        <v>30</v>
      </c>
    </row>
    <row r="1720" spans="2:14" hidden="1" x14ac:dyDescent="0.25">
      <c r="B1720" s="120">
        <v>1717</v>
      </c>
      <c r="C1720" s="123">
        <v>20512874879</v>
      </c>
      <c r="D1720" s="126" t="s">
        <v>476</v>
      </c>
      <c r="E1720" s="126" t="s">
        <v>1588</v>
      </c>
      <c r="F1720" s="123" t="s">
        <v>30</v>
      </c>
      <c r="G1720" s="123" t="s">
        <v>30</v>
      </c>
      <c r="H1720" s="123" t="s">
        <v>88</v>
      </c>
      <c r="I1720" s="126" t="s">
        <v>1398</v>
      </c>
      <c r="J1720" s="130" t="s">
        <v>1593</v>
      </c>
      <c r="K1720" s="123" t="s">
        <v>1594</v>
      </c>
      <c r="L1720" s="131" t="s">
        <v>42</v>
      </c>
      <c r="M1720" s="134" t="s">
        <v>1592</v>
      </c>
      <c r="N1720" s="123" t="s">
        <v>30</v>
      </c>
    </row>
    <row r="1721" spans="2:14" hidden="1" x14ac:dyDescent="0.25">
      <c r="B1721" s="120">
        <v>1718</v>
      </c>
      <c r="C1721" s="123">
        <v>20512874879</v>
      </c>
      <c r="D1721" s="126" t="s">
        <v>476</v>
      </c>
      <c r="E1721" s="126" t="s">
        <v>1588</v>
      </c>
      <c r="F1721" s="123" t="s">
        <v>30</v>
      </c>
      <c r="G1721" s="123" t="s">
        <v>30</v>
      </c>
      <c r="H1721" s="123" t="s">
        <v>88</v>
      </c>
      <c r="I1721" s="126" t="s">
        <v>1398</v>
      </c>
      <c r="J1721" s="130" t="s">
        <v>1589</v>
      </c>
      <c r="K1721" s="123" t="s">
        <v>1590</v>
      </c>
      <c r="L1721" s="131" t="s">
        <v>1591</v>
      </c>
      <c r="M1721" s="134" t="s">
        <v>1592</v>
      </c>
      <c r="N1721" s="123" t="s">
        <v>30</v>
      </c>
    </row>
    <row r="1722" spans="2:14" hidden="1" x14ac:dyDescent="0.25">
      <c r="B1722" s="120">
        <v>1719</v>
      </c>
      <c r="C1722" s="123">
        <v>20605994530</v>
      </c>
      <c r="D1722" s="126" t="s">
        <v>599</v>
      </c>
      <c r="E1722" s="126" t="s">
        <v>1585</v>
      </c>
      <c r="F1722" s="123" t="s">
        <v>30</v>
      </c>
      <c r="G1722" s="123" t="s">
        <v>30</v>
      </c>
      <c r="H1722" s="123" t="s">
        <v>110</v>
      </c>
      <c r="I1722" s="126" t="s">
        <v>1412</v>
      </c>
      <c r="J1722" s="130" t="s">
        <v>1586</v>
      </c>
      <c r="K1722" s="123" t="s">
        <v>1587</v>
      </c>
      <c r="L1722" s="131" t="s">
        <v>731</v>
      </c>
      <c r="M1722" s="134" t="s">
        <v>845</v>
      </c>
      <c r="N1722" s="123" t="s">
        <v>845</v>
      </c>
    </row>
    <row r="1723" spans="2:14" hidden="1" x14ac:dyDescent="0.25">
      <c r="B1723" s="120">
        <v>1720</v>
      </c>
      <c r="C1723" s="123">
        <v>20514167321</v>
      </c>
      <c r="D1723" s="126" t="s">
        <v>208</v>
      </c>
      <c r="E1723" s="126" t="s">
        <v>1582</v>
      </c>
      <c r="F1723" s="123" t="s">
        <v>30</v>
      </c>
      <c r="G1723" s="123" t="s">
        <v>30</v>
      </c>
      <c r="H1723" s="123" t="s">
        <v>110</v>
      </c>
      <c r="I1723" s="126" t="s">
        <v>1398</v>
      </c>
      <c r="J1723" s="130" t="s">
        <v>8316</v>
      </c>
      <c r="K1723" s="123" t="s">
        <v>1583</v>
      </c>
      <c r="L1723" s="131" t="s">
        <v>42</v>
      </c>
      <c r="M1723" s="134" t="s">
        <v>1584</v>
      </c>
      <c r="N1723" s="123" t="s">
        <v>30</v>
      </c>
    </row>
    <row r="1724" spans="2:14" hidden="1" x14ac:dyDescent="0.25">
      <c r="B1724" s="120">
        <v>1721</v>
      </c>
      <c r="C1724" s="123">
        <v>20602579264</v>
      </c>
      <c r="D1724" s="126" t="s">
        <v>240</v>
      </c>
      <c r="E1724" s="126" t="s">
        <v>1579</v>
      </c>
      <c r="F1724" s="123" t="s">
        <v>30</v>
      </c>
      <c r="G1724" s="123" t="s">
        <v>30</v>
      </c>
      <c r="H1724" s="123" t="s">
        <v>147</v>
      </c>
      <c r="I1724" s="126" t="s">
        <v>1424</v>
      </c>
      <c r="J1724" s="130" t="s">
        <v>7993</v>
      </c>
      <c r="K1724" s="123" t="s">
        <v>1580</v>
      </c>
      <c r="L1724" s="131" t="s">
        <v>42</v>
      </c>
      <c r="M1724" s="134" t="s">
        <v>1581</v>
      </c>
      <c r="N1724" s="123" t="s">
        <v>30</v>
      </c>
    </row>
    <row r="1725" spans="2:14" hidden="1" x14ac:dyDescent="0.25">
      <c r="B1725" s="120">
        <v>1722</v>
      </c>
      <c r="C1725" s="123">
        <v>20601266815</v>
      </c>
      <c r="D1725" s="126" t="s">
        <v>610</v>
      </c>
      <c r="E1725" s="126" t="s">
        <v>1573</v>
      </c>
      <c r="F1725" s="123" t="s">
        <v>30</v>
      </c>
      <c r="G1725" s="123" t="s">
        <v>30</v>
      </c>
      <c r="H1725" s="123" t="s">
        <v>35</v>
      </c>
      <c r="I1725" s="126" t="s">
        <v>1574</v>
      </c>
      <c r="J1725" s="130" t="s">
        <v>1575</v>
      </c>
      <c r="K1725" s="123" t="s">
        <v>1576</v>
      </c>
      <c r="L1725" s="131" t="s">
        <v>1577</v>
      </c>
      <c r="M1725" s="134" t="s">
        <v>1578</v>
      </c>
      <c r="N1725" s="123" t="s">
        <v>30</v>
      </c>
    </row>
    <row r="1726" spans="2:14" hidden="1" x14ac:dyDescent="0.25">
      <c r="B1726" s="120">
        <v>1723</v>
      </c>
      <c r="C1726" s="123">
        <v>20509853771</v>
      </c>
      <c r="D1726" s="126" t="s">
        <v>541</v>
      </c>
      <c r="E1726" s="126" t="s">
        <v>1567</v>
      </c>
      <c r="F1726" s="123" t="s">
        <v>30</v>
      </c>
      <c r="G1726" s="123" t="s">
        <v>30</v>
      </c>
      <c r="H1726" s="123" t="s">
        <v>51</v>
      </c>
      <c r="I1726" s="126" t="s">
        <v>1568</v>
      </c>
      <c r="J1726" s="130" t="s">
        <v>8198</v>
      </c>
      <c r="K1726" s="123" t="s">
        <v>1569</v>
      </c>
      <c r="L1726" s="131" t="s">
        <v>731</v>
      </c>
      <c r="M1726" s="134" t="s">
        <v>1570</v>
      </c>
      <c r="N1726" s="123" t="s">
        <v>30</v>
      </c>
    </row>
    <row r="1727" spans="2:14" hidden="1" x14ac:dyDescent="0.25">
      <c r="B1727" s="120">
        <v>1724</v>
      </c>
      <c r="C1727" s="123">
        <v>10101535385</v>
      </c>
      <c r="D1727" s="126" t="s">
        <v>503</v>
      </c>
      <c r="E1727" s="126" t="s">
        <v>1565</v>
      </c>
      <c r="F1727" s="123" t="s">
        <v>30</v>
      </c>
      <c r="G1727" s="123" t="s">
        <v>30</v>
      </c>
      <c r="H1727" s="123" t="s">
        <v>50</v>
      </c>
      <c r="I1727" s="126" t="s">
        <v>1564</v>
      </c>
      <c r="J1727" s="130" t="s">
        <v>7903</v>
      </c>
      <c r="K1727" s="123" t="s">
        <v>1563</v>
      </c>
      <c r="L1727" s="131" t="s">
        <v>100</v>
      </c>
      <c r="M1727" s="134" t="s">
        <v>845</v>
      </c>
      <c r="N1727" s="123" t="s">
        <v>845</v>
      </c>
    </row>
    <row r="1728" spans="2:14" hidden="1" x14ac:dyDescent="0.25">
      <c r="B1728" s="120">
        <v>1725</v>
      </c>
      <c r="C1728" s="123">
        <v>10060945956</v>
      </c>
      <c r="D1728" s="126" t="s">
        <v>283</v>
      </c>
      <c r="E1728" s="126" t="s">
        <v>1566</v>
      </c>
      <c r="F1728" s="123" t="s">
        <v>30</v>
      </c>
      <c r="G1728" s="123" t="s">
        <v>30</v>
      </c>
      <c r="H1728" s="123" t="s">
        <v>34</v>
      </c>
      <c r="I1728" s="126" t="s">
        <v>1561</v>
      </c>
      <c r="J1728" s="130" t="s">
        <v>7987</v>
      </c>
      <c r="K1728" s="123" t="s">
        <v>1562</v>
      </c>
      <c r="L1728" s="131" t="s">
        <v>100</v>
      </c>
      <c r="M1728" s="134" t="s">
        <v>845</v>
      </c>
      <c r="N1728" s="123" t="s">
        <v>845</v>
      </c>
    </row>
    <row r="1729" spans="2:14" hidden="1" x14ac:dyDescent="0.25">
      <c r="B1729" s="120">
        <v>1726</v>
      </c>
      <c r="C1729" s="123">
        <v>20600559681</v>
      </c>
      <c r="D1729" s="126" t="s">
        <v>1554</v>
      </c>
      <c r="E1729" s="126" t="s">
        <v>1555</v>
      </c>
      <c r="F1729" s="123" t="s">
        <v>30</v>
      </c>
      <c r="G1729" s="123" t="s">
        <v>30</v>
      </c>
      <c r="H1729" s="123" t="s">
        <v>135</v>
      </c>
      <c r="I1729" s="126" t="s">
        <v>1377</v>
      </c>
      <c r="J1729" s="130" t="s">
        <v>7985</v>
      </c>
      <c r="K1729" s="123" t="s">
        <v>7986</v>
      </c>
      <c r="L1729" s="131" t="s">
        <v>209</v>
      </c>
      <c r="M1729" s="134" t="s">
        <v>1559</v>
      </c>
      <c r="N1729" s="123" t="s">
        <v>30</v>
      </c>
    </row>
    <row r="1730" spans="2:14" hidden="1" x14ac:dyDescent="0.25">
      <c r="B1730" s="120">
        <v>1727</v>
      </c>
      <c r="C1730" s="123">
        <v>20600559681</v>
      </c>
      <c r="D1730" s="126" t="s">
        <v>1554</v>
      </c>
      <c r="E1730" s="126" t="s">
        <v>1555</v>
      </c>
      <c r="F1730" s="123" t="s">
        <v>30</v>
      </c>
      <c r="G1730" s="123" t="s">
        <v>30</v>
      </c>
      <c r="H1730" s="123" t="s">
        <v>135</v>
      </c>
      <c r="I1730" s="126" t="s">
        <v>1377</v>
      </c>
      <c r="J1730" s="130" t="s">
        <v>7984</v>
      </c>
      <c r="K1730" s="123" t="s">
        <v>1560</v>
      </c>
      <c r="L1730" s="131" t="s">
        <v>731</v>
      </c>
      <c r="M1730" s="134" t="s">
        <v>1559</v>
      </c>
      <c r="N1730" s="123" t="s">
        <v>30</v>
      </c>
    </row>
    <row r="1731" spans="2:14" hidden="1" x14ac:dyDescent="0.25">
      <c r="B1731" s="120">
        <v>1728</v>
      </c>
      <c r="C1731" s="123">
        <v>20600559681</v>
      </c>
      <c r="D1731" s="126" t="s">
        <v>1554</v>
      </c>
      <c r="E1731" s="126" t="s">
        <v>1555</v>
      </c>
      <c r="F1731" s="123" t="s">
        <v>30</v>
      </c>
      <c r="G1731" s="123" t="s">
        <v>30</v>
      </c>
      <c r="H1731" s="123" t="s">
        <v>135</v>
      </c>
      <c r="I1731" s="126" t="s">
        <v>1377</v>
      </c>
      <c r="J1731" s="130" t="s">
        <v>1556</v>
      </c>
      <c r="K1731" s="123" t="s">
        <v>7983</v>
      </c>
      <c r="L1731" s="131" t="s">
        <v>209</v>
      </c>
      <c r="M1731" s="134" t="s">
        <v>1559</v>
      </c>
      <c r="N1731" s="123" t="s">
        <v>30</v>
      </c>
    </row>
    <row r="1732" spans="2:14" hidden="1" x14ac:dyDescent="0.25">
      <c r="B1732" s="120">
        <v>1729</v>
      </c>
      <c r="C1732" s="123">
        <v>20600559681</v>
      </c>
      <c r="D1732" s="126" t="s">
        <v>1554</v>
      </c>
      <c r="E1732" s="126" t="s">
        <v>1555</v>
      </c>
      <c r="F1732" s="123" t="s">
        <v>30</v>
      </c>
      <c r="G1732" s="123" t="s">
        <v>30</v>
      </c>
      <c r="H1732" s="123" t="s">
        <v>135</v>
      </c>
      <c r="I1732" s="126" t="s">
        <v>1377</v>
      </c>
      <c r="J1732" s="130" t="s">
        <v>7982</v>
      </c>
      <c r="K1732" s="123" t="s">
        <v>1557</v>
      </c>
      <c r="L1732" s="131" t="s">
        <v>1558</v>
      </c>
      <c r="M1732" s="134" t="s">
        <v>1559</v>
      </c>
      <c r="N1732" s="123" t="s">
        <v>30</v>
      </c>
    </row>
    <row r="1733" spans="2:14" hidden="1" x14ac:dyDescent="0.25">
      <c r="B1733" s="120">
        <v>1730</v>
      </c>
      <c r="C1733" s="123">
        <v>20516212391</v>
      </c>
      <c r="D1733" s="126" t="s">
        <v>442</v>
      </c>
      <c r="E1733" s="126" t="s">
        <v>1550</v>
      </c>
      <c r="F1733" s="123" t="s">
        <v>30</v>
      </c>
      <c r="G1733" s="123" t="s">
        <v>30</v>
      </c>
      <c r="H1733" s="123" t="s">
        <v>45</v>
      </c>
      <c r="I1733" s="126" t="s">
        <v>1551</v>
      </c>
      <c r="J1733" s="130" t="s">
        <v>8314</v>
      </c>
      <c r="K1733" s="123" t="s">
        <v>1552</v>
      </c>
      <c r="L1733" s="131" t="s">
        <v>42</v>
      </c>
      <c r="M1733" s="134" t="s">
        <v>1553</v>
      </c>
      <c r="N1733" s="123" t="s">
        <v>30</v>
      </c>
    </row>
    <row r="1734" spans="2:14" hidden="1" x14ac:dyDescent="0.25">
      <c r="B1734" s="120">
        <v>1731</v>
      </c>
      <c r="C1734" s="123">
        <v>20267910813</v>
      </c>
      <c r="D1734" s="126" t="s">
        <v>660</v>
      </c>
      <c r="E1734" s="126" t="s">
        <v>661</v>
      </c>
      <c r="F1734" s="123" t="s">
        <v>30</v>
      </c>
      <c r="G1734" s="123" t="s">
        <v>30</v>
      </c>
      <c r="H1734" s="123" t="s">
        <v>41</v>
      </c>
      <c r="I1734" s="126" t="s">
        <v>1543</v>
      </c>
      <c r="J1734" s="130" t="s">
        <v>1548</v>
      </c>
      <c r="K1734" s="123" t="s">
        <v>1549</v>
      </c>
      <c r="L1734" s="131" t="s">
        <v>42</v>
      </c>
      <c r="M1734" s="134" t="s">
        <v>1547</v>
      </c>
      <c r="N1734" s="123" t="s">
        <v>30</v>
      </c>
    </row>
    <row r="1735" spans="2:14" hidden="1" x14ac:dyDescent="0.25">
      <c r="B1735" s="120">
        <v>1732</v>
      </c>
      <c r="C1735" s="123">
        <v>20267910813</v>
      </c>
      <c r="D1735" s="126" t="s">
        <v>660</v>
      </c>
      <c r="E1735" s="126" t="s">
        <v>661</v>
      </c>
      <c r="F1735" s="123" t="s">
        <v>30</v>
      </c>
      <c r="G1735" s="123" t="s">
        <v>30</v>
      </c>
      <c r="H1735" s="123" t="s">
        <v>41</v>
      </c>
      <c r="I1735" s="126" t="s">
        <v>1543</v>
      </c>
      <c r="J1735" s="130" t="s">
        <v>1544</v>
      </c>
      <c r="K1735" s="123" t="s">
        <v>1545</v>
      </c>
      <c r="L1735" s="131" t="s">
        <v>1546</v>
      </c>
      <c r="M1735" s="134" t="s">
        <v>1547</v>
      </c>
      <c r="N1735" s="123" t="s">
        <v>30</v>
      </c>
    </row>
    <row r="1736" spans="2:14" hidden="1" x14ac:dyDescent="0.25">
      <c r="B1736" s="120">
        <v>1733</v>
      </c>
      <c r="C1736" s="123">
        <v>20555479809</v>
      </c>
      <c r="D1736" s="126" t="s">
        <v>1087</v>
      </c>
      <c r="E1736" s="126" t="s">
        <v>1532</v>
      </c>
      <c r="F1736" s="123" t="s">
        <v>30</v>
      </c>
      <c r="G1736" s="123" t="s">
        <v>30</v>
      </c>
      <c r="H1736" s="123" t="s">
        <v>72</v>
      </c>
      <c r="I1736" s="126" t="s">
        <v>1533</v>
      </c>
      <c r="J1736" s="130" t="s">
        <v>1536</v>
      </c>
      <c r="K1736" s="123" t="s">
        <v>1537</v>
      </c>
      <c r="L1736" s="131" t="s">
        <v>42</v>
      </c>
      <c r="M1736" s="134" t="s">
        <v>7744</v>
      </c>
      <c r="N1736" s="123" t="s">
        <v>30</v>
      </c>
    </row>
    <row r="1737" spans="2:14" hidden="1" x14ac:dyDescent="0.25">
      <c r="B1737" s="120">
        <v>1734</v>
      </c>
      <c r="C1737" s="123">
        <v>20555479809</v>
      </c>
      <c r="D1737" s="126" t="s">
        <v>1087</v>
      </c>
      <c r="E1737" s="126" t="s">
        <v>1532</v>
      </c>
      <c r="F1737" s="123" t="s">
        <v>30</v>
      </c>
      <c r="G1737" s="123" t="s">
        <v>30</v>
      </c>
      <c r="H1737" s="123" t="s">
        <v>72</v>
      </c>
      <c r="I1737" s="126" t="s">
        <v>1533</v>
      </c>
      <c r="J1737" s="130" t="s">
        <v>1534</v>
      </c>
      <c r="K1737" s="123" t="s">
        <v>1535</v>
      </c>
      <c r="L1737" s="131" t="s">
        <v>209</v>
      </c>
      <c r="M1737" s="134" t="s">
        <v>7744</v>
      </c>
      <c r="N1737" s="123" t="s">
        <v>30</v>
      </c>
    </row>
    <row r="1738" spans="2:14" hidden="1" x14ac:dyDescent="0.25">
      <c r="B1738" s="120">
        <v>1735</v>
      </c>
      <c r="C1738" s="123">
        <v>20606127741</v>
      </c>
      <c r="D1738" s="126" t="s">
        <v>1526</v>
      </c>
      <c r="E1738" s="126" t="s">
        <v>1527</v>
      </c>
      <c r="F1738" s="123" t="s">
        <v>30</v>
      </c>
      <c r="G1738" s="123" t="s">
        <v>30</v>
      </c>
      <c r="H1738" s="123" t="s">
        <v>40</v>
      </c>
      <c r="I1738" s="126" t="s">
        <v>1528</v>
      </c>
      <c r="J1738" s="130" t="s">
        <v>8627</v>
      </c>
      <c r="K1738" s="123" t="s">
        <v>1529</v>
      </c>
      <c r="L1738" s="131" t="s">
        <v>57</v>
      </c>
      <c r="M1738" s="134" t="s">
        <v>7745</v>
      </c>
      <c r="N1738" s="123" t="s">
        <v>30</v>
      </c>
    </row>
    <row r="1739" spans="2:14" hidden="1" x14ac:dyDescent="0.25">
      <c r="B1739" s="120">
        <v>1736</v>
      </c>
      <c r="C1739" s="123">
        <v>20514805114</v>
      </c>
      <c r="D1739" s="126" t="s">
        <v>639</v>
      </c>
      <c r="E1739" s="126" t="s">
        <v>1524</v>
      </c>
      <c r="F1739" s="123" t="s">
        <v>30</v>
      </c>
      <c r="G1739" s="123" t="s">
        <v>30</v>
      </c>
      <c r="H1739" s="123" t="s">
        <v>65</v>
      </c>
      <c r="I1739" s="126" t="s">
        <v>1450</v>
      </c>
      <c r="J1739" s="130" t="s">
        <v>20565</v>
      </c>
      <c r="K1739" s="123" t="s">
        <v>1525</v>
      </c>
      <c r="L1739" s="131" t="s">
        <v>42</v>
      </c>
      <c r="M1739" s="134" t="s">
        <v>845</v>
      </c>
      <c r="N1739" s="123" t="s">
        <v>845</v>
      </c>
    </row>
    <row r="1740" spans="2:14" hidden="1" x14ac:dyDescent="0.25">
      <c r="B1740" s="120">
        <v>1737</v>
      </c>
      <c r="C1740" s="123">
        <v>20603326149</v>
      </c>
      <c r="D1740" s="126" t="s">
        <v>687</v>
      </c>
      <c r="E1740" s="126" t="s">
        <v>1515</v>
      </c>
      <c r="F1740" s="123" t="s">
        <v>30</v>
      </c>
      <c r="G1740" s="123" t="s">
        <v>30</v>
      </c>
      <c r="H1740" s="123" t="s">
        <v>43</v>
      </c>
      <c r="I1740" s="126" t="s">
        <v>1516</v>
      </c>
      <c r="J1740" s="130" t="s">
        <v>20579</v>
      </c>
      <c r="K1740" s="123" t="s">
        <v>1517</v>
      </c>
      <c r="L1740" s="131" t="s">
        <v>42</v>
      </c>
      <c r="M1740" s="134" t="s">
        <v>845</v>
      </c>
      <c r="N1740" s="123" t="s">
        <v>845</v>
      </c>
    </row>
    <row r="1741" spans="2:14" hidden="1" x14ac:dyDescent="0.25">
      <c r="B1741" s="120">
        <v>1738</v>
      </c>
      <c r="C1741" s="123">
        <v>20492222039</v>
      </c>
      <c r="D1741" s="126" t="s">
        <v>1512</v>
      </c>
      <c r="E1741" s="126" t="s">
        <v>1513</v>
      </c>
      <c r="F1741" s="123" t="s">
        <v>30</v>
      </c>
      <c r="G1741" s="123" t="s">
        <v>30</v>
      </c>
      <c r="H1741" s="123" t="s">
        <v>30</v>
      </c>
      <c r="I1741" s="126" t="s">
        <v>1450</v>
      </c>
      <c r="J1741" s="130" t="s">
        <v>20580</v>
      </c>
      <c r="K1741" s="123" t="s">
        <v>1514</v>
      </c>
      <c r="L1741" s="131" t="s">
        <v>42</v>
      </c>
      <c r="M1741" s="134" t="s">
        <v>7747</v>
      </c>
      <c r="N1741" s="123" t="s">
        <v>30</v>
      </c>
    </row>
    <row r="1742" spans="2:14" hidden="1" x14ac:dyDescent="0.25">
      <c r="B1742" s="120">
        <v>1739</v>
      </c>
      <c r="C1742" s="123">
        <v>20563472244</v>
      </c>
      <c r="D1742" s="126" t="s">
        <v>497</v>
      </c>
      <c r="E1742" s="126" t="s">
        <v>1501</v>
      </c>
      <c r="F1742" s="123" t="s">
        <v>30</v>
      </c>
      <c r="G1742" s="123" t="s">
        <v>30</v>
      </c>
      <c r="H1742" s="123" t="s">
        <v>74</v>
      </c>
      <c r="I1742" s="126" t="s">
        <v>1502</v>
      </c>
      <c r="J1742" s="130" t="s">
        <v>1505</v>
      </c>
      <c r="K1742" s="123" t="s">
        <v>1506</v>
      </c>
      <c r="L1742" s="131" t="s">
        <v>119</v>
      </c>
      <c r="M1742" s="134" t="s">
        <v>7748</v>
      </c>
      <c r="N1742" s="123" t="s">
        <v>30</v>
      </c>
    </row>
    <row r="1743" spans="2:14" hidden="1" x14ac:dyDescent="0.25">
      <c r="B1743" s="120">
        <v>1740</v>
      </c>
      <c r="C1743" s="123">
        <v>20563472244</v>
      </c>
      <c r="D1743" s="126" t="s">
        <v>497</v>
      </c>
      <c r="E1743" s="126" t="s">
        <v>1501</v>
      </c>
      <c r="F1743" s="123" t="s">
        <v>30</v>
      </c>
      <c r="G1743" s="123" t="s">
        <v>30</v>
      </c>
      <c r="H1743" s="123" t="s">
        <v>74</v>
      </c>
      <c r="I1743" s="126" t="s">
        <v>1502</v>
      </c>
      <c r="J1743" s="130" t="s">
        <v>1503</v>
      </c>
      <c r="K1743" s="123" t="s">
        <v>1504</v>
      </c>
      <c r="L1743" s="131" t="s">
        <v>731</v>
      </c>
      <c r="M1743" s="134" t="s">
        <v>7748</v>
      </c>
      <c r="N1743" s="123" t="s">
        <v>30</v>
      </c>
    </row>
    <row r="1744" spans="2:14" hidden="1" x14ac:dyDescent="0.25">
      <c r="B1744" s="120">
        <v>1741</v>
      </c>
      <c r="C1744" s="123">
        <v>20414884769</v>
      </c>
      <c r="D1744" s="126" t="s">
        <v>400</v>
      </c>
      <c r="E1744" s="126" t="s">
        <v>1498</v>
      </c>
      <c r="F1744" s="123" t="s">
        <v>30</v>
      </c>
      <c r="G1744" s="123" t="s">
        <v>30</v>
      </c>
      <c r="H1744" s="123" t="s">
        <v>30</v>
      </c>
      <c r="I1744" s="126" t="s">
        <v>1499</v>
      </c>
      <c r="J1744" s="130" t="s">
        <v>20585</v>
      </c>
      <c r="K1744" s="123" t="s">
        <v>1500</v>
      </c>
      <c r="L1744" s="131" t="s">
        <v>42</v>
      </c>
      <c r="M1744" s="134" t="s">
        <v>845</v>
      </c>
      <c r="N1744" s="123" t="s">
        <v>845</v>
      </c>
    </row>
    <row r="1745" spans="2:14" hidden="1" x14ac:dyDescent="0.25">
      <c r="B1745" s="120">
        <v>1742</v>
      </c>
      <c r="C1745" s="123">
        <v>20535552330</v>
      </c>
      <c r="D1745" s="126" t="s">
        <v>261</v>
      </c>
      <c r="E1745" s="126" t="s">
        <v>262</v>
      </c>
      <c r="F1745" s="123" t="s">
        <v>30</v>
      </c>
      <c r="G1745" s="123" t="s">
        <v>30</v>
      </c>
      <c r="H1745" s="123" t="s">
        <v>72</v>
      </c>
      <c r="I1745" s="126" t="s">
        <v>1377</v>
      </c>
      <c r="J1745" s="130" t="s">
        <v>1496</v>
      </c>
      <c r="K1745" s="123" t="s">
        <v>1497</v>
      </c>
      <c r="L1745" s="131" t="s">
        <v>42</v>
      </c>
      <c r="M1745" s="134" t="s">
        <v>7749</v>
      </c>
      <c r="N1745" s="123" t="s">
        <v>30</v>
      </c>
    </row>
    <row r="1746" spans="2:14" hidden="1" x14ac:dyDescent="0.25">
      <c r="B1746" s="120">
        <v>1743</v>
      </c>
      <c r="C1746" s="123">
        <v>20568183321</v>
      </c>
      <c r="D1746" s="126" t="s">
        <v>621</v>
      </c>
      <c r="E1746" s="126" t="s">
        <v>1490</v>
      </c>
      <c r="F1746" s="123" t="s">
        <v>93</v>
      </c>
      <c r="G1746" s="123" t="s">
        <v>160</v>
      </c>
      <c r="H1746" s="123" t="s">
        <v>622</v>
      </c>
      <c r="I1746" s="126" t="s">
        <v>1377</v>
      </c>
      <c r="J1746" s="130" t="s">
        <v>1494</v>
      </c>
      <c r="K1746" s="123" t="s">
        <v>1495</v>
      </c>
      <c r="L1746" s="131" t="s">
        <v>36</v>
      </c>
      <c r="M1746" s="134" t="s">
        <v>7750</v>
      </c>
      <c r="N1746" s="123" t="s">
        <v>160</v>
      </c>
    </row>
    <row r="1747" spans="2:14" hidden="1" x14ac:dyDescent="0.25">
      <c r="B1747" s="120">
        <v>1744</v>
      </c>
      <c r="C1747" s="123">
        <v>20568183321</v>
      </c>
      <c r="D1747" s="126" t="s">
        <v>621</v>
      </c>
      <c r="E1747" s="126" t="s">
        <v>1490</v>
      </c>
      <c r="F1747" s="123" t="s">
        <v>93</v>
      </c>
      <c r="G1747" s="123" t="s">
        <v>160</v>
      </c>
      <c r="H1747" s="123" t="s">
        <v>622</v>
      </c>
      <c r="I1747" s="126" t="s">
        <v>1377</v>
      </c>
      <c r="J1747" s="130" t="s">
        <v>8302</v>
      </c>
      <c r="K1747" s="123" t="s">
        <v>1493</v>
      </c>
      <c r="L1747" s="131" t="s">
        <v>42</v>
      </c>
      <c r="M1747" s="134" t="s">
        <v>7750</v>
      </c>
      <c r="N1747" s="123" t="s">
        <v>160</v>
      </c>
    </row>
    <row r="1748" spans="2:14" hidden="1" x14ac:dyDescent="0.25">
      <c r="B1748" s="120">
        <v>1745</v>
      </c>
      <c r="C1748" s="123">
        <v>20568183321</v>
      </c>
      <c r="D1748" s="126" t="s">
        <v>621</v>
      </c>
      <c r="E1748" s="126" t="s">
        <v>1490</v>
      </c>
      <c r="F1748" s="123" t="s">
        <v>93</v>
      </c>
      <c r="G1748" s="123" t="s">
        <v>160</v>
      </c>
      <c r="H1748" s="123" t="s">
        <v>622</v>
      </c>
      <c r="I1748" s="126" t="s">
        <v>1377</v>
      </c>
      <c r="J1748" s="130" t="s">
        <v>1491</v>
      </c>
      <c r="K1748" s="123" t="s">
        <v>1492</v>
      </c>
      <c r="L1748" s="131" t="s">
        <v>36</v>
      </c>
      <c r="M1748" s="134" t="s">
        <v>7750</v>
      </c>
      <c r="N1748" s="123" t="s">
        <v>160</v>
      </c>
    </row>
    <row r="1749" spans="2:14" hidden="1" x14ac:dyDescent="0.25">
      <c r="B1749" s="120">
        <v>1746</v>
      </c>
      <c r="C1749" s="123">
        <v>20511978018</v>
      </c>
      <c r="D1749" s="126" t="s">
        <v>673</v>
      </c>
      <c r="E1749" s="126" t="s">
        <v>1487</v>
      </c>
      <c r="F1749" s="123" t="s">
        <v>30</v>
      </c>
      <c r="G1749" s="123" t="s">
        <v>30</v>
      </c>
      <c r="H1749" s="123" t="s">
        <v>40</v>
      </c>
      <c r="I1749" s="126" t="s">
        <v>1488</v>
      </c>
      <c r="J1749" s="130" t="s">
        <v>20572</v>
      </c>
      <c r="K1749" s="123" t="s">
        <v>1489</v>
      </c>
      <c r="L1749" s="131" t="s">
        <v>42</v>
      </c>
      <c r="M1749" s="134" t="s">
        <v>7751</v>
      </c>
      <c r="N1749" s="123" t="s">
        <v>30</v>
      </c>
    </row>
    <row r="1750" spans="2:14" hidden="1" x14ac:dyDescent="0.25">
      <c r="B1750" s="120">
        <v>1747</v>
      </c>
      <c r="C1750" s="123">
        <v>20269250705</v>
      </c>
      <c r="D1750" s="126" t="s">
        <v>434</v>
      </c>
      <c r="E1750" s="126" t="s">
        <v>1483</v>
      </c>
      <c r="F1750" s="123" t="s">
        <v>30</v>
      </c>
      <c r="G1750" s="123" t="s">
        <v>30</v>
      </c>
      <c r="H1750" s="123" t="s">
        <v>40</v>
      </c>
      <c r="I1750" s="126" t="s">
        <v>1484</v>
      </c>
      <c r="J1750" s="130" t="s">
        <v>1485</v>
      </c>
      <c r="K1750" s="123" t="s">
        <v>1486</v>
      </c>
      <c r="L1750" s="131" t="s">
        <v>42</v>
      </c>
      <c r="M1750" s="134" t="s">
        <v>7752</v>
      </c>
      <c r="N1750" s="123" t="s">
        <v>30</v>
      </c>
    </row>
    <row r="1751" spans="2:14" hidden="1" x14ac:dyDescent="0.25">
      <c r="B1751" s="120">
        <v>1748</v>
      </c>
      <c r="C1751" s="123">
        <v>20600114744</v>
      </c>
      <c r="D1751" s="126" t="s">
        <v>352</v>
      </c>
      <c r="E1751" s="126" t="s">
        <v>1480</v>
      </c>
      <c r="F1751" s="123" t="s">
        <v>30</v>
      </c>
      <c r="G1751" s="123" t="s">
        <v>30</v>
      </c>
      <c r="H1751" s="123" t="s">
        <v>60</v>
      </c>
      <c r="I1751" s="126" t="s">
        <v>1481</v>
      </c>
      <c r="J1751" s="130" t="s">
        <v>20621</v>
      </c>
      <c r="K1751" s="123" t="s">
        <v>1482</v>
      </c>
      <c r="L1751" s="131" t="s">
        <v>42</v>
      </c>
      <c r="M1751" s="134" t="s">
        <v>7753</v>
      </c>
      <c r="N1751" s="123" t="s">
        <v>30</v>
      </c>
    </row>
    <row r="1752" spans="2:14" hidden="1" x14ac:dyDescent="0.25">
      <c r="B1752" s="120">
        <v>1749</v>
      </c>
      <c r="C1752" s="123">
        <v>20523603079</v>
      </c>
      <c r="D1752" s="126" t="s">
        <v>1476</v>
      </c>
      <c r="E1752" s="126" t="s">
        <v>1477</v>
      </c>
      <c r="F1752" s="123" t="s">
        <v>30</v>
      </c>
      <c r="G1752" s="123" t="s">
        <v>30</v>
      </c>
      <c r="H1752" s="123" t="s">
        <v>43</v>
      </c>
      <c r="I1752" s="126" t="s">
        <v>1478</v>
      </c>
      <c r="J1752" s="130" t="s">
        <v>20586</v>
      </c>
      <c r="K1752" s="123" t="s">
        <v>1479</v>
      </c>
      <c r="L1752" s="131" t="s">
        <v>36</v>
      </c>
      <c r="M1752" s="134" t="s">
        <v>7754</v>
      </c>
      <c r="N1752" s="123" t="s">
        <v>30</v>
      </c>
    </row>
    <row r="1753" spans="2:14" hidden="1" x14ac:dyDescent="0.25">
      <c r="B1753" s="120">
        <v>1750</v>
      </c>
      <c r="C1753" s="123">
        <v>20600585721</v>
      </c>
      <c r="D1753" s="126" t="s">
        <v>1469</v>
      </c>
      <c r="E1753" s="126" t="s">
        <v>1470</v>
      </c>
      <c r="F1753" s="123" t="s">
        <v>30</v>
      </c>
      <c r="G1753" s="123" t="s">
        <v>30</v>
      </c>
      <c r="H1753" s="123" t="s">
        <v>30</v>
      </c>
      <c r="I1753" s="126" t="s">
        <v>1471</v>
      </c>
      <c r="J1753" s="130" t="s">
        <v>1474</v>
      </c>
      <c r="K1753" s="123" t="s">
        <v>1475</v>
      </c>
      <c r="L1753" s="131" t="s">
        <v>42</v>
      </c>
      <c r="M1753" s="134" t="s">
        <v>7755</v>
      </c>
      <c r="N1753" s="123" t="s">
        <v>1188</v>
      </c>
    </row>
    <row r="1754" spans="2:14" hidden="1" x14ac:dyDescent="0.25">
      <c r="B1754" s="120">
        <v>1751</v>
      </c>
      <c r="C1754" s="123">
        <v>20600585721</v>
      </c>
      <c r="D1754" s="126" t="s">
        <v>1469</v>
      </c>
      <c r="E1754" s="126" t="s">
        <v>1470</v>
      </c>
      <c r="F1754" s="123" t="s">
        <v>30</v>
      </c>
      <c r="G1754" s="123" t="s">
        <v>30</v>
      </c>
      <c r="H1754" s="123" t="s">
        <v>30</v>
      </c>
      <c r="I1754" s="126" t="s">
        <v>1471</v>
      </c>
      <c r="J1754" s="130" t="s">
        <v>1472</v>
      </c>
      <c r="K1754" s="123" t="s">
        <v>1473</v>
      </c>
      <c r="L1754" s="131" t="s">
        <v>209</v>
      </c>
      <c r="M1754" s="134" t="s">
        <v>7755</v>
      </c>
      <c r="N1754" s="123" t="s">
        <v>1188</v>
      </c>
    </row>
    <row r="1755" spans="2:14" hidden="1" x14ac:dyDescent="0.25">
      <c r="B1755" s="120">
        <v>1752</v>
      </c>
      <c r="C1755" s="123">
        <v>20601817188</v>
      </c>
      <c r="D1755" s="126" t="s">
        <v>1466</v>
      </c>
      <c r="E1755" s="126" t="s">
        <v>1467</v>
      </c>
      <c r="F1755" s="123" t="s">
        <v>30</v>
      </c>
      <c r="G1755" s="123" t="s">
        <v>30</v>
      </c>
      <c r="H1755" s="123" t="s">
        <v>30</v>
      </c>
      <c r="I1755" s="126" t="s">
        <v>1398</v>
      </c>
      <c r="J1755" s="130" t="s">
        <v>20581</v>
      </c>
      <c r="K1755" s="123" t="s">
        <v>1468</v>
      </c>
      <c r="L1755" s="131" t="s">
        <v>42</v>
      </c>
      <c r="M1755" s="134" t="s">
        <v>7756</v>
      </c>
      <c r="N1755" s="123" t="s">
        <v>30</v>
      </c>
    </row>
    <row r="1756" spans="2:14" hidden="1" x14ac:dyDescent="0.25">
      <c r="B1756" s="120">
        <v>1753</v>
      </c>
      <c r="C1756" s="123">
        <v>20565543513</v>
      </c>
      <c r="D1756" s="126" t="s">
        <v>1117</v>
      </c>
      <c r="E1756" s="126" t="s">
        <v>1118</v>
      </c>
      <c r="F1756" s="123" t="s">
        <v>30</v>
      </c>
      <c r="G1756" s="123" t="s">
        <v>30</v>
      </c>
      <c r="H1756" s="123" t="s">
        <v>110</v>
      </c>
      <c r="I1756" s="126" t="s">
        <v>1464</v>
      </c>
      <c r="J1756" s="130" t="s">
        <v>20587</v>
      </c>
      <c r="K1756" s="123" t="s">
        <v>1465</v>
      </c>
      <c r="L1756" s="131" t="s">
        <v>42</v>
      </c>
      <c r="M1756" s="134" t="s">
        <v>7757</v>
      </c>
      <c r="N1756" s="123" t="s">
        <v>30</v>
      </c>
    </row>
    <row r="1757" spans="2:14" hidden="1" x14ac:dyDescent="0.25">
      <c r="B1757" s="120">
        <v>1754</v>
      </c>
      <c r="C1757" s="123">
        <v>20565747356</v>
      </c>
      <c r="D1757" s="126" t="s">
        <v>1460</v>
      </c>
      <c r="E1757" s="126" t="s">
        <v>1461</v>
      </c>
      <c r="F1757" s="123" t="s">
        <v>67</v>
      </c>
      <c r="G1757" s="123" t="s">
        <v>67</v>
      </c>
      <c r="H1757" s="123" t="s">
        <v>67</v>
      </c>
      <c r="I1757" s="126" t="s">
        <v>1395</v>
      </c>
      <c r="J1757" s="130" t="s">
        <v>1462</v>
      </c>
      <c r="K1757" s="123" t="s">
        <v>1463</v>
      </c>
      <c r="L1757" s="131" t="s">
        <v>42</v>
      </c>
      <c r="M1757" s="134" t="s">
        <v>7758</v>
      </c>
      <c r="N1757" s="123" t="s">
        <v>30</v>
      </c>
    </row>
    <row r="1758" spans="2:14" hidden="1" x14ac:dyDescent="0.25">
      <c r="B1758" s="120">
        <v>1755</v>
      </c>
      <c r="C1758" s="123">
        <v>20603927363</v>
      </c>
      <c r="D1758" s="126" t="s">
        <v>129</v>
      </c>
      <c r="E1758" s="126" t="s">
        <v>1457</v>
      </c>
      <c r="F1758" s="123" t="s">
        <v>67</v>
      </c>
      <c r="G1758" s="123" t="s">
        <v>67</v>
      </c>
      <c r="H1758" s="123" t="s">
        <v>94</v>
      </c>
      <c r="I1758" s="126" t="s">
        <v>1394</v>
      </c>
      <c r="J1758" s="130" t="s">
        <v>1458</v>
      </c>
      <c r="K1758" s="123" t="s">
        <v>1459</v>
      </c>
      <c r="L1758" s="131" t="s">
        <v>42</v>
      </c>
      <c r="M1758" s="134" t="s">
        <v>845</v>
      </c>
      <c r="N1758" s="123" t="s">
        <v>845</v>
      </c>
    </row>
    <row r="1759" spans="2:14" hidden="1" x14ac:dyDescent="0.25">
      <c r="B1759" s="120">
        <v>1756</v>
      </c>
      <c r="C1759" s="123">
        <v>20102021836</v>
      </c>
      <c r="D1759" s="126" t="s">
        <v>348</v>
      </c>
      <c r="E1759" s="126" t="s">
        <v>1449</v>
      </c>
      <c r="F1759" s="123" t="s">
        <v>30</v>
      </c>
      <c r="G1759" s="123" t="s">
        <v>30</v>
      </c>
      <c r="H1759" s="123" t="s">
        <v>135</v>
      </c>
      <c r="I1759" s="126" t="s">
        <v>1450</v>
      </c>
      <c r="J1759" s="130" t="s">
        <v>1455</v>
      </c>
      <c r="K1759" s="123" t="s">
        <v>1456</v>
      </c>
      <c r="L1759" s="131" t="s">
        <v>42</v>
      </c>
      <c r="M1759" s="134" t="s">
        <v>7759</v>
      </c>
      <c r="N1759" s="123" t="s">
        <v>30</v>
      </c>
    </row>
    <row r="1760" spans="2:14" hidden="1" x14ac:dyDescent="0.25">
      <c r="B1760" s="120">
        <v>1757</v>
      </c>
      <c r="C1760" s="123">
        <v>20102021836</v>
      </c>
      <c r="D1760" s="126" t="s">
        <v>348</v>
      </c>
      <c r="E1760" s="126" t="s">
        <v>1449</v>
      </c>
      <c r="F1760" s="123" t="s">
        <v>30</v>
      </c>
      <c r="G1760" s="123" t="s">
        <v>30</v>
      </c>
      <c r="H1760" s="123" t="s">
        <v>135</v>
      </c>
      <c r="I1760" s="126" t="s">
        <v>1450</v>
      </c>
      <c r="J1760" s="130" t="s">
        <v>7977</v>
      </c>
      <c r="K1760" s="123" t="s">
        <v>7978</v>
      </c>
      <c r="L1760" s="131" t="s">
        <v>209</v>
      </c>
      <c r="M1760" s="134" t="s">
        <v>7759</v>
      </c>
      <c r="N1760" s="123" t="s">
        <v>30</v>
      </c>
    </row>
    <row r="1761" spans="2:14" hidden="1" x14ac:dyDescent="0.25">
      <c r="B1761" s="120">
        <v>1758</v>
      </c>
      <c r="C1761" s="123">
        <v>20102021836</v>
      </c>
      <c r="D1761" s="126" t="s">
        <v>348</v>
      </c>
      <c r="E1761" s="126" t="s">
        <v>1449</v>
      </c>
      <c r="F1761" s="123" t="s">
        <v>30</v>
      </c>
      <c r="G1761" s="123" t="s">
        <v>30</v>
      </c>
      <c r="H1761" s="123" t="s">
        <v>135</v>
      </c>
      <c r="I1761" s="126" t="s">
        <v>1450</v>
      </c>
      <c r="J1761" s="130" t="s">
        <v>7975</v>
      </c>
      <c r="K1761" s="123" t="s">
        <v>7976</v>
      </c>
      <c r="L1761" s="131" t="s">
        <v>209</v>
      </c>
      <c r="M1761" s="134" t="s">
        <v>7759</v>
      </c>
      <c r="N1761" s="123" t="s">
        <v>30</v>
      </c>
    </row>
    <row r="1762" spans="2:14" hidden="1" x14ac:dyDescent="0.25">
      <c r="B1762" s="120">
        <v>1759</v>
      </c>
      <c r="C1762" s="123">
        <v>20102021836</v>
      </c>
      <c r="D1762" s="126" t="s">
        <v>348</v>
      </c>
      <c r="E1762" s="126" t="s">
        <v>1449</v>
      </c>
      <c r="F1762" s="123" t="s">
        <v>30</v>
      </c>
      <c r="G1762" s="123" t="s">
        <v>30</v>
      </c>
      <c r="H1762" s="123" t="s">
        <v>135</v>
      </c>
      <c r="I1762" s="126" t="s">
        <v>1450</v>
      </c>
      <c r="J1762" s="130" t="s">
        <v>1453</v>
      </c>
      <c r="K1762" s="123" t="s">
        <v>1454</v>
      </c>
      <c r="L1762" s="131" t="s">
        <v>209</v>
      </c>
      <c r="M1762" s="134" t="s">
        <v>7759</v>
      </c>
      <c r="N1762" s="123" t="s">
        <v>30</v>
      </c>
    </row>
    <row r="1763" spans="2:14" hidden="1" x14ac:dyDescent="0.25">
      <c r="B1763" s="120">
        <v>1760</v>
      </c>
      <c r="C1763" s="123">
        <v>20102021836</v>
      </c>
      <c r="D1763" s="126" t="s">
        <v>348</v>
      </c>
      <c r="E1763" s="126" t="s">
        <v>1449</v>
      </c>
      <c r="F1763" s="123" t="s">
        <v>30</v>
      </c>
      <c r="G1763" s="123" t="s">
        <v>30</v>
      </c>
      <c r="H1763" s="123" t="s">
        <v>135</v>
      </c>
      <c r="I1763" s="126" t="s">
        <v>1450</v>
      </c>
      <c r="J1763" s="130" t="s">
        <v>1451</v>
      </c>
      <c r="K1763" s="123" t="s">
        <v>1452</v>
      </c>
      <c r="L1763" s="131" t="s">
        <v>209</v>
      </c>
      <c r="M1763" s="134" t="s">
        <v>7759</v>
      </c>
      <c r="N1763" s="123" t="s">
        <v>30</v>
      </c>
    </row>
    <row r="1764" spans="2:14" hidden="1" x14ac:dyDescent="0.25">
      <c r="B1764" s="120">
        <v>1761</v>
      </c>
      <c r="C1764" s="123">
        <v>20102021836</v>
      </c>
      <c r="D1764" s="126" t="s">
        <v>348</v>
      </c>
      <c r="E1764" s="126" t="s">
        <v>1449</v>
      </c>
      <c r="F1764" s="123" t="s">
        <v>30</v>
      </c>
      <c r="G1764" s="123" t="s">
        <v>30</v>
      </c>
      <c r="H1764" s="123" t="s">
        <v>135</v>
      </c>
      <c r="I1764" s="126" t="s">
        <v>1450</v>
      </c>
      <c r="J1764" s="130" t="s">
        <v>7973</v>
      </c>
      <c r="K1764" s="123" t="s">
        <v>7974</v>
      </c>
      <c r="L1764" s="131" t="s">
        <v>209</v>
      </c>
      <c r="M1764" s="134" t="s">
        <v>7759</v>
      </c>
      <c r="N1764" s="123" t="s">
        <v>30</v>
      </c>
    </row>
    <row r="1765" spans="2:14" hidden="1" x14ac:dyDescent="0.25">
      <c r="B1765" s="120">
        <v>1762</v>
      </c>
      <c r="C1765" s="123">
        <v>20102021836</v>
      </c>
      <c r="D1765" s="126" t="s">
        <v>348</v>
      </c>
      <c r="E1765" s="126" t="s">
        <v>1449</v>
      </c>
      <c r="F1765" s="123" t="s">
        <v>30</v>
      </c>
      <c r="G1765" s="123" t="s">
        <v>30</v>
      </c>
      <c r="H1765" s="123" t="s">
        <v>135</v>
      </c>
      <c r="I1765" s="126" t="s">
        <v>1450</v>
      </c>
      <c r="J1765" s="130" t="s">
        <v>7971</v>
      </c>
      <c r="K1765" s="123" t="s">
        <v>7972</v>
      </c>
      <c r="L1765" s="131" t="s">
        <v>209</v>
      </c>
      <c r="M1765" s="134" t="s">
        <v>7759</v>
      </c>
      <c r="N1765" s="123" t="s">
        <v>30</v>
      </c>
    </row>
    <row r="1766" spans="2:14" hidden="1" x14ac:dyDescent="0.25">
      <c r="B1766" s="120">
        <v>1763</v>
      </c>
      <c r="C1766" s="123">
        <v>20602904114</v>
      </c>
      <c r="D1766" s="126" t="s">
        <v>561</v>
      </c>
      <c r="E1766" s="126" t="s">
        <v>1446</v>
      </c>
      <c r="F1766" s="123" t="s">
        <v>67</v>
      </c>
      <c r="G1766" s="123" t="s">
        <v>67</v>
      </c>
      <c r="H1766" s="123" t="s">
        <v>94</v>
      </c>
      <c r="I1766" s="126" t="s">
        <v>1447</v>
      </c>
      <c r="J1766" s="130" t="s">
        <v>20582</v>
      </c>
      <c r="K1766" s="123" t="s">
        <v>1448</v>
      </c>
      <c r="L1766" s="131" t="s">
        <v>42</v>
      </c>
      <c r="M1766" s="134" t="s">
        <v>7760</v>
      </c>
      <c r="N1766" s="123" t="s">
        <v>67</v>
      </c>
    </row>
    <row r="1767" spans="2:14" hidden="1" x14ac:dyDescent="0.25">
      <c r="B1767" s="120">
        <v>1764</v>
      </c>
      <c r="C1767" s="123">
        <v>20550639662</v>
      </c>
      <c r="D1767" s="126" t="s">
        <v>383</v>
      </c>
      <c r="E1767" s="126" t="s">
        <v>1440</v>
      </c>
      <c r="F1767" s="123" t="s">
        <v>30</v>
      </c>
      <c r="G1767" s="123" t="s">
        <v>30</v>
      </c>
      <c r="H1767" s="123" t="s">
        <v>43</v>
      </c>
      <c r="I1767" s="126" t="s">
        <v>1441</v>
      </c>
      <c r="J1767" s="130" t="s">
        <v>20588</v>
      </c>
      <c r="K1767" s="123" t="s">
        <v>1444</v>
      </c>
      <c r="L1767" s="131" t="s">
        <v>1445</v>
      </c>
      <c r="M1767" s="134" t="s">
        <v>7761</v>
      </c>
      <c r="N1767" s="123" t="s">
        <v>30</v>
      </c>
    </row>
    <row r="1768" spans="2:14" hidden="1" x14ac:dyDescent="0.25">
      <c r="B1768" s="120">
        <v>1765</v>
      </c>
      <c r="C1768" s="123">
        <v>20550639662</v>
      </c>
      <c r="D1768" s="126" t="s">
        <v>383</v>
      </c>
      <c r="E1768" s="126" t="s">
        <v>1440</v>
      </c>
      <c r="F1768" s="123" t="s">
        <v>30</v>
      </c>
      <c r="G1768" s="123" t="s">
        <v>30</v>
      </c>
      <c r="H1768" s="123" t="s">
        <v>43</v>
      </c>
      <c r="I1768" s="126" t="s">
        <v>1441</v>
      </c>
      <c r="J1768" s="130" t="s">
        <v>1442</v>
      </c>
      <c r="K1768" s="123" t="s">
        <v>1443</v>
      </c>
      <c r="L1768" s="131" t="s">
        <v>731</v>
      </c>
      <c r="M1768" s="134" t="s">
        <v>7761</v>
      </c>
      <c r="N1768" s="123" t="s">
        <v>30</v>
      </c>
    </row>
    <row r="1769" spans="2:14" hidden="1" x14ac:dyDescent="0.25">
      <c r="B1769" s="120">
        <v>1766</v>
      </c>
      <c r="C1769" s="123">
        <v>20601268583</v>
      </c>
      <c r="D1769" s="126" t="s">
        <v>1437</v>
      </c>
      <c r="E1769" s="126" t="s">
        <v>1438</v>
      </c>
      <c r="F1769" s="123" t="s">
        <v>30</v>
      </c>
      <c r="G1769" s="123" t="s">
        <v>30</v>
      </c>
      <c r="H1769" s="123" t="s">
        <v>135</v>
      </c>
      <c r="I1769" s="126" t="s">
        <v>1439</v>
      </c>
      <c r="J1769" s="130" t="s">
        <v>20589</v>
      </c>
      <c r="K1769" s="123" t="s">
        <v>20590</v>
      </c>
      <c r="L1769" s="131" t="s">
        <v>42</v>
      </c>
      <c r="M1769" s="134" t="s">
        <v>7762</v>
      </c>
      <c r="N1769" s="123" t="s">
        <v>30</v>
      </c>
    </row>
    <row r="1770" spans="2:14" hidden="1" x14ac:dyDescent="0.25">
      <c r="B1770" s="120">
        <v>1767</v>
      </c>
      <c r="C1770" s="123">
        <v>20538211380</v>
      </c>
      <c r="D1770" s="126" t="s">
        <v>577</v>
      </c>
      <c r="E1770" s="126" t="s">
        <v>1427</v>
      </c>
      <c r="F1770" s="123" t="s">
        <v>30</v>
      </c>
      <c r="G1770" s="123" t="s">
        <v>30</v>
      </c>
      <c r="H1770" s="123" t="s">
        <v>41</v>
      </c>
      <c r="I1770" s="126" t="s">
        <v>1428</v>
      </c>
      <c r="J1770" s="130" t="s">
        <v>1435</v>
      </c>
      <c r="K1770" s="123" t="s">
        <v>1436</v>
      </c>
      <c r="L1770" s="131" t="s">
        <v>209</v>
      </c>
      <c r="M1770" s="134" t="s">
        <v>7763</v>
      </c>
      <c r="N1770" s="123" t="s">
        <v>30</v>
      </c>
    </row>
    <row r="1771" spans="2:14" hidden="1" x14ac:dyDescent="0.25">
      <c r="B1771" s="120">
        <v>1768</v>
      </c>
      <c r="C1771" s="123">
        <v>20538211380</v>
      </c>
      <c r="D1771" s="126" t="s">
        <v>577</v>
      </c>
      <c r="E1771" s="126" t="s">
        <v>1427</v>
      </c>
      <c r="F1771" s="123" t="s">
        <v>30</v>
      </c>
      <c r="G1771" s="123" t="s">
        <v>30</v>
      </c>
      <c r="H1771" s="123" t="s">
        <v>41</v>
      </c>
      <c r="I1771" s="126" t="s">
        <v>1428</v>
      </c>
      <c r="J1771" s="130" t="s">
        <v>1433</v>
      </c>
      <c r="K1771" s="123" t="s">
        <v>1434</v>
      </c>
      <c r="L1771" s="131" t="s">
        <v>209</v>
      </c>
      <c r="M1771" s="134" t="s">
        <v>7763</v>
      </c>
      <c r="N1771" s="123" t="s">
        <v>30</v>
      </c>
    </row>
    <row r="1772" spans="2:14" hidden="1" x14ac:dyDescent="0.25">
      <c r="B1772" s="120">
        <v>1769</v>
      </c>
      <c r="C1772" s="123">
        <v>20538211380</v>
      </c>
      <c r="D1772" s="126" t="s">
        <v>577</v>
      </c>
      <c r="E1772" s="126" t="s">
        <v>1427</v>
      </c>
      <c r="F1772" s="123" t="s">
        <v>30</v>
      </c>
      <c r="G1772" s="123" t="s">
        <v>30</v>
      </c>
      <c r="H1772" s="123" t="s">
        <v>41</v>
      </c>
      <c r="I1772" s="126" t="s">
        <v>1428</v>
      </c>
      <c r="J1772" s="130" t="s">
        <v>1431</v>
      </c>
      <c r="K1772" s="123" t="s">
        <v>1432</v>
      </c>
      <c r="L1772" s="131" t="s">
        <v>209</v>
      </c>
      <c r="M1772" s="134" t="s">
        <v>7763</v>
      </c>
      <c r="N1772" s="123" t="s">
        <v>30</v>
      </c>
    </row>
    <row r="1773" spans="2:14" hidden="1" x14ac:dyDescent="0.25">
      <c r="B1773" s="120">
        <v>1770</v>
      </c>
      <c r="C1773" s="123">
        <v>20538211380</v>
      </c>
      <c r="D1773" s="126" t="s">
        <v>577</v>
      </c>
      <c r="E1773" s="126" t="s">
        <v>1427</v>
      </c>
      <c r="F1773" s="123" t="s">
        <v>30</v>
      </c>
      <c r="G1773" s="123" t="s">
        <v>30</v>
      </c>
      <c r="H1773" s="123" t="s">
        <v>41</v>
      </c>
      <c r="I1773" s="126" t="s">
        <v>1428</v>
      </c>
      <c r="J1773" s="130" t="s">
        <v>1429</v>
      </c>
      <c r="K1773" s="123" t="s">
        <v>1430</v>
      </c>
      <c r="L1773" s="131" t="s">
        <v>42</v>
      </c>
      <c r="M1773" s="134" t="s">
        <v>7763</v>
      </c>
      <c r="N1773" s="123" t="s">
        <v>30</v>
      </c>
    </row>
    <row r="1774" spans="2:14" hidden="1" x14ac:dyDescent="0.25">
      <c r="B1774" s="120">
        <v>1771</v>
      </c>
      <c r="C1774" s="123">
        <v>20608271849</v>
      </c>
      <c r="D1774" s="126" t="s">
        <v>684</v>
      </c>
      <c r="E1774" s="126" t="s">
        <v>1425</v>
      </c>
      <c r="F1774" s="123" t="s">
        <v>30</v>
      </c>
      <c r="G1774" s="123" t="s">
        <v>30</v>
      </c>
      <c r="H1774" s="123" t="s">
        <v>40</v>
      </c>
      <c r="I1774" s="126" t="s">
        <v>1365</v>
      </c>
      <c r="J1774" s="130" t="s">
        <v>20593</v>
      </c>
      <c r="K1774" s="123" t="s">
        <v>1426</v>
      </c>
      <c r="L1774" s="131" t="s">
        <v>42</v>
      </c>
      <c r="M1774" s="134" t="s">
        <v>7764</v>
      </c>
      <c r="N1774" s="123" t="s">
        <v>30</v>
      </c>
    </row>
    <row r="1775" spans="2:14" hidden="1" x14ac:dyDescent="0.25">
      <c r="B1775" s="120">
        <v>1772</v>
      </c>
      <c r="C1775" s="123">
        <v>20380456444</v>
      </c>
      <c r="D1775" s="126" t="s">
        <v>112</v>
      </c>
      <c r="E1775" s="126" t="s">
        <v>1416</v>
      </c>
      <c r="F1775" s="123" t="s">
        <v>30</v>
      </c>
      <c r="G1775" s="123" t="s">
        <v>30</v>
      </c>
      <c r="H1775" s="123" t="s">
        <v>80</v>
      </c>
      <c r="I1775" s="126" t="s">
        <v>1417</v>
      </c>
      <c r="J1775" s="130" t="s">
        <v>1422</v>
      </c>
      <c r="K1775" s="123" t="s">
        <v>1423</v>
      </c>
      <c r="L1775" s="131" t="s">
        <v>209</v>
      </c>
      <c r="M1775" s="134" t="s">
        <v>845</v>
      </c>
      <c r="N1775" s="123" t="s">
        <v>845</v>
      </c>
    </row>
    <row r="1776" spans="2:14" hidden="1" x14ac:dyDescent="0.25">
      <c r="B1776" s="120">
        <v>1773</v>
      </c>
      <c r="C1776" s="123">
        <v>20380456444</v>
      </c>
      <c r="D1776" s="126" t="s">
        <v>112</v>
      </c>
      <c r="E1776" s="126" t="s">
        <v>1416</v>
      </c>
      <c r="F1776" s="123" t="s">
        <v>30</v>
      </c>
      <c r="G1776" s="123" t="s">
        <v>30</v>
      </c>
      <c r="H1776" s="123" t="s">
        <v>80</v>
      </c>
      <c r="I1776" s="126" t="s">
        <v>1417</v>
      </c>
      <c r="J1776" s="130" t="s">
        <v>1420</v>
      </c>
      <c r="K1776" s="123" t="s">
        <v>1421</v>
      </c>
      <c r="L1776" s="131" t="s">
        <v>36</v>
      </c>
      <c r="M1776" s="134" t="s">
        <v>845</v>
      </c>
      <c r="N1776" s="123" t="s">
        <v>845</v>
      </c>
    </row>
    <row r="1777" spans="2:14" hidden="1" x14ac:dyDescent="0.25">
      <c r="B1777" s="120">
        <v>1774</v>
      </c>
      <c r="C1777" s="123">
        <v>20380456444</v>
      </c>
      <c r="D1777" s="126" t="s">
        <v>112</v>
      </c>
      <c r="E1777" s="126" t="s">
        <v>1416</v>
      </c>
      <c r="F1777" s="123" t="s">
        <v>30</v>
      </c>
      <c r="G1777" s="123" t="s">
        <v>30</v>
      </c>
      <c r="H1777" s="123" t="s">
        <v>80</v>
      </c>
      <c r="I1777" s="126" t="s">
        <v>1417</v>
      </c>
      <c r="J1777" s="130" t="s">
        <v>1418</v>
      </c>
      <c r="K1777" s="123" t="s">
        <v>1419</v>
      </c>
      <c r="L1777" s="131" t="s">
        <v>42</v>
      </c>
      <c r="M1777" s="134" t="s">
        <v>845</v>
      </c>
      <c r="N1777" s="123" t="s">
        <v>845</v>
      </c>
    </row>
    <row r="1778" spans="2:14" hidden="1" x14ac:dyDescent="0.25">
      <c r="B1778" s="120">
        <v>1775</v>
      </c>
      <c r="C1778" s="123">
        <v>20550015375</v>
      </c>
      <c r="D1778" s="126" t="s">
        <v>451</v>
      </c>
      <c r="E1778" s="126" t="s">
        <v>1414</v>
      </c>
      <c r="F1778" s="123" t="s">
        <v>30</v>
      </c>
      <c r="G1778" s="123" t="s">
        <v>30</v>
      </c>
      <c r="H1778" s="123" t="s">
        <v>64</v>
      </c>
      <c r="I1778" s="126" t="s">
        <v>1395</v>
      </c>
      <c r="J1778" s="130" t="s">
        <v>20556</v>
      </c>
      <c r="K1778" s="123" t="s">
        <v>1415</v>
      </c>
      <c r="L1778" s="131" t="s">
        <v>731</v>
      </c>
      <c r="M1778" s="134" t="s">
        <v>7765</v>
      </c>
      <c r="N1778" s="123" t="s">
        <v>30</v>
      </c>
    </row>
    <row r="1779" spans="2:14" hidden="1" x14ac:dyDescent="0.25">
      <c r="B1779" s="120">
        <v>1776</v>
      </c>
      <c r="C1779" s="123">
        <v>20608208934</v>
      </c>
      <c r="D1779" s="126" t="s">
        <v>595</v>
      </c>
      <c r="E1779" s="126" t="s">
        <v>1411</v>
      </c>
      <c r="F1779" s="123" t="s">
        <v>30</v>
      </c>
      <c r="G1779" s="123" t="s">
        <v>30</v>
      </c>
      <c r="H1779" s="123" t="s">
        <v>51</v>
      </c>
      <c r="I1779" s="126" t="s">
        <v>1412</v>
      </c>
      <c r="J1779" s="130" t="s">
        <v>20594</v>
      </c>
      <c r="K1779" s="123" t="s">
        <v>1413</v>
      </c>
      <c r="L1779" s="131" t="s">
        <v>36</v>
      </c>
      <c r="M1779" s="134" t="s">
        <v>845</v>
      </c>
      <c r="N1779" s="123" t="s">
        <v>845</v>
      </c>
    </row>
    <row r="1780" spans="2:14" hidden="1" x14ac:dyDescent="0.25">
      <c r="B1780" s="120">
        <v>1777</v>
      </c>
      <c r="C1780" s="123">
        <v>20509526908</v>
      </c>
      <c r="D1780" s="126" t="s">
        <v>436</v>
      </c>
      <c r="E1780" s="126" t="s">
        <v>1409</v>
      </c>
      <c r="F1780" s="123" t="s">
        <v>30</v>
      </c>
      <c r="G1780" s="123" t="s">
        <v>30</v>
      </c>
      <c r="H1780" s="123" t="s">
        <v>72</v>
      </c>
      <c r="I1780" s="126" t="s">
        <v>1387</v>
      </c>
      <c r="J1780" s="130" t="s">
        <v>20595</v>
      </c>
      <c r="K1780" s="123" t="s">
        <v>1410</v>
      </c>
      <c r="L1780" s="131" t="s">
        <v>42</v>
      </c>
      <c r="M1780" s="134" t="s">
        <v>7766</v>
      </c>
      <c r="N1780" s="123" t="s">
        <v>30</v>
      </c>
    </row>
    <row r="1781" spans="2:14" hidden="1" x14ac:dyDescent="0.25">
      <c r="B1781" s="120">
        <v>1778</v>
      </c>
      <c r="C1781" s="123">
        <v>20381213162</v>
      </c>
      <c r="D1781" s="126" t="s">
        <v>634</v>
      </c>
      <c r="E1781" s="126" t="s">
        <v>635</v>
      </c>
      <c r="F1781" s="123" t="s">
        <v>30</v>
      </c>
      <c r="G1781" s="123" t="s">
        <v>30</v>
      </c>
      <c r="H1781" s="123" t="s">
        <v>52</v>
      </c>
      <c r="I1781" s="126" t="s">
        <v>1395</v>
      </c>
      <c r="J1781" s="130" t="s">
        <v>1396</v>
      </c>
      <c r="K1781" s="123" t="s">
        <v>1397</v>
      </c>
      <c r="L1781" s="131" t="s">
        <v>42</v>
      </c>
      <c r="M1781" s="134" t="s">
        <v>7770</v>
      </c>
      <c r="N1781" s="123" t="s">
        <v>30</v>
      </c>
    </row>
    <row r="1782" spans="2:14" hidden="1" x14ac:dyDescent="0.25">
      <c r="B1782" s="120">
        <v>1779</v>
      </c>
      <c r="C1782" s="123">
        <v>20604244952</v>
      </c>
      <c r="D1782" s="126" t="s">
        <v>1111</v>
      </c>
      <c r="E1782" s="126" t="s">
        <v>1383</v>
      </c>
      <c r="F1782" s="123" t="s">
        <v>30</v>
      </c>
      <c r="G1782" s="123" t="s">
        <v>30</v>
      </c>
      <c r="H1782" s="123" t="s">
        <v>58</v>
      </c>
      <c r="I1782" s="126" t="s">
        <v>1384</v>
      </c>
      <c r="J1782" s="130" t="s">
        <v>20597</v>
      </c>
      <c r="K1782" s="123" t="s">
        <v>1385</v>
      </c>
      <c r="L1782" s="131" t="s">
        <v>57</v>
      </c>
      <c r="M1782" s="134" t="s">
        <v>845</v>
      </c>
      <c r="N1782" s="123" t="s">
        <v>845</v>
      </c>
    </row>
    <row r="1783" spans="2:14" hidden="1" x14ac:dyDescent="0.25">
      <c r="B1783" s="120">
        <v>1780</v>
      </c>
      <c r="C1783" s="123">
        <v>20253881438</v>
      </c>
      <c r="D1783" s="126" t="s">
        <v>178</v>
      </c>
      <c r="E1783" s="126" t="s">
        <v>1376</v>
      </c>
      <c r="F1783" s="123" t="s">
        <v>30</v>
      </c>
      <c r="G1783" s="123" t="s">
        <v>30</v>
      </c>
      <c r="H1783" s="123" t="s">
        <v>135</v>
      </c>
      <c r="I1783" s="126" t="s">
        <v>1377</v>
      </c>
      <c r="J1783" s="130" t="s">
        <v>1381</v>
      </c>
      <c r="K1783" s="123" t="s">
        <v>1382</v>
      </c>
      <c r="L1783" s="131" t="s">
        <v>209</v>
      </c>
      <c r="M1783" s="134" t="s">
        <v>7772</v>
      </c>
      <c r="N1783" s="123" t="s">
        <v>30</v>
      </c>
    </row>
    <row r="1784" spans="2:14" hidden="1" x14ac:dyDescent="0.25">
      <c r="B1784" s="120">
        <v>1781</v>
      </c>
      <c r="C1784" s="123">
        <v>20253881438</v>
      </c>
      <c r="D1784" s="126" t="s">
        <v>178</v>
      </c>
      <c r="E1784" s="126" t="s">
        <v>1376</v>
      </c>
      <c r="F1784" s="123" t="s">
        <v>30</v>
      </c>
      <c r="G1784" s="123" t="s">
        <v>30</v>
      </c>
      <c r="H1784" s="123" t="s">
        <v>135</v>
      </c>
      <c r="I1784" s="126" t="s">
        <v>1377</v>
      </c>
      <c r="J1784" s="130" t="s">
        <v>8190</v>
      </c>
      <c r="K1784" s="123" t="s">
        <v>1380</v>
      </c>
      <c r="L1784" s="131" t="s">
        <v>209</v>
      </c>
      <c r="M1784" s="134" t="s">
        <v>7772</v>
      </c>
      <c r="N1784" s="123" t="s">
        <v>30</v>
      </c>
    </row>
    <row r="1785" spans="2:14" hidden="1" x14ac:dyDescent="0.25">
      <c r="B1785" s="120">
        <v>1782</v>
      </c>
      <c r="C1785" s="123">
        <v>20253881438</v>
      </c>
      <c r="D1785" s="126" t="s">
        <v>178</v>
      </c>
      <c r="E1785" s="126" t="s">
        <v>1376</v>
      </c>
      <c r="F1785" s="123" t="s">
        <v>30</v>
      </c>
      <c r="G1785" s="123" t="s">
        <v>30</v>
      </c>
      <c r="H1785" s="123" t="s">
        <v>135</v>
      </c>
      <c r="I1785" s="126" t="s">
        <v>1377</v>
      </c>
      <c r="J1785" s="130" t="s">
        <v>8191</v>
      </c>
      <c r="K1785" s="123" t="s">
        <v>1379</v>
      </c>
      <c r="L1785" s="131" t="s">
        <v>209</v>
      </c>
      <c r="M1785" s="134" t="s">
        <v>7772</v>
      </c>
      <c r="N1785" s="123" t="s">
        <v>30</v>
      </c>
    </row>
    <row r="1786" spans="2:14" hidden="1" x14ac:dyDescent="0.25">
      <c r="B1786" s="120">
        <v>1783</v>
      </c>
      <c r="C1786" s="123">
        <v>20253881438</v>
      </c>
      <c r="D1786" s="126" t="s">
        <v>178</v>
      </c>
      <c r="E1786" s="126" t="s">
        <v>1376</v>
      </c>
      <c r="F1786" s="123" t="s">
        <v>30</v>
      </c>
      <c r="G1786" s="123" t="s">
        <v>30</v>
      </c>
      <c r="H1786" s="123" t="s">
        <v>135</v>
      </c>
      <c r="I1786" s="126" t="s">
        <v>1377</v>
      </c>
      <c r="J1786" s="130" t="s">
        <v>8192</v>
      </c>
      <c r="K1786" s="123" t="s">
        <v>1378</v>
      </c>
      <c r="L1786" s="131" t="s">
        <v>42</v>
      </c>
      <c r="M1786" s="134" t="s">
        <v>7772</v>
      </c>
      <c r="N1786" s="123" t="s">
        <v>30</v>
      </c>
    </row>
    <row r="1787" spans="2:14" hidden="1" x14ac:dyDescent="0.25">
      <c r="B1787" s="120">
        <v>1784</v>
      </c>
      <c r="C1787" s="123">
        <v>20253881438</v>
      </c>
      <c r="D1787" s="126" t="s">
        <v>178</v>
      </c>
      <c r="E1787" s="126" t="s">
        <v>1376</v>
      </c>
      <c r="F1787" s="123" t="s">
        <v>30</v>
      </c>
      <c r="G1787" s="123" t="s">
        <v>30</v>
      </c>
      <c r="H1787" s="123" t="s">
        <v>135</v>
      </c>
      <c r="I1787" s="126" t="s">
        <v>1377</v>
      </c>
      <c r="J1787" s="130" t="s">
        <v>8193</v>
      </c>
      <c r="K1787" s="123" t="s">
        <v>8194</v>
      </c>
      <c r="L1787" s="131" t="s">
        <v>209</v>
      </c>
      <c r="M1787" s="134" t="s">
        <v>7772</v>
      </c>
      <c r="N1787" s="123" t="s">
        <v>30</v>
      </c>
    </row>
    <row r="1788" spans="2:14" hidden="1" x14ac:dyDescent="0.25">
      <c r="B1788" s="120">
        <v>1785</v>
      </c>
      <c r="C1788" s="123">
        <v>20608356780</v>
      </c>
      <c r="D1788" s="126" t="s">
        <v>674</v>
      </c>
      <c r="E1788" s="126" t="s">
        <v>1373</v>
      </c>
      <c r="F1788" s="123" t="s">
        <v>30</v>
      </c>
      <c r="G1788" s="123" t="s">
        <v>30</v>
      </c>
      <c r="H1788" s="123" t="s">
        <v>45</v>
      </c>
      <c r="I1788" s="126" t="s">
        <v>1374</v>
      </c>
      <c r="J1788" s="130" t="s">
        <v>20598</v>
      </c>
      <c r="K1788" s="123" t="s">
        <v>1375</v>
      </c>
      <c r="L1788" s="131" t="s">
        <v>42</v>
      </c>
      <c r="M1788" s="134" t="s">
        <v>7773</v>
      </c>
      <c r="N1788" s="123" t="s">
        <v>30</v>
      </c>
    </row>
    <row r="1789" spans="2:14" hidden="1" x14ac:dyDescent="0.25">
      <c r="B1789" s="120">
        <v>1786</v>
      </c>
      <c r="C1789" s="123">
        <v>20604213321</v>
      </c>
      <c r="D1789" s="126" t="s">
        <v>630</v>
      </c>
      <c r="E1789" s="126" t="s">
        <v>1370</v>
      </c>
      <c r="F1789" s="123" t="s">
        <v>30</v>
      </c>
      <c r="G1789" s="123" t="s">
        <v>30</v>
      </c>
      <c r="H1789" s="123" t="s">
        <v>75</v>
      </c>
      <c r="I1789" s="126" t="s">
        <v>1371</v>
      </c>
      <c r="J1789" s="130" t="s">
        <v>20599</v>
      </c>
      <c r="K1789" s="123" t="s">
        <v>1372</v>
      </c>
      <c r="L1789" s="131" t="s">
        <v>42</v>
      </c>
      <c r="M1789" s="134" t="s">
        <v>7774</v>
      </c>
      <c r="N1789" s="123" t="s">
        <v>30</v>
      </c>
    </row>
    <row r="1790" spans="2:14" hidden="1" x14ac:dyDescent="0.25">
      <c r="B1790" s="120">
        <v>1787</v>
      </c>
      <c r="C1790" s="123">
        <v>20502095553</v>
      </c>
      <c r="D1790" s="126" t="s">
        <v>428</v>
      </c>
      <c r="E1790" s="126" t="s">
        <v>1367</v>
      </c>
      <c r="F1790" s="123" t="s">
        <v>30</v>
      </c>
      <c r="G1790" s="123" t="s">
        <v>30</v>
      </c>
      <c r="H1790" s="123" t="s">
        <v>41</v>
      </c>
      <c r="I1790" s="126" t="s">
        <v>1368</v>
      </c>
      <c r="J1790" s="130" t="s">
        <v>6117</v>
      </c>
      <c r="K1790" s="123" t="s">
        <v>1369</v>
      </c>
      <c r="L1790" s="131" t="s">
        <v>42</v>
      </c>
      <c r="M1790" s="134" t="s">
        <v>7775</v>
      </c>
      <c r="N1790" s="123" t="s">
        <v>30</v>
      </c>
    </row>
    <row r="1791" spans="2:14" hidden="1" x14ac:dyDescent="0.25">
      <c r="B1791" s="120">
        <v>1788</v>
      </c>
      <c r="C1791" s="123">
        <v>20505650761</v>
      </c>
      <c r="D1791" s="126" t="s">
        <v>539</v>
      </c>
      <c r="E1791" s="126" t="s">
        <v>1364</v>
      </c>
      <c r="F1791" s="123" t="s">
        <v>30</v>
      </c>
      <c r="G1791" s="123" t="s">
        <v>30</v>
      </c>
      <c r="H1791" s="123" t="s">
        <v>51</v>
      </c>
      <c r="I1791" s="126" t="s">
        <v>1365</v>
      </c>
      <c r="J1791" s="130" t="s">
        <v>20600</v>
      </c>
      <c r="K1791" s="123" t="s">
        <v>1366</v>
      </c>
      <c r="L1791" s="131" t="s">
        <v>36</v>
      </c>
      <c r="M1791" s="134" t="s">
        <v>7776</v>
      </c>
      <c r="N1791" s="123" t="s">
        <v>30</v>
      </c>
    </row>
    <row r="1792" spans="2:14" hidden="1" x14ac:dyDescent="0.25">
      <c r="B1792" s="120">
        <v>1789</v>
      </c>
      <c r="C1792" s="123">
        <v>20100160707</v>
      </c>
      <c r="D1792" s="126" t="s">
        <v>382</v>
      </c>
      <c r="E1792" s="126" t="s">
        <v>1358</v>
      </c>
      <c r="F1792" s="123" t="s">
        <v>30</v>
      </c>
      <c r="G1792" s="123" t="s">
        <v>30</v>
      </c>
      <c r="H1792" s="123" t="s">
        <v>88</v>
      </c>
      <c r="I1792" s="126" t="s">
        <v>1359</v>
      </c>
      <c r="J1792" s="130" t="s">
        <v>2997</v>
      </c>
      <c r="K1792" s="123" t="s">
        <v>2998</v>
      </c>
      <c r="L1792" s="131" t="s">
        <v>1558</v>
      </c>
      <c r="M1792" s="134" t="s">
        <v>7777</v>
      </c>
      <c r="N1792" s="123" t="s">
        <v>30</v>
      </c>
    </row>
    <row r="1793" spans="2:14" hidden="1" x14ac:dyDescent="0.25">
      <c r="B1793" s="120">
        <v>1790</v>
      </c>
      <c r="C1793" s="123">
        <v>20100160707</v>
      </c>
      <c r="D1793" s="126" t="s">
        <v>382</v>
      </c>
      <c r="E1793" s="126" t="s">
        <v>1358</v>
      </c>
      <c r="F1793" s="123" t="s">
        <v>30</v>
      </c>
      <c r="G1793" s="123" t="s">
        <v>30</v>
      </c>
      <c r="H1793" s="123" t="s">
        <v>88</v>
      </c>
      <c r="I1793" s="126" t="s">
        <v>1359</v>
      </c>
      <c r="J1793" s="130" t="s">
        <v>2996</v>
      </c>
      <c r="K1793" s="123" t="s">
        <v>20608</v>
      </c>
      <c r="L1793" s="131" t="s">
        <v>1558</v>
      </c>
      <c r="M1793" s="134" t="s">
        <v>7777</v>
      </c>
      <c r="N1793" s="123" t="s">
        <v>30</v>
      </c>
    </row>
    <row r="1794" spans="2:14" hidden="1" x14ac:dyDescent="0.25">
      <c r="B1794" s="120">
        <v>1791</v>
      </c>
      <c r="C1794" s="123">
        <v>20100160707</v>
      </c>
      <c r="D1794" s="126" t="s">
        <v>382</v>
      </c>
      <c r="E1794" s="126" t="s">
        <v>1358</v>
      </c>
      <c r="F1794" s="123" t="s">
        <v>30</v>
      </c>
      <c r="G1794" s="123" t="s">
        <v>30</v>
      </c>
      <c r="H1794" s="123" t="s">
        <v>88</v>
      </c>
      <c r="I1794" s="126" t="s">
        <v>1359</v>
      </c>
      <c r="J1794" s="130" t="s">
        <v>2995</v>
      </c>
      <c r="K1794" s="123" t="s">
        <v>1362</v>
      </c>
      <c r="L1794" s="136" t="s">
        <v>1558</v>
      </c>
      <c r="M1794" s="134" t="s">
        <v>7777</v>
      </c>
      <c r="N1794" s="123" t="s">
        <v>30</v>
      </c>
    </row>
    <row r="1795" spans="2:14" hidden="1" x14ac:dyDescent="0.25">
      <c r="B1795" s="120">
        <v>1792</v>
      </c>
      <c r="C1795" s="123">
        <v>20100160707</v>
      </c>
      <c r="D1795" s="126" t="s">
        <v>382</v>
      </c>
      <c r="E1795" s="126" t="s">
        <v>1358</v>
      </c>
      <c r="F1795" s="123" t="s">
        <v>30</v>
      </c>
      <c r="G1795" s="123" t="s">
        <v>30</v>
      </c>
      <c r="H1795" s="123" t="s">
        <v>88</v>
      </c>
      <c r="I1795" s="126" t="s">
        <v>1359</v>
      </c>
      <c r="J1795" s="130" t="s">
        <v>2992</v>
      </c>
      <c r="K1795" s="123" t="s">
        <v>1361</v>
      </c>
      <c r="L1795" s="136" t="s">
        <v>1558</v>
      </c>
      <c r="M1795" s="134" t="s">
        <v>7777</v>
      </c>
      <c r="N1795" s="123" t="s">
        <v>30</v>
      </c>
    </row>
    <row r="1796" spans="2:14" hidden="1" x14ac:dyDescent="0.25">
      <c r="B1796" s="120">
        <v>1793</v>
      </c>
      <c r="C1796" s="123">
        <v>20100160707</v>
      </c>
      <c r="D1796" s="126" t="s">
        <v>382</v>
      </c>
      <c r="E1796" s="126" t="s">
        <v>1358</v>
      </c>
      <c r="F1796" s="123" t="s">
        <v>30</v>
      </c>
      <c r="G1796" s="123" t="s">
        <v>30</v>
      </c>
      <c r="H1796" s="123" t="s">
        <v>88</v>
      </c>
      <c r="I1796" s="126" t="s">
        <v>1359</v>
      </c>
      <c r="J1796" s="130" t="s">
        <v>2991</v>
      </c>
      <c r="K1796" s="123" t="s">
        <v>1360</v>
      </c>
      <c r="L1796" s="136" t="s">
        <v>36</v>
      </c>
      <c r="M1796" s="134" t="s">
        <v>7777</v>
      </c>
      <c r="N1796" s="123" t="s">
        <v>30</v>
      </c>
    </row>
    <row r="1797" spans="2:14" hidden="1" x14ac:dyDescent="0.25">
      <c r="B1797" s="120">
        <v>1794</v>
      </c>
      <c r="C1797" s="123">
        <v>20100160707</v>
      </c>
      <c r="D1797" s="126" t="s">
        <v>382</v>
      </c>
      <c r="E1797" s="126" t="s">
        <v>1358</v>
      </c>
      <c r="F1797" s="123" t="s">
        <v>30</v>
      </c>
      <c r="G1797" s="123" t="s">
        <v>30</v>
      </c>
      <c r="H1797" s="123" t="s">
        <v>88</v>
      </c>
      <c r="I1797" s="126" t="s">
        <v>1359</v>
      </c>
      <c r="J1797" s="130" t="s">
        <v>20606</v>
      </c>
      <c r="K1797" s="123" t="s">
        <v>20607</v>
      </c>
      <c r="L1797" s="131" t="s">
        <v>731</v>
      </c>
      <c r="M1797" s="134" t="s">
        <v>7777</v>
      </c>
      <c r="N1797" s="123" t="s">
        <v>30</v>
      </c>
    </row>
    <row r="1798" spans="2:14" hidden="1" x14ac:dyDescent="0.25">
      <c r="B1798" s="120">
        <v>1795</v>
      </c>
      <c r="C1798" s="123">
        <v>20600956826</v>
      </c>
      <c r="D1798" s="126" t="s">
        <v>675</v>
      </c>
      <c r="E1798" s="126" t="s">
        <v>1355</v>
      </c>
      <c r="F1798" s="123" t="s">
        <v>67</v>
      </c>
      <c r="G1798" s="123" t="s">
        <v>67</v>
      </c>
      <c r="H1798" s="123" t="s">
        <v>67</v>
      </c>
      <c r="I1798" s="126" t="s">
        <v>1356</v>
      </c>
      <c r="J1798" s="130" t="s">
        <v>6118</v>
      </c>
      <c r="K1798" s="123" t="s">
        <v>1357</v>
      </c>
      <c r="L1798" s="131" t="s">
        <v>42</v>
      </c>
      <c r="M1798" s="134" t="s">
        <v>7778</v>
      </c>
      <c r="N1798" s="123" t="s">
        <v>30</v>
      </c>
    </row>
    <row r="1799" spans="2:14" hidden="1" x14ac:dyDescent="0.25">
      <c r="B1799" s="120">
        <v>1796</v>
      </c>
      <c r="C1799" s="123">
        <v>20537469006</v>
      </c>
      <c r="D1799" s="126" t="s">
        <v>1351</v>
      </c>
      <c r="E1799" s="126" t="s">
        <v>1352</v>
      </c>
      <c r="F1799" s="123" t="s">
        <v>30</v>
      </c>
      <c r="G1799" s="123" t="s">
        <v>30</v>
      </c>
      <c r="H1799" s="123" t="s">
        <v>88</v>
      </c>
      <c r="I1799" s="126" t="s">
        <v>1384</v>
      </c>
      <c r="J1799" s="130" t="s">
        <v>6119</v>
      </c>
      <c r="K1799" s="123" t="s">
        <v>1354</v>
      </c>
      <c r="L1799" s="131" t="s">
        <v>209</v>
      </c>
      <c r="M1799" s="134" t="s">
        <v>7779</v>
      </c>
      <c r="N1799" s="123" t="s">
        <v>30</v>
      </c>
    </row>
    <row r="1800" spans="2:14" hidden="1" x14ac:dyDescent="0.25">
      <c r="B1800" s="120">
        <v>1797</v>
      </c>
      <c r="C1800" s="123">
        <v>20537469006</v>
      </c>
      <c r="D1800" s="126" t="s">
        <v>1351</v>
      </c>
      <c r="E1800" s="126" t="s">
        <v>1352</v>
      </c>
      <c r="F1800" s="123" t="s">
        <v>30</v>
      </c>
      <c r="G1800" s="123" t="s">
        <v>30</v>
      </c>
      <c r="H1800" s="123" t="s">
        <v>88</v>
      </c>
      <c r="I1800" s="126" t="s">
        <v>1384</v>
      </c>
      <c r="J1800" s="130" t="s">
        <v>7698</v>
      </c>
      <c r="K1800" s="123" t="s">
        <v>1353</v>
      </c>
      <c r="L1800" s="131" t="s">
        <v>42</v>
      </c>
      <c r="M1800" s="134" t="s">
        <v>7779</v>
      </c>
      <c r="N1800" s="123" t="s">
        <v>30</v>
      </c>
    </row>
    <row r="1801" spans="2:14" hidden="1" x14ac:dyDescent="0.25">
      <c r="B1801" s="120">
        <v>1798</v>
      </c>
      <c r="C1801" s="123">
        <v>20553547238</v>
      </c>
      <c r="D1801" s="126" t="s">
        <v>649</v>
      </c>
      <c r="E1801" s="126" t="s">
        <v>1349</v>
      </c>
      <c r="F1801" s="123" t="s">
        <v>30</v>
      </c>
      <c r="G1801" s="123" t="s">
        <v>30</v>
      </c>
      <c r="H1801" s="123" t="s">
        <v>74</v>
      </c>
      <c r="I1801" s="126" t="s">
        <v>1424</v>
      </c>
      <c r="J1801" s="130" t="s">
        <v>20610</v>
      </c>
      <c r="K1801" s="123" t="s">
        <v>1350</v>
      </c>
      <c r="L1801" s="131" t="s">
        <v>42</v>
      </c>
      <c r="M1801" s="134" t="s">
        <v>7780</v>
      </c>
      <c r="N1801" s="123" t="s">
        <v>30</v>
      </c>
    </row>
    <row r="1802" spans="2:14" hidden="1" x14ac:dyDescent="0.25">
      <c r="B1802" s="120">
        <v>1799</v>
      </c>
      <c r="C1802" s="123">
        <v>20602192017</v>
      </c>
      <c r="D1802" s="126" t="s">
        <v>1346</v>
      </c>
      <c r="E1802" s="126" t="s">
        <v>1347</v>
      </c>
      <c r="F1802" s="123" t="s">
        <v>30</v>
      </c>
      <c r="G1802" s="123" t="s">
        <v>30</v>
      </c>
      <c r="H1802" s="123" t="s">
        <v>30</v>
      </c>
      <c r="I1802" s="126" t="s">
        <v>1561</v>
      </c>
      <c r="J1802" s="130" t="s">
        <v>20611</v>
      </c>
      <c r="K1802" s="123" t="s">
        <v>1348</v>
      </c>
      <c r="L1802" s="131" t="s">
        <v>42</v>
      </c>
      <c r="M1802" s="134" t="s">
        <v>7781</v>
      </c>
      <c r="N1802" s="123" t="s">
        <v>30</v>
      </c>
    </row>
    <row r="1803" spans="2:14" hidden="1" x14ac:dyDescent="0.25">
      <c r="B1803" s="120">
        <v>1800</v>
      </c>
      <c r="C1803" s="123">
        <v>20418639513</v>
      </c>
      <c r="D1803" s="126" t="s">
        <v>643</v>
      </c>
      <c r="E1803" s="126" t="s">
        <v>1344</v>
      </c>
      <c r="F1803" s="123" t="s">
        <v>67</v>
      </c>
      <c r="G1803" s="123" t="s">
        <v>67</v>
      </c>
      <c r="H1803" s="123" t="s">
        <v>94</v>
      </c>
      <c r="I1803" s="126" t="s">
        <v>1384</v>
      </c>
      <c r="J1803" s="130" t="s">
        <v>20612</v>
      </c>
      <c r="K1803" s="123" t="s">
        <v>1345</v>
      </c>
      <c r="L1803" s="131" t="s">
        <v>42</v>
      </c>
      <c r="M1803" s="134" t="s">
        <v>7782</v>
      </c>
      <c r="N1803" s="123" t="s">
        <v>67</v>
      </c>
    </row>
    <row r="1804" spans="2:14" hidden="1" x14ac:dyDescent="0.25">
      <c r="B1804" s="120">
        <v>1801</v>
      </c>
      <c r="C1804" s="123">
        <v>20603602952</v>
      </c>
      <c r="D1804" s="126" t="s">
        <v>606</v>
      </c>
      <c r="E1804" s="126" t="s">
        <v>1341</v>
      </c>
      <c r="F1804" s="123" t="s">
        <v>30</v>
      </c>
      <c r="G1804" s="123" t="s">
        <v>30</v>
      </c>
      <c r="H1804" s="123" t="s">
        <v>45</v>
      </c>
      <c r="I1804" s="126" t="s">
        <v>1561</v>
      </c>
      <c r="J1804" s="130" t="s">
        <v>6120</v>
      </c>
      <c r="K1804" s="123" t="s">
        <v>1343</v>
      </c>
      <c r="L1804" s="131" t="s">
        <v>36</v>
      </c>
      <c r="M1804" s="134" t="s">
        <v>7783</v>
      </c>
      <c r="N1804" s="123" t="s">
        <v>30</v>
      </c>
    </row>
    <row r="1805" spans="2:14" hidden="1" x14ac:dyDescent="0.25">
      <c r="B1805" s="120">
        <v>1802</v>
      </c>
      <c r="C1805" s="123">
        <v>20603602952</v>
      </c>
      <c r="D1805" s="126" t="s">
        <v>606</v>
      </c>
      <c r="E1805" s="126" t="s">
        <v>1341</v>
      </c>
      <c r="F1805" s="123" t="s">
        <v>30</v>
      </c>
      <c r="G1805" s="123" t="s">
        <v>30</v>
      </c>
      <c r="H1805" s="123" t="s">
        <v>45</v>
      </c>
      <c r="I1805" s="126" t="s">
        <v>1561</v>
      </c>
      <c r="J1805" s="130" t="s">
        <v>6121</v>
      </c>
      <c r="K1805" s="123" t="s">
        <v>1342</v>
      </c>
      <c r="L1805" s="131" t="s">
        <v>42</v>
      </c>
      <c r="M1805" s="134" t="s">
        <v>7783</v>
      </c>
      <c r="N1805" s="123" t="s">
        <v>30</v>
      </c>
    </row>
    <row r="1806" spans="2:14" hidden="1" x14ac:dyDescent="0.25">
      <c r="B1806" s="120">
        <v>1803</v>
      </c>
      <c r="C1806" s="123">
        <v>20601242479</v>
      </c>
      <c r="D1806" s="126" t="s">
        <v>1139</v>
      </c>
      <c r="E1806" s="126" t="s">
        <v>1338</v>
      </c>
      <c r="F1806" s="123" t="s">
        <v>30</v>
      </c>
      <c r="G1806" s="123" t="s">
        <v>30</v>
      </c>
      <c r="H1806" s="123" t="s">
        <v>110</v>
      </c>
      <c r="I1806" s="126" t="s">
        <v>1394</v>
      </c>
      <c r="J1806" s="130" t="s">
        <v>6122</v>
      </c>
      <c r="K1806" s="123" t="s">
        <v>1340</v>
      </c>
      <c r="L1806" s="131" t="s">
        <v>42</v>
      </c>
      <c r="M1806" s="134" t="s">
        <v>845</v>
      </c>
      <c r="N1806" s="123" t="s">
        <v>845</v>
      </c>
    </row>
    <row r="1807" spans="2:14" hidden="1" x14ac:dyDescent="0.25">
      <c r="B1807" s="120">
        <v>1804</v>
      </c>
      <c r="C1807" s="123">
        <v>20601242479</v>
      </c>
      <c r="D1807" s="126" t="s">
        <v>1139</v>
      </c>
      <c r="E1807" s="126" t="s">
        <v>1338</v>
      </c>
      <c r="F1807" s="123" t="s">
        <v>30</v>
      </c>
      <c r="G1807" s="123" t="s">
        <v>30</v>
      </c>
      <c r="H1807" s="123" t="s">
        <v>110</v>
      </c>
      <c r="I1807" s="126" t="s">
        <v>1394</v>
      </c>
      <c r="J1807" s="130" t="s">
        <v>6123</v>
      </c>
      <c r="K1807" s="123" t="s">
        <v>1339</v>
      </c>
      <c r="L1807" s="131" t="s">
        <v>36</v>
      </c>
      <c r="M1807" s="134" t="s">
        <v>845</v>
      </c>
      <c r="N1807" s="123" t="s">
        <v>845</v>
      </c>
    </row>
    <row r="1808" spans="2:14" hidden="1" x14ac:dyDescent="0.25">
      <c r="B1808" s="120">
        <v>1805</v>
      </c>
      <c r="C1808" s="123">
        <v>20100002621</v>
      </c>
      <c r="D1808" s="126" t="s">
        <v>317</v>
      </c>
      <c r="E1808" s="126" t="s">
        <v>1334</v>
      </c>
      <c r="F1808" s="123" t="s">
        <v>67</v>
      </c>
      <c r="G1808" s="123" t="s">
        <v>67</v>
      </c>
      <c r="H1808" s="123" t="s">
        <v>67</v>
      </c>
      <c r="I1808" s="126" t="s">
        <v>2895</v>
      </c>
      <c r="J1808" s="130" t="s">
        <v>20615</v>
      </c>
      <c r="K1808" s="123" t="s">
        <v>1337</v>
      </c>
      <c r="L1808" s="131" t="s">
        <v>36</v>
      </c>
      <c r="M1808" s="134" t="s">
        <v>7784</v>
      </c>
      <c r="N1808" s="123" t="s">
        <v>67</v>
      </c>
    </row>
    <row r="1809" spans="2:14" hidden="1" x14ac:dyDescent="0.25">
      <c r="B1809" s="120">
        <v>1806</v>
      </c>
      <c r="C1809" s="123">
        <v>20100002621</v>
      </c>
      <c r="D1809" s="126" t="s">
        <v>317</v>
      </c>
      <c r="E1809" s="126" t="s">
        <v>1334</v>
      </c>
      <c r="F1809" s="123" t="s">
        <v>67</v>
      </c>
      <c r="G1809" s="123" t="s">
        <v>67</v>
      </c>
      <c r="H1809" s="123" t="s">
        <v>67</v>
      </c>
      <c r="I1809" s="126" t="s">
        <v>2895</v>
      </c>
      <c r="J1809" s="130" t="s">
        <v>20614</v>
      </c>
      <c r="K1809" s="123" t="s">
        <v>1336</v>
      </c>
      <c r="L1809" s="131" t="s">
        <v>36</v>
      </c>
      <c r="M1809" s="134" t="s">
        <v>7784</v>
      </c>
      <c r="N1809" s="123" t="s">
        <v>67</v>
      </c>
    </row>
    <row r="1810" spans="2:14" hidden="1" x14ac:dyDescent="0.25">
      <c r="B1810" s="120">
        <v>1807</v>
      </c>
      <c r="C1810" s="123">
        <v>20100002621</v>
      </c>
      <c r="D1810" s="126" t="s">
        <v>317</v>
      </c>
      <c r="E1810" s="126" t="s">
        <v>1334</v>
      </c>
      <c r="F1810" s="123" t="s">
        <v>67</v>
      </c>
      <c r="G1810" s="123" t="s">
        <v>67</v>
      </c>
      <c r="H1810" s="123" t="s">
        <v>67</v>
      </c>
      <c r="I1810" s="126" t="s">
        <v>2895</v>
      </c>
      <c r="J1810" s="130" t="s">
        <v>20613</v>
      </c>
      <c r="K1810" s="123" t="s">
        <v>1335</v>
      </c>
      <c r="L1810" s="131" t="s">
        <v>42</v>
      </c>
      <c r="M1810" s="134" t="s">
        <v>7784</v>
      </c>
      <c r="N1810" s="123" t="s">
        <v>67</v>
      </c>
    </row>
    <row r="1811" spans="2:14" hidden="1" x14ac:dyDescent="0.25">
      <c r="B1811" s="120">
        <v>1808</v>
      </c>
      <c r="C1811" s="123">
        <v>20546393683</v>
      </c>
      <c r="D1811" s="126" t="s">
        <v>1331</v>
      </c>
      <c r="E1811" s="126" t="s">
        <v>1332</v>
      </c>
      <c r="F1811" s="123" t="s">
        <v>30</v>
      </c>
      <c r="G1811" s="123" t="s">
        <v>30</v>
      </c>
      <c r="H1811" s="123" t="s">
        <v>85</v>
      </c>
      <c r="I1811" s="126" t="s">
        <v>1384</v>
      </c>
      <c r="J1811" s="130" t="s">
        <v>6124</v>
      </c>
      <c r="K1811" s="123" t="s">
        <v>1333</v>
      </c>
      <c r="L1811" s="131" t="s">
        <v>42</v>
      </c>
      <c r="M1811" s="134" t="s">
        <v>845</v>
      </c>
      <c r="N1811" s="123" t="s">
        <v>845</v>
      </c>
    </row>
    <row r="1812" spans="2:14" hidden="1" x14ac:dyDescent="0.25">
      <c r="B1812" s="120">
        <v>1809</v>
      </c>
      <c r="C1812" s="123">
        <v>20544031351</v>
      </c>
      <c r="D1812" s="126" t="s">
        <v>510</v>
      </c>
      <c r="E1812" s="126" t="s">
        <v>1329</v>
      </c>
      <c r="F1812" s="123" t="s">
        <v>30</v>
      </c>
      <c r="G1812" s="123" t="s">
        <v>30</v>
      </c>
      <c r="H1812" s="123" t="s">
        <v>35</v>
      </c>
      <c r="I1812" s="126" t="s">
        <v>1398</v>
      </c>
      <c r="J1812" s="130" t="s">
        <v>6125</v>
      </c>
      <c r="K1812" s="123" t="s">
        <v>1330</v>
      </c>
      <c r="L1812" s="131" t="s">
        <v>42</v>
      </c>
      <c r="M1812" s="134" t="s">
        <v>845</v>
      </c>
      <c r="N1812" s="123" t="s">
        <v>845</v>
      </c>
    </row>
    <row r="1813" spans="2:14" hidden="1" x14ac:dyDescent="0.25">
      <c r="B1813" s="120">
        <v>1810</v>
      </c>
      <c r="C1813" s="123">
        <v>20606187778</v>
      </c>
      <c r="D1813" s="126" t="s">
        <v>477</v>
      </c>
      <c r="E1813" s="126" t="s">
        <v>1327</v>
      </c>
      <c r="F1813" s="123" t="s">
        <v>30</v>
      </c>
      <c r="G1813" s="123" t="s">
        <v>30</v>
      </c>
      <c r="H1813" s="123" t="s">
        <v>39</v>
      </c>
      <c r="I1813" s="126" t="s">
        <v>1394</v>
      </c>
      <c r="J1813" s="130" t="s">
        <v>6125</v>
      </c>
      <c r="K1813" s="123" t="s">
        <v>1328</v>
      </c>
      <c r="L1813" s="131" t="s">
        <v>42</v>
      </c>
      <c r="M1813" s="134" t="s">
        <v>7785</v>
      </c>
      <c r="N1813" s="123" t="s">
        <v>30</v>
      </c>
    </row>
    <row r="1814" spans="2:14" hidden="1" x14ac:dyDescent="0.25">
      <c r="B1814" s="120">
        <v>1811</v>
      </c>
      <c r="C1814" s="123">
        <v>20506438919</v>
      </c>
      <c r="D1814" s="126" t="s">
        <v>53</v>
      </c>
      <c r="E1814" s="126" t="s">
        <v>1325</v>
      </c>
      <c r="F1814" s="123" t="s">
        <v>67</v>
      </c>
      <c r="G1814" s="123" t="s">
        <v>67</v>
      </c>
      <c r="H1814" s="123" t="s">
        <v>153</v>
      </c>
      <c r="I1814" s="126" t="s">
        <v>1732</v>
      </c>
      <c r="J1814" s="130" t="s">
        <v>6126</v>
      </c>
      <c r="K1814" s="123" t="s">
        <v>1326</v>
      </c>
      <c r="L1814" s="131" t="s">
        <v>42</v>
      </c>
      <c r="M1814" s="134" t="s">
        <v>7786</v>
      </c>
      <c r="N1814" s="123" t="s">
        <v>67</v>
      </c>
    </row>
    <row r="1815" spans="2:14" hidden="1" x14ac:dyDescent="0.25">
      <c r="B1815" s="120">
        <v>1812</v>
      </c>
      <c r="C1815" s="123">
        <v>20549011196</v>
      </c>
      <c r="D1815" s="126" t="s">
        <v>1321</v>
      </c>
      <c r="E1815" s="126" t="s">
        <v>1320</v>
      </c>
      <c r="F1815" s="123" t="s">
        <v>30</v>
      </c>
      <c r="G1815" s="123" t="s">
        <v>30</v>
      </c>
      <c r="H1815" s="123" t="s">
        <v>1322</v>
      </c>
      <c r="I1815" s="126" t="s">
        <v>1377</v>
      </c>
      <c r="J1815" s="130" t="s">
        <v>20549</v>
      </c>
      <c r="K1815" s="123" t="s">
        <v>1324</v>
      </c>
      <c r="L1815" s="131" t="s">
        <v>42</v>
      </c>
      <c r="M1815" s="134" t="s">
        <v>1188</v>
      </c>
      <c r="N1815" s="123" t="s">
        <v>845</v>
      </c>
    </row>
    <row r="1816" spans="2:14" hidden="1" x14ac:dyDescent="0.25">
      <c r="B1816" s="120">
        <v>1813</v>
      </c>
      <c r="C1816" s="123">
        <v>20549011196</v>
      </c>
      <c r="D1816" s="126" t="s">
        <v>1321</v>
      </c>
      <c r="E1816" s="126" t="s">
        <v>1320</v>
      </c>
      <c r="F1816" s="123" t="s">
        <v>30</v>
      </c>
      <c r="G1816" s="123" t="s">
        <v>30</v>
      </c>
      <c r="H1816" s="123" t="s">
        <v>1322</v>
      </c>
      <c r="I1816" s="126" t="s">
        <v>1377</v>
      </c>
      <c r="J1816" s="130" t="s">
        <v>6127</v>
      </c>
      <c r="K1816" s="123" t="s">
        <v>1323</v>
      </c>
      <c r="L1816" s="131" t="s">
        <v>209</v>
      </c>
      <c r="M1816" s="134" t="s">
        <v>1188</v>
      </c>
      <c r="N1816" s="123" t="s">
        <v>845</v>
      </c>
    </row>
    <row r="1817" spans="2:14" hidden="1" x14ac:dyDescent="0.25">
      <c r="B1817" s="120">
        <v>1814</v>
      </c>
      <c r="C1817" s="123">
        <v>20604081042</v>
      </c>
      <c r="D1817" s="126" t="s">
        <v>425</v>
      </c>
      <c r="E1817" s="126" t="s">
        <v>1316</v>
      </c>
      <c r="F1817" s="123" t="s">
        <v>67</v>
      </c>
      <c r="G1817" s="123" t="s">
        <v>67</v>
      </c>
      <c r="H1817" s="123" t="s">
        <v>143</v>
      </c>
      <c r="I1817" s="126" t="s">
        <v>1311</v>
      </c>
      <c r="J1817" s="130" t="s">
        <v>20574</v>
      </c>
      <c r="K1817" s="123" t="s">
        <v>1317</v>
      </c>
      <c r="L1817" s="131" t="s">
        <v>57</v>
      </c>
      <c r="M1817" s="134" t="s">
        <v>845</v>
      </c>
      <c r="N1817" s="123" t="s">
        <v>845</v>
      </c>
    </row>
    <row r="1818" spans="2:14" hidden="1" x14ac:dyDescent="0.25">
      <c r="B1818" s="120">
        <v>1815</v>
      </c>
      <c r="C1818" s="123">
        <v>20600838351</v>
      </c>
      <c r="D1818" s="126" t="s">
        <v>1313</v>
      </c>
      <c r="E1818" s="126" t="s">
        <v>1314</v>
      </c>
      <c r="F1818" s="123" t="s">
        <v>30</v>
      </c>
      <c r="G1818" s="123" t="s">
        <v>30</v>
      </c>
      <c r="H1818" s="123" t="s">
        <v>51</v>
      </c>
      <c r="I1818" s="126" t="s">
        <v>102</v>
      </c>
      <c r="J1818" s="130" t="s">
        <v>6128</v>
      </c>
      <c r="K1818" s="123" t="s">
        <v>1315</v>
      </c>
      <c r="L1818" s="131" t="s">
        <v>42</v>
      </c>
      <c r="M1818" s="134" t="s">
        <v>7787</v>
      </c>
      <c r="N1818" s="123" t="s">
        <v>30</v>
      </c>
    </row>
    <row r="1819" spans="2:14" hidden="1" x14ac:dyDescent="0.25">
      <c r="B1819" s="120">
        <v>1816</v>
      </c>
      <c r="C1819" s="123">
        <v>20601537231</v>
      </c>
      <c r="D1819" s="126" t="s">
        <v>255</v>
      </c>
      <c r="E1819" s="126" t="s">
        <v>1310</v>
      </c>
      <c r="F1819" s="123" t="s">
        <v>30</v>
      </c>
      <c r="G1819" s="123" t="s">
        <v>30</v>
      </c>
      <c r="H1819" s="123" t="s">
        <v>38</v>
      </c>
      <c r="I1819" s="126" t="s">
        <v>1311</v>
      </c>
      <c r="J1819" s="130" t="s">
        <v>20596</v>
      </c>
      <c r="K1819" s="123" t="s">
        <v>1312</v>
      </c>
      <c r="L1819" s="131" t="s">
        <v>42</v>
      </c>
      <c r="M1819" s="134" t="s">
        <v>7788</v>
      </c>
      <c r="N1819" s="123" t="s">
        <v>30</v>
      </c>
    </row>
    <row r="1820" spans="2:14" hidden="1" x14ac:dyDescent="0.25">
      <c r="B1820" s="120">
        <v>1817</v>
      </c>
      <c r="C1820" s="123">
        <v>20154996991</v>
      </c>
      <c r="D1820" s="126" t="s">
        <v>1306</v>
      </c>
      <c r="E1820" s="126" t="s">
        <v>1307</v>
      </c>
      <c r="F1820" s="123" t="s">
        <v>30</v>
      </c>
      <c r="G1820" s="123" t="s">
        <v>30</v>
      </c>
      <c r="H1820" s="123" t="s">
        <v>30</v>
      </c>
      <c r="I1820" s="126" t="s">
        <v>3734</v>
      </c>
      <c r="J1820" s="130" t="s">
        <v>20617</v>
      </c>
      <c r="K1820" s="123" t="s">
        <v>1308</v>
      </c>
      <c r="L1820" s="131" t="s">
        <v>1309</v>
      </c>
      <c r="M1820" s="134" t="s">
        <v>845</v>
      </c>
      <c r="N1820" s="123" t="s">
        <v>845</v>
      </c>
    </row>
    <row r="1821" spans="2:14" hidden="1" x14ac:dyDescent="0.25">
      <c r="B1821" s="120">
        <v>1818</v>
      </c>
      <c r="C1821" s="123">
        <v>20462829737</v>
      </c>
      <c r="D1821" s="126" t="s">
        <v>252</v>
      </c>
      <c r="E1821" s="126" t="s">
        <v>1301</v>
      </c>
      <c r="F1821" s="123" t="s">
        <v>30</v>
      </c>
      <c r="G1821" s="123" t="s">
        <v>30</v>
      </c>
      <c r="H1821" s="123" t="s">
        <v>40</v>
      </c>
      <c r="I1821" s="126" t="s">
        <v>1302</v>
      </c>
      <c r="J1821" s="130" t="s">
        <v>6129</v>
      </c>
      <c r="K1821" s="123" t="s">
        <v>1304</v>
      </c>
      <c r="L1821" s="131" t="s">
        <v>1305</v>
      </c>
      <c r="M1821" s="134" t="s">
        <v>7789</v>
      </c>
      <c r="N1821" s="123" t="s">
        <v>30</v>
      </c>
    </row>
    <row r="1822" spans="2:14" hidden="1" x14ac:dyDescent="0.25">
      <c r="B1822" s="120">
        <v>1819</v>
      </c>
      <c r="C1822" s="123">
        <v>20462829737</v>
      </c>
      <c r="D1822" s="126" t="s">
        <v>252</v>
      </c>
      <c r="E1822" s="126" t="s">
        <v>1301</v>
      </c>
      <c r="F1822" s="123" t="s">
        <v>30</v>
      </c>
      <c r="G1822" s="123" t="s">
        <v>30</v>
      </c>
      <c r="H1822" s="123" t="s">
        <v>40</v>
      </c>
      <c r="I1822" s="126" t="s">
        <v>1302</v>
      </c>
      <c r="J1822" s="130" t="s">
        <v>7398</v>
      </c>
      <c r="K1822" s="123" t="s">
        <v>1303</v>
      </c>
      <c r="L1822" s="131" t="s">
        <v>36</v>
      </c>
      <c r="M1822" s="134" t="s">
        <v>7789</v>
      </c>
      <c r="N1822" s="123" t="s">
        <v>30</v>
      </c>
    </row>
    <row r="1823" spans="2:14" hidden="1" x14ac:dyDescent="0.25">
      <c r="B1823" s="120">
        <v>1820</v>
      </c>
      <c r="C1823" s="123">
        <v>10098824524</v>
      </c>
      <c r="D1823" s="126" t="s">
        <v>132</v>
      </c>
      <c r="E1823" s="126" t="s">
        <v>1300</v>
      </c>
      <c r="F1823" s="123" t="s">
        <v>30</v>
      </c>
      <c r="G1823" s="123" t="s">
        <v>30</v>
      </c>
      <c r="H1823" s="123" t="s">
        <v>72</v>
      </c>
      <c r="I1823" s="126" t="s">
        <v>46</v>
      </c>
      <c r="J1823" s="130" t="s">
        <v>7719</v>
      </c>
      <c r="K1823" s="123" t="s">
        <v>132</v>
      </c>
      <c r="L1823" s="131" t="s">
        <v>100</v>
      </c>
      <c r="M1823" s="134" t="s">
        <v>845</v>
      </c>
      <c r="N1823" s="123" t="s">
        <v>845</v>
      </c>
    </row>
    <row r="1824" spans="2:14" hidden="1" x14ac:dyDescent="0.25">
      <c r="B1824" s="120">
        <v>1821</v>
      </c>
      <c r="C1824" s="123">
        <v>20608035711</v>
      </c>
      <c r="D1824" s="126" t="s">
        <v>598</v>
      </c>
      <c r="E1824" s="126" t="s">
        <v>1298</v>
      </c>
      <c r="F1824" s="123" t="s">
        <v>30</v>
      </c>
      <c r="G1824" s="123" t="s">
        <v>30</v>
      </c>
      <c r="H1824" s="123" t="s">
        <v>51</v>
      </c>
      <c r="I1824" s="126" t="s">
        <v>1961</v>
      </c>
      <c r="J1824" s="130" t="s">
        <v>20609</v>
      </c>
      <c r="K1824" s="123" t="s">
        <v>1299</v>
      </c>
      <c r="L1824" s="131" t="s">
        <v>42</v>
      </c>
      <c r="M1824" s="134" t="s">
        <v>7790</v>
      </c>
      <c r="N1824" s="123" t="s">
        <v>30</v>
      </c>
    </row>
    <row r="1825" spans="2:14" hidden="1" x14ac:dyDescent="0.25">
      <c r="B1825" s="120">
        <v>1822</v>
      </c>
      <c r="C1825" s="123">
        <v>20100019435</v>
      </c>
      <c r="D1825" s="126" t="s">
        <v>1290</v>
      </c>
      <c r="E1825" s="126" t="s">
        <v>1291</v>
      </c>
      <c r="F1825" s="123" t="s">
        <v>67</v>
      </c>
      <c r="G1825" s="123" t="s">
        <v>67</v>
      </c>
      <c r="H1825" s="123" t="s">
        <v>67</v>
      </c>
      <c r="I1825" s="126" t="s">
        <v>1292</v>
      </c>
      <c r="J1825" s="130" t="s">
        <v>20620</v>
      </c>
      <c r="K1825" s="123" t="s">
        <v>1297</v>
      </c>
      <c r="L1825" s="131" t="s">
        <v>36</v>
      </c>
      <c r="M1825" s="134" t="s">
        <v>845</v>
      </c>
      <c r="N1825" s="123" t="s">
        <v>845</v>
      </c>
    </row>
    <row r="1826" spans="2:14" hidden="1" x14ac:dyDescent="0.25">
      <c r="B1826" s="120">
        <v>1823</v>
      </c>
      <c r="C1826" s="123">
        <v>20100019435</v>
      </c>
      <c r="D1826" s="126" t="s">
        <v>1290</v>
      </c>
      <c r="E1826" s="126" t="s">
        <v>1291</v>
      </c>
      <c r="F1826" s="123" t="s">
        <v>67</v>
      </c>
      <c r="G1826" s="123" t="s">
        <v>67</v>
      </c>
      <c r="H1826" s="123" t="s">
        <v>67</v>
      </c>
      <c r="I1826" s="126" t="s">
        <v>1292</v>
      </c>
      <c r="J1826" s="130" t="s">
        <v>6130</v>
      </c>
      <c r="K1826" s="123" t="s">
        <v>1296</v>
      </c>
      <c r="L1826" s="131" t="s">
        <v>209</v>
      </c>
      <c r="M1826" s="134" t="s">
        <v>845</v>
      </c>
      <c r="N1826" s="123" t="s">
        <v>845</v>
      </c>
    </row>
    <row r="1827" spans="2:14" hidden="1" x14ac:dyDescent="0.25">
      <c r="B1827" s="120">
        <v>1824</v>
      </c>
      <c r="C1827" s="123">
        <v>20100019435</v>
      </c>
      <c r="D1827" s="126" t="s">
        <v>1290</v>
      </c>
      <c r="E1827" s="126" t="s">
        <v>1291</v>
      </c>
      <c r="F1827" s="123" t="s">
        <v>67</v>
      </c>
      <c r="G1827" s="123" t="s">
        <v>67</v>
      </c>
      <c r="H1827" s="123" t="s">
        <v>67</v>
      </c>
      <c r="I1827" s="126" t="s">
        <v>1292</v>
      </c>
      <c r="J1827" s="130" t="s">
        <v>6131</v>
      </c>
      <c r="K1827" s="123" t="s">
        <v>1295</v>
      </c>
      <c r="L1827" s="131" t="s">
        <v>42</v>
      </c>
      <c r="M1827" s="134" t="s">
        <v>845</v>
      </c>
      <c r="N1827" s="123" t="s">
        <v>845</v>
      </c>
    </row>
    <row r="1828" spans="2:14" hidden="1" x14ac:dyDescent="0.25">
      <c r="B1828" s="120">
        <v>1825</v>
      </c>
      <c r="C1828" s="123">
        <v>20100019435</v>
      </c>
      <c r="D1828" s="126" t="s">
        <v>1290</v>
      </c>
      <c r="E1828" s="126" t="s">
        <v>1291</v>
      </c>
      <c r="F1828" s="123" t="s">
        <v>67</v>
      </c>
      <c r="G1828" s="123" t="s">
        <v>67</v>
      </c>
      <c r="H1828" s="123" t="s">
        <v>67</v>
      </c>
      <c r="I1828" s="126" t="s">
        <v>1292</v>
      </c>
      <c r="J1828" s="130" t="s">
        <v>20619</v>
      </c>
      <c r="K1828" s="123" t="s">
        <v>1294</v>
      </c>
      <c r="L1828" s="131" t="s">
        <v>36</v>
      </c>
      <c r="M1828" s="134" t="s">
        <v>845</v>
      </c>
      <c r="N1828" s="123" t="s">
        <v>845</v>
      </c>
    </row>
    <row r="1829" spans="2:14" hidden="1" x14ac:dyDescent="0.25">
      <c r="B1829" s="120">
        <v>1826</v>
      </c>
      <c r="C1829" s="123">
        <v>20100019435</v>
      </c>
      <c r="D1829" s="126" t="s">
        <v>1290</v>
      </c>
      <c r="E1829" s="126" t="s">
        <v>1291</v>
      </c>
      <c r="F1829" s="123" t="s">
        <v>67</v>
      </c>
      <c r="G1829" s="123" t="s">
        <v>67</v>
      </c>
      <c r="H1829" s="123" t="s">
        <v>67</v>
      </c>
      <c r="I1829" s="126" t="s">
        <v>1292</v>
      </c>
      <c r="J1829" s="130" t="s">
        <v>20618</v>
      </c>
      <c r="K1829" s="123" t="s">
        <v>1293</v>
      </c>
      <c r="L1829" s="131" t="s">
        <v>209</v>
      </c>
      <c r="M1829" s="134" t="s">
        <v>845</v>
      </c>
      <c r="N1829" s="123" t="s">
        <v>845</v>
      </c>
    </row>
    <row r="1830" spans="2:14" hidden="1" x14ac:dyDescent="0.25">
      <c r="B1830" s="120">
        <v>1827</v>
      </c>
      <c r="C1830" s="123">
        <v>20604777080</v>
      </c>
      <c r="D1830" s="126" t="s">
        <v>611</v>
      </c>
      <c r="E1830" s="126" t="s">
        <v>1287</v>
      </c>
      <c r="F1830" s="123" t="s">
        <v>30</v>
      </c>
      <c r="G1830" s="123" t="s">
        <v>30</v>
      </c>
      <c r="H1830" s="123" t="s">
        <v>30</v>
      </c>
      <c r="I1830" s="126" t="s">
        <v>373</v>
      </c>
      <c r="J1830" s="130" t="s">
        <v>6132</v>
      </c>
      <c r="K1830" s="123" t="s">
        <v>1289</v>
      </c>
      <c r="L1830" s="131" t="s">
        <v>42</v>
      </c>
      <c r="M1830" s="134" t="s">
        <v>7791</v>
      </c>
      <c r="N1830" s="123" t="s">
        <v>30</v>
      </c>
    </row>
    <row r="1831" spans="2:14" hidden="1" x14ac:dyDescent="0.25">
      <c r="B1831" s="120">
        <v>1828</v>
      </c>
      <c r="C1831" s="123">
        <v>20604777080</v>
      </c>
      <c r="D1831" s="126" t="s">
        <v>611</v>
      </c>
      <c r="E1831" s="126" t="s">
        <v>1287</v>
      </c>
      <c r="F1831" s="123" t="s">
        <v>30</v>
      </c>
      <c r="G1831" s="123" t="s">
        <v>30</v>
      </c>
      <c r="H1831" s="123" t="s">
        <v>30</v>
      </c>
      <c r="I1831" s="126" t="s">
        <v>373</v>
      </c>
      <c r="J1831" s="130" t="s">
        <v>6133</v>
      </c>
      <c r="K1831" s="123" t="s">
        <v>1288</v>
      </c>
      <c r="L1831" s="131" t="s">
        <v>76</v>
      </c>
      <c r="M1831" s="134" t="s">
        <v>7791</v>
      </c>
      <c r="N1831" s="123" t="s">
        <v>30</v>
      </c>
    </row>
    <row r="1832" spans="2:14" hidden="1" x14ac:dyDescent="0.25">
      <c r="B1832" s="120">
        <v>1829</v>
      </c>
      <c r="C1832" s="123">
        <v>20521556812</v>
      </c>
      <c r="D1832" s="126" t="s">
        <v>1283</v>
      </c>
      <c r="E1832" s="126" t="s">
        <v>1284</v>
      </c>
      <c r="F1832" s="123" t="s">
        <v>30</v>
      </c>
      <c r="G1832" s="123" t="s">
        <v>30</v>
      </c>
      <c r="H1832" s="123" t="s">
        <v>75</v>
      </c>
      <c r="I1832" s="126" t="s">
        <v>1285</v>
      </c>
      <c r="J1832" s="130" t="s">
        <v>6134</v>
      </c>
      <c r="K1832" s="123" t="s">
        <v>1286</v>
      </c>
      <c r="L1832" s="131" t="s">
        <v>42</v>
      </c>
      <c r="M1832" s="134" t="s">
        <v>7792</v>
      </c>
      <c r="N1832" s="123" t="s">
        <v>30</v>
      </c>
    </row>
    <row r="1833" spans="2:14" hidden="1" x14ac:dyDescent="0.25">
      <c r="B1833" s="120">
        <v>1830</v>
      </c>
      <c r="C1833" s="123">
        <v>20601802300</v>
      </c>
      <c r="D1833" s="126" t="s">
        <v>604</v>
      </c>
      <c r="E1833" s="126" t="s">
        <v>1281</v>
      </c>
      <c r="F1833" s="123" t="s">
        <v>30</v>
      </c>
      <c r="G1833" s="123" t="s">
        <v>30</v>
      </c>
      <c r="H1833" s="123" t="s">
        <v>43</v>
      </c>
      <c r="I1833" s="126" t="s">
        <v>1394</v>
      </c>
      <c r="J1833" s="130" t="s">
        <v>6135</v>
      </c>
      <c r="K1833" s="123" t="s">
        <v>1282</v>
      </c>
      <c r="L1833" s="131" t="s">
        <v>42</v>
      </c>
      <c r="M1833" s="134" t="s">
        <v>845</v>
      </c>
      <c r="N1833" s="123" t="s">
        <v>845</v>
      </c>
    </row>
    <row r="1834" spans="2:14" hidden="1" x14ac:dyDescent="0.25">
      <c r="B1834" s="120">
        <v>1831</v>
      </c>
      <c r="C1834" s="123">
        <v>20600419260</v>
      </c>
      <c r="D1834" s="126" t="s">
        <v>1136</v>
      </c>
      <c r="E1834" s="126" t="s">
        <v>1137</v>
      </c>
      <c r="F1834" s="123" t="s">
        <v>99</v>
      </c>
      <c r="G1834" s="123" t="s">
        <v>99</v>
      </c>
      <c r="H1834" s="123" t="s">
        <v>86</v>
      </c>
      <c r="I1834" s="126" t="s">
        <v>59</v>
      </c>
      <c r="J1834" s="130" t="s">
        <v>6136</v>
      </c>
      <c r="K1834" s="123" t="s">
        <v>1280</v>
      </c>
      <c r="L1834" s="131" t="s">
        <v>42</v>
      </c>
      <c r="M1834" s="134" t="s">
        <v>7793</v>
      </c>
      <c r="N1834" s="123" t="s">
        <v>99</v>
      </c>
    </row>
    <row r="1835" spans="2:14" hidden="1" x14ac:dyDescent="0.25">
      <c r="B1835" s="120">
        <v>1832</v>
      </c>
      <c r="C1835" s="123">
        <v>20552868502</v>
      </c>
      <c r="D1835" s="126" t="s">
        <v>320</v>
      </c>
      <c r="E1835" s="126" t="s">
        <v>1278</v>
      </c>
      <c r="F1835" s="123" t="s">
        <v>30</v>
      </c>
      <c r="G1835" s="123" t="s">
        <v>30</v>
      </c>
      <c r="H1835" s="123" t="s">
        <v>30</v>
      </c>
      <c r="I1835" s="126" t="s">
        <v>1395</v>
      </c>
      <c r="J1835" s="130" t="s">
        <v>6137</v>
      </c>
      <c r="K1835" s="123" t="s">
        <v>1279</v>
      </c>
      <c r="L1835" s="131" t="s">
        <v>42</v>
      </c>
      <c r="M1835" s="134" t="s">
        <v>7794</v>
      </c>
      <c r="N1835" s="123" t="s">
        <v>30</v>
      </c>
    </row>
    <row r="1836" spans="2:14" hidden="1" x14ac:dyDescent="0.25">
      <c r="B1836" s="120">
        <v>1833</v>
      </c>
      <c r="C1836" s="123">
        <v>20602586198</v>
      </c>
      <c r="D1836" s="126" t="s">
        <v>1084</v>
      </c>
      <c r="E1836" s="126" t="s">
        <v>1276</v>
      </c>
      <c r="F1836" s="123" t="s">
        <v>30</v>
      </c>
      <c r="G1836" s="123" t="s">
        <v>30</v>
      </c>
      <c r="H1836" s="123" t="s">
        <v>45</v>
      </c>
      <c r="I1836" s="126" t="s">
        <v>1377</v>
      </c>
      <c r="J1836" s="130" t="s">
        <v>6138</v>
      </c>
      <c r="K1836" s="123" t="s">
        <v>1277</v>
      </c>
      <c r="L1836" s="131" t="s">
        <v>42</v>
      </c>
      <c r="M1836" s="134" t="s">
        <v>7795</v>
      </c>
      <c r="N1836" s="123" t="s">
        <v>30</v>
      </c>
    </row>
    <row r="1837" spans="2:14" hidden="1" x14ac:dyDescent="0.25">
      <c r="B1837" s="120">
        <v>1834</v>
      </c>
      <c r="C1837" s="123">
        <v>20601499356</v>
      </c>
      <c r="D1837" s="126" t="s">
        <v>522</v>
      </c>
      <c r="E1837" s="126" t="s">
        <v>1274</v>
      </c>
      <c r="F1837" s="123" t="s">
        <v>30</v>
      </c>
      <c r="G1837" s="123" t="s">
        <v>30</v>
      </c>
      <c r="H1837" s="123" t="s">
        <v>110</v>
      </c>
      <c r="I1837" s="126" t="s">
        <v>273</v>
      </c>
      <c r="J1837" s="130" t="s">
        <v>20622</v>
      </c>
      <c r="K1837" s="123" t="s">
        <v>1275</v>
      </c>
      <c r="L1837" s="131" t="s">
        <v>42</v>
      </c>
      <c r="M1837" s="134" t="s">
        <v>7796</v>
      </c>
      <c r="N1837" s="123" t="s">
        <v>30</v>
      </c>
    </row>
    <row r="1838" spans="2:14" hidden="1" x14ac:dyDescent="0.25">
      <c r="B1838" s="120">
        <v>1835</v>
      </c>
      <c r="C1838" s="123">
        <v>20100152356</v>
      </c>
      <c r="D1838" s="126" t="s">
        <v>1269</v>
      </c>
      <c r="E1838" s="126" t="s">
        <v>1270</v>
      </c>
      <c r="F1838" s="123" t="s">
        <v>30</v>
      </c>
      <c r="G1838" s="123" t="s">
        <v>30</v>
      </c>
      <c r="H1838" s="123" t="s">
        <v>79</v>
      </c>
      <c r="I1838" s="126" t="s">
        <v>1271</v>
      </c>
      <c r="J1838" s="130" t="s">
        <v>20626</v>
      </c>
      <c r="K1838" s="123" t="s">
        <v>20627</v>
      </c>
      <c r="L1838" s="131" t="s">
        <v>209</v>
      </c>
      <c r="M1838" s="134" t="s">
        <v>845</v>
      </c>
      <c r="N1838" s="123" t="s">
        <v>845</v>
      </c>
    </row>
    <row r="1839" spans="2:14" hidden="1" x14ac:dyDescent="0.25">
      <c r="B1839" s="120">
        <v>1836</v>
      </c>
      <c r="C1839" s="123">
        <v>20100152356</v>
      </c>
      <c r="D1839" s="126" t="s">
        <v>1269</v>
      </c>
      <c r="E1839" s="126" t="s">
        <v>1270</v>
      </c>
      <c r="F1839" s="123" t="s">
        <v>30</v>
      </c>
      <c r="G1839" s="123" t="s">
        <v>30</v>
      </c>
      <c r="H1839" s="123" t="s">
        <v>79</v>
      </c>
      <c r="I1839" s="126" t="s">
        <v>1271</v>
      </c>
      <c r="J1839" s="130" t="s">
        <v>6139</v>
      </c>
      <c r="K1839" s="123" t="s">
        <v>1273</v>
      </c>
      <c r="L1839" s="131" t="s">
        <v>209</v>
      </c>
      <c r="M1839" s="134" t="s">
        <v>845</v>
      </c>
      <c r="N1839" s="123" t="s">
        <v>845</v>
      </c>
    </row>
    <row r="1840" spans="2:14" hidden="1" x14ac:dyDescent="0.25">
      <c r="B1840" s="120">
        <v>1837</v>
      </c>
      <c r="C1840" s="123">
        <v>20100152356</v>
      </c>
      <c r="D1840" s="126" t="s">
        <v>1269</v>
      </c>
      <c r="E1840" s="126" t="s">
        <v>1270</v>
      </c>
      <c r="F1840" s="123" t="s">
        <v>30</v>
      </c>
      <c r="G1840" s="123" t="s">
        <v>30</v>
      </c>
      <c r="H1840" s="123" t="s">
        <v>79</v>
      </c>
      <c r="I1840" s="126" t="s">
        <v>1271</v>
      </c>
      <c r="J1840" s="130" t="s">
        <v>20625</v>
      </c>
      <c r="K1840" s="123" t="s">
        <v>1272</v>
      </c>
      <c r="L1840" s="131" t="s">
        <v>42</v>
      </c>
      <c r="M1840" s="134" t="s">
        <v>845</v>
      </c>
      <c r="N1840" s="123" t="s">
        <v>845</v>
      </c>
    </row>
    <row r="1841" spans="2:14" hidden="1" x14ac:dyDescent="0.25">
      <c r="B1841" s="120">
        <v>1838</v>
      </c>
      <c r="C1841" s="123">
        <v>20106696269</v>
      </c>
      <c r="D1841" s="126" t="s">
        <v>244</v>
      </c>
      <c r="E1841" s="126" t="s">
        <v>1266</v>
      </c>
      <c r="F1841" s="123" t="s">
        <v>30</v>
      </c>
      <c r="G1841" s="123" t="s">
        <v>30</v>
      </c>
      <c r="H1841" s="123" t="s">
        <v>35</v>
      </c>
      <c r="I1841" s="126" t="s">
        <v>373</v>
      </c>
      <c r="J1841" s="130" t="s">
        <v>6140</v>
      </c>
      <c r="K1841" s="123" t="s">
        <v>1268</v>
      </c>
      <c r="L1841" s="131" t="s">
        <v>36</v>
      </c>
      <c r="M1841" s="134" t="s">
        <v>7797</v>
      </c>
      <c r="N1841" s="123" t="s">
        <v>30</v>
      </c>
    </row>
    <row r="1842" spans="2:14" hidden="1" x14ac:dyDescent="0.25">
      <c r="B1842" s="120">
        <v>1839</v>
      </c>
      <c r="C1842" s="123">
        <v>20106696269</v>
      </c>
      <c r="D1842" s="126" t="s">
        <v>244</v>
      </c>
      <c r="E1842" s="126" t="s">
        <v>1266</v>
      </c>
      <c r="F1842" s="123" t="s">
        <v>30</v>
      </c>
      <c r="G1842" s="123" t="s">
        <v>30</v>
      </c>
      <c r="H1842" s="123" t="s">
        <v>35</v>
      </c>
      <c r="I1842" s="126" t="s">
        <v>373</v>
      </c>
      <c r="J1842" s="130" t="s">
        <v>20628</v>
      </c>
      <c r="K1842" s="123" t="s">
        <v>1267</v>
      </c>
      <c r="L1842" s="131" t="s">
        <v>42</v>
      </c>
      <c r="M1842" s="134" t="s">
        <v>7797</v>
      </c>
      <c r="N1842" s="123" t="s">
        <v>30</v>
      </c>
    </row>
    <row r="1843" spans="2:14" hidden="1" x14ac:dyDescent="0.25">
      <c r="B1843" s="120">
        <v>1840</v>
      </c>
      <c r="C1843" s="123">
        <v>20603217820</v>
      </c>
      <c r="D1843" s="126" t="s">
        <v>494</v>
      </c>
      <c r="E1843" s="126" t="s">
        <v>1263</v>
      </c>
      <c r="F1843" s="123" t="s">
        <v>30</v>
      </c>
      <c r="G1843" s="123" t="s">
        <v>30</v>
      </c>
      <c r="H1843" s="123" t="s">
        <v>60</v>
      </c>
      <c r="I1843" s="126" t="s">
        <v>97</v>
      </c>
      <c r="J1843" s="130" t="s">
        <v>6141</v>
      </c>
      <c r="K1843" s="123" t="s">
        <v>1264</v>
      </c>
      <c r="L1843" s="131" t="s">
        <v>42</v>
      </c>
      <c r="M1843" s="134" t="s">
        <v>1265</v>
      </c>
      <c r="N1843" s="123" t="s">
        <v>30</v>
      </c>
    </row>
    <row r="1844" spans="2:14" hidden="1" x14ac:dyDescent="0.25">
      <c r="B1844" s="120">
        <v>1841</v>
      </c>
      <c r="C1844" s="123">
        <v>20549023950</v>
      </c>
      <c r="D1844" s="126" t="s">
        <v>1257</v>
      </c>
      <c r="E1844" s="126" t="s">
        <v>1258</v>
      </c>
      <c r="F1844" s="123" t="s">
        <v>30</v>
      </c>
      <c r="G1844" s="123" t="s">
        <v>30</v>
      </c>
      <c r="H1844" s="123" t="s">
        <v>35</v>
      </c>
      <c r="I1844" s="126" t="s">
        <v>1259</v>
      </c>
      <c r="J1844" s="130" t="s">
        <v>20559</v>
      </c>
      <c r="K1844" s="123" t="s">
        <v>1262</v>
      </c>
      <c r="L1844" s="131" t="s">
        <v>209</v>
      </c>
      <c r="M1844" s="134" t="s">
        <v>7798</v>
      </c>
      <c r="N1844" s="123" t="s">
        <v>30</v>
      </c>
    </row>
    <row r="1845" spans="2:14" hidden="1" x14ac:dyDescent="0.25">
      <c r="B1845" s="120">
        <v>1842</v>
      </c>
      <c r="C1845" s="123">
        <v>20549023950</v>
      </c>
      <c r="D1845" s="126" t="s">
        <v>1257</v>
      </c>
      <c r="E1845" s="126" t="s">
        <v>1258</v>
      </c>
      <c r="F1845" s="123" t="s">
        <v>30</v>
      </c>
      <c r="G1845" s="123" t="s">
        <v>30</v>
      </c>
      <c r="H1845" s="123" t="s">
        <v>35</v>
      </c>
      <c r="I1845" s="126" t="s">
        <v>1259</v>
      </c>
      <c r="J1845" s="130" t="s">
        <v>20558</v>
      </c>
      <c r="K1845" s="123" t="s">
        <v>1261</v>
      </c>
      <c r="L1845" s="131" t="s">
        <v>209</v>
      </c>
      <c r="M1845" s="134" t="s">
        <v>7798</v>
      </c>
      <c r="N1845" s="123" t="s">
        <v>30</v>
      </c>
    </row>
    <row r="1846" spans="2:14" hidden="1" x14ac:dyDescent="0.25">
      <c r="B1846" s="120">
        <v>1843</v>
      </c>
      <c r="C1846" s="123">
        <v>20549023950</v>
      </c>
      <c r="D1846" s="126" t="s">
        <v>1257</v>
      </c>
      <c r="E1846" s="126" t="s">
        <v>1258</v>
      </c>
      <c r="F1846" s="123" t="s">
        <v>30</v>
      </c>
      <c r="G1846" s="123" t="s">
        <v>30</v>
      </c>
      <c r="H1846" s="123" t="s">
        <v>35</v>
      </c>
      <c r="I1846" s="126" t="s">
        <v>1259</v>
      </c>
      <c r="J1846" s="130" t="s">
        <v>20557</v>
      </c>
      <c r="K1846" s="123" t="s">
        <v>1260</v>
      </c>
      <c r="L1846" s="131" t="s">
        <v>42</v>
      </c>
      <c r="M1846" s="134" t="s">
        <v>7798</v>
      </c>
      <c r="N1846" s="123" t="s">
        <v>30</v>
      </c>
    </row>
    <row r="1847" spans="2:14" hidden="1" x14ac:dyDescent="0.25">
      <c r="B1847" s="120">
        <v>1844</v>
      </c>
      <c r="C1847" s="123">
        <v>20100068649</v>
      </c>
      <c r="D1847" s="126" t="s">
        <v>422</v>
      </c>
      <c r="E1847" s="126" t="s">
        <v>1252</v>
      </c>
      <c r="F1847" s="123" t="s">
        <v>30</v>
      </c>
      <c r="G1847" s="123" t="s">
        <v>30</v>
      </c>
      <c r="H1847" s="123" t="s">
        <v>51</v>
      </c>
      <c r="I1847" s="126" t="s">
        <v>1253</v>
      </c>
      <c r="J1847" s="130" t="s">
        <v>20631</v>
      </c>
      <c r="K1847" s="123" t="s">
        <v>1256</v>
      </c>
      <c r="L1847" s="131" t="s">
        <v>209</v>
      </c>
      <c r="M1847" s="134" t="s">
        <v>7799</v>
      </c>
      <c r="N1847" s="123" t="s">
        <v>30</v>
      </c>
    </row>
    <row r="1848" spans="2:14" hidden="1" x14ac:dyDescent="0.25">
      <c r="B1848" s="120">
        <v>1845</v>
      </c>
      <c r="C1848" s="123">
        <v>20100068649</v>
      </c>
      <c r="D1848" s="126" t="s">
        <v>422</v>
      </c>
      <c r="E1848" s="126" t="s">
        <v>1252</v>
      </c>
      <c r="F1848" s="123" t="s">
        <v>30</v>
      </c>
      <c r="G1848" s="123" t="s">
        <v>30</v>
      </c>
      <c r="H1848" s="123" t="s">
        <v>51</v>
      </c>
      <c r="I1848" s="126" t="s">
        <v>1253</v>
      </c>
      <c r="J1848" s="130" t="s">
        <v>20630</v>
      </c>
      <c r="K1848" s="123" t="s">
        <v>1255</v>
      </c>
      <c r="L1848" s="131" t="s">
        <v>209</v>
      </c>
      <c r="M1848" s="134" t="s">
        <v>7799</v>
      </c>
      <c r="N1848" s="123" t="s">
        <v>30</v>
      </c>
    </row>
    <row r="1849" spans="2:14" hidden="1" x14ac:dyDescent="0.25">
      <c r="B1849" s="120">
        <v>1846</v>
      </c>
      <c r="C1849" s="123">
        <v>20100068649</v>
      </c>
      <c r="D1849" s="126" t="s">
        <v>422</v>
      </c>
      <c r="E1849" s="126" t="s">
        <v>1252</v>
      </c>
      <c r="F1849" s="123" t="s">
        <v>30</v>
      </c>
      <c r="G1849" s="123" t="s">
        <v>30</v>
      </c>
      <c r="H1849" s="123" t="s">
        <v>51</v>
      </c>
      <c r="I1849" s="126" t="s">
        <v>1253</v>
      </c>
      <c r="J1849" s="130" t="s">
        <v>20629</v>
      </c>
      <c r="K1849" s="123" t="s">
        <v>1254</v>
      </c>
      <c r="L1849" s="131" t="s">
        <v>209</v>
      </c>
      <c r="M1849" s="134" t="s">
        <v>7799</v>
      </c>
      <c r="N1849" s="123" t="s">
        <v>30</v>
      </c>
    </row>
    <row r="1850" spans="2:14" hidden="1" x14ac:dyDescent="0.25">
      <c r="B1850" s="120">
        <v>1847</v>
      </c>
      <c r="C1850" s="123">
        <v>20538786871</v>
      </c>
      <c r="D1850" s="126" t="s">
        <v>460</v>
      </c>
      <c r="E1850" s="126" t="s">
        <v>1250</v>
      </c>
      <c r="F1850" s="123" t="s">
        <v>30</v>
      </c>
      <c r="G1850" s="123" t="s">
        <v>30</v>
      </c>
      <c r="H1850" s="123" t="s">
        <v>75</v>
      </c>
      <c r="I1850" s="126" t="s">
        <v>1394</v>
      </c>
      <c r="J1850" s="130" t="s">
        <v>6142</v>
      </c>
      <c r="K1850" s="123" t="s">
        <v>1251</v>
      </c>
      <c r="L1850" s="131" t="s">
        <v>42</v>
      </c>
      <c r="M1850" s="134" t="s">
        <v>7800</v>
      </c>
      <c r="N1850" s="123" t="s">
        <v>30</v>
      </c>
    </row>
    <row r="1851" spans="2:14" hidden="1" x14ac:dyDescent="0.25">
      <c r="B1851" s="120">
        <v>1848</v>
      </c>
      <c r="C1851" s="123">
        <v>20557727389</v>
      </c>
      <c r="D1851" s="126" t="s">
        <v>500</v>
      </c>
      <c r="E1851" s="126" t="s">
        <v>1248</v>
      </c>
      <c r="F1851" s="123" t="s">
        <v>30</v>
      </c>
      <c r="G1851" s="123" t="s">
        <v>30</v>
      </c>
      <c r="H1851" s="123" t="s">
        <v>72</v>
      </c>
      <c r="I1851" s="126" t="s">
        <v>1377</v>
      </c>
      <c r="J1851" s="130" t="s">
        <v>6143</v>
      </c>
      <c r="K1851" s="123" t="s">
        <v>1249</v>
      </c>
      <c r="L1851" s="131" t="s">
        <v>42</v>
      </c>
      <c r="M1851" s="134" t="s">
        <v>7801</v>
      </c>
      <c r="N1851" s="123" t="s">
        <v>30</v>
      </c>
    </row>
    <row r="1852" spans="2:14" hidden="1" x14ac:dyDescent="0.25">
      <c r="B1852" s="120">
        <v>1849</v>
      </c>
      <c r="C1852" s="123">
        <v>20536716590</v>
      </c>
      <c r="D1852" s="126" t="s">
        <v>502</v>
      </c>
      <c r="E1852" s="126" t="s">
        <v>1246</v>
      </c>
      <c r="F1852" s="123" t="s">
        <v>30</v>
      </c>
      <c r="G1852" s="123" t="s">
        <v>30</v>
      </c>
      <c r="H1852" s="123" t="s">
        <v>43</v>
      </c>
      <c r="I1852" s="126" t="s">
        <v>1398</v>
      </c>
      <c r="J1852" s="130" t="s">
        <v>20635</v>
      </c>
      <c r="K1852" s="123" t="s">
        <v>1247</v>
      </c>
      <c r="L1852" s="131" t="s">
        <v>42</v>
      </c>
      <c r="M1852" s="134" t="s">
        <v>7802</v>
      </c>
      <c r="N1852" s="123" t="s">
        <v>30</v>
      </c>
    </row>
    <row r="1853" spans="2:14" hidden="1" x14ac:dyDescent="0.25">
      <c r="B1853" s="120">
        <v>1850</v>
      </c>
      <c r="C1853" s="123">
        <v>20547996241</v>
      </c>
      <c r="D1853" s="126" t="s">
        <v>1243</v>
      </c>
      <c r="E1853" s="126" t="s">
        <v>1244</v>
      </c>
      <c r="F1853" s="123" t="s">
        <v>30</v>
      </c>
      <c r="G1853" s="123" t="s">
        <v>30</v>
      </c>
      <c r="H1853" s="123" t="s">
        <v>72</v>
      </c>
      <c r="I1853" s="126" t="s">
        <v>1394</v>
      </c>
      <c r="J1853" s="130" t="s">
        <v>20638</v>
      </c>
      <c r="K1853" s="123" t="s">
        <v>1245</v>
      </c>
      <c r="L1853" s="131" t="s">
        <v>42</v>
      </c>
      <c r="M1853" s="134" t="s">
        <v>7803</v>
      </c>
      <c r="N1853" s="123" t="s">
        <v>30</v>
      </c>
    </row>
    <row r="1854" spans="2:14" hidden="1" x14ac:dyDescent="0.25">
      <c r="B1854" s="120">
        <v>1851</v>
      </c>
      <c r="C1854" s="123">
        <v>20600600746</v>
      </c>
      <c r="D1854" s="126" t="s">
        <v>124</v>
      </c>
      <c r="E1854" s="126" t="s">
        <v>1242</v>
      </c>
      <c r="F1854" s="123" t="s">
        <v>30</v>
      </c>
      <c r="G1854" s="123" t="s">
        <v>30</v>
      </c>
      <c r="H1854" s="123" t="s">
        <v>72</v>
      </c>
      <c r="I1854" s="126" t="s">
        <v>1394</v>
      </c>
      <c r="J1854" s="130" t="s">
        <v>20639</v>
      </c>
      <c r="K1854" s="123" t="s">
        <v>20640</v>
      </c>
      <c r="L1854" s="131" t="s">
        <v>42</v>
      </c>
      <c r="M1854" s="134" t="s">
        <v>7804</v>
      </c>
      <c r="N1854" s="123" t="s">
        <v>30</v>
      </c>
    </row>
    <row r="1855" spans="2:14" hidden="1" x14ac:dyDescent="0.25">
      <c r="B1855" s="120">
        <v>1852</v>
      </c>
      <c r="C1855" s="123">
        <v>20552363648</v>
      </c>
      <c r="D1855" s="126" t="s">
        <v>296</v>
      </c>
      <c r="E1855" s="126" t="s">
        <v>1239</v>
      </c>
      <c r="F1855" s="123" t="s">
        <v>30</v>
      </c>
      <c r="G1855" s="123" t="s">
        <v>30</v>
      </c>
      <c r="H1855" s="123" t="s">
        <v>65</v>
      </c>
      <c r="I1855" s="126" t="s">
        <v>1365</v>
      </c>
      <c r="J1855" s="130" t="s">
        <v>6144</v>
      </c>
      <c r="K1855" s="123" t="s">
        <v>1241</v>
      </c>
      <c r="L1855" s="131" t="s">
        <v>42</v>
      </c>
      <c r="M1855" s="134" t="s">
        <v>845</v>
      </c>
      <c r="N1855" s="123" t="s">
        <v>845</v>
      </c>
    </row>
    <row r="1856" spans="2:14" hidden="1" x14ac:dyDescent="0.25">
      <c r="B1856" s="120">
        <v>1853</v>
      </c>
      <c r="C1856" s="123">
        <v>20552363648</v>
      </c>
      <c r="D1856" s="126" t="s">
        <v>296</v>
      </c>
      <c r="E1856" s="126" t="s">
        <v>1239</v>
      </c>
      <c r="F1856" s="123" t="s">
        <v>30</v>
      </c>
      <c r="G1856" s="123" t="s">
        <v>30</v>
      </c>
      <c r="H1856" s="123" t="s">
        <v>65</v>
      </c>
      <c r="I1856" s="126" t="s">
        <v>1365</v>
      </c>
      <c r="J1856" s="130" t="s">
        <v>6145</v>
      </c>
      <c r="K1856" s="123" t="s">
        <v>1240</v>
      </c>
      <c r="L1856" s="131" t="s">
        <v>36</v>
      </c>
      <c r="M1856" s="134" t="s">
        <v>845</v>
      </c>
      <c r="N1856" s="123" t="s">
        <v>845</v>
      </c>
    </row>
    <row r="1857" spans="2:14" hidden="1" x14ac:dyDescent="0.25">
      <c r="B1857" s="120">
        <v>1854</v>
      </c>
      <c r="C1857" s="123">
        <v>20509148016</v>
      </c>
      <c r="D1857" s="126" t="s">
        <v>597</v>
      </c>
      <c r="E1857" s="126" t="s">
        <v>1237</v>
      </c>
      <c r="F1857" s="123" t="s">
        <v>30</v>
      </c>
      <c r="G1857" s="123" t="s">
        <v>30</v>
      </c>
      <c r="H1857" s="123" t="s">
        <v>51</v>
      </c>
      <c r="I1857" s="126" t="s">
        <v>97</v>
      </c>
      <c r="J1857" s="130" t="s">
        <v>6146</v>
      </c>
      <c r="K1857" s="123" t="s">
        <v>1238</v>
      </c>
      <c r="L1857" s="131" t="s">
        <v>42</v>
      </c>
      <c r="M1857" s="134" t="s">
        <v>7805</v>
      </c>
      <c r="N1857" s="123" t="s">
        <v>30</v>
      </c>
    </row>
    <row r="1858" spans="2:14" hidden="1" x14ac:dyDescent="0.25">
      <c r="B1858" s="120">
        <v>1855</v>
      </c>
      <c r="C1858" s="123" t="s">
        <v>1234</v>
      </c>
      <c r="D1858" s="126" t="s">
        <v>666</v>
      </c>
      <c r="E1858" s="126" t="s">
        <v>1236</v>
      </c>
      <c r="F1858" s="123" t="s">
        <v>30</v>
      </c>
      <c r="G1858" s="123" t="s">
        <v>54</v>
      </c>
      <c r="H1858" s="123" t="s">
        <v>54</v>
      </c>
      <c r="I1858" s="126" t="s">
        <v>1450</v>
      </c>
      <c r="J1858" s="130" t="s">
        <v>20632</v>
      </c>
      <c r="K1858" s="123" t="s">
        <v>1235</v>
      </c>
      <c r="L1858" s="131" t="s">
        <v>100</v>
      </c>
      <c r="M1858" s="134" t="s">
        <v>845</v>
      </c>
      <c r="N1858" s="123" t="s">
        <v>845</v>
      </c>
    </row>
    <row r="1859" spans="2:14" hidden="1" x14ac:dyDescent="0.25">
      <c r="B1859" s="120">
        <v>1856</v>
      </c>
      <c r="C1859" s="123">
        <v>20111328804</v>
      </c>
      <c r="D1859" s="126" t="s">
        <v>583</v>
      </c>
      <c r="E1859" s="126" t="s">
        <v>1232</v>
      </c>
      <c r="F1859" s="123" t="s">
        <v>30</v>
      </c>
      <c r="G1859" s="123" t="s">
        <v>30</v>
      </c>
      <c r="H1859" s="123" t="s">
        <v>152</v>
      </c>
      <c r="I1859" s="126" t="s">
        <v>1727</v>
      </c>
      <c r="J1859" s="130" t="s">
        <v>20642</v>
      </c>
      <c r="K1859" s="123" t="s">
        <v>1233</v>
      </c>
      <c r="L1859" s="131" t="s">
        <v>42</v>
      </c>
      <c r="M1859" s="134" t="s">
        <v>7806</v>
      </c>
      <c r="N1859" s="123" t="s">
        <v>30</v>
      </c>
    </row>
    <row r="1860" spans="2:14" hidden="1" x14ac:dyDescent="0.25">
      <c r="B1860" s="120">
        <v>1857</v>
      </c>
      <c r="C1860" s="123">
        <v>20520853651</v>
      </c>
      <c r="D1860" s="126" t="s">
        <v>677</v>
      </c>
      <c r="E1860" s="126" t="s">
        <v>1229</v>
      </c>
      <c r="F1860" s="123" t="s">
        <v>30</v>
      </c>
      <c r="G1860" s="123" t="s">
        <v>30</v>
      </c>
      <c r="H1860" s="123" t="s">
        <v>72</v>
      </c>
      <c r="I1860" s="126" t="s">
        <v>1230</v>
      </c>
      <c r="J1860" s="130" t="s">
        <v>7707</v>
      </c>
      <c r="K1860" s="123" t="s">
        <v>1231</v>
      </c>
      <c r="L1860" s="131" t="s">
        <v>42</v>
      </c>
      <c r="M1860" s="134" t="s">
        <v>7807</v>
      </c>
      <c r="N1860" s="123" t="s">
        <v>30</v>
      </c>
    </row>
    <row r="1861" spans="2:14" hidden="1" x14ac:dyDescent="0.25">
      <c r="B1861" s="120">
        <v>1858</v>
      </c>
      <c r="C1861" s="123">
        <v>20524465541</v>
      </c>
      <c r="D1861" s="126" t="s">
        <v>1225</v>
      </c>
      <c r="E1861" s="126" t="s">
        <v>1226</v>
      </c>
      <c r="F1861" s="123" t="s">
        <v>30</v>
      </c>
      <c r="G1861" s="123" t="s">
        <v>30</v>
      </c>
      <c r="H1861" s="123" t="s">
        <v>35</v>
      </c>
      <c r="I1861" s="126" t="s">
        <v>263</v>
      </c>
      <c r="J1861" s="130" t="s">
        <v>6148</v>
      </c>
      <c r="K1861" s="123" t="s">
        <v>1228</v>
      </c>
      <c r="L1861" s="131" t="s">
        <v>42</v>
      </c>
      <c r="M1861" s="134" t="s">
        <v>7808</v>
      </c>
      <c r="N1861" s="123" t="s">
        <v>30</v>
      </c>
    </row>
    <row r="1862" spans="2:14" hidden="1" x14ac:dyDescent="0.25">
      <c r="B1862" s="120">
        <v>1859</v>
      </c>
      <c r="C1862" s="123">
        <v>20524465541</v>
      </c>
      <c r="D1862" s="126" t="s">
        <v>1225</v>
      </c>
      <c r="E1862" s="126" t="s">
        <v>1226</v>
      </c>
      <c r="F1862" s="123" t="s">
        <v>30</v>
      </c>
      <c r="G1862" s="123" t="s">
        <v>30</v>
      </c>
      <c r="H1862" s="123" t="s">
        <v>35</v>
      </c>
      <c r="I1862" s="126" t="s">
        <v>263</v>
      </c>
      <c r="J1862" s="130" t="s">
        <v>20634</v>
      </c>
      <c r="K1862" s="123" t="s">
        <v>1227</v>
      </c>
      <c r="L1862" s="131" t="s">
        <v>36</v>
      </c>
      <c r="M1862" s="134" t="s">
        <v>7808</v>
      </c>
      <c r="N1862" s="123" t="s">
        <v>30</v>
      </c>
    </row>
    <row r="1863" spans="2:14" hidden="1" x14ac:dyDescent="0.25">
      <c r="B1863" s="120">
        <v>1860</v>
      </c>
      <c r="C1863" s="123">
        <v>20600178335</v>
      </c>
      <c r="D1863" s="126" t="s">
        <v>1223</v>
      </c>
      <c r="E1863" s="126" t="s">
        <v>1102</v>
      </c>
      <c r="F1863" s="123" t="s">
        <v>30</v>
      </c>
      <c r="G1863" s="123" t="s">
        <v>30</v>
      </c>
      <c r="H1863" s="123" t="s">
        <v>45</v>
      </c>
      <c r="I1863" s="126" t="s">
        <v>275</v>
      </c>
      <c r="J1863" s="130" t="s">
        <v>6149</v>
      </c>
      <c r="K1863" s="123" t="s">
        <v>1224</v>
      </c>
      <c r="L1863" s="131" t="s">
        <v>57</v>
      </c>
      <c r="M1863" s="134" t="s">
        <v>7809</v>
      </c>
      <c r="N1863" s="123" t="s">
        <v>30</v>
      </c>
    </row>
    <row r="1864" spans="2:14" hidden="1" x14ac:dyDescent="0.25">
      <c r="B1864" s="120">
        <v>1861</v>
      </c>
      <c r="C1864" s="123">
        <v>20553509573</v>
      </c>
      <c r="D1864" s="126" t="s">
        <v>453</v>
      </c>
      <c r="E1864" s="126" t="s">
        <v>1220</v>
      </c>
      <c r="F1864" s="123" t="s">
        <v>30</v>
      </c>
      <c r="G1864" s="123" t="s">
        <v>30</v>
      </c>
      <c r="H1864" s="123" t="s">
        <v>45</v>
      </c>
      <c r="I1864" s="126" t="s">
        <v>83</v>
      </c>
      <c r="J1864" s="130" t="s">
        <v>20643</v>
      </c>
      <c r="K1864" s="123" t="s">
        <v>1221</v>
      </c>
      <c r="L1864" s="131" t="s">
        <v>42</v>
      </c>
      <c r="M1864" s="134" t="s">
        <v>1222</v>
      </c>
      <c r="N1864" s="123" t="s">
        <v>30</v>
      </c>
    </row>
    <row r="1865" spans="2:14" hidden="1" x14ac:dyDescent="0.25">
      <c r="B1865" s="120">
        <v>1862</v>
      </c>
      <c r="C1865" s="123">
        <v>20510615604</v>
      </c>
      <c r="D1865" s="126" t="s">
        <v>312</v>
      </c>
      <c r="E1865" s="126" t="s">
        <v>1218</v>
      </c>
      <c r="F1865" s="123" t="s">
        <v>30</v>
      </c>
      <c r="G1865" s="123" t="s">
        <v>30</v>
      </c>
      <c r="H1865" s="123" t="s">
        <v>72</v>
      </c>
      <c r="I1865" s="126" t="s">
        <v>1706</v>
      </c>
      <c r="J1865" s="130" t="s">
        <v>20648</v>
      </c>
      <c r="K1865" s="123" t="s">
        <v>1219</v>
      </c>
      <c r="L1865" s="131" t="s">
        <v>42</v>
      </c>
      <c r="M1865" s="134" t="s">
        <v>7810</v>
      </c>
      <c r="N1865" s="123" t="s">
        <v>30</v>
      </c>
    </row>
    <row r="1866" spans="2:14" hidden="1" x14ac:dyDescent="0.25">
      <c r="B1866" s="120">
        <v>1863</v>
      </c>
      <c r="C1866" s="123">
        <v>20504991467</v>
      </c>
      <c r="D1866" s="126" t="s">
        <v>357</v>
      </c>
      <c r="E1866" s="126" t="s">
        <v>1215</v>
      </c>
      <c r="F1866" s="123" t="s">
        <v>30</v>
      </c>
      <c r="G1866" s="123" t="s">
        <v>30</v>
      </c>
      <c r="H1866" s="123" t="s">
        <v>1135</v>
      </c>
      <c r="I1866" s="126" t="s">
        <v>1384</v>
      </c>
      <c r="J1866" s="130" t="s">
        <v>6150</v>
      </c>
      <c r="K1866" s="123" t="s">
        <v>1216</v>
      </c>
      <c r="L1866" s="131" t="s">
        <v>36</v>
      </c>
      <c r="M1866" s="134" t="s">
        <v>1217</v>
      </c>
      <c r="N1866" s="123" t="s">
        <v>30</v>
      </c>
    </row>
    <row r="1867" spans="2:14" hidden="1" x14ac:dyDescent="0.25">
      <c r="B1867" s="120">
        <v>1864</v>
      </c>
      <c r="C1867" s="123">
        <v>20514018830</v>
      </c>
      <c r="D1867" s="126" t="s">
        <v>1211</v>
      </c>
      <c r="E1867" s="126" t="s">
        <v>1212</v>
      </c>
      <c r="F1867" s="123" t="s">
        <v>30</v>
      </c>
      <c r="G1867" s="123" t="s">
        <v>30</v>
      </c>
      <c r="H1867" s="123" t="s">
        <v>51</v>
      </c>
      <c r="I1867" s="126" t="s">
        <v>5572</v>
      </c>
      <c r="J1867" s="130" t="s">
        <v>6151</v>
      </c>
      <c r="K1867" s="123" t="s">
        <v>1213</v>
      </c>
      <c r="L1867" s="131" t="s">
        <v>42</v>
      </c>
      <c r="M1867" s="134" t="s">
        <v>1214</v>
      </c>
      <c r="N1867" s="123" t="s">
        <v>30</v>
      </c>
    </row>
    <row r="1868" spans="2:14" hidden="1" x14ac:dyDescent="0.25">
      <c r="B1868" s="120">
        <v>1865</v>
      </c>
      <c r="C1868" s="123">
        <v>20608090712</v>
      </c>
      <c r="D1868" s="126" t="s">
        <v>1067</v>
      </c>
      <c r="E1868" s="126" t="s">
        <v>1208</v>
      </c>
      <c r="F1868" s="123" t="s">
        <v>30</v>
      </c>
      <c r="G1868" s="123" t="s">
        <v>30</v>
      </c>
      <c r="H1868" s="123" t="s">
        <v>72</v>
      </c>
      <c r="I1868" s="126" t="s">
        <v>1931</v>
      </c>
      <c r="J1868" s="130" t="s">
        <v>20650</v>
      </c>
      <c r="K1868" s="123" t="s">
        <v>1210</v>
      </c>
      <c r="L1868" s="131" t="s">
        <v>42</v>
      </c>
      <c r="M1868" s="134" t="s">
        <v>7811</v>
      </c>
      <c r="N1868" s="123" t="s">
        <v>30</v>
      </c>
    </row>
    <row r="1869" spans="2:14" hidden="1" x14ac:dyDescent="0.25">
      <c r="B1869" s="120">
        <v>1866</v>
      </c>
      <c r="C1869" s="123">
        <v>20600537505</v>
      </c>
      <c r="D1869" s="126" t="s">
        <v>394</v>
      </c>
      <c r="E1869" s="126" t="s">
        <v>1203</v>
      </c>
      <c r="F1869" s="123" t="s">
        <v>30</v>
      </c>
      <c r="G1869" s="123" t="s">
        <v>30</v>
      </c>
      <c r="H1869" s="123" t="s">
        <v>72</v>
      </c>
      <c r="I1869" s="126" t="s">
        <v>1957</v>
      </c>
      <c r="J1869" s="130" t="s">
        <v>20662</v>
      </c>
      <c r="K1869" s="123" t="s">
        <v>1205</v>
      </c>
      <c r="L1869" s="131" t="s">
        <v>42</v>
      </c>
      <c r="M1869" s="134" t="s">
        <v>1206</v>
      </c>
      <c r="N1869" s="123" t="s">
        <v>30</v>
      </c>
    </row>
    <row r="1870" spans="2:14" hidden="1" x14ac:dyDescent="0.25">
      <c r="B1870" s="120">
        <v>1867</v>
      </c>
      <c r="C1870" s="123">
        <v>20605634371</v>
      </c>
      <c r="D1870" s="126" t="s">
        <v>196</v>
      </c>
      <c r="E1870" s="126" t="s">
        <v>197</v>
      </c>
      <c r="F1870" s="123" t="s">
        <v>30</v>
      </c>
      <c r="G1870" s="123" t="s">
        <v>30</v>
      </c>
      <c r="H1870" s="123" t="s">
        <v>72</v>
      </c>
      <c r="I1870" s="126" t="s">
        <v>297</v>
      </c>
      <c r="J1870" s="130" t="s">
        <v>20664</v>
      </c>
      <c r="K1870" s="123" t="s">
        <v>1202</v>
      </c>
      <c r="L1870" s="131" t="s">
        <v>42</v>
      </c>
      <c r="M1870" s="134" t="s">
        <v>7812</v>
      </c>
      <c r="N1870" s="123" t="s">
        <v>30</v>
      </c>
    </row>
    <row r="1871" spans="2:14" hidden="1" x14ac:dyDescent="0.25">
      <c r="B1871" s="120">
        <v>1868</v>
      </c>
      <c r="C1871" s="123">
        <v>20492993892</v>
      </c>
      <c r="D1871" s="126" t="s">
        <v>679</v>
      </c>
      <c r="E1871" s="126" t="s">
        <v>1198</v>
      </c>
      <c r="F1871" s="123" t="s">
        <v>30</v>
      </c>
      <c r="G1871" s="123" t="s">
        <v>30</v>
      </c>
      <c r="H1871" s="123" t="s">
        <v>43</v>
      </c>
      <c r="I1871" s="126" t="s">
        <v>1398</v>
      </c>
      <c r="J1871" s="130" t="s">
        <v>20667</v>
      </c>
      <c r="K1871" s="123" t="s">
        <v>1201</v>
      </c>
      <c r="L1871" s="131" t="s">
        <v>42</v>
      </c>
      <c r="M1871" s="134" t="s">
        <v>1200</v>
      </c>
      <c r="N1871" s="123" t="s">
        <v>30</v>
      </c>
    </row>
    <row r="1872" spans="2:14" hidden="1" x14ac:dyDescent="0.25">
      <c r="B1872" s="120">
        <v>1869</v>
      </c>
      <c r="C1872" s="123">
        <v>20492993892</v>
      </c>
      <c r="D1872" s="126" t="s">
        <v>679</v>
      </c>
      <c r="E1872" s="126" t="s">
        <v>1198</v>
      </c>
      <c r="F1872" s="123" t="s">
        <v>30</v>
      </c>
      <c r="G1872" s="123" t="s">
        <v>30</v>
      </c>
      <c r="H1872" s="123" t="s">
        <v>43</v>
      </c>
      <c r="I1872" s="126" t="s">
        <v>1398</v>
      </c>
      <c r="J1872" s="130" t="s">
        <v>20666</v>
      </c>
      <c r="K1872" s="123" t="s">
        <v>1199</v>
      </c>
      <c r="L1872" s="131" t="s">
        <v>76</v>
      </c>
      <c r="M1872" s="134" t="s">
        <v>1200</v>
      </c>
      <c r="N1872" s="123" t="s">
        <v>30</v>
      </c>
    </row>
    <row r="1873" spans="2:14" hidden="1" x14ac:dyDescent="0.25">
      <c r="B1873" s="120">
        <v>1870</v>
      </c>
      <c r="C1873" s="123">
        <v>20551362893</v>
      </c>
      <c r="D1873" s="126" t="s">
        <v>1065</v>
      </c>
      <c r="E1873" s="126" t="s">
        <v>1196</v>
      </c>
      <c r="F1873" s="123" t="s">
        <v>30</v>
      </c>
      <c r="G1873" s="123" t="s">
        <v>30</v>
      </c>
      <c r="H1873" s="123" t="s">
        <v>72</v>
      </c>
      <c r="I1873" s="126" t="s">
        <v>2895</v>
      </c>
      <c r="J1873" s="130" t="s">
        <v>20678</v>
      </c>
      <c r="K1873" s="123" t="s">
        <v>1197</v>
      </c>
      <c r="L1873" s="131" t="s">
        <v>42</v>
      </c>
      <c r="M1873" s="134" t="s">
        <v>7813</v>
      </c>
      <c r="N1873" s="123" t="s">
        <v>30</v>
      </c>
    </row>
    <row r="1874" spans="2:14" hidden="1" x14ac:dyDescent="0.25">
      <c r="B1874" s="120">
        <v>1871</v>
      </c>
      <c r="C1874" s="123">
        <v>20601421977</v>
      </c>
      <c r="D1874" s="126" t="s">
        <v>418</v>
      </c>
      <c r="E1874" s="126" t="s">
        <v>1193</v>
      </c>
      <c r="F1874" s="123" t="s">
        <v>30</v>
      </c>
      <c r="G1874" s="123" t="s">
        <v>30</v>
      </c>
      <c r="H1874" s="123" t="s">
        <v>45</v>
      </c>
      <c r="I1874" s="126" t="s">
        <v>1964</v>
      </c>
      <c r="J1874" s="130" t="s">
        <v>20680</v>
      </c>
      <c r="K1874" s="123" t="s">
        <v>1195</v>
      </c>
      <c r="L1874" s="131" t="s">
        <v>42</v>
      </c>
      <c r="M1874" s="134" t="s">
        <v>7814</v>
      </c>
      <c r="N1874" s="123" t="s">
        <v>30</v>
      </c>
    </row>
    <row r="1875" spans="2:14" hidden="1" x14ac:dyDescent="0.25">
      <c r="B1875" s="120">
        <v>1872</v>
      </c>
      <c r="C1875" s="123">
        <v>20553306621</v>
      </c>
      <c r="D1875" s="126" t="s">
        <v>706</v>
      </c>
      <c r="E1875" s="126" t="s">
        <v>1191</v>
      </c>
      <c r="F1875" s="123" t="s">
        <v>30</v>
      </c>
      <c r="G1875" s="123" t="s">
        <v>30</v>
      </c>
      <c r="H1875" s="123" t="s">
        <v>72</v>
      </c>
      <c r="I1875" s="126" t="s">
        <v>1701</v>
      </c>
      <c r="J1875" s="130" t="s">
        <v>6154</v>
      </c>
      <c r="K1875" s="123" t="s">
        <v>1192</v>
      </c>
      <c r="L1875" s="131" t="s">
        <v>42</v>
      </c>
      <c r="M1875" s="134" t="s">
        <v>7815</v>
      </c>
      <c r="N1875" s="123" t="s">
        <v>30</v>
      </c>
    </row>
    <row r="1876" spans="2:14" hidden="1" x14ac:dyDescent="0.25">
      <c r="B1876" s="120">
        <v>1873</v>
      </c>
      <c r="C1876" s="123">
        <v>20606229659</v>
      </c>
      <c r="D1876" s="126" t="s">
        <v>1063</v>
      </c>
      <c r="E1876" s="126" t="s">
        <v>1189</v>
      </c>
      <c r="F1876" s="123" t="s">
        <v>30</v>
      </c>
      <c r="G1876" s="123" t="s">
        <v>30</v>
      </c>
      <c r="H1876" s="123" t="s">
        <v>72</v>
      </c>
      <c r="I1876" s="126" t="s">
        <v>1701</v>
      </c>
      <c r="J1876" s="130" t="s">
        <v>6155</v>
      </c>
      <c r="K1876" s="123" t="s">
        <v>1190</v>
      </c>
      <c r="L1876" s="131" t="s">
        <v>57</v>
      </c>
      <c r="M1876" s="134" t="s">
        <v>7816</v>
      </c>
      <c r="N1876" s="123" t="s">
        <v>30</v>
      </c>
    </row>
    <row r="1877" spans="2:14" hidden="1" x14ac:dyDescent="0.25">
      <c r="B1877" s="120">
        <v>1874</v>
      </c>
      <c r="C1877" s="123">
        <v>20602147275</v>
      </c>
      <c r="D1877" s="126" t="s">
        <v>1062</v>
      </c>
      <c r="E1877" s="126" t="s">
        <v>1186</v>
      </c>
      <c r="F1877" s="123" t="s">
        <v>30</v>
      </c>
      <c r="G1877" s="123" t="s">
        <v>30</v>
      </c>
      <c r="H1877" s="123" t="s">
        <v>72</v>
      </c>
      <c r="I1877" s="126" t="s">
        <v>1948</v>
      </c>
      <c r="J1877" s="130" t="s">
        <v>20681</v>
      </c>
      <c r="K1877" s="123" t="s">
        <v>1187</v>
      </c>
      <c r="L1877" s="131" t="s">
        <v>42</v>
      </c>
      <c r="M1877" s="134" t="s">
        <v>845</v>
      </c>
      <c r="N1877" s="123" t="s">
        <v>1188</v>
      </c>
    </row>
    <row r="1878" spans="2:14" hidden="1" x14ac:dyDescent="0.25">
      <c r="B1878" s="120">
        <v>1875</v>
      </c>
      <c r="C1878" s="123">
        <v>20602323812</v>
      </c>
      <c r="D1878" s="126" t="s">
        <v>1059</v>
      </c>
      <c r="E1878" s="126" t="s">
        <v>1184</v>
      </c>
      <c r="F1878" s="123" t="s">
        <v>30</v>
      </c>
      <c r="G1878" s="123" t="s">
        <v>30</v>
      </c>
      <c r="H1878" s="123" t="s">
        <v>50</v>
      </c>
      <c r="I1878" s="126" t="s">
        <v>1551</v>
      </c>
      <c r="J1878" s="130" t="s">
        <v>20691</v>
      </c>
      <c r="K1878" s="123" t="s">
        <v>1185</v>
      </c>
      <c r="L1878" s="131" t="s">
        <v>42</v>
      </c>
      <c r="M1878" s="134" t="s">
        <v>845</v>
      </c>
      <c r="N1878" s="123" t="s">
        <v>845</v>
      </c>
    </row>
    <row r="1879" spans="2:14" hidden="1" x14ac:dyDescent="0.25">
      <c r="B1879" s="120">
        <v>1876</v>
      </c>
      <c r="C1879" s="123">
        <v>20607918024</v>
      </c>
      <c r="D1879" s="126" t="s">
        <v>1181</v>
      </c>
      <c r="E1879" s="126" t="s">
        <v>1182</v>
      </c>
      <c r="F1879" s="123" t="s">
        <v>30</v>
      </c>
      <c r="G1879" s="123" t="s">
        <v>30</v>
      </c>
      <c r="H1879" s="123" t="s">
        <v>86</v>
      </c>
      <c r="I1879" s="126" t="s">
        <v>1809</v>
      </c>
      <c r="J1879" s="130" t="s">
        <v>6156</v>
      </c>
      <c r="K1879" s="123" t="s">
        <v>1183</v>
      </c>
      <c r="L1879" s="131" t="s">
        <v>42</v>
      </c>
      <c r="M1879" s="134" t="s">
        <v>7817</v>
      </c>
      <c r="N1879" s="123" t="s">
        <v>30</v>
      </c>
    </row>
    <row r="1880" spans="2:14" hidden="1" x14ac:dyDescent="0.25">
      <c r="B1880" s="120">
        <v>1877</v>
      </c>
      <c r="C1880" s="123">
        <v>20514269751</v>
      </c>
      <c r="D1880" s="126" t="s">
        <v>1177</v>
      </c>
      <c r="E1880" s="126" t="s">
        <v>1178</v>
      </c>
      <c r="F1880" s="123" t="s">
        <v>30</v>
      </c>
      <c r="G1880" s="123" t="s">
        <v>30</v>
      </c>
      <c r="H1880" s="123" t="s">
        <v>86</v>
      </c>
      <c r="I1880" s="126" t="s">
        <v>16208</v>
      </c>
      <c r="J1880" s="130" t="s">
        <v>6157</v>
      </c>
      <c r="K1880" s="123" t="s">
        <v>1179</v>
      </c>
      <c r="L1880" s="131" t="s">
        <v>42</v>
      </c>
      <c r="M1880" s="134" t="s">
        <v>7818</v>
      </c>
      <c r="N1880" s="123" t="s">
        <v>30</v>
      </c>
    </row>
    <row r="1881" spans="2:14" hidden="1" x14ac:dyDescent="0.25">
      <c r="B1881" s="120">
        <v>1878</v>
      </c>
      <c r="C1881" s="123">
        <v>20602390498</v>
      </c>
      <c r="D1881" s="126" t="s">
        <v>662</v>
      </c>
      <c r="E1881" s="126" t="s">
        <v>1170</v>
      </c>
      <c r="F1881" s="123" t="s">
        <v>30</v>
      </c>
      <c r="G1881" s="123" t="s">
        <v>30</v>
      </c>
      <c r="H1881" s="123" t="s">
        <v>75</v>
      </c>
      <c r="I1881" s="126" t="s">
        <v>59</v>
      </c>
      <c r="J1881" s="130" t="s">
        <v>6158</v>
      </c>
      <c r="K1881" s="123" t="s">
        <v>663</v>
      </c>
      <c r="L1881" s="131" t="s">
        <v>42</v>
      </c>
      <c r="M1881" s="134" t="s">
        <v>7819</v>
      </c>
      <c r="N1881" s="123" t="s">
        <v>30</v>
      </c>
    </row>
    <row r="1882" spans="2:14" hidden="1" x14ac:dyDescent="0.25">
      <c r="B1882" s="120">
        <v>1879</v>
      </c>
      <c r="C1882" s="123">
        <v>20100028698</v>
      </c>
      <c r="D1882" s="126" t="s">
        <v>69</v>
      </c>
      <c r="E1882" s="126" t="s">
        <v>1161</v>
      </c>
      <c r="F1882" s="123" t="s">
        <v>30</v>
      </c>
      <c r="G1882" s="123" t="s">
        <v>30</v>
      </c>
      <c r="H1882" s="123" t="s">
        <v>35</v>
      </c>
      <c r="I1882" s="126" t="s">
        <v>1450</v>
      </c>
      <c r="J1882" s="130" t="s">
        <v>20660</v>
      </c>
      <c r="K1882" s="123" t="s">
        <v>20661</v>
      </c>
      <c r="L1882" s="131" t="s">
        <v>36</v>
      </c>
      <c r="M1882" s="134" t="s">
        <v>7820</v>
      </c>
      <c r="N1882" s="123" t="s">
        <v>30</v>
      </c>
    </row>
    <row r="1883" spans="2:14" hidden="1" x14ac:dyDescent="0.25">
      <c r="B1883" s="120">
        <v>1880</v>
      </c>
      <c r="C1883" s="123">
        <v>20100028698</v>
      </c>
      <c r="D1883" s="126" t="s">
        <v>69</v>
      </c>
      <c r="E1883" s="126" t="s">
        <v>1161</v>
      </c>
      <c r="F1883" s="123" t="s">
        <v>30</v>
      </c>
      <c r="G1883" s="123" t="s">
        <v>30</v>
      </c>
      <c r="H1883" s="123" t="s">
        <v>35</v>
      </c>
      <c r="I1883" s="126" t="s">
        <v>1450</v>
      </c>
      <c r="J1883" s="130" t="s">
        <v>6162</v>
      </c>
      <c r="K1883" s="123" t="s">
        <v>1166</v>
      </c>
      <c r="L1883" s="131" t="s">
        <v>36</v>
      </c>
      <c r="M1883" s="134" t="s">
        <v>7820</v>
      </c>
      <c r="N1883" s="123" t="s">
        <v>30</v>
      </c>
    </row>
    <row r="1884" spans="2:14" hidden="1" x14ac:dyDescent="0.25">
      <c r="B1884" s="120">
        <v>1881</v>
      </c>
      <c r="C1884" s="123">
        <v>20100028698</v>
      </c>
      <c r="D1884" s="126" t="s">
        <v>69</v>
      </c>
      <c r="E1884" s="126" t="s">
        <v>1161</v>
      </c>
      <c r="F1884" s="123" t="s">
        <v>30</v>
      </c>
      <c r="G1884" s="123" t="s">
        <v>30</v>
      </c>
      <c r="H1884" s="123" t="s">
        <v>35</v>
      </c>
      <c r="I1884" s="126" t="s">
        <v>1450</v>
      </c>
      <c r="J1884" s="130" t="s">
        <v>6161</v>
      </c>
      <c r="K1884" s="123" t="s">
        <v>1167</v>
      </c>
      <c r="L1884" s="131" t="s">
        <v>209</v>
      </c>
      <c r="M1884" s="134" t="s">
        <v>7820</v>
      </c>
      <c r="N1884" s="123" t="s">
        <v>30</v>
      </c>
    </row>
    <row r="1885" spans="2:14" hidden="1" x14ac:dyDescent="0.25">
      <c r="B1885" s="120">
        <v>1882</v>
      </c>
      <c r="C1885" s="123">
        <v>20100028698</v>
      </c>
      <c r="D1885" s="126" t="s">
        <v>69</v>
      </c>
      <c r="E1885" s="126" t="s">
        <v>1161</v>
      </c>
      <c r="F1885" s="123" t="s">
        <v>30</v>
      </c>
      <c r="G1885" s="123" t="s">
        <v>30</v>
      </c>
      <c r="H1885" s="123" t="s">
        <v>35</v>
      </c>
      <c r="I1885" s="126" t="s">
        <v>1450</v>
      </c>
      <c r="J1885" s="130" t="s">
        <v>6159</v>
      </c>
      <c r="K1885" s="123" t="s">
        <v>20659</v>
      </c>
      <c r="L1885" s="131" t="s">
        <v>1712</v>
      </c>
      <c r="M1885" s="134" t="s">
        <v>7820</v>
      </c>
      <c r="N1885" s="123" t="s">
        <v>30</v>
      </c>
    </row>
    <row r="1886" spans="2:14" hidden="1" x14ac:dyDescent="0.25">
      <c r="B1886" s="120">
        <v>1883</v>
      </c>
      <c r="C1886" s="123">
        <v>20100028698</v>
      </c>
      <c r="D1886" s="126" t="s">
        <v>69</v>
      </c>
      <c r="E1886" s="126" t="s">
        <v>1161</v>
      </c>
      <c r="F1886" s="123" t="s">
        <v>30</v>
      </c>
      <c r="G1886" s="123" t="s">
        <v>30</v>
      </c>
      <c r="H1886" s="123" t="s">
        <v>35</v>
      </c>
      <c r="I1886" s="126" t="s">
        <v>1450</v>
      </c>
      <c r="J1886" s="130" t="s">
        <v>6163</v>
      </c>
      <c r="K1886" s="123" t="s">
        <v>1165</v>
      </c>
      <c r="L1886" s="131" t="s">
        <v>36</v>
      </c>
      <c r="M1886" s="134" t="s">
        <v>7820</v>
      </c>
      <c r="N1886" s="123" t="s">
        <v>30</v>
      </c>
    </row>
    <row r="1887" spans="2:14" hidden="1" x14ac:dyDescent="0.25">
      <c r="B1887" s="120">
        <v>1884</v>
      </c>
      <c r="C1887" s="123">
        <v>20100028698</v>
      </c>
      <c r="D1887" s="126" t="s">
        <v>69</v>
      </c>
      <c r="E1887" s="126" t="s">
        <v>1161</v>
      </c>
      <c r="F1887" s="123" t="s">
        <v>30</v>
      </c>
      <c r="G1887" s="123" t="s">
        <v>30</v>
      </c>
      <c r="H1887" s="123" t="s">
        <v>35</v>
      </c>
      <c r="I1887" s="126" t="s">
        <v>1450</v>
      </c>
      <c r="J1887" s="130" t="s">
        <v>6164</v>
      </c>
      <c r="K1887" s="123" t="s">
        <v>20658</v>
      </c>
      <c r="L1887" s="131" t="s">
        <v>36</v>
      </c>
      <c r="M1887" s="134" t="s">
        <v>7820</v>
      </c>
      <c r="N1887" s="123" t="s">
        <v>30</v>
      </c>
    </row>
    <row r="1888" spans="2:14" hidden="1" x14ac:dyDescent="0.25">
      <c r="B1888" s="120">
        <v>1885</v>
      </c>
      <c r="C1888" s="123">
        <v>20100028698</v>
      </c>
      <c r="D1888" s="126" t="s">
        <v>69</v>
      </c>
      <c r="E1888" s="126" t="s">
        <v>1161</v>
      </c>
      <c r="F1888" s="123" t="s">
        <v>30</v>
      </c>
      <c r="G1888" s="123" t="s">
        <v>30</v>
      </c>
      <c r="H1888" s="123" t="s">
        <v>35</v>
      </c>
      <c r="I1888" s="126" t="s">
        <v>1450</v>
      </c>
      <c r="J1888" s="130" t="s">
        <v>6165</v>
      </c>
      <c r="K1888" s="123" t="s">
        <v>1164</v>
      </c>
      <c r="L1888" s="131" t="s">
        <v>36</v>
      </c>
      <c r="M1888" s="134" t="s">
        <v>7820</v>
      </c>
      <c r="N1888" s="123" t="s">
        <v>30</v>
      </c>
    </row>
    <row r="1889" spans="2:14" hidden="1" x14ac:dyDescent="0.25">
      <c r="B1889" s="120">
        <v>1886</v>
      </c>
      <c r="C1889" s="123">
        <v>20100028698</v>
      </c>
      <c r="D1889" s="126" t="s">
        <v>69</v>
      </c>
      <c r="E1889" s="126" t="s">
        <v>1161</v>
      </c>
      <c r="F1889" s="123" t="s">
        <v>30</v>
      </c>
      <c r="G1889" s="123" t="s">
        <v>30</v>
      </c>
      <c r="H1889" s="123" t="s">
        <v>35</v>
      </c>
      <c r="I1889" s="126" t="s">
        <v>1450</v>
      </c>
      <c r="J1889" s="130" t="s">
        <v>6160</v>
      </c>
      <c r="K1889" s="123" t="s">
        <v>70</v>
      </c>
      <c r="L1889" s="131" t="s">
        <v>42</v>
      </c>
      <c r="M1889" s="134" t="s">
        <v>7820</v>
      </c>
      <c r="N1889" s="123" t="s">
        <v>30</v>
      </c>
    </row>
    <row r="1890" spans="2:14" hidden="1" x14ac:dyDescent="0.25">
      <c r="B1890" s="120">
        <v>1887</v>
      </c>
      <c r="C1890" s="123">
        <v>20100028698</v>
      </c>
      <c r="D1890" s="126" t="s">
        <v>69</v>
      </c>
      <c r="E1890" s="126" t="s">
        <v>1161</v>
      </c>
      <c r="F1890" s="123" t="s">
        <v>30</v>
      </c>
      <c r="G1890" s="123" t="s">
        <v>30</v>
      </c>
      <c r="H1890" s="123" t="s">
        <v>35</v>
      </c>
      <c r="I1890" s="126" t="s">
        <v>1450</v>
      </c>
      <c r="J1890" s="130" t="s">
        <v>20656</v>
      </c>
      <c r="K1890" s="123" t="s">
        <v>20657</v>
      </c>
      <c r="L1890" s="131" t="s">
        <v>36</v>
      </c>
      <c r="M1890" s="134" t="s">
        <v>7820</v>
      </c>
      <c r="N1890" s="123" t="s">
        <v>30</v>
      </c>
    </row>
    <row r="1891" spans="2:14" hidden="1" x14ac:dyDescent="0.25">
      <c r="B1891" s="120">
        <v>1888</v>
      </c>
      <c r="C1891" s="123">
        <v>20100028698</v>
      </c>
      <c r="D1891" s="126" t="s">
        <v>69</v>
      </c>
      <c r="E1891" s="126" t="s">
        <v>1161</v>
      </c>
      <c r="F1891" s="123" t="s">
        <v>30</v>
      </c>
      <c r="G1891" s="123" t="s">
        <v>30</v>
      </c>
      <c r="H1891" s="123" t="s">
        <v>35</v>
      </c>
      <c r="I1891" s="126" t="s">
        <v>1450</v>
      </c>
      <c r="J1891" s="130" t="s">
        <v>20655</v>
      </c>
      <c r="K1891" s="123" t="s">
        <v>1163</v>
      </c>
      <c r="L1891" s="131" t="s">
        <v>36</v>
      </c>
      <c r="M1891" s="134" t="s">
        <v>7820</v>
      </c>
      <c r="N1891" s="123" t="s">
        <v>30</v>
      </c>
    </row>
    <row r="1892" spans="2:14" hidden="1" x14ac:dyDescent="0.25">
      <c r="B1892" s="120">
        <v>1889</v>
      </c>
      <c r="C1892" s="123">
        <v>20100028698</v>
      </c>
      <c r="D1892" s="126" t="s">
        <v>69</v>
      </c>
      <c r="E1892" s="126" t="s">
        <v>1161</v>
      </c>
      <c r="F1892" s="123" t="s">
        <v>30</v>
      </c>
      <c r="G1892" s="123" t="s">
        <v>30</v>
      </c>
      <c r="H1892" s="123" t="s">
        <v>35</v>
      </c>
      <c r="I1892" s="126" t="s">
        <v>1450</v>
      </c>
      <c r="J1892" s="130" t="s">
        <v>20653</v>
      </c>
      <c r="K1892" s="123" t="s">
        <v>20654</v>
      </c>
      <c r="L1892" s="131" t="s">
        <v>209</v>
      </c>
      <c r="M1892" s="134" t="s">
        <v>7820</v>
      </c>
      <c r="N1892" s="123" t="s">
        <v>30</v>
      </c>
    </row>
    <row r="1893" spans="2:14" hidden="1" x14ac:dyDescent="0.25">
      <c r="B1893" s="120">
        <v>1890</v>
      </c>
      <c r="C1893" s="123">
        <v>20100028698</v>
      </c>
      <c r="D1893" s="126" t="s">
        <v>69</v>
      </c>
      <c r="E1893" s="126" t="s">
        <v>1161</v>
      </c>
      <c r="F1893" s="123" t="s">
        <v>30</v>
      </c>
      <c r="G1893" s="123" t="s">
        <v>30</v>
      </c>
      <c r="H1893" s="123" t="s">
        <v>35</v>
      </c>
      <c r="I1893" s="126" t="s">
        <v>1450</v>
      </c>
      <c r="J1893" s="130" t="s">
        <v>20652</v>
      </c>
      <c r="K1893" s="123" t="s">
        <v>1168</v>
      </c>
      <c r="L1893" s="131" t="s">
        <v>209</v>
      </c>
      <c r="M1893" s="134" t="s">
        <v>7820</v>
      </c>
      <c r="N1893" s="123" t="s">
        <v>30</v>
      </c>
    </row>
    <row r="1894" spans="2:14" hidden="1" x14ac:dyDescent="0.25">
      <c r="B1894" s="120">
        <v>1891</v>
      </c>
      <c r="C1894" s="123">
        <v>20100028698</v>
      </c>
      <c r="D1894" s="126" t="s">
        <v>69</v>
      </c>
      <c r="E1894" s="126" t="s">
        <v>1161</v>
      </c>
      <c r="F1894" s="123" t="s">
        <v>30</v>
      </c>
      <c r="G1894" s="123" t="s">
        <v>30</v>
      </c>
      <c r="H1894" s="123" t="s">
        <v>35</v>
      </c>
      <c r="I1894" s="126" t="s">
        <v>1450</v>
      </c>
      <c r="J1894" s="130" t="s">
        <v>20651</v>
      </c>
      <c r="K1894" s="123" t="s">
        <v>1162</v>
      </c>
      <c r="L1894" s="131" t="s">
        <v>209</v>
      </c>
      <c r="M1894" s="134" t="s">
        <v>7820</v>
      </c>
      <c r="N1894" s="123" t="s">
        <v>30</v>
      </c>
    </row>
    <row r="1895" spans="2:14" hidden="1" x14ac:dyDescent="0.25">
      <c r="B1895" s="120">
        <v>1892</v>
      </c>
      <c r="C1895" s="123">
        <v>20122082513</v>
      </c>
      <c r="D1895" s="126" t="s">
        <v>379</v>
      </c>
      <c r="E1895" s="126" t="s">
        <v>1155</v>
      </c>
      <c r="F1895" s="123" t="s">
        <v>67</v>
      </c>
      <c r="G1895" s="123" t="s">
        <v>67</v>
      </c>
      <c r="H1895" s="123" t="s">
        <v>67</v>
      </c>
      <c r="I1895" s="126" t="s">
        <v>1387</v>
      </c>
      <c r="J1895" s="130" t="s">
        <v>20670</v>
      </c>
      <c r="K1895" s="123" t="s">
        <v>380</v>
      </c>
      <c r="L1895" s="131" t="s">
        <v>42</v>
      </c>
      <c r="M1895" s="134" t="s">
        <v>845</v>
      </c>
      <c r="N1895" s="123" t="s">
        <v>845</v>
      </c>
    </row>
    <row r="1896" spans="2:14" hidden="1" x14ac:dyDescent="0.25">
      <c r="B1896" s="120">
        <v>1893</v>
      </c>
      <c r="C1896" s="123">
        <v>20607407704</v>
      </c>
      <c r="D1896" s="126" t="s">
        <v>703</v>
      </c>
      <c r="E1896" s="126" t="s">
        <v>1057</v>
      </c>
      <c r="F1896" s="123" t="s">
        <v>30</v>
      </c>
      <c r="G1896" s="123" t="s">
        <v>30</v>
      </c>
      <c r="H1896" s="123" t="s">
        <v>45</v>
      </c>
      <c r="I1896" s="126" t="s">
        <v>1984</v>
      </c>
      <c r="J1896" s="130" t="s">
        <v>20671</v>
      </c>
      <c r="K1896" s="123" t="s">
        <v>704</v>
      </c>
      <c r="L1896" s="131" t="s">
        <v>57</v>
      </c>
      <c r="M1896" s="134" t="s">
        <v>7821</v>
      </c>
      <c r="N1896" s="123" t="s">
        <v>30</v>
      </c>
    </row>
    <row r="1897" spans="2:14" hidden="1" x14ac:dyDescent="0.25">
      <c r="B1897" s="120">
        <v>1894</v>
      </c>
      <c r="C1897" s="123">
        <v>20606175940</v>
      </c>
      <c r="D1897" s="126" t="s">
        <v>480</v>
      </c>
      <c r="E1897" s="126" t="s">
        <v>1154</v>
      </c>
      <c r="F1897" s="123" t="s">
        <v>30</v>
      </c>
      <c r="G1897" s="123" t="s">
        <v>30</v>
      </c>
      <c r="H1897" s="123" t="s">
        <v>51</v>
      </c>
      <c r="I1897" s="126" t="s">
        <v>1551</v>
      </c>
      <c r="J1897" s="130" t="s">
        <v>6167</v>
      </c>
      <c r="K1897" s="123" t="s">
        <v>481</v>
      </c>
      <c r="L1897" s="131" t="s">
        <v>42</v>
      </c>
      <c r="M1897" s="134" t="s">
        <v>7822</v>
      </c>
      <c r="N1897" s="123" t="s">
        <v>30</v>
      </c>
    </row>
    <row r="1898" spans="2:14" hidden="1" x14ac:dyDescent="0.25">
      <c r="B1898" s="120">
        <v>1895</v>
      </c>
      <c r="C1898" s="123">
        <v>20543370518</v>
      </c>
      <c r="D1898" s="126" t="s">
        <v>1056</v>
      </c>
      <c r="E1898" s="126" t="s">
        <v>1152</v>
      </c>
      <c r="F1898" s="123" t="s">
        <v>30</v>
      </c>
      <c r="G1898" s="123" t="s">
        <v>30</v>
      </c>
      <c r="H1898" s="123" t="s">
        <v>39</v>
      </c>
      <c r="I1898" s="126" t="s">
        <v>1450</v>
      </c>
      <c r="J1898" s="130" t="s">
        <v>20679</v>
      </c>
      <c r="K1898" s="123" t="s">
        <v>1153</v>
      </c>
      <c r="L1898" s="131" t="s">
        <v>42</v>
      </c>
      <c r="M1898" s="134" t="s">
        <v>7823</v>
      </c>
      <c r="N1898" s="123" t="s">
        <v>30</v>
      </c>
    </row>
    <row r="1899" spans="2:14" hidden="1" x14ac:dyDescent="0.25">
      <c r="B1899" s="120">
        <v>1896</v>
      </c>
      <c r="C1899" s="123">
        <v>20535538183</v>
      </c>
      <c r="D1899" s="126" t="s">
        <v>640</v>
      </c>
      <c r="E1899" s="126" t="s">
        <v>1151</v>
      </c>
      <c r="F1899" s="123" t="s">
        <v>30</v>
      </c>
      <c r="G1899" s="123" t="s">
        <v>30</v>
      </c>
      <c r="H1899" s="123" t="s">
        <v>30</v>
      </c>
      <c r="I1899" s="126" t="s">
        <v>288</v>
      </c>
      <c r="J1899" s="130" t="s">
        <v>6168</v>
      </c>
      <c r="K1899" s="123" t="s">
        <v>641</v>
      </c>
      <c r="L1899" s="131" t="s">
        <v>42</v>
      </c>
      <c r="M1899" s="134" t="s">
        <v>7824</v>
      </c>
      <c r="N1899" s="123" t="s">
        <v>30</v>
      </c>
    </row>
    <row r="1900" spans="2:14" hidden="1" x14ac:dyDescent="0.25">
      <c r="B1900" s="120">
        <v>1897</v>
      </c>
      <c r="C1900" s="123">
        <v>20518889444</v>
      </c>
      <c r="D1900" s="126" t="s">
        <v>294</v>
      </c>
      <c r="E1900" s="126" t="s">
        <v>1071</v>
      </c>
      <c r="F1900" s="123" t="s">
        <v>30</v>
      </c>
      <c r="G1900" s="123" t="s">
        <v>30</v>
      </c>
      <c r="H1900" s="123" t="s">
        <v>41</v>
      </c>
      <c r="I1900" s="126" t="s">
        <v>1984</v>
      </c>
      <c r="J1900" s="130" t="s">
        <v>6169</v>
      </c>
      <c r="K1900" s="123" t="s">
        <v>295</v>
      </c>
      <c r="L1900" s="131" t="s">
        <v>42</v>
      </c>
      <c r="M1900" s="134" t="s">
        <v>7825</v>
      </c>
      <c r="N1900" s="123" t="s">
        <v>30</v>
      </c>
    </row>
    <row r="1901" spans="2:14" hidden="1" x14ac:dyDescent="0.25">
      <c r="B1901" s="120">
        <v>1898</v>
      </c>
      <c r="C1901" s="123">
        <v>10435161362</v>
      </c>
      <c r="D1901" s="126" t="s">
        <v>234</v>
      </c>
      <c r="E1901" s="126" t="s">
        <v>1054</v>
      </c>
      <c r="F1901" s="123" t="s">
        <v>30</v>
      </c>
      <c r="G1901" s="123" t="s">
        <v>30</v>
      </c>
      <c r="H1901" s="123" t="s">
        <v>30</v>
      </c>
      <c r="I1901" s="126" t="s">
        <v>1561</v>
      </c>
      <c r="J1901" s="130" t="s">
        <v>20684</v>
      </c>
      <c r="K1901" s="123" t="s">
        <v>234</v>
      </c>
      <c r="L1901" s="131" t="s">
        <v>100</v>
      </c>
      <c r="M1901" s="134" t="s">
        <v>845</v>
      </c>
      <c r="N1901" s="123" t="s">
        <v>845</v>
      </c>
    </row>
    <row r="1902" spans="2:14" hidden="1" x14ac:dyDescent="0.25">
      <c r="B1902" s="120">
        <v>1899</v>
      </c>
      <c r="C1902" s="123">
        <v>20477762108</v>
      </c>
      <c r="D1902" s="126" t="s">
        <v>1055</v>
      </c>
      <c r="E1902" s="126" t="s">
        <v>1140</v>
      </c>
      <c r="F1902" s="123" t="s">
        <v>30</v>
      </c>
      <c r="G1902" s="123" t="s">
        <v>30</v>
      </c>
      <c r="H1902" s="123" t="s">
        <v>52</v>
      </c>
      <c r="I1902" s="126" t="s">
        <v>1447</v>
      </c>
      <c r="J1902" s="130" t="s">
        <v>6170</v>
      </c>
      <c r="K1902" s="123" t="s">
        <v>1141</v>
      </c>
      <c r="L1902" s="131" t="s">
        <v>42</v>
      </c>
      <c r="M1902" s="134" t="s">
        <v>7826</v>
      </c>
      <c r="N1902" s="123" t="s">
        <v>30</v>
      </c>
    </row>
    <row r="1903" spans="2:14" hidden="1" x14ac:dyDescent="0.25">
      <c r="B1903" s="120">
        <v>1900</v>
      </c>
      <c r="C1903" s="123">
        <v>20512458735</v>
      </c>
      <c r="D1903" s="126" t="s">
        <v>238</v>
      </c>
      <c r="E1903" s="126" t="s">
        <v>1053</v>
      </c>
      <c r="F1903" s="123" t="s">
        <v>30</v>
      </c>
      <c r="G1903" s="123" t="s">
        <v>30</v>
      </c>
      <c r="H1903" s="123" t="s">
        <v>110</v>
      </c>
      <c r="I1903" s="126" t="s">
        <v>1945</v>
      </c>
      <c r="J1903" s="130" t="s">
        <v>6171</v>
      </c>
      <c r="K1903" s="123" t="s">
        <v>239</v>
      </c>
      <c r="L1903" s="131" t="s">
        <v>36</v>
      </c>
      <c r="M1903" s="134" t="s">
        <v>7827</v>
      </c>
      <c r="N1903" s="123" t="s">
        <v>30</v>
      </c>
    </row>
    <row r="1904" spans="2:14" hidden="1" x14ac:dyDescent="0.25">
      <c r="B1904" s="120">
        <v>1901</v>
      </c>
      <c r="C1904" s="123">
        <v>20477989731</v>
      </c>
      <c r="D1904" s="126" t="s">
        <v>515</v>
      </c>
      <c r="E1904" s="126" t="s">
        <v>1052</v>
      </c>
      <c r="F1904" s="123" t="s">
        <v>30</v>
      </c>
      <c r="G1904" s="123" t="s">
        <v>30</v>
      </c>
      <c r="H1904" s="123" t="s">
        <v>51</v>
      </c>
      <c r="I1904" s="126" t="s">
        <v>20687</v>
      </c>
      <c r="J1904" s="130" t="s">
        <v>20686</v>
      </c>
      <c r="K1904" s="123" t="s">
        <v>516</v>
      </c>
      <c r="L1904" s="131" t="s">
        <v>42</v>
      </c>
      <c r="M1904" s="134" t="s">
        <v>7828</v>
      </c>
      <c r="N1904" s="123" t="s">
        <v>30</v>
      </c>
    </row>
    <row r="1905" spans="2:14" hidden="1" x14ac:dyDescent="0.25">
      <c r="B1905" s="120">
        <v>1902</v>
      </c>
      <c r="C1905" s="123">
        <v>20601243513</v>
      </c>
      <c r="D1905" s="126" t="s">
        <v>298</v>
      </c>
      <c r="E1905" s="126" t="s">
        <v>1050</v>
      </c>
      <c r="F1905" s="123" t="s">
        <v>30</v>
      </c>
      <c r="G1905" s="123" t="s">
        <v>30</v>
      </c>
      <c r="H1905" s="123" t="s">
        <v>51</v>
      </c>
      <c r="I1905" s="126" t="s">
        <v>263</v>
      </c>
      <c r="J1905" s="130" t="s">
        <v>6172</v>
      </c>
      <c r="K1905" s="123" t="s">
        <v>1051</v>
      </c>
      <c r="L1905" s="131" t="s">
        <v>42</v>
      </c>
      <c r="M1905" s="134" t="s">
        <v>7829</v>
      </c>
      <c r="N1905" s="123" t="s">
        <v>30</v>
      </c>
    </row>
    <row r="1906" spans="2:14" hidden="1" x14ac:dyDescent="0.25">
      <c r="B1906" s="120">
        <v>1903</v>
      </c>
      <c r="C1906" s="123">
        <v>20600581237</v>
      </c>
      <c r="D1906" s="126" t="s">
        <v>1047</v>
      </c>
      <c r="E1906" s="126" t="s">
        <v>1048</v>
      </c>
      <c r="F1906" s="123" t="s">
        <v>30</v>
      </c>
      <c r="G1906" s="123" t="s">
        <v>30</v>
      </c>
      <c r="H1906" s="123" t="s">
        <v>45</v>
      </c>
      <c r="I1906" s="126" t="s">
        <v>1694</v>
      </c>
      <c r="J1906" s="130" t="s">
        <v>6173</v>
      </c>
      <c r="K1906" s="123" t="s">
        <v>1049</v>
      </c>
      <c r="L1906" s="131" t="s">
        <v>57</v>
      </c>
      <c r="M1906" s="134" t="s">
        <v>7830</v>
      </c>
      <c r="N1906" s="123" t="s">
        <v>30</v>
      </c>
    </row>
    <row r="1907" spans="2:14" hidden="1" x14ac:dyDescent="0.25">
      <c r="B1907" s="120">
        <v>1904</v>
      </c>
      <c r="C1907" s="123">
        <v>20600616316</v>
      </c>
      <c r="D1907" s="126" t="s">
        <v>403</v>
      </c>
      <c r="E1907" s="126" t="s">
        <v>1046</v>
      </c>
      <c r="F1907" s="123" t="s">
        <v>30</v>
      </c>
      <c r="G1907" s="123" t="s">
        <v>30</v>
      </c>
      <c r="H1907" s="123" t="s">
        <v>43</v>
      </c>
      <c r="I1907" s="126" t="s">
        <v>20694</v>
      </c>
      <c r="J1907" s="130" t="s">
        <v>20693</v>
      </c>
      <c r="K1907" s="123" t="s">
        <v>404</v>
      </c>
      <c r="L1907" s="131" t="s">
        <v>42</v>
      </c>
      <c r="M1907" s="134" t="s">
        <v>7831</v>
      </c>
      <c r="N1907" s="123" t="s">
        <v>30</v>
      </c>
    </row>
    <row r="1908" spans="2:14" hidden="1" x14ac:dyDescent="0.25">
      <c r="B1908" s="120">
        <v>1905</v>
      </c>
      <c r="C1908" s="123">
        <v>20330444372</v>
      </c>
      <c r="D1908" s="126" t="s">
        <v>407</v>
      </c>
      <c r="E1908" s="126" t="s">
        <v>1044</v>
      </c>
      <c r="F1908" s="123" t="s">
        <v>67</v>
      </c>
      <c r="G1908" s="123" t="s">
        <v>67</v>
      </c>
      <c r="H1908" s="123" t="s">
        <v>67</v>
      </c>
      <c r="I1908" s="126" t="s">
        <v>1045</v>
      </c>
      <c r="J1908" s="130" t="s">
        <v>20695</v>
      </c>
      <c r="K1908" s="123" t="s">
        <v>408</v>
      </c>
      <c r="L1908" s="131" t="s">
        <v>42</v>
      </c>
      <c r="M1908" s="134" t="s">
        <v>7832</v>
      </c>
      <c r="N1908" s="123" t="s">
        <v>30</v>
      </c>
    </row>
    <row r="1909" spans="2:14" hidden="1" x14ac:dyDescent="0.25">
      <c r="B1909" s="120">
        <v>1906</v>
      </c>
      <c r="C1909" s="123">
        <v>20524691800</v>
      </c>
      <c r="D1909" s="126" t="s">
        <v>710</v>
      </c>
      <c r="E1909" s="126" t="s">
        <v>1043</v>
      </c>
      <c r="F1909" s="123" t="s">
        <v>30</v>
      </c>
      <c r="G1909" s="123" t="s">
        <v>30</v>
      </c>
      <c r="H1909" s="123" t="s">
        <v>88</v>
      </c>
      <c r="I1909" s="126" t="s">
        <v>1464</v>
      </c>
      <c r="J1909" s="130" t="s">
        <v>6174</v>
      </c>
      <c r="K1909" s="123" t="s">
        <v>711</v>
      </c>
      <c r="L1909" s="131" t="s">
        <v>42</v>
      </c>
      <c r="M1909" s="134" t="s">
        <v>7833</v>
      </c>
      <c r="N1909" s="123" t="s">
        <v>30</v>
      </c>
    </row>
    <row r="1910" spans="2:14" hidden="1" x14ac:dyDescent="0.25">
      <c r="B1910" s="120">
        <v>1907</v>
      </c>
      <c r="C1910" s="123">
        <v>20422031147</v>
      </c>
      <c r="D1910" s="126" t="s">
        <v>1041</v>
      </c>
      <c r="E1910" s="126" t="s">
        <v>1042</v>
      </c>
      <c r="F1910" s="123" t="s">
        <v>30</v>
      </c>
      <c r="G1910" s="123" t="s">
        <v>30</v>
      </c>
      <c r="H1910" s="123" t="s">
        <v>75</v>
      </c>
      <c r="I1910" s="126" t="s">
        <v>258</v>
      </c>
      <c r="J1910" s="130" t="s">
        <v>8392</v>
      </c>
      <c r="K1910" s="123" t="s">
        <v>8393</v>
      </c>
      <c r="L1910" s="131" t="s">
        <v>42</v>
      </c>
      <c r="M1910" s="134" t="s">
        <v>7834</v>
      </c>
      <c r="N1910" s="123" t="s">
        <v>30</v>
      </c>
    </row>
    <row r="1911" spans="2:14" hidden="1" x14ac:dyDescent="0.25">
      <c r="B1911" s="120">
        <v>1908</v>
      </c>
      <c r="C1911" s="123">
        <v>20514889890</v>
      </c>
      <c r="D1911" s="126" t="s">
        <v>667</v>
      </c>
      <c r="E1911" s="126" t="s">
        <v>1040</v>
      </c>
      <c r="F1911" s="123" t="s">
        <v>30</v>
      </c>
      <c r="G1911" s="123" t="s">
        <v>30</v>
      </c>
      <c r="H1911" s="123" t="s">
        <v>51</v>
      </c>
      <c r="I1911" s="126" t="s">
        <v>1384</v>
      </c>
      <c r="J1911" s="130" t="s">
        <v>20698</v>
      </c>
      <c r="K1911" s="123" t="s">
        <v>668</v>
      </c>
      <c r="L1911" s="131" t="s">
        <v>36</v>
      </c>
      <c r="M1911" s="134" t="s">
        <v>7835</v>
      </c>
      <c r="N1911" s="123" t="s">
        <v>30</v>
      </c>
    </row>
    <row r="1912" spans="2:14" hidden="1" x14ac:dyDescent="0.25">
      <c r="B1912" s="120">
        <v>1909</v>
      </c>
      <c r="C1912" s="123">
        <v>20603564988</v>
      </c>
      <c r="D1912" s="126" t="s">
        <v>1037</v>
      </c>
      <c r="E1912" s="126" t="s">
        <v>1038</v>
      </c>
      <c r="F1912" s="123" t="s">
        <v>30</v>
      </c>
      <c r="G1912" s="123" t="s">
        <v>30</v>
      </c>
      <c r="H1912" s="123" t="s">
        <v>85</v>
      </c>
      <c r="I1912" s="126" t="s">
        <v>1398</v>
      </c>
      <c r="J1912" s="130" t="s">
        <v>20699</v>
      </c>
      <c r="K1912" s="123" t="s">
        <v>1039</v>
      </c>
      <c r="L1912" s="131" t="s">
        <v>42</v>
      </c>
      <c r="M1912" s="134" t="s">
        <v>7836</v>
      </c>
      <c r="N1912" s="123" t="s">
        <v>290</v>
      </c>
    </row>
    <row r="1913" spans="2:14" hidden="1" x14ac:dyDescent="0.25">
      <c r="B1913" s="120">
        <v>1910</v>
      </c>
      <c r="C1913" s="123">
        <v>20604047171</v>
      </c>
      <c r="D1913" s="126" t="s">
        <v>416</v>
      </c>
      <c r="E1913" s="126" t="s">
        <v>1036</v>
      </c>
      <c r="F1913" s="123" t="s">
        <v>30</v>
      </c>
      <c r="G1913" s="123" t="s">
        <v>30</v>
      </c>
      <c r="H1913" s="123" t="s">
        <v>45</v>
      </c>
      <c r="I1913" s="126" t="s">
        <v>1398</v>
      </c>
      <c r="J1913" s="130" t="s">
        <v>6175</v>
      </c>
      <c r="K1913" s="123" t="s">
        <v>417</v>
      </c>
      <c r="L1913" s="131" t="s">
        <v>42</v>
      </c>
      <c r="M1913" s="134" t="s">
        <v>7837</v>
      </c>
      <c r="N1913" s="123" t="s">
        <v>30</v>
      </c>
    </row>
    <row r="1914" spans="2:14" hidden="1" x14ac:dyDescent="0.25">
      <c r="B1914" s="120">
        <v>1911</v>
      </c>
      <c r="C1914" s="123">
        <v>20502889274</v>
      </c>
      <c r="D1914" s="126" t="s">
        <v>1034</v>
      </c>
      <c r="E1914" s="126" t="s">
        <v>1035</v>
      </c>
      <c r="F1914" s="123" t="s">
        <v>30</v>
      </c>
      <c r="G1914" s="123" t="s">
        <v>30</v>
      </c>
      <c r="H1914" s="123" t="s">
        <v>39</v>
      </c>
      <c r="I1914" s="126" t="s">
        <v>1371</v>
      </c>
      <c r="J1914" s="130" t="s">
        <v>20700</v>
      </c>
      <c r="K1914" s="123" t="s">
        <v>565</v>
      </c>
      <c r="L1914" s="131" t="s">
        <v>115</v>
      </c>
      <c r="M1914" s="134" t="s">
        <v>7838</v>
      </c>
      <c r="N1914" s="123" t="s">
        <v>30</v>
      </c>
    </row>
    <row r="1915" spans="2:14" hidden="1" x14ac:dyDescent="0.25">
      <c r="B1915" s="120">
        <v>1912</v>
      </c>
      <c r="C1915" s="123">
        <v>20607024082</v>
      </c>
      <c r="D1915" s="126" t="s">
        <v>457</v>
      </c>
      <c r="E1915" s="126" t="s">
        <v>1033</v>
      </c>
      <c r="F1915" s="123" t="s">
        <v>30</v>
      </c>
      <c r="G1915" s="123" t="s">
        <v>30</v>
      </c>
      <c r="H1915" s="123" t="s">
        <v>72</v>
      </c>
      <c r="I1915" s="126" t="s">
        <v>1377</v>
      </c>
      <c r="J1915" s="130" t="s">
        <v>6176</v>
      </c>
      <c r="K1915" s="123" t="s">
        <v>458</v>
      </c>
      <c r="L1915" s="131" t="s">
        <v>57</v>
      </c>
      <c r="M1915" s="134" t="s">
        <v>7839</v>
      </c>
      <c r="N1915" s="123" t="s">
        <v>30</v>
      </c>
    </row>
    <row r="1916" spans="2:14" hidden="1" x14ac:dyDescent="0.25">
      <c r="B1916" s="120">
        <v>1913</v>
      </c>
      <c r="C1916" s="123">
        <v>20477761632</v>
      </c>
      <c r="D1916" s="126" t="s">
        <v>1030</v>
      </c>
      <c r="E1916" s="126" t="s">
        <v>1031</v>
      </c>
      <c r="F1916" s="123" t="s">
        <v>30</v>
      </c>
      <c r="G1916" s="123" t="s">
        <v>30</v>
      </c>
      <c r="H1916" s="123" t="s">
        <v>51</v>
      </c>
      <c r="I1916" s="126" t="s">
        <v>1398</v>
      </c>
      <c r="J1916" s="130" t="s">
        <v>6177</v>
      </c>
      <c r="K1916" s="123" t="s">
        <v>1032</v>
      </c>
      <c r="L1916" s="131" t="s">
        <v>42</v>
      </c>
      <c r="M1916" s="134" t="s">
        <v>7840</v>
      </c>
      <c r="N1916" s="123" t="s">
        <v>30</v>
      </c>
    </row>
    <row r="1917" spans="2:14" hidden="1" x14ac:dyDescent="0.25">
      <c r="B1917" s="120">
        <v>1914</v>
      </c>
      <c r="C1917" s="123">
        <v>20603700202</v>
      </c>
      <c r="D1917" s="126" t="s">
        <v>1027</v>
      </c>
      <c r="E1917" s="126" t="s">
        <v>1028</v>
      </c>
      <c r="F1917" s="123" t="s">
        <v>30</v>
      </c>
      <c r="G1917" s="123" t="s">
        <v>30</v>
      </c>
      <c r="H1917" s="123" t="s">
        <v>38</v>
      </c>
      <c r="I1917" s="126" t="s">
        <v>1371</v>
      </c>
      <c r="J1917" s="130" t="s">
        <v>6178</v>
      </c>
      <c r="K1917" s="123" t="s">
        <v>1029</v>
      </c>
      <c r="L1917" s="131" t="s">
        <v>42</v>
      </c>
      <c r="M1917" s="134" t="s">
        <v>7841</v>
      </c>
      <c r="N1917" s="123" t="s">
        <v>30</v>
      </c>
    </row>
    <row r="1918" spans="2:14" hidden="1" x14ac:dyDescent="0.25">
      <c r="B1918" s="120">
        <v>1915</v>
      </c>
      <c r="C1918" s="123">
        <v>20515487281</v>
      </c>
      <c r="D1918" s="126" t="s">
        <v>1023</v>
      </c>
      <c r="E1918" s="126" t="s">
        <v>1024</v>
      </c>
      <c r="F1918" s="123" t="s">
        <v>30</v>
      </c>
      <c r="G1918" s="123" t="s">
        <v>30</v>
      </c>
      <c r="H1918" s="123" t="s">
        <v>86</v>
      </c>
      <c r="I1918" s="126" t="s">
        <v>1551</v>
      </c>
      <c r="J1918" s="130" t="s">
        <v>20702</v>
      </c>
      <c r="K1918" s="123" t="s">
        <v>1026</v>
      </c>
      <c r="L1918" s="131" t="s">
        <v>42</v>
      </c>
      <c r="M1918" s="134" t="s">
        <v>845</v>
      </c>
      <c r="N1918" s="123" t="s">
        <v>845</v>
      </c>
    </row>
    <row r="1919" spans="2:14" hidden="1" x14ac:dyDescent="0.25">
      <c r="B1919" s="120">
        <v>1916</v>
      </c>
      <c r="C1919" s="123">
        <v>20515487281</v>
      </c>
      <c r="D1919" s="126" t="s">
        <v>1023</v>
      </c>
      <c r="E1919" s="126" t="s">
        <v>1024</v>
      </c>
      <c r="F1919" s="123" t="s">
        <v>30</v>
      </c>
      <c r="G1919" s="123" t="s">
        <v>30</v>
      </c>
      <c r="H1919" s="123" t="s">
        <v>86</v>
      </c>
      <c r="I1919" s="126" t="s">
        <v>1551</v>
      </c>
      <c r="J1919" s="130" t="s">
        <v>20701</v>
      </c>
      <c r="K1919" s="123" t="s">
        <v>1025</v>
      </c>
      <c r="L1919" s="131" t="s">
        <v>209</v>
      </c>
      <c r="M1919" s="134" t="s">
        <v>845</v>
      </c>
      <c r="N1919" s="123" t="s">
        <v>845</v>
      </c>
    </row>
    <row r="1920" spans="2:14" hidden="1" x14ac:dyDescent="0.25">
      <c r="B1920" s="120">
        <v>1917</v>
      </c>
      <c r="C1920" s="123">
        <v>20601538866</v>
      </c>
      <c r="D1920" s="126" t="s">
        <v>1020</v>
      </c>
      <c r="E1920" s="126" t="s">
        <v>1021</v>
      </c>
      <c r="F1920" s="123" t="s">
        <v>30</v>
      </c>
      <c r="G1920" s="123" t="s">
        <v>30</v>
      </c>
      <c r="H1920" s="123" t="s">
        <v>152</v>
      </c>
      <c r="I1920" s="126" t="s">
        <v>1424</v>
      </c>
      <c r="J1920" s="130" t="s">
        <v>20703</v>
      </c>
      <c r="K1920" s="123" t="s">
        <v>1022</v>
      </c>
      <c r="L1920" s="131" t="s">
        <v>57</v>
      </c>
      <c r="M1920" s="134" t="s">
        <v>7842</v>
      </c>
      <c r="N1920" s="123" t="s">
        <v>30</v>
      </c>
    </row>
    <row r="1921" spans="2:14" hidden="1" x14ac:dyDescent="0.25">
      <c r="B1921" s="120">
        <v>1918</v>
      </c>
      <c r="C1921" s="123">
        <v>10482215136</v>
      </c>
      <c r="D1921" s="126" t="s">
        <v>1018</v>
      </c>
      <c r="E1921" s="126" t="s">
        <v>1019</v>
      </c>
      <c r="F1921" s="123" t="s">
        <v>30</v>
      </c>
      <c r="G1921" s="123" t="s">
        <v>30</v>
      </c>
      <c r="H1921" s="123" t="s">
        <v>86</v>
      </c>
      <c r="I1921" s="126" t="s">
        <v>1424</v>
      </c>
      <c r="J1921" s="130" t="s">
        <v>20704</v>
      </c>
      <c r="K1921" s="123" t="s">
        <v>1018</v>
      </c>
      <c r="L1921" s="131" t="s">
        <v>100</v>
      </c>
      <c r="M1921" s="134" t="s">
        <v>845</v>
      </c>
      <c r="N1921" s="123" t="s">
        <v>845</v>
      </c>
    </row>
    <row r="1922" spans="2:14" hidden="1" x14ac:dyDescent="0.25">
      <c r="B1922" s="120">
        <v>1919</v>
      </c>
      <c r="C1922" s="123">
        <v>20609964171</v>
      </c>
      <c r="D1922" s="126" t="s">
        <v>1015</v>
      </c>
      <c r="E1922" s="126" t="s">
        <v>1016</v>
      </c>
      <c r="F1922" s="123" t="s">
        <v>30</v>
      </c>
      <c r="G1922" s="123" t="s">
        <v>30</v>
      </c>
      <c r="H1922" s="123" t="s">
        <v>45</v>
      </c>
      <c r="I1922" s="126" t="s">
        <v>1447</v>
      </c>
      <c r="J1922" s="130" t="s">
        <v>20705</v>
      </c>
      <c r="K1922" s="123" t="s">
        <v>1017</v>
      </c>
      <c r="L1922" s="131" t="s">
        <v>42</v>
      </c>
      <c r="M1922" s="134" t="s">
        <v>7843</v>
      </c>
      <c r="N1922" s="123" t="s">
        <v>30</v>
      </c>
    </row>
    <row r="1923" spans="2:14" hidden="1" x14ac:dyDescent="0.25">
      <c r="B1923" s="120">
        <v>1920</v>
      </c>
      <c r="C1923" s="123">
        <v>20550863112</v>
      </c>
      <c r="D1923" s="126" t="s">
        <v>1012</v>
      </c>
      <c r="E1923" s="126" t="s">
        <v>1013</v>
      </c>
      <c r="F1923" s="123" t="s">
        <v>30</v>
      </c>
      <c r="G1923" s="123" t="s">
        <v>30</v>
      </c>
      <c r="H1923" s="123" t="s">
        <v>51</v>
      </c>
      <c r="I1923" s="126" t="s">
        <v>1450</v>
      </c>
      <c r="J1923" s="130" t="s">
        <v>20706</v>
      </c>
      <c r="K1923" s="123" t="s">
        <v>1014</v>
      </c>
      <c r="L1923" s="131" t="s">
        <v>42</v>
      </c>
      <c r="M1923" s="134" t="s">
        <v>7844</v>
      </c>
      <c r="N1923" s="123" t="s">
        <v>30</v>
      </c>
    </row>
    <row r="1924" spans="2:14" hidden="1" x14ac:dyDescent="0.25">
      <c r="B1924" s="120">
        <v>1921</v>
      </c>
      <c r="C1924" s="123">
        <v>20601149631</v>
      </c>
      <c r="D1924" s="126" t="s">
        <v>205</v>
      </c>
      <c r="E1924" s="126" t="s">
        <v>1011</v>
      </c>
      <c r="F1924" s="123" t="s">
        <v>30</v>
      </c>
      <c r="G1924" s="123" t="s">
        <v>30</v>
      </c>
      <c r="H1924" s="123" t="s">
        <v>40</v>
      </c>
      <c r="I1924" s="126" t="s">
        <v>1958</v>
      </c>
      <c r="J1924" s="130" t="s">
        <v>6179</v>
      </c>
      <c r="K1924" s="123" t="s">
        <v>206</v>
      </c>
      <c r="L1924" s="131" t="s">
        <v>42</v>
      </c>
      <c r="M1924" s="134" t="s">
        <v>7845</v>
      </c>
      <c r="N1924" s="123" t="s">
        <v>30</v>
      </c>
    </row>
    <row r="1925" spans="2:14" hidden="1" x14ac:dyDescent="0.25">
      <c r="B1925" s="120">
        <v>1922</v>
      </c>
      <c r="C1925" s="123">
        <v>20512420177</v>
      </c>
      <c r="D1925" s="126" t="s">
        <v>248</v>
      </c>
      <c r="E1925" s="126" t="s">
        <v>1010</v>
      </c>
      <c r="F1925" s="123" t="s">
        <v>30</v>
      </c>
      <c r="G1925" s="123" t="s">
        <v>30</v>
      </c>
      <c r="H1925" s="123" t="s">
        <v>43</v>
      </c>
      <c r="I1925" s="126" t="s">
        <v>1377</v>
      </c>
      <c r="J1925" s="130" t="s">
        <v>6180</v>
      </c>
      <c r="K1925" s="123" t="s">
        <v>249</v>
      </c>
      <c r="L1925" s="131" t="s">
        <v>36</v>
      </c>
      <c r="M1925" s="134" t="s">
        <v>845</v>
      </c>
      <c r="N1925" s="123" t="s">
        <v>845</v>
      </c>
    </row>
    <row r="1926" spans="2:14" hidden="1" x14ac:dyDescent="0.25">
      <c r="B1926" s="120">
        <v>1923</v>
      </c>
      <c r="C1926" s="123">
        <v>20303063413</v>
      </c>
      <c r="D1926" s="126" t="s">
        <v>1004</v>
      </c>
      <c r="E1926" s="126" t="s">
        <v>1005</v>
      </c>
      <c r="F1926" s="123" t="s">
        <v>30</v>
      </c>
      <c r="G1926" s="123" t="s">
        <v>30</v>
      </c>
      <c r="H1926" s="123" t="s">
        <v>52</v>
      </c>
      <c r="I1926" s="126" t="s">
        <v>1006</v>
      </c>
      <c r="J1926" s="130" t="s">
        <v>20709</v>
      </c>
      <c r="K1926" s="123" t="s">
        <v>1009</v>
      </c>
      <c r="L1926" s="131" t="s">
        <v>36</v>
      </c>
      <c r="M1926" s="134" t="s">
        <v>7846</v>
      </c>
      <c r="N1926" s="123" t="s">
        <v>30</v>
      </c>
    </row>
    <row r="1927" spans="2:14" hidden="1" x14ac:dyDescent="0.25">
      <c r="B1927" s="120">
        <v>1924</v>
      </c>
      <c r="C1927" s="123">
        <v>20303063413</v>
      </c>
      <c r="D1927" s="126" t="s">
        <v>1004</v>
      </c>
      <c r="E1927" s="126" t="s">
        <v>1005</v>
      </c>
      <c r="F1927" s="123" t="s">
        <v>30</v>
      </c>
      <c r="G1927" s="123" t="s">
        <v>30</v>
      </c>
      <c r="H1927" s="123" t="s">
        <v>52</v>
      </c>
      <c r="I1927" s="126" t="s">
        <v>1006</v>
      </c>
      <c r="J1927" s="130" t="s">
        <v>20708</v>
      </c>
      <c r="K1927" s="123" t="s">
        <v>1008</v>
      </c>
      <c r="L1927" s="131" t="s">
        <v>119</v>
      </c>
      <c r="M1927" s="134" t="s">
        <v>7846</v>
      </c>
      <c r="N1927" s="123" t="s">
        <v>30</v>
      </c>
    </row>
    <row r="1928" spans="2:14" hidden="1" x14ac:dyDescent="0.25">
      <c r="B1928" s="120">
        <v>1925</v>
      </c>
      <c r="C1928" s="123">
        <v>20303063413</v>
      </c>
      <c r="D1928" s="126" t="s">
        <v>1004</v>
      </c>
      <c r="E1928" s="126" t="s">
        <v>1005</v>
      </c>
      <c r="F1928" s="123" t="s">
        <v>30</v>
      </c>
      <c r="G1928" s="123" t="s">
        <v>30</v>
      </c>
      <c r="H1928" s="123" t="s">
        <v>52</v>
      </c>
      <c r="I1928" s="126" t="s">
        <v>1006</v>
      </c>
      <c r="J1928" s="130" t="s">
        <v>20707</v>
      </c>
      <c r="K1928" s="123" t="s">
        <v>1007</v>
      </c>
      <c r="L1928" s="131" t="s">
        <v>42</v>
      </c>
      <c r="M1928" s="134" t="s">
        <v>7846</v>
      </c>
      <c r="N1928" s="123" t="s">
        <v>30</v>
      </c>
    </row>
    <row r="1929" spans="2:14" hidden="1" x14ac:dyDescent="0.25">
      <c r="B1929" s="120">
        <v>1926</v>
      </c>
      <c r="C1929" s="123">
        <v>20547928246</v>
      </c>
      <c r="D1929" s="126" t="s">
        <v>1001</v>
      </c>
      <c r="E1929" s="126" t="s">
        <v>1002</v>
      </c>
      <c r="F1929" s="123" t="s">
        <v>30</v>
      </c>
      <c r="G1929" s="123" t="s">
        <v>30</v>
      </c>
      <c r="H1929" s="123" t="s">
        <v>51</v>
      </c>
      <c r="I1929" s="126" t="s">
        <v>1384</v>
      </c>
      <c r="J1929" s="130" t="s">
        <v>6181</v>
      </c>
      <c r="K1929" s="123" t="s">
        <v>1003</v>
      </c>
      <c r="L1929" s="131" t="s">
        <v>42</v>
      </c>
      <c r="M1929" s="134" t="s">
        <v>7847</v>
      </c>
      <c r="N1929" s="123" t="s">
        <v>30</v>
      </c>
    </row>
    <row r="1930" spans="2:14" hidden="1" x14ac:dyDescent="0.25">
      <c r="B1930" s="120">
        <v>1927</v>
      </c>
      <c r="C1930" s="123">
        <v>20515579991</v>
      </c>
      <c r="D1930" s="126" t="s">
        <v>997</v>
      </c>
      <c r="E1930" s="126" t="s">
        <v>998</v>
      </c>
      <c r="F1930" s="123" t="s">
        <v>30</v>
      </c>
      <c r="G1930" s="123" t="s">
        <v>30</v>
      </c>
      <c r="H1930" s="123" t="s">
        <v>135</v>
      </c>
      <c r="I1930" s="126" t="s">
        <v>1533</v>
      </c>
      <c r="J1930" s="130" t="s">
        <v>20711</v>
      </c>
      <c r="K1930" s="123" t="s">
        <v>1000</v>
      </c>
      <c r="L1930" s="131" t="s">
        <v>36</v>
      </c>
      <c r="M1930" s="134" t="s">
        <v>7848</v>
      </c>
      <c r="N1930" s="123" t="s">
        <v>30</v>
      </c>
    </row>
    <row r="1931" spans="2:14" hidden="1" x14ac:dyDescent="0.25">
      <c r="B1931" s="120">
        <v>1928</v>
      </c>
      <c r="C1931" s="123">
        <v>20515579991</v>
      </c>
      <c r="D1931" s="126" t="s">
        <v>997</v>
      </c>
      <c r="E1931" s="126" t="s">
        <v>998</v>
      </c>
      <c r="F1931" s="123" t="s">
        <v>30</v>
      </c>
      <c r="G1931" s="123" t="s">
        <v>30</v>
      </c>
      <c r="H1931" s="123" t="s">
        <v>135</v>
      </c>
      <c r="I1931" s="137" t="s">
        <v>1533</v>
      </c>
      <c r="J1931" s="130" t="s">
        <v>20710</v>
      </c>
      <c r="K1931" s="123" t="s">
        <v>999</v>
      </c>
      <c r="L1931" s="131" t="s">
        <v>42</v>
      </c>
      <c r="M1931" s="134" t="s">
        <v>7848</v>
      </c>
      <c r="N1931" s="123" t="s">
        <v>30</v>
      </c>
    </row>
    <row r="1932" spans="2:14" hidden="1" x14ac:dyDescent="0.25">
      <c r="B1932" s="120">
        <v>1929</v>
      </c>
      <c r="C1932" s="123">
        <v>20602182721</v>
      </c>
      <c r="D1932" s="126" t="s">
        <v>165</v>
      </c>
      <c r="E1932" s="126" t="s">
        <v>996</v>
      </c>
      <c r="F1932" s="123" t="s">
        <v>30</v>
      </c>
      <c r="G1932" s="123" t="s">
        <v>30</v>
      </c>
      <c r="H1932" s="123" t="s">
        <v>50</v>
      </c>
      <c r="I1932" s="126" t="s">
        <v>1450</v>
      </c>
      <c r="J1932" s="130" t="s">
        <v>6182</v>
      </c>
      <c r="K1932" s="123" t="s">
        <v>166</v>
      </c>
      <c r="L1932" s="131" t="s">
        <v>42</v>
      </c>
      <c r="M1932" s="134" t="s">
        <v>7849</v>
      </c>
      <c r="N1932" s="123" t="s">
        <v>30</v>
      </c>
    </row>
    <row r="1933" spans="2:14" hidden="1" x14ac:dyDescent="0.25">
      <c r="B1933" s="120">
        <v>1930</v>
      </c>
      <c r="C1933" s="123">
        <v>20100010217</v>
      </c>
      <c r="D1933" s="126" t="s">
        <v>268</v>
      </c>
      <c r="E1933" s="126" t="s">
        <v>992</v>
      </c>
      <c r="F1933" s="123" t="s">
        <v>67</v>
      </c>
      <c r="G1933" s="123" t="s">
        <v>67</v>
      </c>
      <c r="H1933" s="123" t="s">
        <v>67</v>
      </c>
      <c r="I1933" s="126" t="s">
        <v>1655</v>
      </c>
      <c r="J1933" s="130" t="s">
        <v>20647</v>
      </c>
      <c r="K1933" s="123" t="s">
        <v>995</v>
      </c>
      <c r="L1933" s="131" t="s">
        <v>209</v>
      </c>
      <c r="M1933" s="134" t="s">
        <v>7850</v>
      </c>
      <c r="N1933" s="123" t="s">
        <v>30</v>
      </c>
    </row>
    <row r="1934" spans="2:14" hidden="1" x14ac:dyDescent="0.25">
      <c r="B1934" s="120">
        <v>1931</v>
      </c>
      <c r="C1934" s="123">
        <v>20100010217</v>
      </c>
      <c r="D1934" s="126" t="s">
        <v>268</v>
      </c>
      <c r="E1934" s="126" t="s">
        <v>992</v>
      </c>
      <c r="F1934" s="123" t="s">
        <v>67</v>
      </c>
      <c r="G1934" s="123" t="s">
        <v>67</v>
      </c>
      <c r="H1934" s="123" t="s">
        <v>67</v>
      </c>
      <c r="I1934" s="126" t="s">
        <v>1655</v>
      </c>
      <c r="J1934" s="130" t="s">
        <v>6183</v>
      </c>
      <c r="K1934" s="123" t="s">
        <v>994</v>
      </c>
      <c r="L1934" s="131" t="s">
        <v>731</v>
      </c>
      <c r="M1934" s="134" t="s">
        <v>7850</v>
      </c>
      <c r="N1934" s="123" t="s">
        <v>30</v>
      </c>
    </row>
    <row r="1935" spans="2:14" hidden="1" x14ac:dyDescent="0.25">
      <c r="B1935" s="120">
        <v>1932</v>
      </c>
      <c r="C1935" s="123">
        <v>20100010217</v>
      </c>
      <c r="D1935" s="126" t="s">
        <v>268</v>
      </c>
      <c r="E1935" s="126" t="s">
        <v>992</v>
      </c>
      <c r="F1935" s="123" t="s">
        <v>67</v>
      </c>
      <c r="G1935" s="123" t="s">
        <v>67</v>
      </c>
      <c r="H1935" s="123" t="s">
        <v>67</v>
      </c>
      <c r="I1935" s="126" t="s">
        <v>1655</v>
      </c>
      <c r="J1935" s="130" t="s">
        <v>20645</v>
      </c>
      <c r="K1935" s="123" t="s">
        <v>20646</v>
      </c>
      <c r="L1935" s="131" t="s">
        <v>1856</v>
      </c>
      <c r="M1935" s="134" t="s">
        <v>7850</v>
      </c>
      <c r="N1935" s="123" t="s">
        <v>30</v>
      </c>
    </row>
    <row r="1936" spans="2:14" hidden="1" x14ac:dyDescent="0.25">
      <c r="B1936" s="120">
        <v>1933</v>
      </c>
      <c r="C1936" s="123">
        <v>20100010217</v>
      </c>
      <c r="D1936" s="126" t="s">
        <v>268</v>
      </c>
      <c r="E1936" s="126" t="s">
        <v>992</v>
      </c>
      <c r="F1936" s="123" t="s">
        <v>67</v>
      </c>
      <c r="G1936" s="123" t="s">
        <v>67</v>
      </c>
      <c r="H1936" s="123" t="s">
        <v>67</v>
      </c>
      <c r="I1936" s="126" t="s">
        <v>1655</v>
      </c>
      <c r="J1936" s="130" t="s">
        <v>20644</v>
      </c>
      <c r="K1936" s="123" t="s">
        <v>993</v>
      </c>
      <c r="L1936" s="131" t="s">
        <v>209</v>
      </c>
      <c r="M1936" s="134" t="s">
        <v>7850</v>
      </c>
      <c r="N1936" s="123" t="s">
        <v>30</v>
      </c>
    </row>
    <row r="1937" spans="2:14" hidden="1" x14ac:dyDescent="0.25">
      <c r="B1937" s="120">
        <v>1934</v>
      </c>
      <c r="C1937" s="123">
        <v>20100709458</v>
      </c>
      <c r="D1937" s="126" t="s">
        <v>236</v>
      </c>
      <c r="E1937" s="126" t="s">
        <v>990</v>
      </c>
      <c r="F1937" s="123" t="s">
        <v>30</v>
      </c>
      <c r="G1937" s="123" t="s">
        <v>30</v>
      </c>
      <c r="H1937" s="123" t="s">
        <v>110</v>
      </c>
      <c r="I1937" s="126" t="s">
        <v>20675</v>
      </c>
      <c r="J1937" s="130" t="s">
        <v>20673</v>
      </c>
      <c r="K1937" s="123" t="s">
        <v>237</v>
      </c>
      <c r="L1937" s="131" t="s">
        <v>42</v>
      </c>
      <c r="M1937" s="134" t="s">
        <v>20674</v>
      </c>
      <c r="N1937" s="123" t="s">
        <v>30</v>
      </c>
    </row>
    <row r="1938" spans="2:14" hidden="1" x14ac:dyDescent="0.25">
      <c r="B1938" s="120">
        <v>1935</v>
      </c>
      <c r="C1938" s="123">
        <v>20100709458</v>
      </c>
      <c r="D1938" s="126" t="s">
        <v>236</v>
      </c>
      <c r="E1938" s="126" t="s">
        <v>990</v>
      </c>
      <c r="F1938" s="123" t="s">
        <v>30</v>
      </c>
      <c r="G1938" s="123" t="s">
        <v>30</v>
      </c>
      <c r="H1938" s="123" t="s">
        <v>110</v>
      </c>
      <c r="I1938" s="126" t="s">
        <v>20675</v>
      </c>
      <c r="J1938" s="130" t="s">
        <v>20672</v>
      </c>
      <c r="K1938" s="123" t="s">
        <v>991</v>
      </c>
      <c r="L1938" s="131" t="s">
        <v>36</v>
      </c>
      <c r="M1938" s="134" t="s">
        <v>20674</v>
      </c>
      <c r="N1938" s="123" t="s">
        <v>30</v>
      </c>
    </row>
    <row r="1939" spans="2:14" hidden="1" x14ac:dyDescent="0.25">
      <c r="B1939" s="120">
        <v>1936</v>
      </c>
      <c r="C1939" s="123">
        <v>20602677169</v>
      </c>
      <c r="D1939" s="126" t="s">
        <v>555</v>
      </c>
      <c r="E1939" s="126" t="s">
        <v>989</v>
      </c>
      <c r="F1939" s="123" t="s">
        <v>30</v>
      </c>
      <c r="G1939" s="123" t="s">
        <v>30</v>
      </c>
      <c r="H1939" s="123" t="s">
        <v>30</v>
      </c>
      <c r="I1939" s="126" t="s">
        <v>401</v>
      </c>
      <c r="J1939" s="130" t="s">
        <v>7693</v>
      </c>
      <c r="K1939" s="123" t="s">
        <v>556</v>
      </c>
      <c r="L1939" s="131" t="s">
        <v>42</v>
      </c>
      <c r="M1939" s="134" t="s">
        <v>845</v>
      </c>
      <c r="N1939" s="123" t="s">
        <v>845</v>
      </c>
    </row>
    <row r="1940" spans="2:14" hidden="1" x14ac:dyDescent="0.25">
      <c r="B1940" s="120">
        <v>1937</v>
      </c>
      <c r="C1940" s="123">
        <v>20101620256</v>
      </c>
      <c r="D1940" s="126" t="s">
        <v>366</v>
      </c>
      <c r="E1940" s="126" t="s">
        <v>984</v>
      </c>
      <c r="F1940" s="123" t="s">
        <v>30</v>
      </c>
      <c r="G1940" s="123" t="s">
        <v>30</v>
      </c>
      <c r="H1940" s="123" t="s">
        <v>51</v>
      </c>
      <c r="I1940" s="126" t="s">
        <v>1450</v>
      </c>
      <c r="J1940" s="130" t="s">
        <v>6184</v>
      </c>
      <c r="K1940" s="123" t="s">
        <v>988</v>
      </c>
      <c r="L1940" s="131" t="s">
        <v>42</v>
      </c>
      <c r="M1940" s="134" t="s">
        <v>7851</v>
      </c>
      <c r="N1940" s="123" t="s">
        <v>30</v>
      </c>
    </row>
    <row r="1941" spans="2:14" hidden="1" x14ac:dyDescent="0.25">
      <c r="B1941" s="120">
        <v>1938</v>
      </c>
      <c r="C1941" s="123">
        <v>20101620256</v>
      </c>
      <c r="D1941" s="126" t="s">
        <v>366</v>
      </c>
      <c r="E1941" s="126" t="s">
        <v>984</v>
      </c>
      <c r="F1941" s="123" t="s">
        <v>30</v>
      </c>
      <c r="G1941" s="123" t="s">
        <v>30</v>
      </c>
      <c r="H1941" s="123" t="s">
        <v>51</v>
      </c>
      <c r="I1941" s="126" t="s">
        <v>1450</v>
      </c>
      <c r="J1941" s="130" t="s">
        <v>8205</v>
      </c>
      <c r="K1941" s="123" t="s">
        <v>987</v>
      </c>
      <c r="L1941" s="131" t="s">
        <v>91</v>
      </c>
      <c r="M1941" s="134" t="s">
        <v>7851</v>
      </c>
      <c r="N1941" s="123" t="s">
        <v>30</v>
      </c>
    </row>
    <row r="1942" spans="2:14" hidden="1" x14ac:dyDescent="0.25">
      <c r="B1942" s="120">
        <v>1939</v>
      </c>
      <c r="C1942" s="123">
        <v>20101620256</v>
      </c>
      <c r="D1942" s="126" t="s">
        <v>366</v>
      </c>
      <c r="E1942" s="126" t="s">
        <v>984</v>
      </c>
      <c r="F1942" s="123" t="s">
        <v>30</v>
      </c>
      <c r="G1942" s="123" t="s">
        <v>30</v>
      </c>
      <c r="H1942" s="123" t="s">
        <v>51</v>
      </c>
      <c r="I1942" s="126" t="s">
        <v>1450</v>
      </c>
      <c r="J1942" s="130" t="s">
        <v>8204</v>
      </c>
      <c r="K1942" s="123" t="s">
        <v>986</v>
      </c>
      <c r="L1942" s="131" t="s">
        <v>985</v>
      </c>
      <c r="M1942" s="134" t="s">
        <v>7851</v>
      </c>
      <c r="N1942" s="123" t="s">
        <v>30</v>
      </c>
    </row>
    <row r="1943" spans="2:14" hidden="1" x14ac:dyDescent="0.25">
      <c r="B1943" s="120">
        <v>1940</v>
      </c>
      <c r="C1943" s="123">
        <v>20101620256</v>
      </c>
      <c r="D1943" s="126" t="s">
        <v>366</v>
      </c>
      <c r="E1943" s="126" t="s">
        <v>984</v>
      </c>
      <c r="F1943" s="123" t="s">
        <v>30</v>
      </c>
      <c r="G1943" s="123" t="s">
        <v>30</v>
      </c>
      <c r="H1943" s="123" t="s">
        <v>51</v>
      </c>
      <c r="I1943" s="126" t="s">
        <v>1450</v>
      </c>
      <c r="J1943" s="130" t="s">
        <v>8203</v>
      </c>
      <c r="K1943" s="123" t="s">
        <v>367</v>
      </c>
      <c r="L1943" s="131" t="s">
        <v>985</v>
      </c>
      <c r="M1943" s="134" t="s">
        <v>7851</v>
      </c>
      <c r="N1943" s="123" t="s">
        <v>30</v>
      </c>
    </row>
    <row r="1944" spans="2:14" hidden="1" x14ac:dyDescent="0.25">
      <c r="B1944" s="120">
        <v>1941</v>
      </c>
      <c r="C1944" s="123">
        <v>20525066208</v>
      </c>
      <c r="D1944" s="126" t="s">
        <v>423</v>
      </c>
      <c r="E1944" s="126" t="s">
        <v>983</v>
      </c>
      <c r="F1944" s="123" t="s">
        <v>30</v>
      </c>
      <c r="G1944" s="123" t="s">
        <v>30</v>
      </c>
      <c r="H1944" s="123" t="s">
        <v>110</v>
      </c>
      <c r="I1944" s="126" t="s">
        <v>1930</v>
      </c>
      <c r="J1944" s="130" t="s">
        <v>20576</v>
      </c>
      <c r="K1944" s="123" t="s">
        <v>424</v>
      </c>
      <c r="L1944" s="131" t="s">
        <v>57</v>
      </c>
      <c r="M1944" s="134" t="s">
        <v>7852</v>
      </c>
      <c r="N1944" s="123" t="s">
        <v>30</v>
      </c>
    </row>
    <row r="1945" spans="2:14" hidden="1" x14ac:dyDescent="0.25">
      <c r="B1945" s="120">
        <v>1942</v>
      </c>
      <c r="C1945" s="123">
        <v>10421376587</v>
      </c>
      <c r="D1945" s="126" t="s">
        <v>966</v>
      </c>
      <c r="E1945" s="126" t="s">
        <v>967</v>
      </c>
      <c r="F1945" s="123" t="s">
        <v>30</v>
      </c>
      <c r="G1945" s="123" t="s">
        <v>30</v>
      </c>
      <c r="H1945" s="123" t="s">
        <v>30</v>
      </c>
      <c r="I1945" s="126" t="s">
        <v>83</v>
      </c>
      <c r="J1945" s="130" t="s">
        <v>8071</v>
      </c>
      <c r="K1945" s="123" t="s">
        <v>966</v>
      </c>
      <c r="L1945" s="131" t="s">
        <v>100</v>
      </c>
      <c r="M1945" s="134" t="s">
        <v>845</v>
      </c>
      <c r="N1945" s="123" t="s">
        <v>845</v>
      </c>
    </row>
    <row r="1946" spans="2:14" hidden="1" x14ac:dyDescent="0.25">
      <c r="B1946" s="120">
        <v>1943</v>
      </c>
      <c r="C1946" s="123">
        <v>20104498044</v>
      </c>
      <c r="D1946" s="126" t="s">
        <v>531</v>
      </c>
      <c r="E1946" s="126" t="s">
        <v>961</v>
      </c>
      <c r="F1946" s="123" t="s">
        <v>61</v>
      </c>
      <c r="G1946" s="123" t="s">
        <v>62</v>
      </c>
      <c r="H1946" s="123" t="s">
        <v>266</v>
      </c>
      <c r="I1946" s="126" t="s">
        <v>962</v>
      </c>
      <c r="J1946" s="130" t="s">
        <v>20569</v>
      </c>
      <c r="K1946" s="123" t="s">
        <v>20570</v>
      </c>
      <c r="L1946" s="131" t="s">
        <v>20571</v>
      </c>
      <c r="M1946" s="134" t="s">
        <v>7853</v>
      </c>
      <c r="N1946" s="123" t="s">
        <v>62</v>
      </c>
    </row>
    <row r="1947" spans="2:14" hidden="1" x14ac:dyDescent="0.25">
      <c r="B1947" s="120">
        <v>1944</v>
      </c>
      <c r="C1947" s="123">
        <v>20104498044</v>
      </c>
      <c r="D1947" s="126" t="s">
        <v>531</v>
      </c>
      <c r="E1947" s="126" t="s">
        <v>961</v>
      </c>
      <c r="F1947" s="123" t="s">
        <v>61</v>
      </c>
      <c r="G1947" s="123" t="s">
        <v>62</v>
      </c>
      <c r="H1947" s="123" t="s">
        <v>266</v>
      </c>
      <c r="I1947" s="126" t="s">
        <v>962</v>
      </c>
      <c r="J1947" s="130" t="s">
        <v>6185</v>
      </c>
      <c r="K1947" s="123" t="s">
        <v>965</v>
      </c>
      <c r="L1947" s="131" t="s">
        <v>91</v>
      </c>
      <c r="M1947" s="134" t="s">
        <v>7853</v>
      </c>
      <c r="N1947" s="123" t="s">
        <v>62</v>
      </c>
    </row>
    <row r="1948" spans="2:14" hidden="1" x14ac:dyDescent="0.25">
      <c r="B1948" s="120">
        <v>1945</v>
      </c>
      <c r="C1948" s="123">
        <v>20104498044</v>
      </c>
      <c r="D1948" s="126" t="s">
        <v>531</v>
      </c>
      <c r="E1948" s="126" t="s">
        <v>961</v>
      </c>
      <c r="F1948" s="123" t="s">
        <v>61</v>
      </c>
      <c r="G1948" s="123" t="s">
        <v>62</v>
      </c>
      <c r="H1948" s="123" t="s">
        <v>266</v>
      </c>
      <c r="I1948" s="126" t="s">
        <v>962</v>
      </c>
      <c r="J1948" s="130" t="s">
        <v>20566</v>
      </c>
      <c r="K1948" s="123" t="s">
        <v>964</v>
      </c>
      <c r="L1948" s="131" t="s">
        <v>119</v>
      </c>
      <c r="M1948" s="134" t="s">
        <v>7853</v>
      </c>
      <c r="N1948" s="123" t="s">
        <v>62</v>
      </c>
    </row>
    <row r="1949" spans="2:14" hidden="1" x14ac:dyDescent="0.25">
      <c r="B1949" s="120">
        <v>1946</v>
      </c>
      <c r="C1949" s="123">
        <v>20104498044</v>
      </c>
      <c r="D1949" s="126" t="s">
        <v>531</v>
      </c>
      <c r="E1949" s="126" t="s">
        <v>961</v>
      </c>
      <c r="F1949" s="123" t="s">
        <v>61</v>
      </c>
      <c r="G1949" s="123" t="s">
        <v>62</v>
      </c>
      <c r="H1949" s="123" t="s">
        <v>266</v>
      </c>
      <c r="I1949" s="126" t="s">
        <v>962</v>
      </c>
      <c r="J1949" s="130" t="s">
        <v>6186</v>
      </c>
      <c r="K1949" s="123" t="s">
        <v>963</v>
      </c>
      <c r="L1949" s="131" t="s">
        <v>209</v>
      </c>
      <c r="M1949" s="134" t="s">
        <v>7853</v>
      </c>
      <c r="N1949" s="123" t="s">
        <v>62</v>
      </c>
    </row>
    <row r="1950" spans="2:14" hidden="1" x14ac:dyDescent="0.25">
      <c r="B1950" s="120">
        <v>1947</v>
      </c>
      <c r="C1950" s="123">
        <v>20104498044</v>
      </c>
      <c r="D1950" s="126" t="s">
        <v>531</v>
      </c>
      <c r="E1950" s="126" t="s">
        <v>961</v>
      </c>
      <c r="F1950" s="123" t="s">
        <v>61</v>
      </c>
      <c r="G1950" s="123" t="s">
        <v>62</v>
      </c>
      <c r="H1950" s="123" t="s">
        <v>266</v>
      </c>
      <c r="I1950" s="126" t="s">
        <v>962</v>
      </c>
      <c r="J1950" s="130" t="s">
        <v>20567</v>
      </c>
      <c r="K1950" s="123" t="s">
        <v>20568</v>
      </c>
      <c r="L1950" s="131" t="s">
        <v>42</v>
      </c>
      <c r="M1950" s="134" t="s">
        <v>7853</v>
      </c>
      <c r="N1950" s="123" t="s">
        <v>62</v>
      </c>
    </row>
    <row r="1951" spans="2:14" hidden="1" x14ac:dyDescent="0.25">
      <c r="B1951" s="120">
        <v>1948</v>
      </c>
      <c r="C1951" s="123">
        <v>20163768764</v>
      </c>
      <c r="D1951" s="126" t="s">
        <v>690</v>
      </c>
      <c r="E1951" s="126" t="s">
        <v>957</v>
      </c>
      <c r="F1951" s="123" t="s">
        <v>30</v>
      </c>
      <c r="G1951" s="123" t="s">
        <v>30</v>
      </c>
      <c r="H1951" s="123" t="s">
        <v>34</v>
      </c>
      <c r="I1951" s="126" t="s">
        <v>958</v>
      </c>
      <c r="J1951" s="130" t="s">
        <v>20591</v>
      </c>
      <c r="K1951" s="123" t="s">
        <v>960</v>
      </c>
      <c r="L1951" s="131" t="s">
        <v>42</v>
      </c>
      <c r="M1951" s="134" t="s">
        <v>7854</v>
      </c>
      <c r="N1951" s="123" t="s">
        <v>30</v>
      </c>
    </row>
    <row r="1952" spans="2:14" hidden="1" x14ac:dyDescent="0.25">
      <c r="B1952" s="120">
        <v>1949</v>
      </c>
      <c r="C1952" s="123">
        <v>20163768764</v>
      </c>
      <c r="D1952" s="126" t="s">
        <v>690</v>
      </c>
      <c r="E1952" s="126" t="s">
        <v>957</v>
      </c>
      <c r="F1952" s="123" t="s">
        <v>30</v>
      </c>
      <c r="G1952" s="123" t="s">
        <v>30</v>
      </c>
      <c r="H1952" s="123" t="s">
        <v>34</v>
      </c>
      <c r="I1952" s="126" t="s">
        <v>958</v>
      </c>
      <c r="J1952" s="130" t="s">
        <v>20592</v>
      </c>
      <c r="K1952" s="123" t="s">
        <v>959</v>
      </c>
      <c r="L1952" s="131" t="s">
        <v>209</v>
      </c>
      <c r="M1952" s="134" t="s">
        <v>7854</v>
      </c>
      <c r="N1952" s="123" t="s">
        <v>30</v>
      </c>
    </row>
    <row r="1953" spans="2:14" hidden="1" x14ac:dyDescent="0.25">
      <c r="B1953" s="120">
        <v>1950</v>
      </c>
      <c r="C1953" s="123">
        <v>20163768764</v>
      </c>
      <c r="D1953" s="126" t="s">
        <v>690</v>
      </c>
      <c r="E1953" s="126" t="s">
        <v>957</v>
      </c>
      <c r="F1953" s="123" t="s">
        <v>30</v>
      </c>
      <c r="G1953" s="123" t="s">
        <v>30</v>
      </c>
      <c r="H1953" s="123" t="s">
        <v>34</v>
      </c>
      <c r="I1953" s="126" t="s">
        <v>958</v>
      </c>
      <c r="J1953" s="130" t="s">
        <v>6187</v>
      </c>
      <c r="K1953" s="123" t="s">
        <v>691</v>
      </c>
      <c r="L1953" s="131" t="s">
        <v>36</v>
      </c>
      <c r="M1953" s="134" t="s">
        <v>7854</v>
      </c>
      <c r="N1953" s="123" t="s">
        <v>30</v>
      </c>
    </row>
    <row r="1954" spans="2:14" hidden="1" x14ac:dyDescent="0.25">
      <c r="B1954" s="120">
        <v>1951</v>
      </c>
      <c r="C1954" s="123">
        <v>20601019222</v>
      </c>
      <c r="D1954" s="126" t="s">
        <v>464</v>
      </c>
      <c r="E1954" s="126" t="s">
        <v>955</v>
      </c>
      <c r="F1954" s="123" t="s">
        <v>30</v>
      </c>
      <c r="G1954" s="123" t="s">
        <v>30</v>
      </c>
      <c r="H1954" s="123" t="s">
        <v>43</v>
      </c>
      <c r="I1954" s="126" t="s">
        <v>87</v>
      </c>
      <c r="J1954" s="130" t="s">
        <v>20616</v>
      </c>
      <c r="K1954" s="123" t="s">
        <v>956</v>
      </c>
      <c r="L1954" s="131" t="s">
        <v>57</v>
      </c>
      <c r="M1954" s="134" t="s">
        <v>7855</v>
      </c>
      <c r="N1954" s="123" t="s">
        <v>30</v>
      </c>
    </row>
    <row r="1955" spans="2:14" hidden="1" x14ac:dyDescent="0.25">
      <c r="B1955" s="120">
        <v>1952</v>
      </c>
      <c r="C1955" s="123">
        <v>20601509157</v>
      </c>
      <c r="D1955" s="126" t="s">
        <v>730</v>
      </c>
      <c r="E1955" s="126" t="s">
        <v>732</v>
      </c>
      <c r="F1955" s="123" t="s">
        <v>30</v>
      </c>
      <c r="G1955" s="123" t="s">
        <v>30</v>
      </c>
      <c r="H1955" s="123" t="s">
        <v>50</v>
      </c>
      <c r="I1955" s="126" t="s">
        <v>56</v>
      </c>
      <c r="J1955" s="130" t="s">
        <v>6188</v>
      </c>
      <c r="K1955" s="123" t="s">
        <v>441</v>
      </c>
      <c r="L1955" s="131" t="s">
        <v>731</v>
      </c>
      <c r="M1955" s="134" t="s">
        <v>7856</v>
      </c>
      <c r="N1955" s="123" t="s">
        <v>30</v>
      </c>
    </row>
    <row r="1956" spans="2:14" hidden="1" x14ac:dyDescent="0.25">
      <c r="B1956" s="120">
        <v>1953</v>
      </c>
      <c r="C1956" s="123">
        <v>20601509157</v>
      </c>
      <c r="D1956" s="126" t="s">
        <v>730</v>
      </c>
      <c r="E1956" s="126" t="s">
        <v>732</v>
      </c>
      <c r="F1956" s="123" t="s">
        <v>30</v>
      </c>
      <c r="G1956" s="123" t="s">
        <v>30</v>
      </c>
      <c r="H1956" s="123" t="s">
        <v>50</v>
      </c>
      <c r="I1956" s="126" t="s">
        <v>56</v>
      </c>
      <c r="J1956" s="130" t="s">
        <v>6189</v>
      </c>
      <c r="K1956" s="123" t="s">
        <v>818</v>
      </c>
      <c r="L1956" s="131" t="s">
        <v>140</v>
      </c>
      <c r="M1956" s="134" t="s">
        <v>7857</v>
      </c>
      <c r="N1956" s="123" t="s">
        <v>30</v>
      </c>
    </row>
    <row r="1957" spans="2:14" hidden="1" x14ac:dyDescent="0.25">
      <c r="B1957" s="120">
        <v>1954</v>
      </c>
      <c r="C1957" s="123">
        <v>20100072590</v>
      </c>
      <c r="D1957" s="126" t="s">
        <v>504</v>
      </c>
      <c r="E1957" s="126" t="s">
        <v>733</v>
      </c>
      <c r="F1957" s="123" t="s">
        <v>30</v>
      </c>
      <c r="G1957" s="123" t="s">
        <v>30</v>
      </c>
      <c r="H1957" s="123" t="s">
        <v>50</v>
      </c>
      <c r="I1957" s="126" t="s">
        <v>1398</v>
      </c>
      <c r="J1957" s="130" t="s">
        <v>20623</v>
      </c>
      <c r="K1957" s="123" t="s">
        <v>505</v>
      </c>
      <c r="L1957" s="131" t="s">
        <v>42</v>
      </c>
      <c r="M1957" s="134" t="s">
        <v>7858</v>
      </c>
      <c r="N1957" s="123" t="s">
        <v>30</v>
      </c>
    </row>
    <row r="1958" spans="2:14" hidden="1" x14ac:dyDescent="0.25">
      <c r="B1958" s="120">
        <v>1955</v>
      </c>
      <c r="C1958" s="123">
        <v>20100072590</v>
      </c>
      <c r="D1958" s="126" t="s">
        <v>504</v>
      </c>
      <c r="E1958" s="126" t="s">
        <v>733</v>
      </c>
      <c r="F1958" s="123" t="s">
        <v>30</v>
      </c>
      <c r="G1958" s="123" t="s">
        <v>30</v>
      </c>
      <c r="H1958" s="123" t="s">
        <v>50</v>
      </c>
      <c r="I1958" s="126" t="s">
        <v>1398</v>
      </c>
      <c r="J1958" s="130" t="s">
        <v>20624</v>
      </c>
      <c r="K1958" s="123" t="s">
        <v>817</v>
      </c>
      <c r="L1958" s="131" t="s">
        <v>36</v>
      </c>
      <c r="M1958" s="134" t="s">
        <v>7859</v>
      </c>
      <c r="N1958" s="123" t="s">
        <v>30</v>
      </c>
    </row>
    <row r="1959" spans="2:14" hidden="1" x14ac:dyDescent="0.25">
      <c r="B1959" s="120">
        <v>1956</v>
      </c>
      <c r="C1959" s="123">
        <v>20520780751</v>
      </c>
      <c r="D1959" s="126" t="s">
        <v>600</v>
      </c>
      <c r="E1959" s="126" t="s">
        <v>602</v>
      </c>
      <c r="F1959" s="123" t="s">
        <v>30</v>
      </c>
      <c r="G1959" s="123" t="s">
        <v>30</v>
      </c>
      <c r="H1959" s="123" t="s">
        <v>43</v>
      </c>
      <c r="I1959" s="126" t="s">
        <v>1395</v>
      </c>
      <c r="J1959" s="130" t="s">
        <v>20636</v>
      </c>
      <c r="K1959" s="123" t="s">
        <v>601</v>
      </c>
      <c r="L1959" s="131" t="s">
        <v>42</v>
      </c>
      <c r="M1959" s="134" t="s">
        <v>7860</v>
      </c>
      <c r="N1959" s="123" t="s">
        <v>30</v>
      </c>
    </row>
    <row r="1960" spans="2:14" hidden="1" x14ac:dyDescent="0.25">
      <c r="B1960" s="120">
        <v>1957</v>
      </c>
      <c r="C1960" s="123">
        <v>20514710911</v>
      </c>
      <c r="D1960" s="126" t="s">
        <v>511</v>
      </c>
      <c r="E1960" s="126" t="s">
        <v>809</v>
      </c>
      <c r="F1960" s="123" t="s">
        <v>30</v>
      </c>
      <c r="G1960" s="123" t="s">
        <v>30</v>
      </c>
      <c r="H1960" s="123" t="s">
        <v>810</v>
      </c>
      <c r="I1960" s="126" t="s">
        <v>2299</v>
      </c>
      <c r="J1960" s="130" t="s">
        <v>20649</v>
      </c>
      <c r="K1960" s="123" t="s">
        <v>512</v>
      </c>
      <c r="L1960" s="131" t="s">
        <v>731</v>
      </c>
      <c r="M1960" s="134" t="s">
        <v>7861</v>
      </c>
      <c r="N1960" s="123" t="s">
        <v>30</v>
      </c>
    </row>
    <row r="1961" spans="2:14" hidden="1" x14ac:dyDescent="0.25">
      <c r="B1961" s="120">
        <v>1958</v>
      </c>
      <c r="C1961" s="123">
        <v>20125986880</v>
      </c>
      <c r="D1961" s="126" t="s">
        <v>526</v>
      </c>
      <c r="E1961" s="126" t="s">
        <v>811</v>
      </c>
      <c r="F1961" s="123" t="s">
        <v>30</v>
      </c>
      <c r="G1961" s="123" t="s">
        <v>30</v>
      </c>
      <c r="H1961" s="123" t="s">
        <v>40</v>
      </c>
      <c r="I1961" s="126" t="s">
        <v>527</v>
      </c>
      <c r="J1961" s="130" t="s">
        <v>20560</v>
      </c>
      <c r="K1961" s="123" t="s">
        <v>812</v>
      </c>
      <c r="L1961" s="131" t="s">
        <v>209</v>
      </c>
      <c r="M1961" s="134" t="s">
        <v>813</v>
      </c>
      <c r="N1961" s="123" t="s">
        <v>30</v>
      </c>
    </row>
    <row r="1962" spans="2:14" hidden="1" x14ac:dyDescent="0.25">
      <c r="B1962" s="120">
        <v>1959</v>
      </c>
      <c r="C1962" s="123">
        <v>20125986880</v>
      </c>
      <c r="D1962" s="126" t="s">
        <v>526</v>
      </c>
      <c r="E1962" s="126" t="s">
        <v>811</v>
      </c>
      <c r="F1962" s="123" t="s">
        <v>30</v>
      </c>
      <c r="G1962" s="123" t="s">
        <v>30</v>
      </c>
      <c r="H1962" s="123" t="s">
        <v>40</v>
      </c>
      <c r="I1962" s="126" t="s">
        <v>527</v>
      </c>
      <c r="J1962" s="130" t="s">
        <v>20561</v>
      </c>
      <c r="K1962" s="123" t="s">
        <v>814</v>
      </c>
      <c r="L1962" s="131" t="s">
        <v>209</v>
      </c>
      <c r="M1962" s="134" t="s">
        <v>813</v>
      </c>
      <c r="N1962" s="123" t="s">
        <v>30</v>
      </c>
    </row>
    <row r="1963" spans="2:14" hidden="1" x14ac:dyDescent="0.25">
      <c r="B1963" s="120">
        <v>1960</v>
      </c>
      <c r="C1963" s="123">
        <v>20125986880</v>
      </c>
      <c r="D1963" s="126" t="s">
        <v>526</v>
      </c>
      <c r="E1963" s="126" t="s">
        <v>811</v>
      </c>
      <c r="F1963" s="123" t="s">
        <v>30</v>
      </c>
      <c r="G1963" s="123" t="s">
        <v>30</v>
      </c>
      <c r="H1963" s="123" t="s">
        <v>40</v>
      </c>
      <c r="I1963" s="126" t="s">
        <v>527</v>
      </c>
      <c r="J1963" s="130" t="s">
        <v>20562</v>
      </c>
      <c r="K1963" s="123" t="s">
        <v>815</v>
      </c>
      <c r="L1963" s="131" t="s">
        <v>119</v>
      </c>
      <c r="M1963" s="134" t="s">
        <v>813</v>
      </c>
      <c r="N1963" s="123" t="s">
        <v>30</v>
      </c>
    </row>
    <row r="1964" spans="2:14" hidden="1" x14ac:dyDescent="0.25">
      <c r="B1964" s="120">
        <v>1961</v>
      </c>
      <c r="C1964" s="123">
        <v>20125986880</v>
      </c>
      <c r="D1964" s="126" t="s">
        <v>526</v>
      </c>
      <c r="E1964" s="126" t="s">
        <v>811</v>
      </c>
      <c r="F1964" s="123" t="s">
        <v>30</v>
      </c>
      <c r="G1964" s="123" t="s">
        <v>30</v>
      </c>
      <c r="H1964" s="123" t="s">
        <v>40</v>
      </c>
      <c r="I1964" s="126" t="s">
        <v>527</v>
      </c>
      <c r="J1964" s="130" t="s">
        <v>20563</v>
      </c>
      <c r="K1964" s="123" t="s">
        <v>816</v>
      </c>
      <c r="L1964" s="131" t="s">
        <v>209</v>
      </c>
      <c r="M1964" s="134" t="s">
        <v>813</v>
      </c>
      <c r="N1964" s="123" t="s">
        <v>30</v>
      </c>
    </row>
    <row r="1965" spans="2:14" hidden="1" x14ac:dyDescent="0.25">
      <c r="B1965" s="120">
        <v>1962</v>
      </c>
      <c r="C1965" s="123">
        <v>20125986880</v>
      </c>
      <c r="D1965" s="126" t="s">
        <v>526</v>
      </c>
      <c r="E1965" s="126" t="s">
        <v>811</v>
      </c>
      <c r="F1965" s="123" t="s">
        <v>30</v>
      </c>
      <c r="G1965" s="123" t="s">
        <v>30</v>
      </c>
      <c r="H1965" s="123" t="s">
        <v>40</v>
      </c>
      <c r="I1965" s="126" t="s">
        <v>527</v>
      </c>
      <c r="J1965" s="130" t="s">
        <v>20564</v>
      </c>
      <c r="K1965" s="123" t="s">
        <v>528</v>
      </c>
      <c r="L1965" s="131" t="s">
        <v>42</v>
      </c>
      <c r="M1965" s="134" t="s">
        <v>813</v>
      </c>
      <c r="N1965" s="123" t="s">
        <v>30</v>
      </c>
    </row>
    <row r="1966" spans="2:14" hidden="1" x14ac:dyDescent="0.25">
      <c r="B1966" s="120">
        <v>1963</v>
      </c>
      <c r="C1966" s="123">
        <v>20563296926</v>
      </c>
      <c r="D1966" s="126" t="s">
        <v>576</v>
      </c>
      <c r="E1966" s="126" t="s">
        <v>819</v>
      </c>
      <c r="F1966" s="123" t="s">
        <v>30</v>
      </c>
      <c r="G1966" s="123" t="s">
        <v>30</v>
      </c>
      <c r="H1966" s="123" t="s">
        <v>40</v>
      </c>
      <c r="I1966" s="126" t="s">
        <v>2123</v>
      </c>
      <c r="J1966" s="130" t="s">
        <v>20633</v>
      </c>
      <c r="K1966" s="123" t="s">
        <v>820</v>
      </c>
      <c r="L1966" s="131" t="s">
        <v>42</v>
      </c>
      <c r="M1966" s="134" t="s">
        <v>7862</v>
      </c>
      <c r="N1966" s="123" t="s">
        <v>30</v>
      </c>
    </row>
    <row r="1967" spans="2:14" hidden="1" x14ac:dyDescent="0.25">
      <c r="B1967" s="120">
        <v>1964</v>
      </c>
      <c r="C1967" s="123">
        <v>20545043654</v>
      </c>
      <c r="D1967" s="126" t="s">
        <v>125</v>
      </c>
      <c r="E1967" s="126" t="s">
        <v>821</v>
      </c>
      <c r="F1967" s="123" t="s">
        <v>67</v>
      </c>
      <c r="G1967" s="123" t="s">
        <v>67</v>
      </c>
      <c r="H1967" s="123" t="s">
        <v>94</v>
      </c>
      <c r="I1967" s="126" t="s">
        <v>87</v>
      </c>
      <c r="J1967" s="130" t="s">
        <v>20532</v>
      </c>
      <c r="K1967" s="123" t="s">
        <v>126</v>
      </c>
      <c r="L1967" s="131" t="s">
        <v>42</v>
      </c>
      <c r="M1967" s="134" t="s">
        <v>7863</v>
      </c>
      <c r="N1967" s="123" t="s">
        <v>67</v>
      </c>
    </row>
    <row r="1968" spans="2:14" hidden="1" x14ac:dyDescent="0.25">
      <c r="B1968" s="120">
        <v>1965</v>
      </c>
      <c r="C1968" s="123">
        <v>20603528272</v>
      </c>
      <c r="D1968" s="126" t="s">
        <v>589</v>
      </c>
      <c r="E1968" s="126" t="s">
        <v>822</v>
      </c>
      <c r="F1968" s="123" t="s">
        <v>30</v>
      </c>
      <c r="G1968" s="123" t="s">
        <v>30</v>
      </c>
      <c r="H1968" s="123" t="s">
        <v>43</v>
      </c>
      <c r="I1968" s="126" t="s">
        <v>59</v>
      </c>
      <c r="J1968" s="130" t="s">
        <v>20663</v>
      </c>
      <c r="K1968" s="123" t="s">
        <v>590</v>
      </c>
      <c r="L1968" s="131" t="s">
        <v>42</v>
      </c>
      <c r="M1968" s="134" t="s">
        <v>7864</v>
      </c>
      <c r="N1968" s="123" t="s">
        <v>30</v>
      </c>
    </row>
    <row r="1969" spans="2:14" hidden="1" x14ac:dyDescent="0.25">
      <c r="B1969" s="120">
        <v>1966</v>
      </c>
      <c r="C1969" s="123">
        <v>20601304849</v>
      </c>
      <c r="D1969" s="126" t="s">
        <v>574</v>
      </c>
      <c r="E1969" s="126" t="s">
        <v>823</v>
      </c>
      <c r="F1969" s="123" t="s">
        <v>30</v>
      </c>
      <c r="G1969" s="123" t="s">
        <v>30</v>
      </c>
      <c r="H1969" s="123" t="s">
        <v>50</v>
      </c>
      <c r="I1969" s="126" t="s">
        <v>1398</v>
      </c>
      <c r="J1969" s="130" t="s">
        <v>20665</v>
      </c>
      <c r="K1969" s="123" t="s">
        <v>575</v>
      </c>
      <c r="L1969" s="131" t="s">
        <v>42</v>
      </c>
      <c r="M1969" s="134" t="s">
        <v>7865</v>
      </c>
      <c r="N1969" s="123" t="s">
        <v>30</v>
      </c>
    </row>
    <row r="1970" spans="2:14" hidden="1" x14ac:dyDescent="0.25">
      <c r="B1970" s="120">
        <v>1967</v>
      </c>
      <c r="C1970" s="123">
        <v>20548029351</v>
      </c>
      <c r="D1970" s="126" t="s">
        <v>544</v>
      </c>
      <c r="E1970" s="126" t="s">
        <v>824</v>
      </c>
      <c r="F1970" s="123" t="s">
        <v>30</v>
      </c>
      <c r="G1970" s="123" t="s">
        <v>30</v>
      </c>
      <c r="H1970" s="123" t="s">
        <v>50</v>
      </c>
      <c r="I1970" s="126" t="s">
        <v>1961</v>
      </c>
      <c r="J1970" s="130" t="s">
        <v>6190</v>
      </c>
      <c r="K1970" s="123" t="s">
        <v>545</v>
      </c>
      <c r="L1970" s="131" t="s">
        <v>42</v>
      </c>
      <c r="M1970" s="134" t="s">
        <v>7866</v>
      </c>
      <c r="N1970" s="123" t="s">
        <v>30</v>
      </c>
    </row>
    <row r="1971" spans="2:14" hidden="1" x14ac:dyDescent="0.25">
      <c r="B1971" s="120">
        <v>1968</v>
      </c>
      <c r="C1971" s="123">
        <v>20536751310</v>
      </c>
      <c r="D1971" s="126" t="s">
        <v>607</v>
      </c>
      <c r="E1971" s="126" t="s">
        <v>838</v>
      </c>
      <c r="F1971" s="123" t="s">
        <v>30</v>
      </c>
      <c r="G1971" s="123" t="s">
        <v>30</v>
      </c>
      <c r="H1971" s="123" t="s">
        <v>43</v>
      </c>
      <c r="I1971" s="126" t="s">
        <v>1424</v>
      </c>
      <c r="J1971" s="130" t="s">
        <v>20692</v>
      </c>
      <c r="K1971" s="123" t="s">
        <v>608</v>
      </c>
      <c r="L1971" s="131" t="s">
        <v>42</v>
      </c>
      <c r="M1971" s="134" t="s">
        <v>7867</v>
      </c>
      <c r="N1971" s="123" t="s">
        <v>30</v>
      </c>
    </row>
    <row r="1972" spans="2:14" hidden="1" x14ac:dyDescent="0.25">
      <c r="B1972" s="120">
        <v>1969</v>
      </c>
      <c r="C1972" s="123">
        <v>20514430552</v>
      </c>
      <c r="D1972" s="126" t="s">
        <v>839</v>
      </c>
      <c r="E1972" s="126" t="s">
        <v>840</v>
      </c>
      <c r="F1972" s="123" t="s">
        <v>30</v>
      </c>
      <c r="G1972" s="123" t="s">
        <v>30</v>
      </c>
      <c r="H1972" s="123" t="s">
        <v>65</v>
      </c>
      <c r="I1972" s="126" t="s">
        <v>1574</v>
      </c>
      <c r="J1972" s="130" t="s">
        <v>20696</v>
      </c>
      <c r="K1972" s="123" t="s">
        <v>678</v>
      </c>
      <c r="L1972" s="131" t="s">
        <v>42</v>
      </c>
      <c r="M1972" s="134" t="s">
        <v>7868</v>
      </c>
      <c r="N1972" s="123" t="s">
        <v>30</v>
      </c>
    </row>
    <row r="1973" spans="2:14" hidden="1" x14ac:dyDescent="0.25">
      <c r="B1973" s="120">
        <v>1970</v>
      </c>
      <c r="C1973" s="123">
        <v>20557114026</v>
      </c>
      <c r="D1973" s="126" t="s">
        <v>617</v>
      </c>
      <c r="E1973" s="126" t="s">
        <v>841</v>
      </c>
      <c r="F1973" s="123" t="s">
        <v>30</v>
      </c>
      <c r="G1973" s="123" t="s">
        <v>30</v>
      </c>
      <c r="H1973" s="123" t="s">
        <v>30</v>
      </c>
      <c r="I1973" s="126" t="s">
        <v>1384</v>
      </c>
      <c r="J1973" s="130" t="s">
        <v>20682</v>
      </c>
      <c r="K1973" s="123" t="s">
        <v>618</v>
      </c>
      <c r="L1973" s="131" t="s">
        <v>42</v>
      </c>
      <c r="M1973" s="134" t="s">
        <v>845</v>
      </c>
      <c r="N1973" s="123" t="s">
        <v>845</v>
      </c>
    </row>
    <row r="1974" spans="2:14" hidden="1" x14ac:dyDescent="0.25">
      <c r="B1974" s="120">
        <v>1971</v>
      </c>
      <c r="C1974" s="123">
        <v>20557114026</v>
      </c>
      <c r="D1974" s="126" t="s">
        <v>617</v>
      </c>
      <c r="E1974" s="126" t="s">
        <v>841</v>
      </c>
      <c r="F1974" s="123" t="s">
        <v>30</v>
      </c>
      <c r="G1974" s="123" t="s">
        <v>30</v>
      </c>
      <c r="H1974" s="123" t="s">
        <v>30</v>
      </c>
      <c r="I1974" s="126" t="s">
        <v>1384</v>
      </c>
      <c r="J1974" s="130" t="s">
        <v>6191</v>
      </c>
      <c r="K1974" s="123" t="s">
        <v>842</v>
      </c>
      <c r="L1974" s="131" t="s">
        <v>619</v>
      </c>
      <c r="M1974" s="134" t="s">
        <v>845</v>
      </c>
      <c r="N1974" s="123" t="s">
        <v>845</v>
      </c>
    </row>
    <row r="1975" spans="2:14" hidden="1" x14ac:dyDescent="0.25">
      <c r="B1975" s="120">
        <v>1972</v>
      </c>
      <c r="C1975" s="123">
        <v>20557114026</v>
      </c>
      <c r="D1975" s="126" t="s">
        <v>617</v>
      </c>
      <c r="E1975" s="126" t="s">
        <v>841</v>
      </c>
      <c r="F1975" s="123" t="s">
        <v>30</v>
      </c>
      <c r="G1975" s="123" t="s">
        <v>30</v>
      </c>
      <c r="H1975" s="123" t="s">
        <v>30</v>
      </c>
      <c r="I1975" s="126" t="s">
        <v>1384</v>
      </c>
      <c r="J1975" s="130" t="s">
        <v>6192</v>
      </c>
      <c r="K1975" s="123" t="s">
        <v>843</v>
      </c>
      <c r="L1975" s="131" t="s">
        <v>844</v>
      </c>
      <c r="M1975" s="134" t="s">
        <v>845</v>
      </c>
      <c r="N1975" s="123" t="s">
        <v>845</v>
      </c>
    </row>
    <row r="1976" spans="2:14" hidden="1" x14ac:dyDescent="0.25">
      <c r="B1976" s="120">
        <v>1973</v>
      </c>
      <c r="C1976" s="123">
        <v>20521286173</v>
      </c>
      <c r="D1976" s="126" t="s">
        <v>410</v>
      </c>
      <c r="E1976" s="126" t="s">
        <v>846</v>
      </c>
      <c r="F1976" s="123" t="s">
        <v>30</v>
      </c>
      <c r="G1976" s="123" t="s">
        <v>30</v>
      </c>
      <c r="H1976" s="123" t="s">
        <v>45</v>
      </c>
      <c r="I1976" s="126" t="s">
        <v>1384</v>
      </c>
      <c r="J1976" s="130" t="s">
        <v>6194</v>
      </c>
      <c r="K1976" s="123" t="s">
        <v>847</v>
      </c>
      <c r="L1976" s="136" t="s">
        <v>76</v>
      </c>
      <c r="M1976" s="134" t="s">
        <v>7869</v>
      </c>
      <c r="N1976" s="123" t="s">
        <v>30</v>
      </c>
    </row>
    <row r="1977" spans="2:14" hidden="1" x14ac:dyDescent="0.25">
      <c r="B1977" s="120">
        <v>1974</v>
      </c>
      <c r="C1977" s="123">
        <v>20521286173</v>
      </c>
      <c r="D1977" s="126" t="s">
        <v>410</v>
      </c>
      <c r="E1977" s="126" t="s">
        <v>846</v>
      </c>
      <c r="F1977" s="123" t="s">
        <v>30</v>
      </c>
      <c r="G1977" s="123" t="s">
        <v>30</v>
      </c>
      <c r="H1977" s="123" t="s">
        <v>45</v>
      </c>
      <c r="I1977" s="126" t="s">
        <v>1384</v>
      </c>
      <c r="J1977" s="130" t="s">
        <v>6193</v>
      </c>
      <c r="K1977" s="123" t="s">
        <v>411</v>
      </c>
      <c r="L1977" s="131" t="s">
        <v>42</v>
      </c>
      <c r="M1977" s="134" t="s">
        <v>7869</v>
      </c>
      <c r="N1977" s="123" t="s">
        <v>30</v>
      </c>
    </row>
    <row r="1978" spans="2:14" hidden="1" x14ac:dyDescent="0.25">
      <c r="B1978" s="120">
        <v>1975</v>
      </c>
      <c r="C1978" s="123">
        <v>20515010476</v>
      </c>
      <c r="D1978" s="126" t="s">
        <v>483</v>
      </c>
      <c r="E1978" s="126" t="s">
        <v>848</v>
      </c>
      <c r="F1978" s="123" t="s">
        <v>30</v>
      </c>
      <c r="G1978" s="123" t="s">
        <v>30</v>
      </c>
      <c r="H1978" s="123" t="s">
        <v>37</v>
      </c>
      <c r="I1978" s="126" t="s">
        <v>1365</v>
      </c>
      <c r="J1978" s="130" t="s">
        <v>20689</v>
      </c>
      <c r="K1978" s="123" t="s">
        <v>484</v>
      </c>
      <c r="L1978" s="131" t="s">
        <v>42</v>
      </c>
      <c r="M1978" s="134" t="s">
        <v>7870</v>
      </c>
      <c r="N1978" s="123" t="s">
        <v>30</v>
      </c>
    </row>
    <row r="1979" spans="2:14" hidden="1" x14ac:dyDescent="0.25">
      <c r="B1979" s="120">
        <v>1976</v>
      </c>
      <c r="C1979" s="123">
        <v>20607905992</v>
      </c>
      <c r="D1979" s="126" t="s">
        <v>231</v>
      </c>
      <c r="E1979" s="126" t="s">
        <v>849</v>
      </c>
      <c r="F1979" s="123" t="s">
        <v>30</v>
      </c>
      <c r="G1979" s="123" t="s">
        <v>30</v>
      </c>
      <c r="H1979" s="123" t="s">
        <v>51</v>
      </c>
      <c r="I1979" s="126" t="s">
        <v>5202</v>
      </c>
      <c r="J1979" s="130" t="s">
        <v>20690</v>
      </c>
      <c r="K1979" s="123" t="s">
        <v>232</v>
      </c>
      <c r="L1979" s="131" t="s">
        <v>42</v>
      </c>
      <c r="M1979" s="134" t="s">
        <v>850</v>
      </c>
      <c r="N1979" s="123" t="s">
        <v>30</v>
      </c>
    </row>
    <row r="1980" spans="2:14" hidden="1" x14ac:dyDescent="0.25">
      <c r="B1980" s="120">
        <v>1977</v>
      </c>
      <c r="C1980" s="123">
        <v>20547436459</v>
      </c>
      <c r="D1980" s="126" t="s">
        <v>439</v>
      </c>
      <c r="E1980" s="126" t="s">
        <v>851</v>
      </c>
      <c r="F1980" s="123" t="s">
        <v>30</v>
      </c>
      <c r="G1980" s="123" t="s">
        <v>30</v>
      </c>
      <c r="H1980" s="123" t="s">
        <v>75</v>
      </c>
      <c r="I1980" s="126" t="s">
        <v>1809</v>
      </c>
      <c r="J1980" s="130" t="s">
        <v>6195</v>
      </c>
      <c r="K1980" s="123" t="s">
        <v>440</v>
      </c>
      <c r="L1980" s="131" t="s">
        <v>36</v>
      </c>
      <c r="M1980" s="134" t="s">
        <v>7871</v>
      </c>
      <c r="N1980" s="123" t="s">
        <v>30</v>
      </c>
    </row>
    <row r="1981" spans="2:14" hidden="1" x14ac:dyDescent="0.25">
      <c r="B1981" s="120">
        <v>1978</v>
      </c>
      <c r="C1981" s="123">
        <v>20517294803</v>
      </c>
      <c r="D1981" s="126" t="s">
        <v>861</v>
      </c>
      <c r="E1981" s="126" t="s">
        <v>862</v>
      </c>
      <c r="F1981" s="123" t="s">
        <v>30</v>
      </c>
      <c r="G1981" s="123" t="s">
        <v>30</v>
      </c>
      <c r="H1981" s="123" t="s">
        <v>152</v>
      </c>
      <c r="I1981" s="126" t="s">
        <v>273</v>
      </c>
      <c r="J1981" s="130" t="s">
        <v>6196</v>
      </c>
      <c r="K1981" s="123" t="s">
        <v>863</v>
      </c>
      <c r="L1981" s="131" t="s">
        <v>42</v>
      </c>
      <c r="M1981" s="134" t="s">
        <v>7872</v>
      </c>
      <c r="N1981" s="123" t="s">
        <v>30</v>
      </c>
    </row>
    <row r="1982" spans="2:14" hidden="1" x14ac:dyDescent="0.25">
      <c r="B1982" s="120">
        <v>1979</v>
      </c>
      <c r="C1982" s="123">
        <v>20556665631</v>
      </c>
      <c r="D1982" s="126" t="s">
        <v>567</v>
      </c>
      <c r="E1982" s="126" t="s">
        <v>954</v>
      </c>
      <c r="F1982" s="123" t="s">
        <v>30</v>
      </c>
      <c r="G1982" s="123" t="s">
        <v>30</v>
      </c>
      <c r="H1982" s="123" t="s">
        <v>72</v>
      </c>
      <c r="I1982" s="126" t="s">
        <v>1374</v>
      </c>
      <c r="J1982" s="130" t="s">
        <v>6197</v>
      </c>
      <c r="K1982" s="123" t="s">
        <v>568</v>
      </c>
      <c r="L1982" s="131" t="s">
        <v>42</v>
      </c>
      <c r="M1982" s="134" t="s">
        <v>7873</v>
      </c>
      <c r="N1982" s="123" t="s">
        <v>30</v>
      </c>
    </row>
    <row r="1983" spans="2:14" hidden="1" x14ac:dyDescent="0.25">
      <c r="B1983" s="120">
        <v>1980</v>
      </c>
      <c r="C1983" s="123">
        <v>20269215624</v>
      </c>
      <c r="D1983" s="126" t="s">
        <v>5412</v>
      </c>
      <c r="E1983" s="126" t="s">
        <v>5413</v>
      </c>
      <c r="F1983" s="123" t="s">
        <v>67</v>
      </c>
      <c r="G1983" s="123" t="s">
        <v>67</v>
      </c>
      <c r="H1983" s="123" t="s">
        <v>67</v>
      </c>
      <c r="I1983" s="126" t="s">
        <v>1655</v>
      </c>
      <c r="J1983" s="130" t="s">
        <v>20713</v>
      </c>
      <c r="K1983" s="123" t="s">
        <v>5415</v>
      </c>
      <c r="L1983" s="131" t="s">
        <v>42</v>
      </c>
      <c r="M1983" s="134" t="s">
        <v>5414</v>
      </c>
      <c r="N1983" s="123" t="s">
        <v>30</v>
      </c>
    </row>
    <row r="1984" spans="2:14" hidden="1" x14ac:dyDescent="0.25">
      <c r="B1984" s="120">
        <v>1981</v>
      </c>
      <c r="C1984" s="123">
        <v>20269215624</v>
      </c>
      <c r="D1984" s="126" t="s">
        <v>5412</v>
      </c>
      <c r="E1984" s="126" t="s">
        <v>5413</v>
      </c>
      <c r="F1984" s="123" t="s">
        <v>67</v>
      </c>
      <c r="G1984" s="123" t="s">
        <v>67</v>
      </c>
      <c r="H1984" s="123" t="s">
        <v>67</v>
      </c>
      <c r="I1984" s="126" t="s">
        <v>1655</v>
      </c>
      <c r="J1984" s="130" t="s">
        <v>20716</v>
      </c>
      <c r="K1984" s="123" t="s">
        <v>20717</v>
      </c>
      <c r="L1984" s="131" t="s">
        <v>209</v>
      </c>
      <c r="M1984" s="134" t="s">
        <v>5414</v>
      </c>
      <c r="N1984" s="123" t="s">
        <v>30</v>
      </c>
    </row>
    <row r="1985" spans="2:14" hidden="1" x14ac:dyDescent="0.25">
      <c r="B1985" s="120">
        <v>1982</v>
      </c>
      <c r="C1985" s="123">
        <v>20269215624</v>
      </c>
      <c r="D1985" s="126" t="s">
        <v>5412</v>
      </c>
      <c r="E1985" s="126" t="s">
        <v>5413</v>
      </c>
      <c r="F1985" s="123" t="s">
        <v>67</v>
      </c>
      <c r="G1985" s="123" t="s">
        <v>67</v>
      </c>
      <c r="H1985" s="123" t="s">
        <v>67</v>
      </c>
      <c r="I1985" s="126" t="s">
        <v>1655</v>
      </c>
      <c r="J1985" s="130" t="s">
        <v>20714</v>
      </c>
      <c r="K1985" s="123" t="s">
        <v>20715</v>
      </c>
      <c r="L1985" s="136" t="s">
        <v>209</v>
      </c>
      <c r="M1985" s="134" t="s">
        <v>5414</v>
      </c>
      <c r="N1985" s="123" t="s">
        <v>30</v>
      </c>
    </row>
    <row r="1986" spans="2:14" hidden="1" x14ac:dyDescent="0.25">
      <c r="B1986" s="120">
        <v>1983</v>
      </c>
      <c r="C1986" s="123">
        <v>20269215624</v>
      </c>
      <c r="D1986" s="126" t="s">
        <v>5412</v>
      </c>
      <c r="E1986" s="126" t="s">
        <v>5413</v>
      </c>
      <c r="F1986" s="123" t="s">
        <v>67</v>
      </c>
      <c r="G1986" s="123" t="s">
        <v>67</v>
      </c>
      <c r="H1986" s="123" t="s">
        <v>67</v>
      </c>
      <c r="I1986" s="126" t="s">
        <v>1655</v>
      </c>
      <c r="J1986" s="130" t="s">
        <v>20712</v>
      </c>
      <c r="K1986" s="123" t="s">
        <v>5416</v>
      </c>
      <c r="L1986" s="136" t="s">
        <v>209</v>
      </c>
      <c r="M1986" s="134" t="s">
        <v>5414</v>
      </c>
      <c r="N1986" s="123" t="s">
        <v>30</v>
      </c>
    </row>
    <row r="1987" spans="2:14" hidden="1" x14ac:dyDescent="0.25">
      <c r="B1987" s="120">
        <v>1984</v>
      </c>
      <c r="C1987" s="123">
        <v>20269215624</v>
      </c>
      <c r="D1987" s="126" t="s">
        <v>5412</v>
      </c>
      <c r="E1987" s="126" t="s">
        <v>5413</v>
      </c>
      <c r="F1987" s="123" t="s">
        <v>67</v>
      </c>
      <c r="G1987" s="123" t="s">
        <v>67</v>
      </c>
      <c r="H1987" s="123" t="s">
        <v>67</v>
      </c>
      <c r="I1987" s="126" t="s">
        <v>1655</v>
      </c>
      <c r="J1987" s="130" t="s">
        <v>5417</v>
      </c>
      <c r="K1987" s="123" t="s">
        <v>5418</v>
      </c>
      <c r="L1987" s="131" t="s">
        <v>209</v>
      </c>
      <c r="M1987" s="134" t="s">
        <v>5414</v>
      </c>
      <c r="N1987" s="123" t="s">
        <v>30</v>
      </c>
    </row>
    <row r="1988" spans="2:14" hidden="1" x14ac:dyDescent="0.25">
      <c r="B1988" s="120">
        <v>1985</v>
      </c>
      <c r="C1988" s="123">
        <v>20601469694</v>
      </c>
      <c r="D1988" s="126" t="s">
        <v>5419</v>
      </c>
      <c r="E1988" s="126" t="s">
        <v>5420</v>
      </c>
      <c r="F1988" s="123" t="s">
        <v>30</v>
      </c>
      <c r="G1988" s="123" t="s">
        <v>30</v>
      </c>
      <c r="H1988" s="123" t="s">
        <v>58</v>
      </c>
      <c r="I1988" s="126" t="s">
        <v>1450</v>
      </c>
      <c r="J1988" s="130" t="s">
        <v>5421</v>
      </c>
      <c r="K1988" s="123" t="s">
        <v>5422</v>
      </c>
      <c r="L1988" s="131" t="s">
        <v>42</v>
      </c>
      <c r="M1988" s="134" t="s">
        <v>5423</v>
      </c>
      <c r="N1988" s="123" t="s">
        <v>30</v>
      </c>
    </row>
    <row r="1989" spans="2:14" hidden="1" x14ac:dyDescent="0.25">
      <c r="B1989" s="120">
        <v>1986</v>
      </c>
      <c r="C1989" s="123">
        <v>20512809201</v>
      </c>
      <c r="D1989" s="126" t="s">
        <v>5424</v>
      </c>
      <c r="E1989" s="126" t="s">
        <v>5425</v>
      </c>
      <c r="F1989" s="123" t="s">
        <v>30</v>
      </c>
      <c r="G1989" s="123" t="s">
        <v>30</v>
      </c>
      <c r="H1989" s="123" t="s">
        <v>64</v>
      </c>
      <c r="I1989" s="126" t="s">
        <v>2460</v>
      </c>
      <c r="J1989" s="130" t="s">
        <v>20719</v>
      </c>
      <c r="K1989" s="123" t="s">
        <v>5426</v>
      </c>
      <c r="L1989" s="131" t="s">
        <v>42</v>
      </c>
      <c r="M1989" s="134" t="s">
        <v>5427</v>
      </c>
      <c r="N1989" s="123" t="s">
        <v>30</v>
      </c>
    </row>
    <row r="1990" spans="2:14" hidden="1" x14ac:dyDescent="0.25">
      <c r="B1990" s="120">
        <v>1987</v>
      </c>
      <c r="C1990" s="123">
        <v>20512809201</v>
      </c>
      <c r="D1990" s="126" t="s">
        <v>5424</v>
      </c>
      <c r="E1990" s="126" t="s">
        <v>5425</v>
      </c>
      <c r="F1990" s="123" t="s">
        <v>30</v>
      </c>
      <c r="G1990" s="123" t="s">
        <v>30</v>
      </c>
      <c r="H1990" s="123" t="s">
        <v>64</v>
      </c>
      <c r="I1990" s="126" t="s">
        <v>2460</v>
      </c>
      <c r="J1990" s="130" t="s">
        <v>20718</v>
      </c>
      <c r="K1990" s="123" t="s">
        <v>5428</v>
      </c>
      <c r="L1990" s="131" t="s">
        <v>76</v>
      </c>
      <c r="M1990" s="134" t="s">
        <v>5427</v>
      </c>
      <c r="N1990" s="123" t="s">
        <v>30</v>
      </c>
    </row>
    <row r="1991" spans="2:14" hidden="1" x14ac:dyDescent="0.25">
      <c r="B1991" s="120">
        <v>1988</v>
      </c>
      <c r="C1991" s="123">
        <v>20607901245</v>
      </c>
      <c r="D1991" s="126" t="s">
        <v>5429</v>
      </c>
      <c r="E1991" s="126" t="s">
        <v>5430</v>
      </c>
      <c r="F1991" s="123" t="s">
        <v>30</v>
      </c>
      <c r="G1991" s="123" t="s">
        <v>30</v>
      </c>
      <c r="H1991" s="123" t="s">
        <v>45</v>
      </c>
      <c r="I1991" s="126" t="s">
        <v>1394</v>
      </c>
      <c r="J1991" s="130" t="s">
        <v>5431</v>
      </c>
      <c r="K1991" s="123" t="s">
        <v>5432</v>
      </c>
      <c r="L1991" s="131" t="s">
        <v>42</v>
      </c>
      <c r="M1991" s="134" t="s">
        <v>5433</v>
      </c>
      <c r="N1991" s="123" t="s">
        <v>30</v>
      </c>
    </row>
    <row r="1992" spans="2:14" hidden="1" x14ac:dyDescent="0.25">
      <c r="B1992" s="120">
        <v>1989</v>
      </c>
      <c r="C1992" s="123">
        <v>20108560437</v>
      </c>
      <c r="D1992" s="126" t="s">
        <v>5434</v>
      </c>
      <c r="E1992" s="126" t="s">
        <v>5435</v>
      </c>
      <c r="F1992" s="123" t="s">
        <v>30</v>
      </c>
      <c r="G1992" s="123" t="s">
        <v>30</v>
      </c>
      <c r="H1992" s="123" t="s">
        <v>51</v>
      </c>
      <c r="I1992" s="126" t="s">
        <v>1384</v>
      </c>
      <c r="J1992" s="130" t="s">
        <v>5436</v>
      </c>
      <c r="K1992" s="123" t="s">
        <v>5437</v>
      </c>
      <c r="L1992" s="131" t="s">
        <v>76</v>
      </c>
      <c r="M1992" s="134" t="s">
        <v>5438</v>
      </c>
      <c r="N1992" s="123" t="s">
        <v>30</v>
      </c>
    </row>
    <row r="1993" spans="2:14" hidden="1" x14ac:dyDescent="0.25">
      <c r="B1993" s="120">
        <v>1990</v>
      </c>
      <c r="C1993" s="123">
        <v>20108560437</v>
      </c>
      <c r="D1993" s="126" t="s">
        <v>5434</v>
      </c>
      <c r="E1993" s="126" t="s">
        <v>5435</v>
      </c>
      <c r="F1993" s="123" t="s">
        <v>30</v>
      </c>
      <c r="G1993" s="123" t="s">
        <v>30</v>
      </c>
      <c r="H1993" s="123" t="s">
        <v>51</v>
      </c>
      <c r="I1993" s="126" t="s">
        <v>1384</v>
      </c>
      <c r="J1993" s="130" t="s">
        <v>5439</v>
      </c>
      <c r="K1993" s="123" t="s">
        <v>5440</v>
      </c>
      <c r="L1993" s="131" t="s">
        <v>42</v>
      </c>
      <c r="M1993" s="134" t="s">
        <v>5438</v>
      </c>
      <c r="N1993" s="123" t="s">
        <v>30</v>
      </c>
    </row>
    <row r="1994" spans="2:14" hidden="1" x14ac:dyDescent="0.25">
      <c r="B1994" s="120">
        <v>1991</v>
      </c>
      <c r="C1994" s="123">
        <v>20608198114</v>
      </c>
      <c r="D1994" s="126" t="s">
        <v>372</v>
      </c>
      <c r="E1994" s="126" t="s">
        <v>5441</v>
      </c>
      <c r="F1994" s="123" t="s">
        <v>30</v>
      </c>
      <c r="G1994" s="123" t="s">
        <v>30</v>
      </c>
      <c r="H1994" s="123" t="s">
        <v>110</v>
      </c>
      <c r="I1994" s="126" t="s">
        <v>1395</v>
      </c>
      <c r="J1994" s="130" t="s">
        <v>5442</v>
      </c>
      <c r="K1994" s="123" t="s">
        <v>5443</v>
      </c>
      <c r="L1994" s="131" t="s">
        <v>57</v>
      </c>
      <c r="M1994" s="134" t="s">
        <v>5444</v>
      </c>
      <c r="N1994" s="123" t="s">
        <v>30</v>
      </c>
    </row>
    <row r="1995" spans="2:14" hidden="1" x14ac:dyDescent="0.25">
      <c r="B1995" s="120">
        <v>1992</v>
      </c>
      <c r="C1995" s="123">
        <v>20519118221</v>
      </c>
      <c r="D1995" s="126" t="s">
        <v>1069</v>
      </c>
      <c r="E1995" s="126" t="s">
        <v>1070</v>
      </c>
      <c r="F1995" s="123" t="s">
        <v>30</v>
      </c>
      <c r="G1995" s="123" t="s">
        <v>30</v>
      </c>
      <c r="H1995" s="123" t="s">
        <v>37</v>
      </c>
      <c r="I1995" s="126" t="s">
        <v>1450</v>
      </c>
      <c r="J1995" s="130" t="s">
        <v>5445</v>
      </c>
      <c r="K1995" s="123" t="s">
        <v>5446</v>
      </c>
      <c r="L1995" s="131" t="s">
        <v>42</v>
      </c>
      <c r="M1995" s="134" t="s">
        <v>5447</v>
      </c>
      <c r="N1995" s="123" t="s">
        <v>30</v>
      </c>
    </row>
    <row r="1996" spans="2:14" hidden="1" x14ac:dyDescent="0.25">
      <c r="B1996" s="120">
        <v>1993</v>
      </c>
      <c r="C1996" s="122">
        <v>20600963539</v>
      </c>
      <c r="D1996" s="125" t="s">
        <v>5448</v>
      </c>
      <c r="E1996" s="125" t="s">
        <v>5449</v>
      </c>
      <c r="F1996" s="122" t="s">
        <v>30</v>
      </c>
      <c r="G1996" s="122" t="s">
        <v>30</v>
      </c>
      <c r="H1996" s="122" t="s">
        <v>50</v>
      </c>
      <c r="I1996" s="125" t="s">
        <v>1377</v>
      </c>
      <c r="J1996" s="129" t="s">
        <v>5450</v>
      </c>
      <c r="K1996" s="122" t="s">
        <v>5451</v>
      </c>
      <c r="L1996" s="131" t="s">
        <v>57</v>
      </c>
      <c r="M1996" s="133" t="s">
        <v>5452</v>
      </c>
      <c r="N1996" s="122" t="s">
        <v>30</v>
      </c>
    </row>
    <row r="1997" spans="2:14" hidden="1" x14ac:dyDescent="0.25">
      <c r="B1997" s="120">
        <v>1994</v>
      </c>
      <c r="C1997" s="122">
        <v>20550687390</v>
      </c>
      <c r="D1997" s="125" t="s">
        <v>3606</v>
      </c>
      <c r="E1997" s="125" t="s">
        <v>5453</v>
      </c>
      <c r="F1997" s="122" t="s">
        <v>30</v>
      </c>
      <c r="G1997" s="122" t="s">
        <v>30</v>
      </c>
      <c r="H1997" s="122" t="s">
        <v>147</v>
      </c>
      <c r="I1997" s="125" t="s">
        <v>1962</v>
      </c>
      <c r="J1997" s="129" t="s">
        <v>5454</v>
      </c>
      <c r="K1997" s="122" t="s">
        <v>5455</v>
      </c>
      <c r="L1997" s="131" t="s">
        <v>42</v>
      </c>
      <c r="M1997" s="133" t="s">
        <v>5456</v>
      </c>
      <c r="N1997" s="122" t="s">
        <v>30</v>
      </c>
    </row>
    <row r="1998" spans="2:14" hidden="1" x14ac:dyDescent="0.25">
      <c r="B1998" s="120">
        <v>1995</v>
      </c>
      <c r="C1998" s="122">
        <v>20609869683</v>
      </c>
      <c r="D1998" s="125" t="s">
        <v>5346</v>
      </c>
      <c r="E1998" s="125" t="s">
        <v>5347</v>
      </c>
      <c r="F1998" s="122" t="s">
        <v>67</v>
      </c>
      <c r="G1998" s="122" t="s">
        <v>67</v>
      </c>
      <c r="H1998" s="122" t="s">
        <v>64</v>
      </c>
      <c r="I1998" s="125" t="s">
        <v>1377</v>
      </c>
      <c r="J1998" s="129" t="s">
        <v>5457</v>
      </c>
      <c r="K1998" s="122" t="s">
        <v>5458</v>
      </c>
      <c r="L1998" s="131" t="s">
        <v>209</v>
      </c>
      <c r="M1998" s="133" t="s">
        <v>5459</v>
      </c>
      <c r="N1998" s="122" t="s">
        <v>30</v>
      </c>
    </row>
    <row r="1999" spans="2:14" hidden="1" x14ac:dyDescent="0.25">
      <c r="B1999" s="120">
        <v>1996</v>
      </c>
      <c r="C1999" s="122">
        <v>20600535057</v>
      </c>
      <c r="D1999" s="125" t="s">
        <v>5288</v>
      </c>
      <c r="E1999" s="125" t="s">
        <v>5289</v>
      </c>
      <c r="F1999" s="122" t="s">
        <v>30</v>
      </c>
      <c r="G1999" s="122" t="s">
        <v>30</v>
      </c>
      <c r="H1999" s="122" t="s">
        <v>147</v>
      </c>
      <c r="I1999" s="125" t="s">
        <v>1809</v>
      </c>
      <c r="J1999" s="129" t="s">
        <v>20720</v>
      </c>
      <c r="K1999" s="122" t="s">
        <v>5462</v>
      </c>
      <c r="L1999" s="131" t="s">
        <v>57</v>
      </c>
      <c r="M1999" s="133" t="s">
        <v>5463</v>
      </c>
      <c r="N1999" s="122" t="s">
        <v>30</v>
      </c>
    </row>
    <row r="2000" spans="2:14" hidden="1" x14ac:dyDescent="0.25">
      <c r="B2000" s="120">
        <v>1997</v>
      </c>
      <c r="C2000" s="122">
        <v>20548604983</v>
      </c>
      <c r="D2000" s="125" t="s">
        <v>5286</v>
      </c>
      <c r="E2000" s="125" t="s">
        <v>5287</v>
      </c>
      <c r="F2000" s="122" t="s">
        <v>30</v>
      </c>
      <c r="G2000" s="122" t="s">
        <v>30</v>
      </c>
      <c r="H2000" s="122" t="s">
        <v>43</v>
      </c>
      <c r="I2000" s="125" t="s">
        <v>3330</v>
      </c>
      <c r="J2000" s="129" t="s">
        <v>20721</v>
      </c>
      <c r="K2000" s="122" t="s">
        <v>5464</v>
      </c>
      <c r="L2000" s="131" t="s">
        <v>42</v>
      </c>
      <c r="M2000" s="133" t="s">
        <v>5465</v>
      </c>
      <c r="N2000" s="122" t="s">
        <v>30</v>
      </c>
    </row>
    <row r="2001" spans="2:14" hidden="1" x14ac:dyDescent="0.25">
      <c r="B2001" s="120">
        <v>1998</v>
      </c>
      <c r="C2001" s="122">
        <v>20609175037</v>
      </c>
      <c r="D2001" s="125" t="s">
        <v>5284</v>
      </c>
      <c r="E2001" s="125" t="s">
        <v>5285</v>
      </c>
      <c r="F2001" s="122" t="s">
        <v>30</v>
      </c>
      <c r="G2001" s="122" t="s">
        <v>30</v>
      </c>
      <c r="H2001" s="122" t="s">
        <v>30</v>
      </c>
      <c r="I2001" s="125" t="s">
        <v>1595</v>
      </c>
      <c r="J2001" s="129" t="s">
        <v>20722</v>
      </c>
      <c r="K2001" s="122" t="s">
        <v>5468</v>
      </c>
      <c r="L2001" s="131" t="s">
        <v>57</v>
      </c>
      <c r="M2001" s="133" t="s">
        <v>5469</v>
      </c>
      <c r="N2001" s="122" t="s">
        <v>30</v>
      </c>
    </row>
    <row r="2002" spans="2:14" hidden="1" x14ac:dyDescent="0.25">
      <c r="B2002" s="120">
        <v>1999</v>
      </c>
      <c r="C2002" s="122">
        <v>20603060629</v>
      </c>
      <c r="D2002" s="125" t="s">
        <v>5470</v>
      </c>
      <c r="E2002" s="125" t="s">
        <v>5471</v>
      </c>
      <c r="F2002" s="122" t="s">
        <v>30</v>
      </c>
      <c r="G2002" s="122" t="s">
        <v>30</v>
      </c>
      <c r="H2002" s="122" t="s">
        <v>45</v>
      </c>
      <c r="I2002" s="125" t="s">
        <v>1424</v>
      </c>
      <c r="J2002" s="129" t="s">
        <v>20683</v>
      </c>
      <c r="K2002" s="122" t="s">
        <v>5472</v>
      </c>
      <c r="L2002" s="131" t="s">
        <v>42</v>
      </c>
      <c r="M2002" s="133" t="s">
        <v>845</v>
      </c>
      <c r="N2002" s="122" t="s">
        <v>845</v>
      </c>
    </row>
    <row r="2003" spans="2:14" hidden="1" x14ac:dyDescent="0.25">
      <c r="B2003" s="120">
        <v>2000</v>
      </c>
      <c r="C2003" s="122">
        <v>20600900553</v>
      </c>
      <c r="D2003" s="125" t="s">
        <v>89</v>
      </c>
      <c r="E2003" s="125" t="s">
        <v>90</v>
      </c>
      <c r="F2003" s="122" t="s">
        <v>30</v>
      </c>
      <c r="G2003" s="122" t="s">
        <v>30</v>
      </c>
      <c r="H2003" s="122" t="s">
        <v>51</v>
      </c>
      <c r="I2003" s="125" t="s">
        <v>1767</v>
      </c>
      <c r="J2003" s="129" t="s">
        <v>5473</v>
      </c>
      <c r="K2003" s="122" t="s">
        <v>5474</v>
      </c>
      <c r="L2003" s="131" t="s">
        <v>42</v>
      </c>
      <c r="M2003" s="133" t="s">
        <v>5475</v>
      </c>
      <c r="N2003" s="122" t="s">
        <v>30</v>
      </c>
    </row>
    <row r="2004" spans="2:14" hidden="1" x14ac:dyDescent="0.25">
      <c r="B2004" s="120">
        <v>2001</v>
      </c>
      <c r="C2004" s="122">
        <v>20600900553</v>
      </c>
      <c r="D2004" s="125" t="s">
        <v>89</v>
      </c>
      <c r="E2004" s="125" t="s">
        <v>90</v>
      </c>
      <c r="F2004" s="122" t="s">
        <v>30</v>
      </c>
      <c r="G2004" s="122" t="s">
        <v>30</v>
      </c>
      <c r="H2004" s="122" t="s">
        <v>51</v>
      </c>
      <c r="I2004" s="125" t="s">
        <v>1767</v>
      </c>
      <c r="J2004" s="129" t="s">
        <v>5476</v>
      </c>
      <c r="K2004" s="122" t="s">
        <v>5477</v>
      </c>
      <c r="L2004" s="131" t="s">
        <v>209</v>
      </c>
      <c r="M2004" s="133" t="s">
        <v>5475</v>
      </c>
      <c r="N2004" s="122" t="s">
        <v>30</v>
      </c>
    </row>
    <row r="2005" spans="2:14" hidden="1" x14ac:dyDescent="0.25">
      <c r="B2005" s="120">
        <v>2002</v>
      </c>
      <c r="C2005" s="122">
        <v>20600900553</v>
      </c>
      <c r="D2005" s="125" t="s">
        <v>89</v>
      </c>
      <c r="E2005" s="125" t="s">
        <v>90</v>
      </c>
      <c r="F2005" s="122" t="s">
        <v>30</v>
      </c>
      <c r="G2005" s="122" t="s">
        <v>30</v>
      </c>
      <c r="H2005" s="122" t="s">
        <v>51</v>
      </c>
      <c r="I2005" s="125" t="s">
        <v>1767</v>
      </c>
      <c r="J2005" s="129" t="s">
        <v>5478</v>
      </c>
      <c r="K2005" s="122" t="s">
        <v>5479</v>
      </c>
      <c r="L2005" s="131" t="s">
        <v>209</v>
      </c>
      <c r="M2005" s="133" t="s">
        <v>5475</v>
      </c>
      <c r="N2005" s="122" t="s">
        <v>30</v>
      </c>
    </row>
    <row r="2006" spans="2:14" hidden="1" x14ac:dyDescent="0.25">
      <c r="B2006" s="120">
        <v>2003</v>
      </c>
      <c r="C2006" s="122">
        <v>20502351908</v>
      </c>
      <c r="D2006" s="125" t="s">
        <v>223</v>
      </c>
      <c r="E2006" s="125" t="s">
        <v>5480</v>
      </c>
      <c r="F2006" s="122" t="s">
        <v>30</v>
      </c>
      <c r="G2006" s="122" t="s">
        <v>30</v>
      </c>
      <c r="H2006" s="122" t="s">
        <v>34</v>
      </c>
      <c r="I2006" s="125" t="s">
        <v>1755</v>
      </c>
      <c r="J2006" s="129" t="s">
        <v>8644</v>
      </c>
      <c r="K2006" s="122" t="s">
        <v>5481</v>
      </c>
      <c r="L2006" s="131" t="s">
        <v>209</v>
      </c>
      <c r="M2006" s="133" t="s">
        <v>5482</v>
      </c>
      <c r="N2006" s="122" t="s">
        <v>30</v>
      </c>
    </row>
    <row r="2007" spans="2:14" hidden="1" x14ac:dyDescent="0.25">
      <c r="B2007" s="120">
        <v>2004</v>
      </c>
      <c r="C2007" s="122">
        <v>20502351908</v>
      </c>
      <c r="D2007" s="125" t="s">
        <v>223</v>
      </c>
      <c r="E2007" s="125" t="s">
        <v>5480</v>
      </c>
      <c r="F2007" s="122" t="s">
        <v>30</v>
      </c>
      <c r="G2007" s="122" t="s">
        <v>30</v>
      </c>
      <c r="H2007" s="122" t="s">
        <v>34</v>
      </c>
      <c r="I2007" s="125" t="s">
        <v>1755</v>
      </c>
      <c r="J2007" s="129" t="s">
        <v>5483</v>
      </c>
      <c r="K2007" s="122" t="s">
        <v>5484</v>
      </c>
      <c r="L2007" s="131" t="s">
        <v>209</v>
      </c>
      <c r="M2007" s="133" t="s">
        <v>5482</v>
      </c>
      <c r="N2007" s="122" t="s">
        <v>30</v>
      </c>
    </row>
    <row r="2008" spans="2:14" hidden="1" x14ac:dyDescent="0.25">
      <c r="B2008" s="120">
        <v>2005</v>
      </c>
      <c r="C2008" s="122">
        <v>20502351908</v>
      </c>
      <c r="D2008" s="125" t="s">
        <v>223</v>
      </c>
      <c r="E2008" s="125" t="s">
        <v>5480</v>
      </c>
      <c r="F2008" s="122" t="s">
        <v>30</v>
      </c>
      <c r="G2008" s="122" t="s">
        <v>30</v>
      </c>
      <c r="H2008" s="122" t="s">
        <v>34</v>
      </c>
      <c r="I2008" s="125" t="s">
        <v>1755</v>
      </c>
      <c r="J2008" s="129" t="s">
        <v>5485</v>
      </c>
      <c r="K2008" s="122" t="s">
        <v>5486</v>
      </c>
      <c r="L2008" s="131" t="s">
        <v>209</v>
      </c>
      <c r="M2008" s="133" t="s">
        <v>5482</v>
      </c>
      <c r="N2008" s="122" t="s">
        <v>30</v>
      </c>
    </row>
    <row r="2009" spans="2:14" hidden="1" x14ac:dyDescent="0.25">
      <c r="B2009" s="120">
        <v>2006</v>
      </c>
      <c r="C2009" s="122">
        <v>20502351908</v>
      </c>
      <c r="D2009" s="125" t="s">
        <v>223</v>
      </c>
      <c r="E2009" s="125" t="s">
        <v>5480</v>
      </c>
      <c r="F2009" s="122" t="s">
        <v>30</v>
      </c>
      <c r="G2009" s="122" t="s">
        <v>30</v>
      </c>
      <c r="H2009" s="122" t="s">
        <v>34</v>
      </c>
      <c r="I2009" s="125" t="s">
        <v>1755</v>
      </c>
      <c r="J2009" s="129" t="s">
        <v>5487</v>
      </c>
      <c r="K2009" s="122" t="s">
        <v>5488</v>
      </c>
      <c r="L2009" s="131" t="s">
        <v>42</v>
      </c>
      <c r="M2009" s="133" t="s">
        <v>5482</v>
      </c>
      <c r="N2009" s="122" t="s">
        <v>30</v>
      </c>
    </row>
    <row r="2010" spans="2:14" hidden="1" x14ac:dyDescent="0.25">
      <c r="B2010" s="120">
        <v>2007</v>
      </c>
      <c r="C2010" s="122">
        <v>20502351908</v>
      </c>
      <c r="D2010" s="125" t="s">
        <v>223</v>
      </c>
      <c r="E2010" s="125" t="s">
        <v>5480</v>
      </c>
      <c r="F2010" s="122" t="s">
        <v>30</v>
      </c>
      <c r="G2010" s="122" t="s">
        <v>30</v>
      </c>
      <c r="H2010" s="122" t="s">
        <v>34</v>
      </c>
      <c r="I2010" s="125" t="s">
        <v>1755</v>
      </c>
      <c r="J2010" s="129" t="s">
        <v>5489</v>
      </c>
      <c r="K2010" s="122" t="s">
        <v>5490</v>
      </c>
      <c r="L2010" s="131" t="s">
        <v>209</v>
      </c>
      <c r="M2010" s="133" t="s">
        <v>5482</v>
      </c>
      <c r="N2010" s="122" t="s">
        <v>30</v>
      </c>
    </row>
    <row r="2011" spans="2:14" hidden="1" x14ac:dyDescent="0.25">
      <c r="B2011" s="120">
        <v>2008</v>
      </c>
      <c r="C2011" s="122">
        <v>20502351908</v>
      </c>
      <c r="D2011" s="125" t="s">
        <v>223</v>
      </c>
      <c r="E2011" s="125" t="s">
        <v>5480</v>
      </c>
      <c r="F2011" s="122" t="s">
        <v>30</v>
      </c>
      <c r="G2011" s="122" t="s">
        <v>30</v>
      </c>
      <c r="H2011" s="122" t="s">
        <v>34</v>
      </c>
      <c r="I2011" s="125" t="s">
        <v>1755</v>
      </c>
      <c r="J2011" s="129" t="s">
        <v>5491</v>
      </c>
      <c r="K2011" s="122" t="s">
        <v>5492</v>
      </c>
      <c r="L2011" s="131" t="s">
        <v>209</v>
      </c>
      <c r="M2011" s="133" t="s">
        <v>5482</v>
      </c>
      <c r="N2011" s="122" t="s">
        <v>30</v>
      </c>
    </row>
    <row r="2012" spans="2:14" hidden="1" x14ac:dyDescent="0.25">
      <c r="B2012" s="120">
        <v>2009</v>
      </c>
      <c r="C2012" s="122">
        <v>20502351908</v>
      </c>
      <c r="D2012" s="125" t="s">
        <v>223</v>
      </c>
      <c r="E2012" s="125" t="s">
        <v>5480</v>
      </c>
      <c r="F2012" s="122" t="s">
        <v>30</v>
      </c>
      <c r="G2012" s="122" t="s">
        <v>30</v>
      </c>
      <c r="H2012" s="122" t="s">
        <v>34</v>
      </c>
      <c r="I2012" s="125" t="s">
        <v>1755</v>
      </c>
      <c r="J2012" s="129" t="s">
        <v>5493</v>
      </c>
      <c r="K2012" s="122" t="s">
        <v>5494</v>
      </c>
      <c r="L2012" s="131" t="s">
        <v>209</v>
      </c>
      <c r="M2012" s="133" t="s">
        <v>5482</v>
      </c>
      <c r="N2012" s="122" t="s">
        <v>30</v>
      </c>
    </row>
    <row r="2013" spans="2:14" hidden="1" x14ac:dyDescent="0.25">
      <c r="B2013" s="120">
        <v>2010</v>
      </c>
      <c r="C2013" s="122">
        <v>20502351908</v>
      </c>
      <c r="D2013" s="125" t="s">
        <v>223</v>
      </c>
      <c r="E2013" s="125" t="s">
        <v>5480</v>
      </c>
      <c r="F2013" s="122" t="s">
        <v>30</v>
      </c>
      <c r="G2013" s="122" t="s">
        <v>30</v>
      </c>
      <c r="H2013" s="122" t="s">
        <v>34</v>
      </c>
      <c r="I2013" s="125" t="s">
        <v>1755</v>
      </c>
      <c r="J2013" s="129" t="s">
        <v>5495</v>
      </c>
      <c r="K2013" s="122" t="s">
        <v>5496</v>
      </c>
      <c r="L2013" s="131" t="s">
        <v>209</v>
      </c>
      <c r="M2013" s="133" t="s">
        <v>5482</v>
      </c>
      <c r="N2013" s="122" t="s">
        <v>30</v>
      </c>
    </row>
    <row r="2014" spans="2:14" hidden="1" x14ac:dyDescent="0.25">
      <c r="B2014" s="120">
        <v>2011</v>
      </c>
      <c r="C2014" s="122">
        <v>20544157966</v>
      </c>
      <c r="D2014" s="125" t="s">
        <v>5257</v>
      </c>
      <c r="E2014" s="125" t="s">
        <v>5258</v>
      </c>
      <c r="F2014" s="122" t="s">
        <v>30</v>
      </c>
      <c r="G2014" s="122" t="s">
        <v>30</v>
      </c>
      <c r="H2014" s="122" t="s">
        <v>41</v>
      </c>
      <c r="I2014" s="125" t="s">
        <v>1694</v>
      </c>
      <c r="J2014" s="129" t="s">
        <v>20637</v>
      </c>
      <c r="K2014" s="122" t="s">
        <v>5497</v>
      </c>
      <c r="L2014" s="131" t="s">
        <v>42</v>
      </c>
      <c r="M2014" s="133" t="s">
        <v>5498</v>
      </c>
      <c r="N2014" s="122" t="s">
        <v>30</v>
      </c>
    </row>
    <row r="2015" spans="2:14" hidden="1" x14ac:dyDescent="0.25">
      <c r="B2015" s="120">
        <v>2012</v>
      </c>
      <c r="C2015" s="122">
        <v>20600870581</v>
      </c>
      <c r="D2015" s="125" t="s">
        <v>4811</v>
      </c>
      <c r="E2015" s="125" t="s">
        <v>4812</v>
      </c>
      <c r="F2015" s="122" t="s">
        <v>30</v>
      </c>
      <c r="G2015" s="122" t="s">
        <v>30</v>
      </c>
      <c r="H2015" s="122" t="s">
        <v>40</v>
      </c>
      <c r="I2015" s="125" t="s">
        <v>1398</v>
      </c>
      <c r="J2015" s="129" t="s">
        <v>20641</v>
      </c>
      <c r="K2015" s="122" t="s">
        <v>5499</v>
      </c>
      <c r="L2015" s="131" t="s">
        <v>42</v>
      </c>
      <c r="M2015" s="133" t="s">
        <v>5500</v>
      </c>
      <c r="N2015" s="122" t="s">
        <v>30</v>
      </c>
    </row>
    <row r="2016" spans="2:14" hidden="1" x14ac:dyDescent="0.25">
      <c r="B2016" s="120">
        <v>2013</v>
      </c>
      <c r="C2016" s="122">
        <v>20600870581</v>
      </c>
      <c r="D2016" s="125" t="s">
        <v>4811</v>
      </c>
      <c r="E2016" s="125" t="s">
        <v>4812</v>
      </c>
      <c r="F2016" s="122" t="s">
        <v>30</v>
      </c>
      <c r="G2016" s="122" t="s">
        <v>30</v>
      </c>
      <c r="H2016" s="122" t="s">
        <v>40</v>
      </c>
      <c r="I2016" s="125" t="s">
        <v>1398</v>
      </c>
      <c r="J2016" s="129" t="s">
        <v>5501</v>
      </c>
      <c r="K2016" s="122" t="s">
        <v>5502</v>
      </c>
      <c r="L2016" s="131" t="s">
        <v>76</v>
      </c>
      <c r="M2016" s="133" t="s">
        <v>5500</v>
      </c>
      <c r="N2016" s="122" t="s">
        <v>30</v>
      </c>
    </row>
    <row r="2017" spans="2:14" hidden="1" x14ac:dyDescent="0.25">
      <c r="B2017" s="120">
        <v>2014</v>
      </c>
      <c r="C2017" s="122">
        <v>20546349781</v>
      </c>
      <c r="D2017" s="125" t="s">
        <v>235</v>
      </c>
      <c r="E2017" s="125" t="s">
        <v>5503</v>
      </c>
      <c r="F2017" s="122" t="s">
        <v>30</v>
      </c>
      <c r="G2017" s="122" t="s">
        <v>30</v>
      </c>
      <c r="H2017" s="122" t="s">
        <v>38</v>
      </c>
      <c r="I2017" s="125" t="s">
        <v>1809</v>
      </c>
      <c r="J2017" s="129" t="s">
        <v>20677</v>
      </c>
      <c r="K2017" s="122" t="s">
        <v>5504</v>
      </c>
      <c r="L2017" s="131" t="s">
        <v>42</v>
      </c>
      <c r="M2017" s="133" t="s">
        <v>5505</v>
      </c>
      <c r="N2017" s="122" t="s">
        <v>30</v>
      </c>
    </row>
    <row r="2018" spans="2:14" hidden="1" x14ac:dyDescent="0.25">
      <c r="B2018" s="120">
        <v>2015</v>
      </c>
      <c r="C2018" s="122">
        <v>20546349781</v>
      </c>
      <c r="D2018" s="125" t="s">
        <v>235</v>
      </c>
      <c r="E2018" s="125" t="s">
        <v>5503</v>
      </c>
      <c r="F2018" s="122" t="s">
        <v>30</v>
      </c>
      <c r="G2018" s="122" t="s">
        <v>30</v>
      </c>
      <c r="H2018" s="122" t="s">
        <v>38</v>
      </c>
      <c r="I2018" s="125" t="s">
        <v>1809</v>
      </c>
      <c r="J2018" s="129" t="s">
        <v>20676</v>
      </c>
      <c r="K2018" s="122" t="s">
        <v>5506</v>
      </c>
      <c r="L2018" s="131" t="s">
        <v>209</v>
      </c>
      <c r="M2018" s="133" t="s">
        <v>5505</v>
      </c>
      <c r="N2018" s="122" t="s">
        <v>30</v>
      </c>
    </row>
    <row r="2019" spans="2:14" hidden="1" x14ac:dyDescent="0.25">
      <c r="B2019" s="120">
        <v>2016</v>
      </c>
      <c r="C2019" s="122">
        <v>20546349781</v>
      </c>
      <c r="D2019" s="125" t="s">
        <v>235</v>
      </c>
      <c r="E2019" s="125" t="s">
        <v>5503</v>
      </c>
      <c r="F2019" s="122" t="s">
        <v>30</v>
      </c>
      <c r="G2019" s="122" t="s">
        <v>30</v>
      </c>
      <c r="H2019" s="122" t="s">
        <v>38</v>
      </c>
      <c r="I2019" s="125" t="s">
        <v>1809</v>
      </c>
      <c r="J2019" s="129" t="s">
        <v>5507</v>
      </c>
      <c r="K2019" s="122" t="s">
        <v>5508</v>
      </c>
      <c r="L2019" s="131" t="s">
        <v>209</v>
      </c>
      <c r="M2019" s="133" t="s">
        <v>5505</v>
      </c>
      <c r="N2019" s="122" t="s">
        <v>30</v>
      </c>
    </row>
    <row r="2020" spans="2:14" hidden="1" x14ac:dyDescent="0.25">
      <c r="B2020" s="120">
        <v>2017</v>
      </c>
      <c r="C2020" s="122">
        <v>20605765646</v>
      </c>
      <c r="D2020" s="125" t="s">
        <v>398</v>
      </c>
      <c r="E2020" s="125" t="s">
        <v>5255</v>
      </c>
      <c r="F2020" s="122" t="s">
        <v>30</v>
      </c>
      <c r="G2020" s="122" t="s">
        <v>30</v>
      </c>
      <c r="H2020" s="122" t="s">
        <v>50</v>
      </c>
      <c r="I2020" s="125" t="s">
        <v>1424</v>
      </c>
      <c r="J2020" s="129" t="s">
        <v>20697</v>
      </c>
      <c r="K2020" s="122" t="s">
        <v>5509</v>
      </c>
      <c r="L2020" s="131" t="s">
        <v>42</v>
      </c>
      <c r="M2020" s="133" t="s">
        <v>5510</v>
      </c>
      <c r="N2020" s="122" t="s">
        <v>30</v>
      </c>
    </row>
    <row r="2021" spans="2:14" hidden="1" x14ac:dyDescent="0.25">
      <c r="B2021" s="120">
        <v>2018</v>
      </c>
      <c r="C2021" s="122">
        <v>20511506949</v>
      </c>
      <c r="D2021" s="125" t="s">
        <v>5249</v>
      </c>
      <c r="E2021" s="125" t="s">
        <v>5250</v>
      </c>
      <c r="F2021" s="122" t="s">
        <v>67</v>
      </c>
      <c r="G2021" s="122" t="s">
        <v>5511</v>
      </c>
      <c r="H2021" s="122" t="s">
        <v>153</v>
      </c>
      <c r="I2021" s="125" t="s">
        <v>1424</v>
      </c>
      <c r="J2021" s="129" t="s">
        <v>20723</v>
      </c>
      <c r="K2021" s="122" t="s">
        <v>5512</v>
      </c>
      <c r="L2021" s="131" t="s">
        <v>42</v>
      </c>
      <c r="M2021" s="133" t="s">
        <v>5513</v>
      </c>
      <c r="N2021" s="122" t="s">
        <v>30</v>
      </c>
    </row>
    <row r="2022" spans="2:14" hidden="1" x14ac:dyDescent="0.25">
      <c r="B2022" s="120">
        <v>2019</v>
      </c>
      <c r="C2022" s="122">
        <v>20511506949</v>
      </c>
      <c r="D2022" s="125" t="s">
        <v>5249</v>
      </c>
      <c r="E2022" s="125" t="s">
        <v>5250</v>
      </c>
      <c r="F2022" s="122" t="s">
        <v>67</v>
      </c>
      <c r="G2022" s="122" t="s">
        <v>5511</v>
      </c>
      <c r="H2022" s="122" t="s">
        <v>153</v>
      </c>
      <c r="I2022" s="125" t="s">
        <v>1424</v>
      </c>
      <c r="J2022" s="129" t="s">
        <v>20724</v>
      </c>
      <c r="K2022" s="122" t="s">
        <v>5514</v>
      </c>
      <c r="L2022" s="131" t="s">
        <v>36</v>
      </c>
      <c r="M2022" s="133" t="s">
        <v>5513</v>
      </c>
      <c r="N2022" s="122" t="s">
        <v>30</v>
      </c>
    </row>
    <row r="2023" spans="2:14" hidden="1" x14ac:dyDescent="0.25">
      <c r="B2023" s="120">
        <v>2020</v>
      </c>
      <c r="C2023" s="122">
        <v>20108474867</v>
      </c>
      <c r="D2023" s="125" t="s">
        <v>5247</v>
      </c>
      <c r="E2023" s="125" t="s">
        <v>5248</v>
      </c>
      <c r="F2023" s="122" t="s">
        <v>30</v>
      </c>
      <c r="G2023" s="122" t="s">
        <v>30</v>
      </c>
      <c r="H2023" s="122" t="s">
        <v>34</v>
      </c>
      <c r="I2023" s="125" t="s">
        <v>1643</v>
      </c>
      <c r="J2023" s="129" t="s">
        <v>5516</v>
      </c>
      <c r="K2023" s="122" t="s">
        <v>5517</v>
      </c>
      <c r="L2023" s="131" t="s">
        <v>42</v>
      </c>
      <c r="M2023" s="133" t="s">
        <v>5515</v>
      </c>
      <c r="N2023" s="122" t="s">
        <v>30</v>
      </c>
    </row>
    <row r="2024" spans="2:14" hidden="1" x14ac:dyDescent="0.25">
      <c r="B2024" s="120">
        <v>2021</v>
      </c>
      <c r="C2024" s="122">
        <v>20610131809</v>
      </c>
      <c r="D2024" s="125" t="s">
        <v>5518</v>
      </c>
      <c r="E2024" s="125" t="s">
        <v>5519</v>
      </c>
      <c r="F2024" s="122" t="s">
        <v>30</v>
      </c>
      <c r="G2024" s="122" t="s">
        <v>30</v>
      </c>
      <c r="H2024" s="122" t="s">
        <v>45</v>
      </c>
      <c r="I2024" s="125" t="s">
        <v>1424</v>
      </c>
      <c r="J2024" s="129" t="s">
        <v>7699</v>
      </c>
      <c r="K2024" s="122" t="s">
        <v>5520</v>
      </c>
      <c r="L2024" s="131" t="s">
        <v>57</v>
      </c>
      <c r="M2024" s="133" t="s">
        <v>5521</v>
      </c>
      <c r="N2024" s="122" t="s">
        <v>30</v>
      </c>
    </row>
    <row r="2025" spans="2:14" hidden="1" x14ac:dyDescent="0.25">
      <c r="B2025" s="120">
        <v>2022</v>
      </c>
      <c r="C2025" s="122">
        <v>20600848926</v>
      </c>
      <c r="D2025" s="125" t="s">
        <v>172</v>
      </c>
      <c r="E2025" s="125" t="s">
        <v>5522</v>
      </c>
      <c r="F2025" s="122" t="s">
        <v>30</v>
      </c>
      <c r="G2025" s="122" t="s">
        <v>170</v>
      </c>
      <c r="H2025" s="122" t="s">
        <v>171</v>
      </c>
      <c r="I2025" s="125" t="s">
        <v>1398</v>
      </c>
      <c r="J2025" s="129" t="s">
        <v>5523</v>
      </c>
      <c r="K2025" s="122" t="s">
        <v>5524</v>
      </c>
      <c r="L2025" s="131" t="s">
        <v>57</v>
      </c>
      <c r="M2025" s="133" t="s">
        <v>5525</v>
      </c>
      <c r="N2025" s="122" t="s">
        <v>171</v>
      </c>
    </row>
    <row r="2026" spans="2:14" hidden="1" x14ac:dyDescent="0.25">
      <c r="B2026" s="120">
        <v>2023</v>
      </c>
      <c r="C2026" s="122">
        <v>20551796621</v>
      </c>
      <c r="D2026" s="125" t="s">
        <v>3535</v>
      </c>
      <c r="E2026" s="125" t="s">
        <v>5526</v>
      </c>
      <c r="F2026" s="122" t="s">
        <v>1980</v>
      </c>
      <c r="G2026" s="122" t="s">
        <v>30</v>
      </c>
      <c r="H2026" s="122" t="s">
        <v>30</v>
      </c>
      <c r="I2026" s="125" t="s">
        <v>75</v>
      </c>
      <c r="J2026" s="129" t="s">
        <v>20725</v>
      </c>
      <c r="K2026" s="122" t="s">
        <v>5527</v>
      </c>
      <c r="L2026" s="131" t="s">
        <v>42</v>
      </c>
      <c r="M2026" s="133" t="s">
        <v>5528</v>
      </c>
      <c r="N2026" s="122" t="s">
        <v>30</v>
      </c>
    </row>
    <row r="2027" spans="2:14" hidden="1" x14ac:dyDescent="0.25">
      <c r="B2027" s="120">
        <v>2024</v>
      </c>
      <c r="C2027" s="122">
        <v>20516056755</v>
      </c>
      <c r="D2027" s="125" t="s">
        <v>5529</v>
      </c>
      <c r="E2027" s="125" t="s">
        <v>5530</v>
      </c>
      <c r="F2027" s="122" t="s">
        <v>5531</v>
      </c>
      <c r="G2027" s="122" t="s">
        <v>5531</v>
      </c>
      <c r="H2027" s="122" t="s">
        <v>67</v>
      </c>
      <c r="I2027" s="125" t="s">
        <v>1395</v>
      </c>
      <c r="J2027" s="129" t="s">
        <v>5532</v>
      </c>
      <c r="K2027" s="122" t="s">
        <v>5533</v>
      </c>
      <c r="L2027" s="131" t="s">
        <v>42</v>
      </c>
      <c r="M2027" s="133" t="s">
        <v>5534</v>
      </c>
      <c r="N2027" s="122" t="s">
        <v>30</v>
      </c>
    </row>
    <row r="2028" spans="2:14" hidden="1" x14ac:dyDescent="0.25">
      <c r="B2028" s="120">
        <v>2025</v>
      </c>
      <c r="C2028" s="122">
        <v>20601991951</v>
      </c>
      <c r="D2028" s="125" t="s">
        <v>5535</v>
      </c>
      <c r="E2028" s="125" t="s">
        <v>5536</v>
      </c>
      <c r="F2028" s="122" t="s">
        <v>30</v>
      </c>
      <c r="G2028" s="122" t="s">
        <v>30</v>
      </c>
      <c r="H2028" s="122" t="s">
        <v>30</v>
      </c>
      <c r="I2028" s="125" t="s">
        <v>1961</v>
      </c>
      <c r="J2028" s="129" t="s">
        <v>5537</v>
      </c>
      <c r="K2028" s="122" t="s">
        <v>5538</v>
      </c>
      <c r="L2028" s="131" t="s">
        <v>42</v>
      </c>
      <c r="M2028" s="133" t="s">
        <v>5539</v>
      </c>
      <c r="N2028" s="122" t="s">
        <v>30</v>
      </c>
    </row>
    <row r="2029" spans="2:14" hidden="1" x14ac:dyDescent="0.25">
      <c r="B2029" s="120">
        <v>2026</v>
      </c>
      <c r="C2029" s="122">
        <v>20536194445</v>
      </c>
      <c r="D2029" s="125" t="s">
        <v>5352</v>
      </c>
      <c r="E2029" s="125" t="s">
        <v>5353</v>
      </c>
      <c r="F2029" s="122" t="s">
        <v>30</v>
      </c>
      <c r="G2029" s="122" t="s">
        <v>30</v>
      </c>
      <c r="H2029" s="122" t="s">
        <v>43</v>
      </c>
      <c r="I2029" s="125" t="s">
        <v>1948</v>
      </c>
      <c r="J2029" s="129" t="s">
        <v>5540</v>
      </c>
      <c r="K2029" s="122" t="s">
        <v>5541</v>
      </c>
      <c r="L2029" s="131" t="s">
        <v>42</v>
      </c>
      <c r="M2029" s="133" t="s">
        <v>5542</v>
      </c>
      <c r="N2029" s="122" t="s">
        <v>30</v>
      </c>
    </row>
    <row r="2030" spans="2:14" hidden="1" x14ac:dyDescent="0.25">
      <c r="B2030" s="120">
        <v>2027</v>
      </c>
      <c r="C2030" s="122">
        <v>20547606559</v>
      </c>
      <c r="D2030" s="125" t="s">
        <v>5543</v>
      </c>
      <c r="E2030" s="125" t="s">
        <v>5544</v>
      </c>
      <c r="F2030" s="122" t="s">
        <v>30</v>
      </c>
      <c r="G2030" s="122" t="s">
        <v>30</v>
      </c>
      <c r="H2030" s="122" t="s">
        <v>58</v>
      </c>
      <c r="I2030" s="125" t="s">
        <v>1424</v>
      </c>
      <c r="J2030" s="129" t="s">
        <v>20728</v>
      </c>
      <c r="K2030" s="122" t="s">
        <v>5545</v>
      </c>
      <c r="L2030" s="131" t="s">
        <v>42</v>
      </c>
      <c r="M2030" s="133" t="s">
        <v>5546</v>
      </c>
      <c r="N2030" s="122" t="s">
        <v>30</v>
      </c>
    </row>
    <row r="2031" spans="2:14" hidden="1" x14ac:dyDescent="0.25">
      <c r="B2031" s="120">
        <v>2028</v>
      </c>
      <c r="C2031" s="122">
        <v>20604724768</v>
      </c>
      <c r="D2031" s="125" t="s">
        <v>5547</v>
      </c>
      <c r="E2031" s="125" t="s">
        <v>5548</v>
      </c>
      <c r="F2031" s="122" t="s">
        <v>30</v>
      </c>
      <c r="G2031" s="122" t="s">
        <v>30</v>
      </c>
      <c r="H2031" s="122" t="s">
        <v>72</v>
      </c>
      <c r="I2031" s="125" t="s">
        <v>1983</v>
      </c>
      <c r="J2031" s="129" t="s">
        <v>5549</v>
      </c>
      <c r="K2031" s="122" t="s">
        <v>5550</v>
      </c>
      <c r="L2031" s="131" t="s">
        <v>42</v>
      </c>
      <c r="M2031" s="133" t="s">
        <v>5551</v>
      </c>
      <c r="N2031" s="122" t="s">
        <v>30</v>
      </c>
    </row>
    <row r="2032" spans="2:14" hidden="1" x14ac:dyDescent="0.25">
      <c r="B2032" s="120">
        <v>2029</v>
      </c>
      <c r="C2032" s="122">
        <v>20552146621</v>
      </c>
      <c r="D2032" s="125" t="s">
        <v>5552</v>
      </c>
      <c r="E2032" s="125" t="s">
        <v>5553</v>
      </c>
      <c r="F2032" s="122" t="s">
        <v>30</v>
      </c>
      <c r="G2032" s="122" t="s">
        <v>30</v>
      </c>
      <c r="H2032" s="122" t="s">
        <v>43</v>
      </c>
      <c r="I2032" s="125" t="s">
        <v>1395</v>
      </c>
      <c r="J2032" s="129" t="s">
        <v>5554</v>
      </c>
      <c r="K2032" s="122" t="s">
        <v>5555</v>
      </c>
      <c r="L2032" s="131" t="s">
        <v>42</v>
      </c>
      <c r="M2032" s="133" t="s">
        <v>5556</v>
      </c>
      <c r="N2032" s="122" t="s">
        <v>30</v>
      </c>
    </row>
    <row r="2033" spans="2:14" hidden="1" x14ac:dyDescent="0.25">
      <c r="B2033" s="120">
        <v>2030</v>
      </c>
      <c r="C2033" s="122">
        <v>20605402306</v>
      </c>
      <c r="D2033" s="125" t="s">
        <v>5557</v>
      </c>
      <c r="E2033" s="125" t="s">
        <v>5558</v>
      </c>
      <c r="F2033" s="122" t="s">
        <v>30</v>
      </c>
      <c r="G2033" s="122" t="s">
        <v>30</v>
      </c>
      <c r="H2033" s="122" t="s">
        <v>75</v>
      </c>
      <c r="I2033" s="125" t="s">
        <v>1395</v>
      </c>
      <c r="J2033" s="129" t="s">
        <v>5559</v>
      </c>
      <c r="K2033" s="122" t="s">
        <v>5560</v>
      </c>
      <c r="L2033" s="131" t="s">
        <v>57</v>
      </c>
      <c r="M2033" s="133" t="s">
        <v>5561</v>
      </c>
      <c r="N2033" s="122" t="s">
        <v>30</v>
      </c>
    </row>
    <row r="2034" spans="2:14" hidden="1" x14ac:dyDescent="0.25">
      <c r="B2034" s="120">
        <v>2031</v>
      </c>
      <c r="C2034" s="122">
        <v>20609091976</v>
      </c>
      <c r="D2034" s="125" t="s">
        <v>3487</v>
      </c>
      <c r="E2034" s="125" t="s">
        <v>5562</v>
      </c>
      <c r="F2034" s="122" t="s">
        <v>30</v>
      </c>
      <c r="G2034" s="122" t="s">
        <v>30</v>
      </c>
      <c r="H2034" s="122" t="s">
        <v>58</v>
      </c>
      <c r="I2034" s="125" t="s">
        <v>1395</v>
      </c>
      <c r="J2034" s="129" t="s">
        <v>5563</v>
      </c>
      <c r="K2034" s="122" t="s">
        <v>5564</v>
      </c>
      <c r="L2034" s="131" t="s">
        <v>57</v>
      </c>
      <c r="M2034" s="133" t="s">
        <v>5565</v>
      </c>
      <c r="N2034" s="122" t="s">
        <v>30</v>
      </c>
    </row>
    <row r="2035" spans="2:14" hidden="1" x14ac:dyDescent="0.25">
      <c r="B2035" s="120">
        <v>2032</v>
      </c>
      <c r="C2035" s="122">
        <v>20604140243</v>
      </c>
      <c r="D2035" s="125" t="s">
        <v>5566</v>
      </c>
      <c r="E2035" s="125" t="s">
        <v>5567</v>
      </c>
      <c r="F2035" s="122" t="s">
        <v>1530</v>
      </c>
      <c r="G2035" s="122" t="s">
        <v>1530</v>
      </c>
      <c r="H2035" s="122" t="s">
        <v>38</v>
      </c>
      <c r="I2035" s="125" t="s">
        <v>1561</v>
      </c>
      <c r="J2035" s="129" t="s">
        <v>5568</v>
      </c>
      <c r="K2035" s="122" t="s">
        <v>5569</v>
      </c>
      <c r="L2035" s="131" t="s">
        <v>57</v>
      </c>
      <c r="M2035" s="133" t="s">
        <v>845</v>
      </c>
      <c r="N2035" s="122" t="s">
        <v>845</v>
      </c>
    </row>
    <row r="2036" spans="2:14" hidden="1" x14ac:dyDescent="0.25">
      <c r="B2036" s="120">
        <v>2033</v>
      </c>
      <c r="C2036" s="122">
        <v>20543561453</v>
      </c>
      <c r="D2036" s="125" t="s">
        <v>5570</v>
      </c>
      <c r="E2036" s="125" t="s">
        <v>5571</v>
      </c>
      <c r="F2036" s="122" t="s">
        <v>1530</v>
      </c>
      <c r="G2036" s="122" t="s">
        <v>1530</v>
      </c>
      <c r="H2036" s="122" t="s">
        <v>64</v>
      </c>
      <c r="I2036" s="125" t="s">
        <v>5572</v>
      </c>
      <c r="J2036" s="129" t="s">
        <v>5573</v>
      </c>
      <c r="K2036" s="122" t="s">
        <v>5574</v>
      </c>
      <c r="L2036" s="131" t="s">
        <v>42</v>
      </c>
      <c r="M2036" s="133" t="s">
        <v>5575</v>
      </c>
      <c r="N2036" s="122" t="s">
        <v>1530</v>
      </c>
    </row>
    <row r="2037" spans="2:14" hidden="1" x14ac:dyDescent="0.25">
      <c r="B2037" s="120">
        <v>2034</v>
      </c>
      <c r="C2037" s="122">
        <v>20602754228</v>
      </c>
      <c r="D2037" s="125" t="s">
        <v>5576</v>
      </c>
      <c r="E2037" s="125" t="s">
        <v>5577</v>
      </c>
      <c r="F2037" s="122" t="s">
        <v>30</v>
      </c>
      <c r="G2037" s="122" t="s">
        <v>30</v>
      </c>
      <c r="H2037" s="122" t="s">
        <v>30</v>
      </c>
      <c r="I2037" s="125" t="s">
        <v>1424</v>
      </c>
      <c r="J2037" s="129" t="s">
        <v>5578</v>
      </c>
      <c r="K2037" s="122" t="s">
        <v>5579</v>
      </c>
      <c r="L2037" s="131" t="s">
        <v>36</v>
      </c>
      <c r="M2037" s="133" t="s">
        <v>5580</v>
      </c>
      <c r="N2037" s="122" t="s">
        <v>30</v>
      </c>
    </row>
    <row r="2038" spans="2:14" hidden="1" x14ac:dyDescent="0.25">
      <c r="B2038" s="120">
        <v>2035</v>
      </c>
      <c r="C2038" s="122">
        <v>20563466511</v>
      </c>
      <c r="D2038" s="125" t="s">
        <v>5581</v>
      </c>
      <c r="E2038" s="125" t="s">
        <v>5582</v>
      </c>
      <c r="F2038" s="122" t="s">
        <v>5583</v>
      </c>
      <c r="G2038" s="122" t="s">
        <v>67</v>
      </c>
      <c r="H2038" s="122" t="s">
        <v>143</v>
      </c>
      <c r="I2038" s="125" t="s">
        <v>1377</v>
      </c>
      <c r="J2038" s="129" t="s">
        <v>5584</v>
      </c>
      <c r="K2038" s="122" t="s">
        <v>5585</v>
      </c>
      <c r="L2038" s="131" t="s">
        <v>42</v>
      </c>
      <c r="M2038" s="133" t="s">
        <v>845</v>
      </c>
      <c r="N2038" s="122" t="s">
        <v>845</v>
      </c>
    </row>
    <row r="2039" spans="2:14" hidden="1" x14ac:dyDescent="0.25">
      <c r="B2039" s="120">
        <v>2036</v>
      </c>
      <c r="C2039" s="122">
        <v>20101049711</v>
      </c>
      <c r="D2039" s="125" t="s">
        <v>5586</v>
      </c>
      <c r="E2039" s="125" t="s">
        <v>5587</v>
      </c>
      <c r="F2039" s="122" t="s">
        <v>1530</v>
      </c>
      <c r="G2039" s="122" t="s">
        <v>1530</v>
      </c>
      <c r="H2039" s="122" t="s">
        <v>135</v>
      </c>
      <c r="I2039" s="125" t="s">
        <v>5588</v>
      </c>
      <c r="J2039" s="129" t="s">
        <v>5589</v>
      </c>
      <c r="K2039" s="122" t="s">
        <v>5590</v>
      </c>
      <c r="L2039" s="131" t="s">
        <v>42</v>
      </c>
      <c r="M2039" s="133" t="s">
        <v>845</v>
      </c>
      <c r="N2039" s="122" t="s">
        <v>845</v>
      </c>
    </row>
    <row r="2040" spans="2:14" hidden="1" x14ac:dyDescent="0.25">
      <c r="B2040" s="120">
        <v>2037</v>
      </c>
      <c r="C2040" s="122">
        <v>20608014579</v>
      </c>
      <c r="D2040" s="125" t="s">
        <v>5591</v>
      </c>
      <c r="E2040" s="125" t="s">
        <v>5592</v>
      </c>
      <c r="F2040" s="122" t="s">
        <v>1530</v>
      </c>
      <c r="G2040" s="122" t="s">
        <v>1530</v>
      </c>
      <c r="H2040" s="122" t="s">
        <v>58</v>
      </c>
      <c r="I2040" s="125" t="s">
        <v>1958</v>
      </c>
      <c r="J2040" s="129" t="s">
        <v>5593</v>
      </c>
      <c r="K2040" s="122" t="s">
        <v>5594</v>
      </c>
      <c r="L2040" s="131" t="s">
        <v>42</v>
      </c>
      <c r="M2040" s="133" t="s">
        <v>5595</v>
      </c>
      <c r="N2040" s="122" t="s">
        <v>30</v>
      </c>
    </row>
    <row r="2041" spans="2:14" hidden="1" x14ac:dyDescent="0.25">
      <c r="B2041" s="120">
        <v>2038</v>
      </c>
      <c r="C2041" s="122">
        <v>20602241450</v>
      </c>
      <c r="D2041" s="125" t="s">
        <v>5596</v>
      </c>
      <c r="E2041" s="125" t="s">
        <v>5597</v>
      </c>
      <c r="F2041" s="122" t="s">
        <v>5583</v>
      </c>
      <c r="G2041" s="122" t="s">
        <v>67</v>
      </c>
      <c r="H2041" s="122" t="s">
        <v>67</v>
      </c>
      <c r="I2041" s="125" t="s">
        <v>1809</v>
      </c>
      <c r="J2041" s="129" t="s">
        <v>5598</v>
      </c>
      <c r="K2041" s="122" t="s">
        <v>5599</v>
      </c>
      <c r="L2041" s="131" t="s">
        <v>42</v>
      </c>
      <c r="M2041" s="133" t="s">
        <v>5600</v>
      </c>
      <c r="N2041" s="122" t="s">
        <v>1530</v>
      </c>
    </row>
    <row r="2042" spans="2:14" hidden="1" x14ac:dyDescent="0.25">
      <c r="B2042" s="120">
        <v>2039</v>
      </c>
      <c r="C2042" s="122">
        <v>20605822631</v>
      </c>
      <c r="D2042" s="125" t="s">
        <v>1114</v>
      </c>
      <c r="E2042" s="125" t="s">
        <v>5601</v>
      </c>
      <c r="F2042" s="122" t="s">
        <v>1530</v>
      </c>
      <c r="G2042" s="122" t="s">
        <v>1530</v>
      </c>
      <c r="H2042" s="122" t="s">
        <v>38</v>
      </c>
      <c r="I2042" s="125" t="s">
        <v>1961</v>
      </c>
      <c r="J2042" s="129" t="s">
        <v>5602</v>
      </c>
      <c r="K2042" s="122" t="s">
        <v>5603</v>
      </c>
      <c r="L2042" s="131" t="s">
        <v>42</v>
      </c>
      <c r="M2042" s="133" t="s">
        <v>5604</v>
      </c>
      <c r="N2042" s="122" t="s">
        <v>1530</v>
      </c>
    </row>
    <row r="2043" spans="2:14" hidden="1" x14ac:dyDescent="0.25">
      <c r="B2043" s="120">
        <v>2040</v>
      </c>
      <c r="C2043" s="122">
        <v>20604074101</v>
      </c>
      <c r="D2043" s="125" t="s">
        <v>5605</v>
      </c>
      <c r="E2043" s="125" t="s">
        <v>5606</v>
      </c>
      <c r="F2043" s="122" t="s">
        <v>1530</v>
      </c>
      <c r="G2043" s="122" t="s">
        <v>1530</v>
      </c>
      <c r="H2043" s="122" t="s">
        <v>43</v>
      </c>
      <c r="I2043" s="125" t="s">
        <v>1971</v>
      </c>
      <c r="J2043" s="129" t="s">
        <v>5607</v>
      </c>
      <c r="K2043" s="122" t="s">
        <v>5608</v>
      </c>
      <c r="L2043" s="131" t="s">
        <v>42</v>
      </c>
      <c r="M2043" s="133" t="s">
        <v>5609</v>
      </c>
      <c r="N2043" s="122" t="s">
        <v>1530</v>
      </c>
    </row>
    <row r="2044" spans="2:14" hidden="1" x14ac:dyDescent="0.25">
      <c r="B2044" s="120">
        <v>2041</v>
      </c>
      <c r="C2044" s="122">
        <v>20603619995</v>
      </c>
      <c r="D2044" s="125" t="s">
        <v>1080</v>
      </c>
      <c r="E2044" s="125" t="s">
        <v>5610</v>
      </c>
      <c r="F2044" s="122" t="s">
        <v>1530</v>
      </c>
      <c r="G2044" s="122" t="s">
        <v>1530</v>
      </c>
      <c r="H2044" s="122" t="s">
        <v>51</v>
      </c>
      <c r="I2044" s="125" t="s">
        <v>1519</v>
      </c>
      <c r="J2044" s="129" t="s">
        <v>5611</v>
      </c>
      <c r="K2044" s="122" t="s">
        <v>5612</v>
      </c>
      <c r="L2044" s="131" t="s">
        <v>42</v>
      </c>
      <c r="M2044" s="133" t="s">
        <v>845</v>
      </c>
      <c r="N2044" s="122" t="s">
        <v>845</v>
      </c>
    </row>
    <row r="2045" spans="2:14" hidden="1" x14ac:dyDescent="0.25">
      <c r="B2045" s="120">
        <v>2042</v>
      </c>
      <c r="C2045" s="122">
        <v>20557984357</v>
      </c>
      <c r="D2045" s="125" t="s">
        <v>5616</v>
      </c>
      <c r="E2045" s="125" t="s">
        <v>5617</v>
      </c>
      <c r="F2045" s="122" t="s">
        <v>1530</v>
      </c>
      <c r="G2045" s="122" t="s">
        <v>1530</v>
      </c>
      <c r="H2045" s="122" t="s">
        <v>72</v>
      </c>
      <c r="I2045" s="125" t="s">
        <v>1424</v>
      </c>
      <c r="J2045" s="129" t="s">
        <v>20739</v>
      </c>
      <c r="K2045" s="122" t="s">
        <v>5618</v>
      </c>
      <c r="L2045" s="131" t="s">
        <v>42</v>
      </c>
      <c r="M2045" s="133" t="s">
        <v>845</v>
      </c>
      <c r="N2045" s="122" t="s">
        <v>845</v>
      </c>
    </row>
    <row r="2046" spans="2:14" hidden="1" x14ac:dyDescent="0.25">
      <c r="B2046" s="120">
        <v>2043</v>
      </c>
      <c r="C2046" s="122">
        <v>20603504837</v>
      </c>
      <c r="D2046" s="125" t="s">
        <v>5619</v>
      </c>
      <c r="E2046" s="125" t="s">
        <v>5620</v>
      </c>
      <c r="F2046" s="122" t="s">
        <v>1530</v>
      </c>
      <c r="G2046" s="122" t="s">
        <v>30</v>
      </c>
      <c r="H2046" s="122" t="s">
        <v>68</v>
      </c>
      <c r="I2046" s="125" t="s">
        <v>1377</v>
      </c>
      <c r="J2046" s="129" t="s">
        <v>20740</v>
      </c>
      <c r="K2046" s="122" t="s">
        <v>5621</v>
      </c>
      <c r="L2046" s="131" t="s">
        <v>42</v>
      </c>
      <c r="M2046" s="133" t="s">
        <v>5622</v>
      </c>
      <c r="N2046" s="122" t="s">
        <v>1530</v>
      </c>
    </row>
    <row r="2047" spans="2:14" hidden="1" x14ac:dyDescent="0.25">
      <c r="B2047" s="120">
        <v>2044</v>
      </c>
      <c r="C2047" s="122">
        <v>20551023258</v>
      </c>
      <c r="D2047" s="125" t="s">
        <v>5623</v>
      </c>
      <c r="E2047" s="125" t="s">
        <v>5624</v>
      </c>
      <c r="F2047" s="122" t="s">
        <v>1530</v>
      </c>
      <c r="G2047" s="122" t="s">
        <v>1530</v>
      </c>
      <c r="H2047" s="122" t="s">
        <v>40</v>
      </c>
      <c r="I2047" s="125" t="s">
        <v>1962</v>
      </c>
      <c r="J2047" s="129" t="s">
        <v>20741</v>
      </c>
      <c r="K2047" s="122" t="s">
        <v>5625</v>
      </c>
      <c r="L2047" s="136" t="s">
        <v>42</v>
      </c>
      <c r="M2047" s="133" t="s">
        <v>5626</v>
      </c>
      <c r="N2047" s="122" t="s">
        <v>1530</v>
      </c>
    </row>
    <row r="2048" spans="2:14" hidden="1" x14ac:dyDescent="0.25">
      <c r="B2048" s="120">
        <v>2045</v>
      </c>
      <c r="C2048" s="122">
        <v>20551023258</v>
      </c>
      <c r="D2048" s="125" t="s">
        <v>5623</v>
      </c>
      <c r="E2048" s="125" t="s">
        <v>5624</v>
      </c>
      <c r="F2048" s="122" t="s">
        <v>1530</v>
      </c>
      <c r="G2048" s="122" t="s">
        <v>1530</v>
      </c>
      <c r="H2048" s="122" t="s">
        <v>40</v>
      </c>
      <c r="I2048" s="125" t="s">
        <v>1962</v>
      </c>
      <c r="J2048" s="129" t="s">
        <v>20742</v>
      </c>
      <c r="K2048" s="122" t="s">
        <v>20743</v>
      </c>
      <c r="L2048" s="131" t="s">
        <v>140</v>
      </c>
      <c r="M2048" s="133" t="s">
        <v>5626</v>
      </c>
      <c r="N2048" s="122" t="s">
        <v>1530</v>
      </c>
    </row>
    <row r="2049" spans="2:14" hidden="1" x14ac:dyDescent="0.25">
      <c r="B2049" s="120">
        <v>2046</v>
      </c>
      <c r="C2049" s="122">
        <v>20602351425</v>
      </c>
      <c r="D2049" s="125" t="s">
        <v>5627</v>
      </c>
      <c r="E2049" s="125" t="s">
        <v>5628</v>
      </c>
      <c r="F2049" s="122" t="s">
        <v>1530</v>
      </c>
      <c r="G2049" s="122" t="s">
        <v>1530</v>
      </c>
      <c r="H2049" s="122" t="s">
        <v>5629</v>
      </c>
      <c r="I2049" s="125" t="s">
        <v>1974</v>
      </c>
      <c r="J2049" s="129" t="s">
        <v>5630</v>
      </c>
      <c r="K2049" s="122" t="s">
        <v>5631</v>
      </c>
      <c r="L2049" s="131" t="s">
        <v>57</v>
      </c>
      <c r="M2049" s="133" t="s">
        <v>5632</v>
      </c>
      <c r="N2049" s="122" t="s">
        <v>1530</v>
      </c>
    </row>
    <row r="2050" spans="2:14" hidden="1" x14ac:dyDescent="0.25">
      <c r="B2050" s="120">
        <v>2047</v>
      </c>
      <c r="C2050" s="122">
        <v>20512976108</v>
      </c>
      <c r="D2050" s="125" t="s">
        <v>5633</v>
      </c>
      <c r="E2050" s="125" t="s">
        <v>5634</v>
      </c>
      <c r="F2050" s="122" t="s">
        <v>1530</v>
      </c>
      <c r="G2050" s="122" t="s">
        <v>1530</v>
      </c>
      <c r="H2050" s="122" t="s">
        <v>1530</v>
      </c>
      <c r="I2050" s="125" t="s">
        <v>1755</v>
      </c>
      <c r="J2050" s="129" t="s">
        <v>20744</v>
      </c>
      <c r="K2050" s="122" t="s">
        <v>20745</v>
      </c>
      <c r="L2050" s="136" t="s">
        <v>209</v>
      </c>
      <c r="M2050" s="133" t="s">
        <v>5637</v>
      </c>
      <c r="N2050" s="122" t="s">
        <v>1530</v>
      </c>
    </row>
    <row r="2051" spans="2:14" hidden="1" x14ac:dyDescent="0.25">
      <c r="B2051" s="120">
        <v>2048</v>
      </c>
      <c r="C2051" s="122">
        <v>20512976108</v>
      </c>
      <c r="D2051" s="125" t="s">
        <v>5633</v>
      </c>
      <c r="E2051" s="125" t="s">
        <v>5634</v>
      </c>
      <c r="F2051" s="122" t="s">
        <v>1530</v>
      </c>
      <c r="G2051" s="122" t="s">
        <v>1530</v>
      </c>
      <c r="H2051" s="122" t="s">
        <v>1530</v>
      </c>
      <c r="I2051" s="125" t="s">
        <v>1755</v>
      </c>
      <c r="J2051" s="129" t="s">
        <v>5635</v>
      </c>
      <c r="K2051" s="122" t="s">
        <v>5636</v>
      </c>
      <c r="L2051" s="131" t="s">
        <v>42</v>
      </c>
      <c r="M2051" s="133" t="s">
        <v>5637</v>
      </c>
      <c r="N2051" s="122" t="s">
        <v>1530</v>
      </c>
    </row>
    <row r="2052" spans="2:14" hidden="1" x14ac:dyDescent="0.25">
      <c r="B2052" s="120">
        <v>2049</v>
      </c>
      <c r="C2052" s="122">
        <v>20610885226</v>
      </c>
      <c r="D2052" s="125" t="s">
        <v>5638</v>
      </c>
      <c r="E2052" s="125" t="s">
        <v>5639</v>
      </c>
      <c r="F2052" s="122" t="s">
        <v>1530</v>
      </c>
      <c r="G2052" s="122" t="s">
        <v>1530</v>
      </c>
      <c r="H2052" s="122" t="s">
        <v>5640</v>
      </c>
      <c r="I2052" s="125" t="s">
        <v>1727</v>
      </c>
      <c r="J2052" s="129" t="s">
        <v>5641</v>
      </c>
      <c r="K2052" s="122" t="s">
        <v>5642</v>
      </c>
      <c r="L2052" s="131" t="s">
        <v>42</v>
      </c>
      <c r="M2052" s="133" t="s">
        <v>5643</v>
      </c>
      <c r="N2052" s="122" t="s">
        <v>1530</v>
      </c>
    </row>
    <row r="2053" spans="2:14" hidden="1" x14ac:dyDescent="0.25">
      <c r="B2053" s="120">
        <v>2050</v>
      </c>
      <c r="C2053" s="122">
        <v>20556458252</v>
      </c>
      <c r="D2053" s="125" t="s">
        <v>3642</v>
      </c>
      <c r="E2053" s="125" t="s">
        <v>5644</v>
      </c>
      <c r="F2053" s="122" t="s">
        <v>1530</v>
      </c>
      <c r="G2053" s="122" t="s">
        <v>1530</v>
      </c>
      <c r="H2053" s="122" t="s">
        <v>1530</v>
      </c>
      <c r="I2053" s="125" t="s">
        <v>1551</v>
      </c>
      <c r="J2053" s="129" t="s">
        <v>5645</v>
      </c>
      <c r="K2053" s="122" t="s">
        <v>5646</v>
      </c>
      <c r="L2053" s="131" t="s">
        <v>42</v>
      </c>
      <c r="M2053" s="133" t="s">
        <v>5647</v>
      </c>
      <c r="N2053" s="122" t="s">
        <v>1530</v>
      </c>
    </row>
    <row r="2054" spans="2:14" hidden="1" x14ac:dyDescent="0.25">
      <c r="B2054" s="120">
        <v>2051</v>
      </c>
      <c r="C2054" s="122">
        <v>20602251196</v>
      </c>
      <c r="D2054" s="125" t="s">
        <v>5648</v>
      </c>
      <c r="E2054" s="125" t="s">
        <v>5649</v>
      </c>
      <c r="F2054" s="122" t="s">
        <v>1530</v>
      </c>
      <c r="G2054" s="122" t="s">
        <v>1530</v>
      </c>
      <c r="H2054" s="122" t="s">
        <v>1530</v>
      </c>
      <c r="I2054" s="125" t="s">
        <v>1387</v>
      </c>
      <c r="J2054" s="129" t="s">
        <v>5650</v>
      </c>
      <c r="K2054" s="122" t="s">
        <v>5651</v>
      </c>
      <c r="L2054" s="131" t="s">
        <v>42</v>
      </c>
      <c r="M2054" s="133" t="s">
        <v>5652</v>
      </c>
      <c r="N2054" s="122" t="s">
        <v>1530</v>
      </c>
    </row>
    <row r="2055" spans="2:14" hidden="1" x14ac:dyDescent="0.25">
      <c r="B2055" s="120">
        <v>2052</v>
      </c>
      <c r="C2055" s="122">
        <v>20600505891</v>
      </c>
      <c r="D2055" s="125" t="s">
        <v>5653</v>
      </c>
      <c r="E2055" s="125" t="s">
        <v>5654</v>
      </c>
      <c r="F2055" s="122" t="s">
        <v>1530</v>
      </c>
      <c r="G2055" s="122" t="s">
        <v>1530</v>
      </c>
      <c r="H2055" s="122" t="s">
        <v>58</v>
      </c>
      <c r="I2055" s="125" t="s">
        <v>1374</v>
      </c>
      <c r="J2055" s="129" t="s">
        <v>5655</v>
      </c>
      <c r="K2055" s="122" t="s">
        <v>5656</v>
      </c>
      <c r="L2055" s="131" t="s">
        <v>42</v>
      </c>
      <c r="M2055" s="133" t="s">
        <v>5657</v>
      </c>
      <c r="N2055" s="122" t="s">
        <v>30</v>
      </c>
    </row>
    <row r="2056" spans="2:14" hidden="1" x14ac:dyDescent="0.25">
      <c r="B2056" s="120">
        <v>2053</v>
      </c>
      <c r="C2056" s="122">
        <v>20605257691</v>
      </c>
      <c r="D2056" s="125" t="s">
        <v>5658</v>
      </c>
      <c r="E2056" s="125" t="s">
        <v>5659</v>
      </c>
      <c r="F2056" s="122" t="s">
        <v>1530</v>
      </c>
      <c r="G2056" s="122" t="s">
        <v>1530</v>
      </c>
      <c r="H2056" s="122" t="s">
        <v>5613</v>
      </c>
      <c r="I2056" s="125" t="s">
        <v>1371</v>
      </c>
      <c r="J2056" s="129" t="s">
        <v>5660</v>
      </c>
      <c r="K2056" s="122" t="s">
        <v>5661</v>
      </c>
      <c r="L2056" s="131" t="s">
        <v>57</v>
      </c>
      <c r="M2056" s="133" t="s">
        <v>5662</v>
      </c>
      <c r="N2056" s="122" t="s">
        <v>1530</v>
      </c>
    </row>
    <row r="2057" spans="2:14" hidden="1" x14ac:dyDescent="0.25">
      <c r="B2057" s="120">
        <v>2054</v>
      </c>
      <c r="C2057" s="122">
        <v>20109161609</v>
      </c>
      <c r="D2057" s="125" t="s">
        <v>5665</v>
      </c>
      <c r="E2057" s="125" t="s">
        <v>5666</v>
      </c>
      <c r="F2057" s="122" t="s">
        <v>1530</v>
      </c>
      <c r="G2057" s="122" t="s">
        <v>1530</v>
      </c>
      <c r="H2057" s="122" t="s">
        <v>72</v>
      </c>
      <c r="I2057" s="125" t="s">
        <v>2299</v>
      </c>
      <c r="J2057" s="129" t="s">
        <v>20747</v>
      </c>
      <c r="K2057" s="122" t="s">
        <v>20749</v>
      </c>
      <c r="L2057" s="136" t="s">
        <v>209</v>
      </c>
      <c r="M2057" s="133" t="s">
        <v>5668</v>
      </c>
      <c r="N2057" s="122" t="s">
        <v>1530</v>
      </c>
    </row>
    <row r="2058" spans="2:14" hidden="1" x14ac:dyDescent="0.25">
      <c r="B2058" s="120">
        <v>2055</v>
      </c>
      <c r="C2058" s="122">
        <v>20109161609</v>
      </c>
      <c r="D2058" s="125" t="s">
        <v>5665</v>
      </c>
      <c r="E2058" s="125" t="s">
        <v>5666</v>
      </c>
      <c r="F2058" s="122" t="s">
        <v>1530</v>
      </c>
      <c r="G2058" s="122" t="s">
        <v>1530</v>
      </c>
      <c r="H2058" s="122" t="s">
        <v>72</v>
      </c>
      <c r="I2058" s="125" t="s">
        <v>2299</v>
      </c>
      <c r="J2058" s="129" t="s">
        <v>5667</v>
      </c>
      <c r="K2058" s="122" t="s">
        <v>20748</v>
      </c>
      <c r="L2058" s="131" t="s">
        <v>42</v>
      </c>
      <c r="M2058" s="133" t="s">
        <v>5668</v>
      </c>
      <c r="N2058" s="122" t="s">
        <v>1530</v>
      </c>
    </row>
    <row r="2059" spans="2:14" hidden="1" x14ac:dyDescent="0.25">
      <c r="B2059" s="120">
        <v>2056</v>
      </c>
      <c r="C2059" s="122">
        <v>20601320623</v>
      </c>
      <c r="D2059" s="125" t="s">
        <v>5669</v>
      </c>
      <c r="E2059" s="125" t="s">
        <v>5670</v>
      </c>
      <c r="F2059" s="122" t="s">
        <v>1530</v>
      </c>
      <c r="G2059" s="122" t="s">
        <v>1530</v>
      </c>
      <c r="H2059" s="122" t="s">
        <v>68</v>
      </c>
      <c r="I2059" s="125" t="s">
        <v>1727</v>
      </c>
      <c r="J2059" s="129" t="s">
        <v>20750</v>
      </c>
      <c r="K2059" s="122" t="s">
        <v>5671</v>
      </c>
      <c r="L2059" s="131" t="s">
        <v>57</v>
      </c>
      <c r="M2059" s="133" t="s">
        <v>5672</v>
      </c>
      <c r="N2059" s="122" t="s">
        <v>1530</v>
      </c>
    </row>
    <row r="2060" spans="2:14" hidden="1" x14ac:dyDescent="0.25">
      <c r="B2060" s="120">
        <v>2057</v>
      </c>
      <c r="C2060" s="122">
        <v>20101643621</v>
      </c>
      <c r="D2060" s="125" t="s">
        <v>5673</v>
      </c>
      <c r="E2060" s="125" t="s">
        <v>5674</v>
      </c>
      <c r="F2060" s="122" t="s">
        <v>1530</v>
      </c>
      <c r="G2060" s="122" t="s">
        <v>1530</v>
      </c>
      <c r="H2060" s="122" t="s">
        <v>110</v>
      </c>
      <c r="I2060" s="125" t="s">
        <v>1942</v>
      </c>
      <c r="J2060" s="129" t="s">
        <v>20751</v>
      </c>
      <c r="K2060" s="122" t="s">
        <v>5675</v>
      </c>
      <c r="L2060" s="131" t="s">
        <v>42</v>
      </c>
      <c r="M2060" s="133" t="s">
        <v>845</v>
      </c>
      <c r="N2060" s="122" t="s">
        <v>845</v>
      </c>
    </row>
    <row r="2061" spans="2:14" hidden="1" x14ac:dyDescent="0.25">
      <c r="B2061" s="120">
        <v>2058</v>
      </c>
      <c r="C2061" s="122">
        <v>20603715382</v>
      </c>
      <c r="D2061" s="125" t="s">
        <v>5676</v>
      </c>
      <c r="E2061" s="125" t="s">
        <v>5677</v>
      </c>
      <c r="F2061" s="122" t="s">
        <v>1530</v>
      </c>
      <c r="G2061" s="122" t="s">
        <v>1530</v>
      </c>
      <c r="H2061" s="122" t="s">
        <v>43</v>
      </c>
      <c r="I2061" s="125" t="s">
        <v>1948</v>
      </c>
      <c r="J2061" s="129" t="s">
        <v>5678</v>
      </c>
      <c r="K2061" s="122" t="s">
        <v>5679</v>
      </c>
      <c r="L2061" s="131" t="s">
        <v>42</v>
      </c>
      <c r="M2061" s="133" t="s">
        <v>5680</v>
      </c>
      <c r="N2061" s="122" t="s">
        <v>30</v>
      </c>
    </row>
    <row r="2062" spans="2:14" hidden="1" x14ac:dyDescent="0.25">
      <c r="B2062" s="120">
        <v>2059</v>
      </c>
      <c r="C2062" s="122">
        <v>20512465944</v>
      </c>
      <c r="D2062" s="125" t="s">
        <v>5683</v>
      </c>
      <c r="E2062" s="125" t="s">
        <v>5684</v>
      </c>
      <c r="F2062" s="122" t="s">
        <v>1530</v>
      </c>
      <c r="G2062" s="122" t="s">
        <v>1530</v>
      </c>
      <c r="H2062" s="122" t="s">
        <v>75</v>
      </c>
      <c r="I2062" s="125" t="s">
        <v>1365</v>
      </c>
      <c r="J2062" s="129" t="s">
        <v>20756</v>
      </c>
      <c r="K2062" s="122" t="s">
        <v>5685</v>
      </c>
      <c r="L2062" s="131" t="s">
        <v>57</v>
      </c>
      <c r="M2062" s="133" t="s">
        <v>5686</v>
      </c>
      <c r="N2062" s="122" t="s">
        <v>1530</v>
      </c>
    </row>
    <row r="2063" spans="2:14" hidden="1" x14ac:dyDescent="0.25">
      <c r="B2063" s="120">
        <v>2060</v>
      </c>
      <c r="C2063" s="122">
        <v>20543339271</v>
      </c>
      <c r="D2063" s="125" t="s">
        <v>5687</v>
      </c>
      <c r="E2063" s="125" t="s">
        <v>5688</v>
      </c>
      <c r="F2063" s="122" t="s">
        <v>30</v>
      </c>
      <c r="G2063" s="122" t="s">
        <v>1530</v>
      </c>
      <c r="H2063" s="122" t="s">
        <v>58</v>
      </c>
      <c r="I2063" s="125" t="s">
        <v>1934</v>
      </c>
      <c r="J2063" s="129" t="s">
        <v>20757</v>
      </c>
      <c r="K2063" s="122" t="s">
        <v>5689</v>
      </c>
      <c r="L2063" s="131" t="s">
        <v>42</v>
      </c>
      <c r="M2063" s="133" t="s">
        <v>5690</v>
      </c>
      <c r="N2063" s="122" t="s">
        <v>1530</v>
      </c>
    </row>
    <row r="2064" spans="2:14" hidden="1" x14ac:dyDescent="0.25">
      <c r="B2064" s="120">
        <v>2061</v>
      </c>
      <c r="C2064" s="122">
        <v>20603364458</v>
      </c>
      <c r="D2064" s="125" t="s">
        <v>5691</v>
      </c>
      <c r="E2064" s="125" t="s">
        <v>5692</v>
      </c>
      <c r="F2064" s="122" t="s">
        <v>1530</v>
      </c>
      <c r="G2064" s="122" t="s">
        <v>1530</v>
      </c>
      <c r="H2064" s="122" t="s">
        <v>1530</v>
      </c>
      <c r="I2064" s="125" t="s">
        <v>1377</v>
      </c>
      <c r="J2064" s="129" t="s">
        <v>5693</v>
      </c>
      <c r="K2064" s="122" t="s">
        <v>5694</v>
      </c>
      <c r="L2064" s="131" t="s">
        <v>42</v>
      </c>
      <c r="M2064" s="133" t="s">
        <v>5695</v>
      </c>
      <c r="N2064" s="122" t="s">
        <v>1530</v>
      </c>
    </row>
    <row r="2065" spans="2:14" hidden="1" x14ac:dyDescent="0.25">
      <c r="B2065" s="120">
        <v>2062</v>
      </c>
      <c r="C2065" s="122">
        <v>20603419490</v>
      </c>
      <c r="D2065" s="125" t="s">
        <v>697</v>
      </c>
      <c r="E2065" s="125" t="s">
        <v>5696</v>
      </c>
      <c r="F2065" s="122" t="s">
        <v>1530</v>
      </c>
      <c r="G2065" s="122" t="s">
        <v>1530</v>
      </c>
      <c r="H2065" s="122" t="s">
        <v>40</v>
      </c>
      <c r="I2065" s="125" t="s">
        <v>1701</v>
      </c>
      <c r="J2065" s="129" t="s">
        <v>5697</v>
      </c>
      <c r="K2065" s="122" t="s">
        <v>5698</v>
      </c>
      <c r="L2065" s="131" t="s">
        <v>57</v>
      </c>
      <c r="M2065" s="133" t="s">
        <v>5699</v>
      </c>
      <c r="N2065" s="122" t="s">
        <v>1530</v>
      </c>
    </row>
    <row r="2066" spans="2:14" hidden="1" x14ac:dyDescent="0.25">
      <c r="B2066" s="120">
        <v>2063</v>
      </c>
      <c r="C2066" s="122">
        <v>20603644736</v>
      </c>
      <c r="D2066" s="125" t="s">
        <v>5700</v>
      </c>
      <c r="E2066" s="125" t="s">
        <v>5701</v>
      </c>
      <c r="F2066" s="122" t="s">
        <v>1530</v>
      </c>
      <c r="G2066" s="122" t="s">
        <v>1530</v>
      </c>
      <c r="H2066" s="122" t="s">
        <v>65</v>
      </c>
      <c r="I2066" s="125" t="s">
        <v>1387</v>
      </c>
      <c r="J2066" s="129" t="s">
        <v>5702</v>
      </c>
      <c r="K2066" s="122" t="s">
        <v>5703</v>
      </c>
      <c r="L2066" s="131" t="s">
        <v>42</v>
      </c>
      <c r="M2066" s="133" t="s">
        <v>5704</v>
      </c>
      <c r="N2066" s="122" t="s">
        <v>1530</v>
      </c>
    </row>
    <row r="2067" spans="2:14" hidden="1" x14ac:dyDescent="0.25">
      <c r="B2067" s="120">
        <v>2064</v>
      </c>
      <c r="C2067" s="122">
        <v>20518001176</v>
      </c>
      <c r="D2067" s="125" t="s">
        <v>5705</v>
      </c>
      <c r="E2067" s="125" t="s">
        <v>5706</v>
      </c>
      <c r="F2067" s="122" t="s">
        <v>1530</v>
      </c>
      <c r="G2067" s="122" t="s">
        <v>1530</v>
      </c>
      <c r="H2067" s="122" t="s">
        <v>45</v>
      </c>
      <c r="I2067" s="125" t="s">
        <v>1450</v>
      </c>
      <c r="J2067" s="129" t="s">
        <v>5707</v>
      </c>
      <c r="K2067" s="122" t="s">
        <v>5708</v>
      </c>
      <c r="L2067" s="131" t="s">
        <v>57</v>
      </c>
      <c r="M2067" s="133" t="s">
        <v>845</v>
      </c>
      <c r="N2067" s="122" t="s">
        <v>845</v>
      </c>
    </row>
    <row r="2068" spans="2:14" hidden="1" x14ac:dyDescent="0.25">
      <c r="B2068" s="120">
        <v>2065</v>
      </c>
      <c r="C2068" s="122">
        <v>20603648626</v>
      </c>
      <c r="D2068" s="125" t="s">
        <v>5709</v>
      </c>
      <c r="E2068" s="125" t="s">
        <v>5710</v>
      </c>
      <c r="F2068" s="122" t="s">
        <v>1530</v>
      </c>
      <c r="G2068" s="122" t="s">
        <v>30</v>
      </c>
      <c r="H2068" s="122" t="s">
        <v>72</v>
      </c>
      <c r="I2068" s="125" t="s">
        <v>5711</v>
      </c>
      <c r="J2068" s="129" t="s">
        <v>5712</v>
      </c>
      <c r="K2068" s="122" t="s">
        <v>5713</v>
      </c>
      <c r="L2068" s="131" t="s">
        <v>57</v>
      </c>
      <c r="M2068" s="133" t="s">
        <v>5714</v>
      </c>
      <c r="N2068" s="122" t="s">
        <v>1530</v>
      </c>
    </row>
    <row r="2069" spans="2:14" hidden="1" x14ac:dyDescent="0.25">
      <c r="B2069" s="120">
        <v>2066</v>
      </c>
      <c r="C2069" s="122">
        <v>20605572627</v>
      </c>
      <c r="D2069" s="125" t="s">
        <v>5715</v>
      </c>
      <c r="E2069" s="125" t="s">
        <v>5716</v>
      </c>
      <c r="F2069" s="122" t="s">
        <v>1530</v>
      </c>
      <c r="G2069" s="122" t="s">
        <v>1530</v>
      </c>
      <c r="H2069" s="122" t="s">
        <v>5717</v>
      </c>
      <c r="I2069" s="125" t="s">
        <v>1424</v>
      </c>
      <c r="J2069" s="129" t="s">
        <v>5718</v>
      </c>
      <c r="K2069" s="122" t="s">
        <v>5719</v>
      </c>
      <c r="L2069" s="131" t="s">
        <v>42</v>
      </c>
      <c r="M2069" s="133" t="s">
        <v>5720</v>
      </c>
      <c r="N2069" s="122" t="s">
        <v>1530</v>
      </c>
    </row>
    <row r="2070" spans="2:14" hidden="1" x14ac:dyDescent="0.25">
      <c r="B2070" s="120">
        <v>2067</v>
      </c>
      <c r="C2070" s="122">
        <v>20610049088</v>
      </c>
      <c r="D2070" s="125" t="s">
        <v>5721</v>
      </c>
      <c r="E2070" s="125" t="s">
        <v>5722</v>
      </c>
      <c r="F2070" s="122" t="s">
        <v>1530</v>
      </c>
      <c r="G2070" s="122" t="s">
        <v>1530</v>
      </c>
      <c r="H2070" s="122" t="s">
        <v>72</v>
      </c>
      <c r="I2070" s="125" t="s">
        <v>1941</v>
      </c>
      <c r="J2070" s="129" t="s">
        <v>5723</v>
      </c>
      <c r="K2070" s="122" t="s">
        <v>5724</v>
      </c>
      <c r="L2070" s="131" t="s">
        <v>42</v>
      </c>
      <c r="M2070" s="133" t="s">
        <v>5725</v>
      </c>
      <c r="N2070" s="122" t="s">
        <v>1530</v>
      </c>
    </row>
    <row r="2071" spans="2:14" hidden="1" x14ac:dyDescent="0.25">
      <c r="B2071" s="120">
        <v>2068</v>
      </c>
      <c r="C2071" s="122">
        <v>20605263144</v>
      </c>
      <c r="D2071" s="125" t="s">
        <v>5726</v>
      </c>
      <c r="E2071" s="125" t="s">
        <v>5727</v>
      </c>
      <c r="F2071" s="122" t="s">
        <v>1530</v>
      </c>
      <c r="G2071" s="122" t="s">
        <v>1530</v>
      </c>
      <c r="H2071" s="122" t="s">
        <v>64</v>
      </c>
      <c r="I2071" s="125" t="s">
        <v>1447</v>
      </c>
      <c r="J2071" s="129" t="s">
        <v>5728</v>
      </c>
      <c r="K2071" s="122" t="s">
        <v>5729</v>
      </c>
      <c r="L2071" s="131" t="s">
        <v>42</v>
      </c>
      <c r="M2071" s="133" t="s">
        <v>5730</v>
      </c>
      <c r="N2071" s="122" t="s">
        <v>1530</v>
      </c>
    </row>
    <row r="2072" spans="2:14" hidden="1" x14ac:dyDescent="0.25">
      <c r="B2072" s="120">
        <v>2069</v>
      </c>
      <c r="C2072" s="122">
        <v>20609823179</v>
      </c>
      <c r="D2072" s="125" t="s">
        <v>5731</v>
      </c>
      <c r="E2072" s="125" t="s">
        <v>5732</v>
      </c>
      <c r="F2072" s="122" t="s">
        <v>1530</v>
      </c>
      <c r="G2072" s="122" t="s">
        <v>1530</v>
      </c>
      <c r="H2072" s="122" t="s">
        <v>35</v>
      </c>
      <c r="I2072" s="125" t="s">
        <v>1384</v>
      </c>
      <c r="J2072" s="129" t="s">
        <v>5733</v>
      </c>
      <c r="K2072" s="122" t="s">
        <v>5734</v>
      </c>
      <c r="L2072" s="131" t="s">
        <v>36</v>
      </c>
      <c r="M2072" s="133" t="s">
        <v>5735</v>
      </c>
      <c r="N2072" s="122" t="s">
        <v>1530</v>
      </c>
    </row>
    <row r="2073" spans="2:14" hidden="1" x14ac:dyDescent="0.25">
      <c r="B2073" s="120">
        <v>2070</v>
      </c>
      <c r="C2073" s="122">
        <v>20550459923</v>
      </c>
      <c r="D2073" s="125" t="s">
        <v>3523</v>
      </c>
      <c r="E2073" s="125" t="s">
        <v>5736</v>
      </c>
      <c r="F2073" s="122" t="s">
        <v>67</v>
      </c>
      <c r="G2073" s="122" t="s">
        <v>67</v>
      </c>
      <c r="H2073" s="122" t="s">
        <v>67</v>
      </c>
      <c r="I2073" s="125" t="s">
        <v>1568</v>
      </c>
      <c r="J2073" s="129" t="s">
        <v>5737</v>
      </c>
      <c r="K2073" s="122" t="s">
        <v>5738</v>
      </c>
      <c r="L2073" s="131" t="s">
        <v>42</v>
      </c>
      <c r="M2073" s="133" t="s">
        <v>5739</v>
      </c>
      <c r="N2073" s="122" t="s">
        <v>1530</v>
      </c>
    </row>
    <row r="2074" spans="2:14" hidden="1" x14ac:dyDescent="0.25">
      <c r="B2074" s="120">
        <v>2071</v>
      </c>
      <c r="C2074" s="122">
        <v>20553661103</v>
      </c>
      <c r="D2074" s="125" t="s">
        <v>5740</v>
      </c>
      <c r="E2074" s="125" t="s">
        <v>5741</v>
      </c>
      <c r="F2074" s="122" t="s">
        <v>1530</v>
      </c>
      <c r="G2074" s="122" t="s">
        <v>1530</v>
      </c>
      <c r="H2074" s="122" t="s">
        <v>110</v>
      </c>
      <c r="I2074" s="125" t="s">
        <v>1727</v>
      </c>
      <c r="J2074" s="129" t="s">
        <v>20759</v>
      </c>
      <c r="K2074" s="122" t="s">
        <v>20760</v>
      </c>
      <c r="L2074" s="136" t="s">
        <v>209</v>
      </c>
      <c r="M2074" s="133" t="s">
        <v>5744</v>
      </c>
      <c r="N2074" s="122" t="s">
        <v>1530</v>
      </c>
    </row>
    <row r="2075" spans="2:14" hidden="1" x14ac:dyDescent="0.25">
      <c r="B2075" s="120">
        <v>2072</v>
      </c>
      <c r="C2075" s="122">
        <v>20553661103</v>
      </c>
      <c r="D2075" s="125" t="s">
        <v>5740</v>
      </c>
      <c r="E2075" s="125" t="s">
        <v>5741</v>
      </c>
      <c r="F2075" s="122" t="s">
        <v>1530</v>
      </c>
      <c r="G2075" s="122" t="s">
        <v>1530</v>
      </c>
      <c r="H2075" s="122" t="s">
        <v>110</v>
      </c>
      <c r="I2075" s="125" t="s">
        <v>1727</v>
      </c>
      <c r="J2075" s="129" t="s">
        <v>5742</v>
      </c>
      <c r="K2075" s="122" t="s">
        <v>5743</v>
      </c>
      <c r="L2075" s="131" t="s">
        <v>42</v>
      </c>
      <c r="M2075" s="133" t="s">
        <v>5744</v>
      </c>
      <c r="N2075" s="122" t="s">
        <v>1530</v>
      </c>
    </row>
    <row r="2076" spans="2:14" hidden="1" x14ac:dyDescent="0.25">
      <c r="B2076" s="120">
        <v>2073</v>
      </c>
      <c r="C2076" s="122">
        <v>20607382264</v>
      </c>
      <c r="D2076" s="125" t="s">
        <v>707</v>
      </c>
      <c r="E2076" s="125" t="s">
        <v>5745</v>
      </c>
      <c r="F2076" s="122" t="s">
        <v>1530</v>
      </c>
      <c r="G2076" s="122" t="s">
        <v>1530</v>
      </c>
      <c r="H2076" s="122" t="s">
        <v>72</v>
      </c>
      <c r="I2076" s="125" t="s">
        <v>1701</v>
      </c>
      <c r="J2076" s="129" t="s">
        <v>5746</v>
      </c>
      <c r="K2076" s="122" t="s">
        <v>5747</v>
      </c>
      <c r="L2076" s="131" t="s">
        <v>57</v>
      </c>
      <c r="M2076" s="133" t="s">
        <v>845</v>
      </c>
      <c r="N2076" s="122" t="s">
        <v>845</v>
      </c>
    </row>
    <row r="2077" spans="2:14" hidden="1" x14ac:dyDescent="0.25">
      <c r="B2077" s="120">
        <v>2074</v>
      </c>
      <c r="C2077" s="122">
        <v>20546033989</v>
      </c>
      <c r="D2077" s="125" t="s">
        <v>5748</v>
      </c>
      <c r="E2077" s="125" t="s">
        <v>5749</v>
      </c>
      <c r="F2077" s="122" t="s">
        <v>1530</v>
      </c>
      <c r="G2077" s="122" t="s">
        <v>1530</v>
      </c>
      <c r="H2077" s="122" t="s">
        <v>5750</v>
      </c>
      <c r="I2077" s="125" t="s">
        <v>1981</v>
      </c>
      <c r="J2077" s="129" t="s">
        <v>5751</v>
      </c>
      <c r="K2077" s="122" t="s">
        <v>5752</v>
      </c>
      <c r="L2077" s="131" t="s">
        <v>42</v>
      </c>
      <c r="M2077" s="133" t="s">
        <v>5753</v>
      </c>
      <c r="N2077" s="122" t="s">
        <v>1530</v>
      </c>
    </row>
    <row r="2078" spans="2:14" hidden="1" x14ac:dyDescent="0.25">
      <c r="B2078" s="120">
        <v>2075</v>
      </c>
      <c r="C2078" s="122">
        <v>20523424654</v>
      </c>
      <c r="D2078" s="125" t="s">
        <v>5754</v>
      </c>
      <c r="E2078" s="125" t="s">
        <v>5755</v>
      </c>
      <c r="F2078" s="122" t="s">
        <v>1530</v>
      </c>
      <c r="G2078" s="122" t="s">
        <v>1530</v>
      </c>
      <c r="H2078" s="122" t="s">
        <v>30</v>
      </c>
      <c r="I2078" s="125" t="s">
        <v>1398</v>
      </c>
      <c r="J2078" s="129" t="s">
        <v>5756</v>
      </c>
      <c r="K2078" s="122" t="s">
        <v>5757</v>
      </c>
      <c r="L2078" s="131" t="s">
        <v>42</v>
      </c>
      <c r="M2078" s="133" t="s">
        <v>5758</v>
      </c>
      <c r="N2078" s="122" t="s">
        <v>1530</v>
      </c>
    </row>
    <row r="2079" spans="2:14" hidden="1" x14ac:dyDescent="0.25">
      <c r="B2079" s="120">
        <v>2076</v>
      </c>
      <c r="C2079" s="122">
        <v>20602281583</v>
      </c>
      <c r="D2079" s="125" t="s">
        <v>5759</v>
      </c>
      <c r="E2079" s="125" t="s">
        <v>5760</v>
      </c>
      <c r="F2079" s="122" t="s">
        <v>1530</v>
      </c>
      <c r="G2079" s="122" t="s">
        <v>1530</v>
      </c>
      <c r="H2079" s="122" t="s">
        <v>35</v>
      </c>
      <c r="I2079" s="125" t="s">
        <v>2460</v>
      </c>
      <c r="J2079" s="129" t="s">
        <v>5761</v>
      </c>
      <c r="K2079" s="122" t="s">
        <v>5762</v>
      </c>
      <c r="L2079" s="131" t="s">
        <v>57</v>
      </c>
      <c r="M2079" s="133" t="s">
        <v>5763</v>
      </c>
      <c r="N2079" s="122" t="s">
        <v>1530</v>
      </c>
    </row>
    <row r="2080" spans="2:14" hidden="1" x14ac:dyDescent="0.25">
      <c r="B2080" s="120">
        <v>2077</v>
      </c>
      <c r="C2080" s="122">
        <v>20609814056</v>
      </c>
      <c r="D2080" s="125" t="s">
        <v>445</v>
      </c>
      <c r="E2080" s="125" t="s">
        <v>5764</v>
      </c>
      <c r="F2080" s="122" t="s">
        <v>1530</v>
      </c>
      <c r="G2080" s="122" t="s">
        <v>1530</v>
      </c>
      <c r="H2080" s="122" t="s">
        <v>43</v>
      </c>
      <c r="I2080" s="125" t="s">
        <v>1398</v>
      </c>
      <c r="J2080" s="129" t="s">
        <v>5765</v>
      </c>
      <c r="K2080" s="122" t="s">
        <v>5766</v>
      </c>
      <c r="L2080" s="131" t="s">
        <v>57</v>
      </c>
      <c r="M2080" s="133" t="s">
        <v>5767</v>
      </c>
      <c r="N2080" s="122" t="s">
        <v>1530</v>
      </c>
    </row>
    <row r="2081" spans="2:14" hidden="1" x14ac:dyDescent="0.25">
      <c r="B2081" s="120">
        <v>2078</v>
      </c>
      <c r="C2081" s="122">
        <v>20610671668</v>
      </c>
      <c r="D2081" s="125" t="s">
        <v>5768</v>
      </c>
      <c r="E2081" s="125" t="s">
        <v>5769</v>
      </c>
      <c r="F2081" s="122" t="s">
        <v>1530</v>
      </c>
      <c r="G2081" s="122" t="s">
        <v>1530</v>
      </c>
      <c r="H2081" s="122" t="s">
        <v>1530</v>
      </c>
      <c r="I2081" s="125" t="s">
        <v>1450</v>
      </c>
      <c r="J2081" s="129" t="s">
        <v>5770</v>
      </c>
      <c r="K2081" s="122" t="s">
        <v>5771</v>
      </c>
      <c r="L2081" s="131" t="s">
        <v>42</v>
      </c>
      <c r="M2081" s="133" t="s">
        <v>5772</v>
      </c>
      <c r="N2081" s="122" t="s">
        <v>1530</v>
      </c>
    </row>
    <row r="2082" spans="2:14" hidden="1" x14ac:dyDescent="0.25">
      <c r="B2082" s="120">
        <v>2079</v>
      </c>
      <c r="C2082" s="122">
        <v>20100166144</v>
      </c>
      <c r="D2082" s="125" t="s">
        <v>5773</v>
      </c>
      <c r="E2082" s="125" t="s">
        <v>5774</v>
      </c>
      <c r="F2082" s="122" t="s">
        <v>1530</v>
      </c>
      <c r="G2082" s="122" t="s">
        <v>1530</v>
      </c>
      <c r="H2082" s="122" t="s">
        <v>5775</v>
      </c>
      <c r="I2082" s="125" t="s">
        <v>2895</v>
      </c>
      <c r="J2082" s="129" t="s">
        <v>5776</v>
      </c>
      <c r="K2082" s="122" t="s">
        <v>5777</v>
      </c>
      <c r="L2082" s="131" t="s">
        <v>42</v>
      </c>
      <c r="M2082" s="133" t="s">
        <v>5778</v>
      </c>
      <c r="N2082" s="122" t="s">
        <v>1530</v>
      </c>
    </row>
    <row r="2083" spans="2:14" hidden="1" x14ac:dyDescent="0.25">
      <c r="B2083" s="120">
        <v>2080</v>
      </c>
      <c r="C2083" s="122">
        <v>20516903385</v>
      </c>
      <c r="D2083" s="125" t="s">
        <v>5779</v>
      </c>
      <c r="E2083" s="125" t="s">
        <v>5780</v>
      </c>
      <c r="F2083" s="122" t="s">
        <v>1530</v>
      </c>
      <c r="G2083" s="122" t="s">
        <v>1530</v>
      </c>
      <c r="H2083" s="122" t="s">
        <v>79</v>
      </c>
      <c r="I2083" s="125" t="s">
        <v>1377</v>
      </c>
      <c r="J2083" s="129" t="s">
        <v>5781</v>
      </c>
      <c r="K2083" s="122" t="s">
        <v>5782</v>
      </c>
      <c r="L2083" s="131" t="s">
        <v>42</v>
      </c>
      <c r="M2083" s="133" t="s">
        <v>5783</v>
      </c>
      <c r="N2083" s="122" t="s">
        <v>1530</v>
      </c>
    </row>
    <row r="2084" spans="2:14" hidden="1" x14ac:dyDescent="0.25">
      <c r="B2084" s="120">
        <v>2081</v>
      </c>
      <c r="C2084" s="122">
        <v>20606358106</v>
      </c>
      <c r="D2084" s="125" t="s">
        <v>5784</v>
      </c>
      <c r="E2084" s="125" t="s">
        <v>5785</v>
      </c>
      <c r="F2084" s="122" t="s">
        <v>1530</v>
      </c>
      <c r="G2084" s="122" t="s">
        <v>1530</v>
      </c>
      <c r="H2084" s="122" t="s">
        <v>37</v>
      </c>
      <c r="I2084" s="125" t="s">
        <v>1447</v>
      </c>
      <c r="J2084" s="129" t="s">
        <v>5786</v>
      </c>
      <c r="K2084" s="122" t="s">
        <v>5787</v>
      </c>
      <c r="L2084" s="131" t="s">
        <v>42</v>
      </c>
      <c r="M2084" s="133" t="s">
        <v>5788</v>
      </c>
      <c r="N2084" s="122" t="s">
        <v>30</v>
      </c>
    </row>
    <row r="2085" spans="2:14" hidden="1" x14ac:dyDescent="0.25">
      <c r="B2085" s="120">
        <v>2082</v>
      </c>
      <c r="C2085" s="122">
        <v>20606160381</v>
      </c>
      <c r="D2085" s="125" t="s">
        <v>5789</v>
      </c>
      <c r="E2085" s="125" t="s">
        <v>5790</v>
      </c>
      <c r="F2085" s="122" t="s">
        <v>1530</v>
      </c>
      <c r="G2085" s="122" t="s">
        <v>1530</v>
      </c>
      <c r="H2085" s="122" t="s">
        <v>5791</v>
      </c>
      <c r="I2085" s="125" t="s">
        <v>1424</v>
      </c>
      <c r="J2085" s="129" t="s">
        <v>5792</v>
      </c>
      <c r="K2085" s="122" t="s">
        <v>5793</v>
      </c>
      <c r="L2085" s="131" t="s">
        <v>42</v>
      </c>
      <c r="M2085" s="133" t="s">
        <v>5794</v>
      </c>
      <c r="N2085" s="122" t="s">
        <v>1530</v>
      </c>
    </row>
    <row r="2086" spans="2:14" hidden="1" x14ac:dyDescent="0.25">
      <c r="B2086" s="120">
        <v>2083</v>
      </c>
      <c r="C2086" s="122">
        <v>20556585874</v>
      </c>
      <c r="D2086" s="125" t="s">
        <v>5795</v>
      </c>
      <c r="E2086" s="125" t="s">
        <v>5796</v>
      </c>
      <c r="F2086" s="122" t="s">
        <v>1530</v>
      </c>
      <c r="G2086" s="122" t="s">
        <v>1530</v>
      </c>
      <c r="H2086" s="122" t="s">
        <v>1530</v>
      </c>
      <c r="I2086" s="125" t="s">
        <v>2181</v>
      </c>
      <c r="J2086" s="129" t="s">
        <v>5797</v>
      </c>
      <c r="K2086" s="122" t="s">
        <v>5798</v>
      </c>
      <c r="L2086" s="131" t="s">
        <v>42</v>
      </c>
      <c r="M2086" s="133" t="s">
        <v>5799</v>
      </c>
      <c r="N2086" s="122" t="s">
        <v>1530</v>
      </c>
    </row>
    <row r="2087" spans="2:14" hidden="1" x14ac:dyDescent="0.25">
      <c r="B2087" s="120">
        <v>2084</v>
      </c>
      <c r="C2087" s="122">
        <v>20265934928</v>
      </c>
      <c r="D2087" s="125" t="s">
        <v>4818</v>
      </c>
      <c r="E2087" s="125" t="s">
        <v>4819</v>
      </c>
      <c r="F2087" s="122" t="s">
        <v>1530</v>
      </c>
      <c r="G2087" s="122" t="s">
        <v>1530</v>
      </c>
      <c r="H2087" s="122" t="s">
        <v>75</v>
      </c>
      <c r="I2087" s="125" t="s">
        <v>1961</v>
      </c>
      <c r="J2087" s="129" t="s">
        <v>5801</v>
      </c>
      <c r="K2087" s="122" t="s">
        <v>5802</v>
      </c>
      <c r="L2087" s="131" t="s">
        <v>36</v>
      </c>
      <c r="M2087" s="133" t="s">
        <v>5803</v>
      </c>
      <c r="N2087" s="122" t="s">
        <v>5804</v>
      </c>
    </row>
    <row r="2088" spans="2:14" hidden="1" x14ac:dyDescent="0.25">
      <c r="B2088" s="120">
        <v>2085</v>
      </c>
      <c r="C2088" s="122">
        <v>20600106547</v>
      </c>
      <c r="D2088" s="125" t="s">
        <v>452</v>
      </c>
      <c r="E2088" s="125" t="s">
        <v>5805</v>
      </c>
      <c r="F2088" s="122" t="s">
        <v>1530</v>
      </c>
      <c r="G2088" s="122" t="s">
        <v>30</v>
      </c>
      <c r="H2088" s="122" t="s">
        <v>72</v>
      </c>
      <c r="I2088" s="125" t="s">
        <v>2460</v>
      </c>
      <c r="J2088" s="129" t="s">
        <v>20758</v>
      </c>
      <c r="K2088" s="122" t="s">
        <v>5806</v>
      </c>
      <c r="L2088" s="131" t="s">
        <v>42</v>
      </c>
      <c r="M2088" s="133" t="s">
        <v>5807</v>
      </c>
      <c r="N2088" s="122" t="s">
        <v>30</v>
      </c>
    </row>
    <row r="2089" spans="2:14" hidden="1" x14ac:dyDescent="0.25">
      <c r="B2089" s="120">
        <v>2086</v>
      </c>
      <c r="C2089" s="122">
        <v>10422730872</v>
      </c>
      <c r="D2089" s="125" t="s">
        <v>5808</v>
      </c>
      <c r="E2089" s="125" t="s">
        <v>5809</v>
      </c>
      <c r="F2089" s="122" t="s">
        <v>1530</v>
      </c>
      <c r="G2089" s="122" t="s">
        <v>30</v>
      </c>
      <c r="H2089" s="122" t="s">
        <v>75</v>
      </c>
      <c r="I2089" s="125" t="s">
        <v>1947</v>
      </c>
      <c r="J2089" s="129" t="s">
        <v>5810</v>
      </c>
      <c r="K2089" s="122" t="s">
        <v>5811</v>
      </c>
      <c r="L2089" s="131" t="s">
        <v>100</v>
      </c>
      <c r="M2089" s="133" t="s">
        <v>845</v>
      </c>
      <c r="N2089" s="122" t="s">
        <v>845</v>
      </c>
    </row>
    <row r="2090" spans="2:14" hidden="1" x14ac:dyDescent="0.25">
      <c r="B2090" s="120">
        <v>2087</v>
      </c>
      <c r="C2090" s="122">
        <v>20605473041</v>
      </c>
      <c r="D2090" s="125" t="s">
        <v>5812</v>
      </c>
      <c r="E2090" s="125" t="s">
        <v>5813</v>
      </c>
      <c r="F2090" s="122" t="s">
        <v>1530</v>
      </c>
      <c r="G2090" s="122" t="s">
        <v>1530</v>
      </c>
      <c r="H2090" s="122" t="s">
        <v>35</v>
      </c>
      <c r="I2090" s="125" t="s">
        <v>1965</v>
      </c>
      <c r="J2090" s="129" t="s">
        <v>5814</v>
      </c>
      <c r="K2090" s="122" t="s">
        <v>5815</v>
      </c>
      <c r="L2090" s="131" t="s">
        <v>42</v>
      </c>
      <c r="M2090" s="133" t="s">
        <v>5816</v>
      </c>
      <c r="N2090" s="122" t="s">
        <v>30</v>
      </c>
    </row>
    <row r="2091" spans="2:14" hidden="1" x14ac:dyDescent="0.25">
      <c r="B2091" s="120">
        <v>2088</v>
      </c>
      <c r="C2091" s="122">
        <v>20521373572</v>
      </c>
      <c r="D2091" s="125" t="s">
        <v>5817</v>
      </c>
      <c r="E2091" s="125" t="s">
        <v>5818</v>
      </c>
      <c r="F2091" s="122" t="s">
        <v>1530</v>
      </c>
      <c r="G2091" s="122" t="s">
        <v>1530</v>
      </c>
      <c r="H2091" s="122" t="s">
        <v>40</v>
      </c>
      <c r="I2091" s="125" t="s">
        <v>1394</v>
      </c>
      <c r="J2091" s="129" t="s">
        <v>5819</v>
      </c>
      <c r="K2091" s="122" t="s">
        <v>5820</v>
      </c>
      <c r="L2091" s="131" t="s">
        <v>57</v>
      </c>
      <c r="M2091" s="133" t="s">
        <v>5821</v>
      </c>
      <c r="N2091" s="122" t="s">
        <v>30</v>
      </c>
    </row>
    <row r="2092" spans="2:14" hidden="1" x14ac:dyDescent="0.25">
      <c r="B2092" s="120">
        <v>2089</v>
      </c>
      <c r="C2092" s="122">
        <v>20605457909</v>
      </c>
      <c r="D2092" s="125" t="s">
        <v>4750</v>
      </c>
      <c r="E2092" s="125" t="s">
        <v>5822</v>
      </c>
      <c r="F2092" s="122" t="s">
        <v>1530</v>
      </c>
      <c r="G2092" s="122" t="s">
        <v>30</v>
      </c>
      <c r="H2092" s="122" t="s">
        <v>50</v>
      </c>
      <c r="I2092" s="125" t="s">
        <v>1365</v>
      </c>
      <c r="J2092" s="129" t="s">
        <v>5823</v>
      </c>
      <c r="K2092" s="122" t="s">
        <v>5824</v>
      </c>
      <c r="L2092" s="131" t="s">
        <v>42</v>
      </c>
      <c r="M2092" s="133" t="s">
        <v>5825</v>
      </c>
      <c r="N2092" s="122" t="s">
        <v>1530</v>
      </c>
    </row>
    <row r="2093" spans="2:14" hidden="1" x14ac:dyDescent="0.25">
      <c r="B2093" s="120">
        <v>2090</v>
      </c>
      <c r="C2093" s="122">
        <v>20606393050</v>
      </c>
      <c r="D2093" s="125" t="s">
        <v>4749</v>
      </c>
      <c r="E2093" s="125" t="s">
        <v>5826</v>
      </c>
      <c r="F2093" s="122" t="s">
        <v>1530</v>
      </c>
      <c r="G2093" s="122" t="s">
        <v>1530</v>
      </c>
      <c r="H2093" s="122" t="s">
        <v>1530</v>
      </c>
      <c r="I2093" s="125" t="s">
        <v>1551</v>
      </c>
      <c r="J2093" s="129" t="s">
        <v>5827</v>
      </c>
      <c r="K2093" s="122" t="s">
        <v>5828</v>
      </c>
      <c r="L2093" s="131" t="s">
        <v>57</v>
      </c>
      <c r="M2093" s="133" t="s">
        <v>845</v>
      </c>
      <c r="N2093" s="122" t="s">
        <v>845</v>
      </c>
    </row>
    <row r="2094" spans="2:14" hidden="1" x14ac:dyDescent="0.25">
      <c r="B2094" s="120">
        <v>2091</v>
      </c>
      <c r="C2094" s="122">
        <v>20547111665</v>
      </c>
      <c r="D2094" s="125" t="s">
        <v>4747</v>
      </c>
      <c r="E2094" s="125" t="s">
        <v>5829</v>
      </c>
      <c r="F2094" s="122" t="s">
        <v>30</v>
      </c>
      <c r="G2094" s="122" t="s">
        <v>30</v>
      </c>
      <c r="H2094" s="122" t="s">
        <v>5830</v>
      </c>
      <c r="I2094" s="125" t="s">
        <v>1706</v>
      </c>
      <c r="J2094" s="129" t="s">
        <v>5831</v>
      </c>
      <c r="K2094" s="122" t="s">
        <v>5832</v>
      </c>
      <c r="L2094" s="131" t="s">
        <v>42</v>
      </c>
      <c r="M2094" s="133" t="s">
        <v>5833</v>
      </c>
      <c r="N2094" s="122" t="s">
        <v>30</v>
      </c>
    </row>
    <row r="2095" spans="2:14" hidden="1" x14ac:dyDescent="0.25">
      <c r="B2095" s="120">
        <v>2092</v>
      </c>
      <c r="C2095" s="122">
        <v>20601722721</v>
      </c>
      <c r="D2095" s="125" t="s">
        <v>1120</v>
      </c>
      <c r="E2095" s="125" t="s">
        <v>5834</v>
      </c>
      <c r="F2095" s="122" t="s">
        <v>1530</v>
      </c>
      <c r="G2095" s="122" t="s">
        <v>1530</v>
      </c>
      <c r="H2095" s="122" t="s">
        <v>72</v>
      </c>
      <c r="I2095" s="125" t="s">
        <v>1809</v>
      </c>
      <c r="J2095" s="129" t="s">
        <v>5835</v>
      </c>
      <c r="K2095" s="122" t="s">
        <v>5836</v>
      </c>
      <c r="L2095" s="131" t="s">
        <v>42</v>
      </c>
      <c r="M2095" s="133" t="s">
        <v>5837</v>
      </c>
      <c r="N2095" s="122" t="s">
        <v>30</v>
      </c>
    </row>
    <row r="2096" spans="2:14" hidden="1" x14ac:dyDescent="0.25">
      <c r="B2096" s="120">
        <v>2093</v>
      </c>
      <c r="C2096" s="122">
        <v>20487230392</v>
      </c>
      <c r="D2096" s="125" t="s">
        <v>4745</v>
      </c>
      <c r="E2096" s="125" t="s">
        <v>5838</v>
      </c>
      <c r="F2096" s="122" t="s">
        <v>1530</v>
      </c>
      <c r="G2096" s="122" t="s">
        <v>30</v>
      </c>
      <c r="H2096" s="122" t="s">
        <v>152</v>
      </c>
      <c r="I2096" s="125" t="s">
        <v>1412</v>
      </c>
      <c r="J2096" s="129" t="s">
        <v>20732</v>
      </c>
      <c r="K2096" s="122" t="s">
        <v>5839</v>
      </c>
      <c r="L2096" s="131" t="s">
        <v>36</v>
      </c>
      <c r="M2096" s="133" t="s">
        <v>845</v>
      </c>
      <c r="N2096" s="122" t="s">
        <v>845</v>
      </c>
    </row>
    <row r="2097" spans="2:14" hidden="1" x14ac:dyDescent="0.25">
      <c r="B2097" s="120">
        <v>2094</v>
      </c>
      <c r="C2097" s="122">
        <v>20606597704</v>
      </c>
      <c r="D2097" s="125" t="s">
        <v>4746</v>
      </c>
      <c r="E2097" s="125" t="s">
        <v>5840</v>
      </c>
      <c r="F2097" s="122" t="s">
        <v>67</v>
      </c>
      <c r="G2097" s="122" t="s">
        <v>67</v>
      </c>
      <c r="H2097" s="122" t="s">
        <v>67</v>
      </c>
      <c r="I2097" s="125" t="s">
        <v>1551</v>
      </c>
      <c r="J2097" s="129" t="s">
        <v>20733</v>
      </c>
      <c r="K2097" s="122" t="s">
        <v>5841</v>
      </c>
      <c r="L2097" s="131" t="s">
        <v>42</v>
      </c>
      <c r="M2097" s="133" t="s">
        <v>5842</v>
      </c>
      <c r="N2097" s="122" t="s">
        <v>30</v>
      </c>
    </row>
    <row r="2098" spans="2:14" hidden="1" x14ac:dyDescent="0.25">
      <c r="B2098" s="120">
        <v>2095</v>
      </c>
      <c r="C2098" s="122">
        <v>20200162723</v>
      </c>
      <c r="D2098" s="125" t="s">
        <v>220</v>
      </c>
      <c r="E2098" s="125" t="s">
        <v>5843</v>
      </c>
      <c r="F2098" s="122" t="s">
        <v>1530</v>
      </c>
      <c r="G2098" s="122" t="s">
        <v>1530</v>
      </c>
      <c r="H2098" s="122" t="s">
        <v>60</v>
      </c>
      <c r="I2098" s="125" t="s">
        <v>1551</v>
      </c>
      <c r="J2098" s="129" t="s">
        <v>5844</v>
      </c>
      <c r="K2098" s="122" t="s">
        <v>5845</v>
      </c>
      <c r="L2098" s="131" t="s">
        <v>36</v>
      </c>
      <c r="M2098" s="133" t="s">
        <v>5846</v>
      </c>
      <c r="N2098" s="122" t="s">
        <v>1530</v>
      </c>
    </row>
    <row r="2099" spans="2:14" hidden="1" x14ac:dyDescent="0.25">
      <c r="B2099" s="120">
        <v>2096</v>
      </c>
      <c r="C2099" s="122">
        <v>20519069262</v>
      </c>
      <c r="D2099" s="125" t="s">
        <v>5847</v>
      </c>
      <c r="E2099" s="125" t="s">
        <v>5848</v>
      </c>
      <c r="F2099" s="122" t="s">
        <v>1530</v>
      </c>
      <c r="G2099" s="122" t="s">
        <v>30</v>
      </c>
      <c r="H2099" s="122" t="s">
        <v>72</v>
      </c>
      <c r="I2099" s="125" t="s">
        <v>5849</v>
      </c>
      <c r="J2099" s="129" t="s">
        <v>5850</v>
      </c>
      <c r="K2099" s="122" t="s">
        <v>5851</v>
      </c>
      <c r="L2099" s="131" t="s">
        <v>42</v>
      </c>
      <c r="M2099" s="133" t="s">
        <v>5852</v>
      </c>
      <c r="N2099" s="122" t="s">
        <v>30</v>
      </c>
    </row>
    <row r="2100" spans="2:14" hidden="1" x14ac:dyDescent="0.25">
      <c r="B2100" s="120">
        <v>2097</v>
      </c>
      <c r="C2100" s="122">
        <v>20600065212</v>
      </c>
      <c r="D2100" s="125" t="s">
        <v>1079</v>
      </c>
      <c r="E2100" s="125" t="s">
        <v>5853</v>
      </c>
      <c r="F2100" s="122" t="s">
        <v>1530</v>
      </c>
      <c r="G2100" s="122" t="s">
        <v>1530</v>
      </c>
      <c r="H2100" s="122" t="s">
        <v>50</v>
      </c>
      <c r="I2100" s="125" t="s">
        <v>1377</v>
      </c>
      <c r="J2100" s="129" t="s">
        <v>20746</v>
      </c>
      <c r="K2100" s="122" t="s">
        <v>5854</v>
      </c>
      <c r="L2100" s="131" t="s">
        <v>57</v>
      </c>
      <c r="M2100" s="133" t="s">
        <v>845</v>
      </c>
      <c r="N2100" s="122" t="s">
        <v>845</v>
      </c>
    </row>
    <row r="2101" spans="2:14" hidden="1" x14ac:dyDescent="0.25">
      <c r="B2101" s="120">
        <v>2098</v>
      </c>
      <c r="C2101" s="122">
        <v>20600431758</v>
      </c>
      <c r="D2101" s="125" t="s">
        <v>4559</v>
      </c>
      <c r="E2101" s="125" t="s">
        <v>4560</v>
      </c>
      <c r="F2101" s="122" t="s">
        <v>30</v>
      </c>
      <c r="G2101" s="122" t="s">
        <v>30</v>
      </c>
      <c r="H2101" s="122" t="s">
        <v>30</v>
      </c>
      <c r="I2101" s="125" t="s">
        <v>1561</v>
      </c>
      <c r="J2101" s="129" t="s">
        <v>20752</v>
      </c>
      <c r="K2101" s="122" t="s">
        <v>5855</v>
      </c>
      <c r="L2101" s="131" t="s">
        <v>42</v>
      </c>
      <c r="M2101" s="133" t="s">
        <v>845</v>
      </c>
      <c r="N2101" s="122" t="s">
        <v>845</v>
      </c>
    </row>
    <row r="2102" spans="2:14" hidden="1" x14ac:dyDescent="0.25">
      <c r="B2102" s="120">
        <v>2099</v>
      </c>
      <c r="C2102" s="122">
        <v>20608919326</v>
      </c>
      <c r="D2102" s="125" t="s">
        <v>4555</v>
      </c>
      <c r="E2102" s="125" t="s">
        <v>4556</v>
      </c>
      <c r="F2102" s="122" t="s">
        <v>1530</v>
      </c>
      <c r="G2102" s="122" t="s">
        <v>30</v>
      </c>
      <c r="H2102" s="122" t="s">
        <v>50</v>
      </c>
      <c r="I2102" s="125" t="s">
        <v>1551</v>
      </c>
      <c r="J2102" s="129" t="s">
        <v>20755</v>
      </c>
      <c r="K2102" s="122" t="s">
        <v>5856</v>
      </c>
      <c r="L2102" s="131" t="s">
        <v>42</v>
      </c>
      <c r="M2102" s="133" t="s">
        <v>5857</v>
      </c>
      <c r="N2102" s="122" t="s">
        <v>30</v>
      </c>
    </row>
    <row r="2103" spans="2:14" hidden="1" x14ac:dyDescent="0.25">
      <c r="B2103" s="120">
        <v>2100</v>
      </c>
      <c r="C2103" s="122">
        <v>20607955761</v>
      </c>
      <c r="D2103" s="125" t="s">
        <v>3609</v>
      </c>
      <c r="E2103" s="125" t="s">
        <v>5858</v>
      </c>
      <c r="F2103" s="122" t="s">
        <v>1530</v>
      </c>
      <c r="G2103" s="122" t="s">
        <v>30</v>
      </c>
      <c r="H2103" s="122" t="s">
        <v>5859</v>
      </c>
      <c r="I2103" s="125" t="s">
        <v>1412</v>
      </c>
      <c r="J2103" s="129" t="s">
        <v>5860</v>
      </c>
      <c r="K2103" s="122" t="s">
        <v>5861</v>
      </c>
      <c r="L2103" s="131" t="s">
        <v>42</v>
      </c>
      <c r="M2103" s="133" t="s">
        <v>5862</v>
      </c>
      <c r="N2103" s="122" t="s">
        <v>30</v>
      </c>
    </row>
    <row r="2104" spans="2:14" hidden="1" x14ac:dyDescent="0.25">
      <c r="B2104" s="120">
        <v>2101</v>
      </c>
      <c r="C2104" s="122">
        <v>20601970491</v>
      </c>
      <c r="D2104" s="125" t="s">
        <v>4551</v>
      </c>
      <c r="E2104" s="125" t="s">
        <v>4552</v>
      </c>
      <c r="F2104" s="122" t="s">
        <v>30</v>
      </c>
      <c r="G2104" s="122" t="s">
        <v>30</v>
      </c>
      <c r="H2104" s="122" t="s">
        <v>45</v>
      </c>
      <c r="I2104" s="125" t="s">
        <v>1398</v>
      </c>
      <c r="J2104" s="129" t="s">
        <v>5863</v>
      </c>
      <c r="K2104" s="122" t="s">
        <v>5864</v>
      </c>
      <c r="L2104" s="131" t="s">
        <v>42</v>
      </c>
      <c r="M2104" s="133" t="s">
        <v>5865</v>
      </c>
      <c r="N2104" s="122" t="s">
        <v>99</v>
      </c>
    </row>
    <row r="2105" spans="2:14" hidden="1" x14ac:dyDescent="0.25">
      <c r="B2105" s="120">
        <v>2102</v>
      </c>
      <c r="C2105" s="122">
        <v>20600777263</v>
      </c>
      <c r="D2105" s="125" t="s">
        <v>4742</v>
      </c>
      <c r="E2105" s="125" t="s">
        <v>4743</v>
      </c>
      <c r="F2105" s="122" t="s">
        <v>1530</v>
      </c>
      <c r="G2105" s="122" t="s">
        <v>30</v>
      </c>
      <c r="H2105" s="122" t="s">
        <v>72</v>
      </c>
      <c r="I2105" s="125" t="s">
        <v>1398</v>
      </c>
      <c r="J2105" s="129" t="s">
        <v>5866</v>
      </c>
      <c r="K2105" s="122" t="s">
        <v>5867</v>
      </c>
      <c r="L2105" s="131" t="s">
        <v>42</v>
      </c>
      <c r="M2105" s="133" t="s">
        <v>5868</v>
      </c>
      <c r="N2105" s="122" t="s">
        <v>30</v>
      </c>
    </row>
    <row r="2106" spans="2:14" hidden="1" x14ac:dyDescent="0.25">
      <c r="B2106" s="120">
        <v>2103</v>
      </c>
      <c r="C2106" s="122">
        <v>20600994345</v>
      </c>
      <c r="D2106" s="125" t="s">
        <v>5869</v>
      </c>
      <c r="E2106" s="125" t="s">
        <v>5870</v>
      </c>
      <c r="F2106" s="122" t="s">
        <v>30</v>
      </c>
      <c r="G2106" s="122" t="s">
        <v>30</v>
      </c>
      <c r="H2106" s="122" t="s">
        <v>52</v>
      </c>
      <c r="I2106" s="125" t="s">
        <v>1394</v>
      </c>
      <c r="J2106" s="129" t="s">
        <v>20753</v>
      </c>
      <c r="K2106" s="122" t="s">
        <v>20754</v>
      </c>
      <c r="L2106" s="131" t="s">
        <v>36</v>
      </c>
      <c r="M2106" s="133" t="s">
        <v>845</v>
      </c>
      <c r="N2106" s="122" t="s">
        <v>845</v>
      </c>
    </row>
    <row r="2107" spans="2:14" hidden="1" x14ac:dyDescent="0.25">
      <c r="B2107" s="120">
        <v>2104</v>
      </c>
      <c r="C2107" s="122">
        <v>20544457331</v>
      </c>
      <c r="D2107" s="125" t="s">
        <v>4744</v>
      </c>
      <c r="E2107" s="125" t="s">
        <v>5871</v>
      </c>
      <c r="F2107" s="122" t="s">
        <v>1530</v>
      </c>
      <c r="G2107" s="122" t="s">
        <v>30</v>
      </c>
      <c r="H2107" s="122" t="s">
        <v>50</v>
      </c>
      <c r="I2107" s="125" t="s">
        <v>1981</v>
      </c>
      <c r="J2107" s="129" t="s">
        <v>7700</v>
      </c>
      <c r="K2107" s="122" t="s">
        <v>7701</v>
      </c>
      <c r="L2107" s="131" t="s">
        <v>209</v>
      </c>
      <c r="M2107" s="133" t="s">
        <v>5874</v>
      </c>
      <c r="N2107" s="122" t="s">
        <v>30</v>
      </c>
    </row>
    <row r="2108" spans="2:14" hidden="1" x14ac:dyDescent="0.25">
      <c r="B2108" s="120">
        <v>2105</v>
      </c>
      <c r="C2108" s="122">
        <v>20544457331</v>
      </c>
      <c r="D2108" s="125" t="s">
        <v>4744</v>
      </c>
      <c r="E2108" s="125" t="s">
        <v>5871</v>
      </c>
      <c r="F2108" s="122" t="s">
        <v>1530</v>
      </c>
      <c r="G2108" s="122" t="s">
        <v>30</v>
      </c>
      <c r="H2108" s="122" t="s">
        <v>50</v>
      </c>
      <c r="I2108" s="125" t="s">
        <v>1981</v>
      </c>
      <c r="J2108" s="129" t="s">
        <v>5872</v>
      </c>
      <c r="K2108" s="122" t="s">
        <v>5873</v>
      </c>
      <c r="L2108" s="131" t="s">
        <v>42</v>
      </c>
      <c r="M2108" s="133" t="s">
        <v>5874</v>
      </c>
      <c r="N2108" s="122" t="s">
        <v>30</v>
      </c>
    </row>
    <row r="2109" spans="2:14" hidden="1" x14ac:dyDescent="0.25">
      <c r="B2109" s="120">
        <v>2106</v>
      </c>
      <c r="C2109" s="122">
        <v>20433448546</v>
      </c>
      <c r="D2109" s="125" t="s">
        <v>3673</v>
      </c>
      <c r="E2109" s="125" t="s">
        <v>3674</v>
      </c>
      <c r="F2109" s="122" t="s">
        <v>30</v>
      </c>
      <c r="G2109" s="122" t="s">
        <v>30</v>
      </c>
      <c r="H2109" s="122" t="s">
        <v>86</v>
      </c>
      <c r="I2109" s="125" t="s">
        <v>1809</v>
      </c>
      <c r="J2109" s="129" t="s">
        <v>5875</v>
      </c>
      <c r="K2109" s="122" t="s">
        <v>5876</v>
      </c>
      <c r="L2109" s="131" t="s">
        <v>4664</v>
      </c>
      <c r="M2109" s="133" t="s">
        <v>5877</v>
      </c>
      <c r="N2109" s="122" t="s">
        <v>30</v>
      </c>
    </row>
    <row r="2110" spans="2:14" hidden="1" x14ac:dyDescent="0.25">
      <c r="B2110" s="120">
        <v>2107</v>
      </c>
      <c r="C2110" s="122">
        <v>20433448546</v>
      </c>
      <c r="D2110" s="125" t="s">
        <v>3673</v>
      </c>
      <c r="E2110" s="125" t="s">
        <v>3674</v>
      </c>
      <c r="F2110" s="122" t="s">
        <v>30</v>
      </c>
      <c r="G2110" s="122" t="s">
        <v>30</v>
      </c>
      <c r="H2110" s="122" t="s">
        <v>86</v>
      </c>
      <c r="I2110" s="125" t="s">
        <v>1809</v>
      </c>
      <c r="J2110" s="129" t="s">
        <v>8643</v>
      </c>
      <c r="K2110" s="122" t="s">
        <v>5878</v>
      </c>
      <c r="L2110" s="131" t="s">
        <v>119</v>
      </c>
      <c r="M2110" s="133" t="s">
        <v>5877</v>
      </c>
      <c r="N2110" s="122" t="s">
        <v>30</v>
      </c>
    </row>
    <row r="2111" spans="2:14" hidden="1" x14ac:dyDescent="0.25">
      <c r="B2111" s="120">
        <v>2108</v>
      </c>
      <c r="C2111" s="122">
        <v>20433448546</v>
      </c>
      <c r="D2111" s="125" t="s">
        <v>3673</v>
      </c>
      <c r="E2111" s="125" t="s">
        <v>3674</v>
      </c>
      <c r="F2111" s="122" t="s">
        <v>30</v>
      </c>
      <c r="G2111" s="122" t="s">
        <v>30</v>
      </c>
      <c r="H2111" s="122" t="s">
        <v>86</v>
      </c>
      <c r="I2111" s="125" t="s">
        <v>1809</v>
      </c>
      <c r="J2111" s="129" t="s">
        <v>5879</v>
      </c>
      <c r="K2111" s="122" t="s">
        <v>5880</v>
      </c>
      <c r="L2111" s="131" t="s">
        <v>119</v>
      </c>
      <c r="M2111" s="133" t="s">
        <v>5877</v>
      </c>
      <c r="N2111" s="122" t="s">
        <v>30</v>
      </c>
    </row>
    <row r="2112" spans="2:14" hidden="1" x14ac:dyDescent="0.25">
      <c r="B2112" s="120">
        <v>2109</v>
      </c>
      <c r="C2112" s="122">
        <v>20433448546</v>
      </c>
      <c r="D2112" s="125" t="s">
        <v>3673</v>
      </c>
      <c r="E2112" s="125" t="s">
        <v>3674</v>
      </c>
      <c r="F2112" s="122" t="s">
        <v>30</v>
      </c>
      <c r="G2112" s="122" t="s">
        <v>30</v>
      </c>
      <c r="H2112" s="122" t="s">
        <v>86</v>
      </c>
      <c r="I2112" s="125" t="s">
        <v>1809</v>
      </c>
      <c r="J2112" s="129" t="s">
        <v>5881</v>
      </c>
      <c r="K2112" s="122" t="s">
        <v>5882</v>
      </c>
      <c r="L2112" s="131" t="s">
        <v>119</v>
      </c>
      <c r="M2112" s="133" t="s">
        <v>5877</v>
      </c>
      <c r="N2112" s="122" t="s">
        <v>30</v>
      </c>
    </row>
    <row r="2113" spans="2:14" hidden="1" x14ac:dyDescent="0.25">
      <c r="B2113" s="120">
        <v>2110</v>
      </c>
      <c r="C2113" s="122">
        <v>20499845538</v>
      </c>
      <c r="D2113" s="125" t="s">
        <v>5883</v>
      </c>
      <c r="E2113" s="125" t="s">
        <v>5884</v>
      </c>
      <c r="F2113" s="122" t="s">
        <v>67</v>
      </c>
      <c r="G2113" s="122" t="s">
        <v>67</v>
      </c>
      <c r="H2113" s="122" t="s">
        <v>94</v>
      </c>
      <c r="I2113" s="125" t="s">
        <v>1984</v>
      </c>
      <c r="J2113" s="129" t="s">
        <v>20605</v>
      </c>
      <c r="K2113" s="122" t="s">
        <v>5885</v>
      </c>
      <c r="L2113" s="131" t="s">
        <v>57</v>
      </c>
      <c r="M2113" s="133" t="s">
        <v>7874</v>
      </c>
      <c r="N2113" s="122" t="s">
        <v>67</v>
      </c>
    </row>
    <row r="2114" spans="2:14" hidden="1" x14ac:dyDescent="0.25">
      <c r="B2114" s="120">
        <v>2111</v>
      </c>
      <c r="C2114" s="122">
        <v>20600495454</v>
      </c>
      <c r="D2114" s="125" t="s">
        <v>4680</v>
      </c>
      <c r="E2114" s="125" t="s">
        <v>4681</v>
      </c>
      <c r="F2114" s="122" t="s">
        <v>30</v>
      </c>
      <c r="G2114" s="122" t="s">
        <v>30</v>
      </c>
      <c r="H2114" s="122" t="s">
        <v>52</v>
      </c>
      <c r="I2114" s="125" t="s">
        <v>1394</v>
      </c>
      <c r="J2114" s="129" t="s">
        <v>6199</v>
      </c>
      <c r="K2114" s="122" t="s">
        <v>5886</v>
      </c>
      <c r="L2114" s="131" t="s">
        <v>42</v>
      </c>
      <c r="M2114" s="133" t="s">
        <v>7875</v>
      </c>
      <c r="N2114" s="122" t="s">
        <v>30</v>
      </c>
    </row>
    <row r="2115" spans="2:14" hidden="1" x14ac:dyDescent="0.25">
      <c r="B2115" s="120">
        <v>2112</v>
      </c>
      <c r="C2115" s="122">
        <v>20600495454</v>
      </c>
      <c r="D2115" s="125" t="s">
        <v>4680</v>
      </c>
      <c r="E2115" s="125" t="s">
        <v>4681</v>
      </c>
      <c r="F2115" s="122" t="s">
        <v>30</v>
      </c>
      <c r="G2115" s="122" t="s">
        <v>30</v>
      </c>
      <c r="H2115" s="122" t="s">
        <v>52</v>
      </c>
      <c r="I2115" s="125" t="s">
        <v>1394</v>
      </c>
      <c r="J2115" s="129" t="s">
        <v>6200</v>
      </c>
      <c r="K2115" s="122" t="s">
        <v>5887</v>
      </c>
      <c r="L2115" s="131" t="s">
        <v>209</v>
      </c>
      <c r="M2115" s="133" t="s">
        <v>7875</v>
      </c>
      <c r="N2115" s="122" t="s">
        <v>30</v>
      </c>
    </row>
    <row r="2116" spans="2:14" hidden="1" x14ac:dyDescent="0.25">
      <c r="B2116" s="120">
        <v>2113</v>
      </c>
      <c r="C2116" s="122">
        <v>20601287545</v>
      </c>
      <c r="D2116" s="125" t="s">
        <v>137</v>
      </c>
      <c r="E2116" s="125" t="s">
        <v>5888</v>
      </c>
      <c r="F2116" s="122" t="s">
        <v>30</v>
      </c>
      <c r="G2116" s="122" t="s">
        <v>54</v>
      </c>
      <c r="H2116" s="122" t="s">
        <v>54</v>
      </c>
      <c r="I2116" s="125" t="s">
        <v>1394</v>
      </c>
      <c r="J2116" s="129" t="s">
        <v>20685</v>
      </c>
      <c r="K2116" s="122" t="s">
        <v>5889</v>
      </c>
      <c r="L2116" s="131" t="s">
        <v>36</v>
      </c>
      <c r="M2116" s="133" t="s">
        <v>7876</v>
      </c>
      <c r="N2116" s="122" t="s">
        <v>30</v>
      </c>
    </row>
    <row r="2117" spans="2:14" hidden="1" x14ac:dyDescent="0.25">
      <c r="B2117" s="120">
        <v>2114</v>
      </c>
      <c r="C2117" s="122">
        <v>20608364049</v>
      </c>
      <c r="D2117" s="125" t="s">
        <v>5890</v>
      </c>
      <c r="E2117" s="125" t="s">
        <v>5891</v>
      </c>
      <c r="F2117" s="122" t="s">
        <v>30</v>
      </c>
      <c r="G2117" s="122" t="s">
        <v>30</v>
      </c>
      <c r="H2117" s="122" t="s">
        <v>45</v>
      </c>
      <c r="I2117" s="125" t="s">
        <v>1424</v>
      </c>
      <c r="J2117" s="129" t="s">
        <v>20729</v>
      </c>
      <c r="K2117" s="122" t="s">
        <v>5892</v>
      </c>
      <c r="L2117" s="131" t="s">
        <v>42</v>
      </c>
      <c r="M2117" s="133" t="s">
        <v>7877</v>
      </c>
      <c r="N2117" s="122" t="s">
        <v>30</v>
      </c>
    </row>
    <row r="2118" spans="2:14" hidden="1" x14ac:dyDescent="0.25">
      <c r="B2118" s="120">
        <v>2115</v>
      </c>
      <c r="C2118" s="122">
        <v>20601170851</v>
      </c>
      <c r="D2118" s="125" t="s">
        <v>5893</v>
      </c>
      <c r="E2118" s="125" t="s">
        <v>5894</v>
      </c>
      <c r="F2118" s="122" t="s">
        <v>30</v>
      </c>
      <c r="G2118" s="122" t="s">
        <v>30</v>
      </c>
      <c r="H2118" s="122" t="s">
        <v>34</v>
      </c>
      <c r="I2118" s="125" t="s">
        <v>1962</v>
      </c>
      <c r="J2118" s="129" t="s">
        <v>20731</v>
      </c>
      <c r="K2118" s="122" t="s">
        <v>5895</v>
      </c>
      <c r="L2118" s="131" t="s">
        <v>115</v>
      </c>
      <c r="M2118" s="133" t="s">
        <v>7878</v>
      </c>
      <c r="N2118" s="122" t="s">
        <v>30</v>
      </c>
    </row>
    <row r="2119" spans="2:14" hidden="1" x14ac:dyDescent="0.25">
      <c r="B2119" s="120">
        <v>2116</v>
      </c>
      <c r="C2119" s="122">
        <v>20544174461</v>
      </c>
      <c r="D2119" s="125" t="s">
        <v>5896</v>
      </c>
      <c r="E2119" s="125" t="s">
        <v>5897</v>
      </c>
      <c r="F2119" s="122" t="s">
        <v>30</v>
      </c>
      <c r="G2119" s="122" t="s">
        <v>30</v>
      </c>
      <c r="H2119" s="122" t="s">
        <v>52</v>
      </c>
      <c r="I2119" s="125" t="s">
        <v>1424</v>
      </c>
      <c r="J2119" s="129" t="s">
        <v>20736</v>
      </c>
      <c r="K2119" s="122" t="s">
        <v>5898</v>
      </c>
      <c r="L2119" s="131" t="s">
        <v>42</v>
      </c>
      <c r="M2119" s="133" t="s">
        <v>7879</v>
      </c>
      <c r="N2119" s="122" t="s">
        <v>30</v>
      </c>
    </row>
    <row r="2120" spans="2:14" hidden="1" x14ac:dyDescent="0.25">
      <c r="B2120" s="120">
        <v>2117</v>
      </c>
      <c r="C2120" s="122">
        <v>20606785438</v>
      </c>
      <c r="D2120" s="125" t="s">
        <v>5899</v>
      </c>
      <c r="E2120" s="125" t="s">
        <v>5900</v>
      </c>
      <c r="F2120" s="122" t="s">
        <v>30</v>
      </c>
      <c r="G2120" s="122" t="s">
        <v>30</v>
      </c>
      <c r="H2120" s="122" t="s">
        <v>58</v>
      </c>
      <c r="I2120" s="125" t="s">
        <v>2460</v>
      </c>
      <c r="J2120" s="129" t="s">
        <v>20761</v>
      </c>
      <c r="K2120" s="122" t="s">
        <v>5901</v>
      </c>
      <c r="L2120" s="131" t="s">
        <v>42</v>
      </c>
      <c r="M2120" s="133" t="s">
        <v>7880</v>
      </c>
      <c r="N2120" s="122" t="s">
        <v>30</v>
      </c>
    </row>
    <row r="2121" spans="2:14" hidden="1" x14ac:dyDescent="0.25">
      <c r="B2121" s="120">
        <v>2118</v>
      </c>
      <c r="C2121" s="122">
        <v>20100367395</v>
      </c>
      <c r="D2121" s="125" t="s">
        <v>3499</v>
      </c>
      <c r="E2121" s="125" t="s">
        <v>5902</v>
      </c>
      <c r="F2121" s="122" t="s">
        <v>30</v>
      </c>
      <c r="G2121" s="122" t="s">
        <v>30</v>
      </c>
      <c r="H2121" s="122" t="s">
        <v>88</v>
      </c>
      <c r="I2121" s="125" t="s">
        <v>1755</v>
      </c>
      <c r="J2121" s="129" t="s">
        <v>20737</v>
      </c>
      <c r="K2121" s="122" t="s">
        <v>5903</v>
      </c>
      <c r="L2121" s="131" t="s">
        <v>42</v>
      </c>
      <c r="M2121" s="133" t="s">
        <v>7881</v>
      </c>
      <c r="N2121" s="122" t="s">
        <v>30</v>
      </c>
    </row>
    <row r="2122" spans="2:14" hidden="1" x14ac:dyDescent="0.25">
      <c r="B2122" s="120">
        <v>2119</v>
      </c>
      <c r="C2122" s="122">
        <v>20100367395</v>
      </c>
      <c r="D2122" s="125" t="s">
        <v>3499</v>
      </c>
      <c r="E2122" s="125" t="s">
        <v>5902</v>
      </c>
      <c r="F2122" s="122" t="s">
        <v>30</v>
      </c>
      <c r="G2122" s="122" t="s">
        <v>30</v>
      </c>
      <c r="H2122" s="122" t="s">
        <v>88</v>
      </c>
      <c r="I2122" s="125" t="s">
        <v>1755</v>
      </c>
      <c r="J2122" s="129" t="s">
        <v>20738</v>
      </c>
      <c r="K2122" s="122" t="s">
        <v>5904</v>
      </c>
      <c r="L2122" s="131" t="s">
        <v>76</v>
      </c>
      <c r="M2122" s="133" t="s">
        <v>7881</v>
      </c>
      <c r="N2122" s="122" t="s">
        <v>30</v>
      </c>
    </row>
    <row r="2123" spans="2:14" hidden="1" x14ac:dyDescent="0.25">
      <c r="B2123" s="120">
        <v>2120</v>
      </c>
      <c r="C2123" s="122">
        <v>20556084662</v>
      </c>
      <c r="D2123" s="125" t="s">
        <v>1072</v>
      </c>
      <c r="E2123" s="125" t="s">
        <v>5905</v>
      </c>
      <c r="F2123" s="122" t="s">
        <v>30</v>
      </c>
      <c r="G2123" s="122" t="s">
        <v>30</v>
      </c>
      <c r="H2123" s="122" t="s">
        <v>50</v>
      </c>
      <c r="I2123" s="125" t="s">
        <v>1395</v>
      </c>
      <c r="J2123" s="129" t="s">
        <v>6201</v>
      </c>
      <c r="K2123" s="122" t="s">
        <v>5906</v>
      </c>
      <c r="L2123" s="131" t="s">
        <v>209</v>
      </c>
      <c r="M2123" s="133" t="s">
        <v>7882</v>
      </c>
      <c r="N2123" s="122" t="s">
        <v>30</v>
      </c>
    </row>
    <row r="2124" spans="2:14" hidden="1" x14ac:dyDescent="0.25">
      <c r="B2124" s="120">
        <v>2121</v>
      </c>
      <c r="C2124" s="122">
        <v>20556084662</v>
      </c>
      <c r="D2124" s="125" t="s">
        <v>1072</v>
      </c>
      <c r="E2124" s="125" t="s">
        <v>5905</v>
      </c>
      <c r="F2124" s="122" t="s">
        <v>30</v>
      </c>
      <c r="G2124" s="122" t="s">
        <v>30</v>
      </c>
      <c r="H2124" s="122" t="s">
        <v>50</v>
      </c>
      <c r="I2124" s="125" t="s">
        <v>1395</v>
      </c>
      <c r="J2124" s="129" t="s">
        <v>6202</v>
      </c>
      <c r="K2124" s="122" t="s">
        <v>5907</v>
      </c>
      <c r="L2124" s="131" t="s">
        <v>42</v>
      </c>
      <c r="M2124" s="133" t="s">
        <v>7882</v>
      </c>
      <c r="N2124" s="122" t="s">
        <v>30</v>
      </c>
    </row>
    <row r="2125" spans="2:14" hidden="1" x14ac:dyDescent="0.25">
      <c r="B2125" s="120">
        <v>2122</v>
      </c>
      <c r="C2125" s="122">
        <v>20602533841</v>
      </c>
      <c r="D2125" s="125" t="s">
        <v>5371</v>
      </c>
      <c r="E2125" s="125" t="s">
        <v>5372</v>
      </c>
      <c r="F2125" s="122" t="s">
        <v>99</v>
      </c>
      <c r="G2125" s="122" t="s">
        <v>99</v>
      </c>
      <c r="H2125" s="122" t="s">
        <v>5373</v>
      </c>
      <c r="I2125" s="125" t="s">
        <v>1424</v>
      </c>
      <c r="J2125" s="129" t="s">
        <v>20735</v>
      </c>
      <c r="K2125" s="122" t="s">
        <v>5908</v>
      </c>
      <c r="L2125" s="131" t="s">
        <v>36</v>
      </c>
      <c r="M2125" s="133" t="s">
        <v>7883</v>
      </c>
      <c r="N2125" s="122" t="s">
        <v>99</v>
      </c>
    </row>
    <row r="2126" spans="2:14" hidden="1" x14ac:dyDescent="0.25">
      <c r="B2126" s="120">
        <v>2123</v>
      </c>
      <c r="C2126" s="122">
        <v>20609262291</v>
      </c>
      <c r="D2126" s="125" t="s">
        <v>5369</v>
      </c>
      <c r="E2126" s="125" t="s">
        <v>5370</v>
      </c>
      <c r="F2126" s="122" t="s">
        <v>30</v>
      </c>
      <c r="G2126" s="122" t="s">
        <v>30</v>
      </c>
      <c r="H2126" s="122" t="s">
        <v>127</v>
      </c>
      <c r="I2126" s="125" t="s">
        <v>1805</v>
      </c>
      <c r="J2126" s="129" t="s">
        <v>20734</v>
      </c>
      <c r="K2126" s="122" t="s">
        <v>5909</v>
      </c>
      <c r="L2126" s="131" t="s">
        <v>57</v>
      </c>
      <c r="M2126" s="133" t="s">
        <v>7884</v>
      </c>
      <c r="N2126" s="122" t="s">
        <v>30</v>
      </c>
    </row>
    <row r="2127" spans="2:14" hidden="1" x14ac:dyDescent="0.25">
      <c r="B2127" s="120">
        <v>2124</v>
      </c>
      <c r="C2127" s="122">
        <v>20600281756</v>
      </c>
      <c r="D2127" s="125" t="s">
        <v>3475</v>
      </c>
      <c r="E2127" s="125" t="s">
        <v>5910</v>
      </c>
      <c r="F2127" s="122" t="s">
        <v>30</v>
      </c>
      <c r="G2127" s="122" t="s">
        <v>30</v>
      </c>
      <c r="H2127" s="122" t="s">
        <v>43</v>
      </c>
      <c r="I2127" s="125" t="s">
        <v>1450</v>
      </c>
      <c r="J2127" s="129" t="s">
        <v>6204</v>
      </c>
      <c r="K2127" s="122" t="s">
        <v>5911</v>
      </c>
      <c r="L2127" s="131" t="s">
        <v>36</v>
      </c>
      <c r="M2127" s="133" t="s">
        <v>7885</v>
      </c>
      <c r="N2127" s="122" t="s">
        <v>30</v>
      </c>
    </row>
    <row r="2128" spans="2:14" hidden="1" x14ac:dyDescent="0.25">
      <c r="B2128" s="120">
        <v>2125</v>
      </c>
      <c r="C2128" s="122">
        <v>20458280348</v>
      </c>
      <c r="D2128" s="125" t="s">
        <v>5364</v>
      </c>
      <c r="E2128" s="125" t="s">
        <v>5365</v>
      </c>
      <c r="F2128" s="122" t="s">
        <v>67</v>
      </c>
      <c r="G2128" s="122" t="s">
        <v>67</v>
      </c>
      <c r="H2128" s="122" t="s">
        <v>67</v>
      </c>
      <c r="I2128" s="125" t="s">
        <v>1956</v>
      </c>
      <c r="J2128" s="129" t="s">
        <v>6205</v>
      </c>
      <c r="K2128" s="122" t="s">
        <v>5912</v>
      </c>
      <c r="L2128" s="131" t="s">
        <v>76</v>
      </c>
      <c r="M2128" s="133" t="s">
        <v>7886</v>
      </c>
      <c r="N2128" s="122" t="s">
        <v>30</v>
      </c>
    </row>
    <row r="2129" spans="2:14" hidden="1" x14ac:dyDescent="0.25">
      <c r="B2129" s="120">
        <v>2126</v>
      </c>
      <c r="C2129" s="122">
        <v>20458280348</v>
      </c>
      <c r="D2129" s="125" t="s">
        <v>5364</v>
      </c>
      <c r="E2129" s="125" t="s">
        <v>5365</v>
      </c>
      <c r="F2129" s="122" t="s">
        <v>67</v>
      </c>
      <c r="G2129" s="122" t="s">
        <v>67</v>
      </c>
      <c r="H2129" s="122" t="s">
        <v>67</v>
      </c>
      <c r="I2129" s="125" t="s">
        <v>1956</v>
      </c>
      <c r="J2129" s="129" t="s">
        <v>6206</v>
      </c>
      <c r="K2129" s="122" t="s">
        <v>5913</v>
      </c>
      <c r="L2129" s="131" t="s">
        <v>36</v>
      </c>
      <c r="M2129" s="133" t="s">
        <v>7886</v>
      </c>
      <c r="N2129" s="122" t="s">
        <v>30</v>
      </c>
    </row>
    <row r="2130" spans="2:14" hidden="1" x14ac:dyDescent="0.25">
      <c r="B2130" s="120">
        <v>2127</v>
      </c>
      <c r="C2130" s="122">
        <v>20513516143</v>
      </c>
      <c r="D2130" s="125" t="s">
        <v>5362</v>
      </c>
      <c r="E2130" s="125" t="s">
        <v>5363</v>
      </c>
      <c r="F2130" s="122" t="s">
        <v>30</v>
      </c>
      <c r="G2130" s="122" t="s">
        <v>30</v>
      </c>
      <c r="H2130" s="122" t="s">
        <v>40</v>
      </c>
      <c r="I2130" s="125" t="s">
        <v>1950</v>
      </c>
      <c r="J2130" s="129" t="s">
        <v>6207</v>
      </c>
      <c r="K2130" s="122" t="s">
        <v>5914</v>
      </c>
      <c r="L2130" s="131" t="s">
        <v>36</v>
      </c>
      <c r="M2130" s="133" t="s">
        <v>7887</v>
      </c>
      <c r="N2130" s="122" t="s">
        <v>30</v>
      </c>
    </row>
    <row r="2131" spans="2:14" hidden="1" x14ac:dyDescent="0.25">
      <c r="B2131" s="120">
        <v>2128</v>
      </c>
      <c r="C2131" s="122">
        <v>20513516143</v>
      </c>
      <c r="D2131" s="125" t="s">
        <v>5362</v>
      </c>
      <c r="E2131" s="125" t="s">
        <v>5363</v>
      </c>
      <c r="F2131" s="122" t="s">
        <v>30</v>
      </c>
      <c r="G2131" s="122" t="s">
        <v>30</v>
      </c>
      <c r="H2131" s="122" t="s">
        <v>40</v>
      </c>
      <c r="I2131" s="125" t="s">
        <v>1950</v>
      </c>
      <c r="J2131" s="129" t="s">
        <v>6208</v>
      </c>
      <c r="K2131" s="122" t="s">
        <v>5915</v>
      </c>
      <c r="L2131" s="131" t="s">
        <v>42</v>
      </c>
      <c r="M2131" s="133" t="s">
        <v>7887</v>
      </c>
      <c r="N2131" s="122" t="s">
        <v>30</v>
      </c>
    </row>
    <row r="2132" spans="2:14" hidden="1" x14ac:dyDescent="0.25">
      <c r="B2132" s="120">
        <v>2129</v>
      </c>
      <c r="C2132" s="122">
        <v>20507462082</v>
      </c>
      <c r="D2132" s="125" t="s">
        <v>1127</v>
      </c>
      <c r="E2132" s="125" t="s">
        <v>5916</v>
      </c>
      <c r="F2132" s="122" t="s">
        <v>30</v>
      </c>
      <c r="G2132" s="122" t="s">
        <v>30</v>
      </c>
      <c r="H2132" s="122" t="s">
        <v>51</v>
      </c>
      <c r="I2132" s="125" t="s">
        <v>1450</v>
      </c>
      <c r="J2132" s="129" t="s">
        <v>20727</v>
      </c>
      <c r="K2132" s="122" t="s">
        <v>5917</v>
      </c>
      <c r="L2132" s="131" t="s">
        <v>42</v>
      </c>
      <c r="M2132" s="133" t="s">
        <v>7888</v>
      </c>
      <c r="N2132" s="122" t="s">
        <v>30</v>
      </c>
    </row>
    <row r="2133" spans="2:14" hidden="1" x14ac:dyDescent="0.25">
      <c r="B2133" s="120">
        <v>2130</v>
      </c>
      <c r="C2133" s="122">
        <v>20507462082</v>
      </c>
      <c r="D2133" s="125" t="s">
        <v>1127</v>
      </c>
      <c r="E2133" s="125" t="s">
        <v>5916</v>
      </c>
      <c r="F2133" s="122" t="s">
        <v>30</v>
      </c>
      <c r="G2133" s="122" t="s">
        <v>30</v>
      </c>
      <c r="H2133" s="122" t="s">
        <v>51</v>
      </c>
      <c r="I2133" s="125" t="s">
        <v>1450</v>
      </c>
      <c r="J2133" s="129" t="s">
        <v>20726</v>
      </c>
      <c r="K2133" s="122" t="s">
        <v>5918</v>
      </c>
      <c r="L2133" s="131" t="s">
        <v>209</v>
      </c>
      <c r="M2133" s="133" t="s">
        <v>7888</v>
      </c>
      <c r="N2133" s="122" t="s">
        <v>30</v>
      </c>
    </row>
    <row r="2134" spans="2:14" hidden="1" x14ac:dyDescent="0.25">
      <c r="B2134" s="120">
        <v>2131</v>
      </c>
      <c r="C2134" s="122">
        <v>20608332708</v>
      </c>
      <c r="D2134" s="125" t="s">
        <v>5356</v>
      </c>
      <c r="E2134" s="125" t="s">
        <v>5357</v>
      </c>
      <c r="F2134" s="122" t="s">
        <v>93</v>
      </c>
      <c r="G2134" s="122" t="s">
        <v>5358</v>
      </c>
      <c r="H2134" s="122" t="s">
        <v>5359</v>
      </c>
      <c r="I2134" s="125" t="s">
        <v>1981</v>
      </c>
      <c r="J2134" s="129" t="s">
        <v>6209</v>
      </c>
      <c r="K2134" s="122" t="s">
        <v>5919</v>
      </c>
      <c r="L2134" s="131" t="s">
        <v>42</v>
      </c>
      <c r="M2134" s="133" t="s">
        <v>845</v>
      </c>
      <c r="N2134" s="122" t="s">
        <v>845</v>
      </c>
    </row>
    <row r="2135" spans="2:14" hidden="1" x14ac:dyDescent="0.25">
      <c r="B2135" s="120">
        <v>2132</v>
      </c>
      <c r="C2135" s="122">
        <v>20514863408</v>
      </c>
      <c r="D2135" s="125" t="s">
        <v>5348</v>
      </c>
      <c r="E2135" s="125" t="s">
        <v>5349</v>
      </c>
      <c r="F2135" s="122" t="s">
        <v>30</v>
      </c>
      <c r="G2135" s="122" t="s">
        <v>30</v>
      </c>
      <c r="H2135" s="122" t="s">
        <v>52</v>
      </c>
      <c r="I2135" s="125" t="s">
        <v>1940</v>
      </c>
      <c r="J2135" s="129" t="s">
        <v>6210</v>
      </c>
      <c r="K2135" s="122" t="s">
        <v>5920</v>
      </c>
      <c r="L2135" s="131" t="s">
        <v>42</v>
      </c>
      <c r="M2135" s="133" t="s">
        <v>7889</v>
      </c>
      <c r="N2135" s="122" t="s">
        <v>30</v>
      </c>
    </row>
    <row r="2136" spans="2:14" hidden="1" x14ac:dyDescent="0.25">
      <c r="B2136" s="120">
        <v>2133</v>
      </c>
      <c r="C2136" s="122">
        <v>20516908263</v>
      </c>
      <c r="D2136" s="125" t="s">
        <v>5295</v>
      </c>
      <c r="E2136" s="125" t="s">
        <v>5296</v>
      </c>
      <c r="F2136" s="122" t="s">
        <v>30</v>
      </c>
      <c r="G2136" s="122" t="s">
        <v>30</v>
      </c>
      <c r="H2136" s="122" t="s">
        <v>52</v>
      </c>
      <c r="I2136" s="125" t="s">
        <v>1533</v>
      </c>
      <c r="J2136" s="129" t="s">
        <v>20730</v>
      </c>
      <c r="K2136" s="122" t="s">
        <v>5921</v>
      </c>
      <c r="L2136" s="131" t="s">
        <v>42</v>
      </c>
      <c r="M2136" s="133" t="s">
        <v>7890</v>
      </c>
      <c r="N2136" s="122" t="s">
        <v>30</v>
      </c>
    </row>
    <row r="2137" spans="2:14" hidden="1" x14ac:dyDescent="0.25">
      <c r="B2137" s="120">
        <v>2134</v>
      </c>
      <c r="C2137" s="122">
        <v>20602717322</v>
      </c>
      <c r="D2137" s="125" t="s">
        <v>3536</v>
      </c>
      <c r="E2137" s="125" t="s">
        <v>5922</v>
      </c>
      <c r="F2137" s="122" t="s">
        <v>30</v>
      </c>
      <c r="G2137" s="122" t="s">
        <v>30</v>
      </c>
      <c r="H2137" s="122" t="s">
        <v>75</v>
      </c>
      <c r="I2137" s="125" t="s">
        <v>1398</v>
      </c>
      <c r="J2137" s="129" t="s">
        <v>6211</v>
      </c>
      <c r="K2137" s="122" t="s">
        <v>5923</v>
      </c>
      <c r="L2137" s="131" t="s">
        <v>42</v>
      </c>
      <c r="M2137" s="133" t="s">
        <v>7891</v>
      </c>
      <c r="N2137" s="122" t="s">
        <v>30</v>
      </c>
    </row>
    <row r="2138" spans="2:14" hidden="1" x14ac:dyDescent="0.25">
      <c r="B2138" s="120">
        <v>2135</v>
      </c>
      <c r="C2138" s="122">
        <v>20546861539</v>
      </c>
      <c r="D2138" s="125" t="s">
        <v>5292</v>
      </c>
      <c r="E2138" s="125" t="s">
        <v>5293</v>
      </c>
      <c r="F2138" s="122" t="s">
        <v>30</v>
      </c>
      <c r="G2138" s="122" t="s">
        <v>30</v>
      </c>
      <c r="H2138" s="122" t="s">
        <v>50</v>
      </c>
      <c r="I2138" s="125" t="s">
        <v>1424</v>
      </c>
      <c r="J2138" s="129" t="s">
        <v>6212</v>
      </c>
      <c r="K2138" s="122" t="s">
        <v>5924</v>
      </c>
      <c r="L2138" s="131" t="s">
        <v>42</v>
      </c>
      <c r="M2138" s="133" t="s">
        <v>845</v>
      </c>
      <c r="N2138" s="122" t="s">
        <v>845</v>
      </c>
    </row>
    <row r="2139" spans="2:14" hidden="1" x14ac:dyDescent="0.25">
      <c r="B2139" s="120">
        <v>2136</v>
      </c>
      <c r="C2139" s="122">
        <v>20160644592</v>
      </c>
      <c r="D2139" s="125" t="s">
        <v>5290</v>
      </c>
      <c r="E2139" s="125" t="s">
        <v>5291</v>
      </c>
      <c r="F2139" s="122" t="s">
        <v>30</v>
      </c>
      <c r="G2139" s="122" t="s">
        <v>30</v>
      </c>
      <c r="H2139" s="122" t="s">
        <v>30</v>
      </c>
      <c r="I2139" s="125" t="s">
        <v>1809</v>
      </c>
      <c r="J2139" s="129" t="s">
        <v>6213</v>
      </c>
      <c r="K2139" s="122" t="s">
        <v>5925</v>
      </c>
      <c r="L2139" s="131" t="s">
        <v>42</v>
      </c>
      <c r="M2139" s="133" t="s">
        <v>845</v>
      </c>
      <c r="N2139" s="122" t="s">
        <v>845</v>
      </c>
    </row>
    <row r="2140" spans="2:14" hidden="1" x14ac:dyDescent="0.25">
      <c r="B2140" s="120">
        <v>2137</v>
      </c>
      <c r="C2140" s="122">
        <v>20160644592</v>
      </c>
      <c r="D2140" s="125" t="s">
        <v>5290</v>
      </c>
      <c r="E2140" s="125" t="s">
        <v>5291</v>
      </c>
      <c r="F2140" s="122" t="s">
        <v>30</v>
      </c>
      <c r="G2140" s="122" t="s">
        <v>30</v>
      </c>
      <c r="H2140" s="122" t="s">
        <v>30</v>
      </c>
      <c r="I2140" s="125" t="s">
        <v>1809</v>
      </c>
      <c r="J2140" s="129" t="s">
        <v>20688</v>
      </c>
      <c r="K2140" s="122" t="s">
        <v>5926</v>
      </c>
      <c r="L2140" s="131" t="s">
        <v>209</v>
      </c>
      <c r="M2140" s="133" t="s">
        <v>845</v>
      </c>
      <c r="N2140" s="122" t="s">
        <v>845</v>
      </c>
    </row>
    <row r="2141" spans="2:14" hidden="1" x14ac:dyDescent="0.25">
      <c r="B2141" s="120">
        <v>2138</v>
      </c>
      <c r="C2141" s="122">
        <v>20608178890</v>
      </c>
      <c r="D2141" s="125" t="s">
        <v>5927</v>
      </c>
      <c r="E2141" s="125" t="s">
        <v>5928</v>
      </c>
      <c r="F2141" s="122" t="s">
        <v>30</v>
      </c>
      <c r="G2141" s="122" t="s">
        <v>30</v>
      </c>
      <c r="H2141" s="122" t="s">
        <v>58</v>
      </c>
      <c r="I2141" s="125" t="s">
        <v>1395</v>
      </c>
      <c r="J2141" s="129" t="s">
        <v>6214</v>
      </c>
      <c r="K2141" s="122" t="s">
        <v>5929</v>
      </c>
      <c r="L2141" s="131" t="s">
        <v>42</v>
      </c>
      <c r="M2141" s="133" t="s">
        <v>7892</v>
      </c>
      <c r="N2141" s="122" t="s">
        <v>30</v>
      </c>
    </row>
    <row r="2142" spans="2:14" hidden="1" x14ac:dyDescent="0.25">
      <c r="B2142" s="120">
        <v>2139</v>
      </c>
      <c r="C2142" s="122">
        <v>20506115311</v>
      </c>
      <c r="D2142" s="125" t="s">
        <v>5253</v>
      </c>
      <c r="E2142" s="125" t="s">
        <v>5254</v>
      </c>
      <c r="F2142" s="122" t="s">
        <v>30</v>
      </c>
      <c r="G2142" s="122" t="s">
        <v>67</v>
      </c>
      <c r="H2142" s="122" t="s">
        <v>94</v>
      </c>
      <c r="I2142" s="125" t="s">
        <v>1986</v>
      </c>
      <c r="J2142" s="129" t="s">
        <v>6215</v>
      </c>
      <c r="K2142" s="122" t="s">
        <v>5930</v>
      </c>
      <c r="L2142" s="131" t="s">
        <v>5931</v>
      </c>
      <c r="M2142" s="133" t="s">
        <v>7893</v>
      </c>
      <c r="N2142" s="122" t="s">
        <v>67</v>
      </c>
    </row>
    <row r="2143" spans="2:14" hidden="1" x14ac:dyDescent="0.25">
      <c r="B2143" s="120">
        <v>2140</v>
      </c>
      <c r="C2143" s="122">
        <v>20605221280</v>
      </c>
      <c r="D2143" s="125" t="s">
        <v>5251</v>
      </c>
      <c r="E2143" s="125" t="s">
        <v>5252</v>
      </c>
      <c r="F2143" s="122" t="s">
        <v>30</v>
      </c>
      <c r="G2143" s="122" t="s">
        <v>30</v>
      </c>
      <c r="H2143" s="122" t="s">
        <v>30</v>
      </c>
      <c r="I2143" s="125" t="s">
        <v>1398</v>
      </c>
      <c r="J2143" s="129" t="s">
        <v>6216</v>
      </c>
      <c r="K2143" s="122" t="s">
        <v>5932</v>
      </c>
      <c r="L2143" s="131" t="s">
        <v>57</v>
      </c>
      <c r="M2143" s="133" t="s">
        <v>7894</v>
      </c>
      <c r="N2143" s="122" t="s">
        <v>30</v>
      </c>
    </row>
    <row r="2144" spans="2:14" hidden="1" x14ac:dyDescent="0.25">
      <c r="B2144" s="120">
        <v>2141</v>
      </c>
      <c r="C2144" s="122">
        <v>20607846457</v>
      </c>
      <c r="D2144" s="125" t="s">
        <v>1096</v>
      </c>
      <c r="E2144" s="125" t="s">
        <v>5933</v>
      </c>
      <c r="F2144" s="122" t="s">
        <v>30</v>
      </c>
      <c r="G2144" s="122" t="s">
        <v>30</v>
      </c>
      <c r="H2144" s="122" t="s">
        <v>75</v>
      </c>
      <c r="I2144" s="125" t="s">
        <v>1374</v>
      </c>
      <c r="J2144" s="129" t="s">
        <v>6217</v>
      </c>
      <c r="K2144" s="122" t="s">
        <v>5934</v>
      </c>
      <c r="L2144" s="131" t="s">
        <v>42</v>
      </c>
      <c r="M2144" s="133" t="s">
        <v>7895</v>
      </c>
      <c r="N2144" s="122" t="s">
        <v>30</v>
      </c>
    </row>
    <row r="2145" spans="2:14" hidden="1" x14ac:dyDescent="0.25">
      <c r="B2145" s="120">
        <v>2142</v>
      </c>
      <c r="C2145" s="122">
        <v>20555901179</v>
      </c>
      <c r="D2145" s="125" t="s">
        <v>708</v>
      </c>
      <c r="E2145" s="125" t="s">
        <v>5935</v>
      </c>
      <c r="F2145" s="122" t="s">
        <v>30</v>
      </c>
      <c r="G2145" s="122" t="s">
        <v>30</v>
      </c>
      <c r="H2145" s="122" t="s">
        <v>30</v>
      </c>
      <c r="I2145" s="125" t="s">
        <v>1984</v>
      </c>
      <c r="J2145" s="129" t="s">
        <v>6218</v>
      </c>
      <c r="K2145" s="122" t="s">
        <v>5936</v>
      </c>
      <c r="L2145" s="131" t="s">
        <v>209</v>
      </c>
      <c r="M2145" s="133" t="s">
        <v>7896</v>
      </c>
      <c r="N2145" s="122" t="s">
        <v>30</v>
      </c>
    </row>
    <row r="2146" spans="2:14" hidden="1" x14ac:dyDescent="0.25">
      <c r="B2146" s="120">
        <v>2143</v>
      </c>
      <c r="C2146" s="122">
        <v>20555901179</v>
      </c>
      <c r="D2146" s="125" t="s">
        <v>708</v>
      </c>
      <c r="E2146" s="125" t="s">
        <v>5935</v>
      </c>
      <c r="F2146" s="122" t="s">
        <v>30</v>
      </c>
      <c r="G2146" s="122" t="s">
        <v>30</v>
      </c>
      <c r="H2146" s="122" t="s">
        <v>30</v>
      </c>
      <c r="I2146" s="125" t="s">
        <v>1984</v>
      </c>
      <c r="J2146" s="129" t="s">
        <v>20584</v>
      </c>
      <c r="K2146" s="122" t="s">
        <v>5937</v>
      </c>
      <c r="L2146" s="131" t="s">
        <v>209</v>
      </c>
      <c r="M2146" s="133" t="s">
        <v>7896</v>
      </c>
      <c r="N2146" s="122" t="s">
        <v>30</v>
      </c>
    </row>
    <row r="2147" spans="2:14" hidden="1" x14ac:dyDescent="0.25">
      <c r="B2147" s="120">
        <v>2144</v>
      </c>
      <c r="C2147" s="122">
        <v>20555901179</v>
      </c>
      <c r="D2147" s="125" t="s">
        <v>708</v>
      </c>
      <c r="E2147" s="125" t="s">
        <v>5935</v>
      </c>
      <c r="F2147" s="122" t="s">
        <v>30</v>
      </c>
      <c r="G2147" s="122" t="s">
        <v>30</v>
      </c>
      <c r="H2147" s="122" t="s">
        <v>30</v>
      </c>
      <c r="I2147" s="125" t="s">
        <v>1984</v>
      </c>
      <c r="J2147" s="129" t="s">
        <v>20583</v>
      </c>
      <c r="K2147" s="122" t="s">
        <v>5938</v>
      </c>
      <c r="L2147" s="131" t="s">
        <v>42</v>
      </c>
      <c r="M2147" s="133" t="s">
        <v>7896</v>
      </c>
      <c r="N2147" s="122" t="s">
        <v>30</v>
      </c>
    </row>
    <row r="2148" spans="2:14" hidden="1" x14ac:dyDescent="0.25">
      <c r="B2148" s="120">
        <v>2145</v>
      </c>
      <c r="C2148" s="122">
        <v>20600922816</v>
      </c>
      <c r="D2148" s="125" t="s">
        <v>5939</v>
      </c>
      <c r="E2148" s="125" t="s">
        <v>5940</v>
      </c>
      <c r="F2148" s="122" t="s">
        <v>30</v>
      </c>
      <c r="G2148" s="122" t="s">
        <v>30</v>
      </c>
      <c r="H2148" s="122" t="s">
        <v>51</v>
      </c>
      <c r="I2148" s="125" t="s">
        <v>1398</v>
      </c>
      <c r="J2148" s="129" t="s">
        <v>6219</v>
      </c>
      <c r="K2148" s="122" t="s">
        <v>5941</v>
      </c>
      <c r="L2148" s="131" t="s">
        <v>57</v>
      </c>
      <c r="M2148" s="133" t="s">
        <v>7897</v>
      </c>
      <c r="N2148" s="122" t="s">
        <v>30</v>
      </c>
    </row>
    <row r="2149" spans="2:14" hidden="1" x14ac:dyDescent="0.25">
      <c r="B2149" s="120">
        <v>2146</v>
      </c>
      <c r="C2149" s="122">
        <v>20513192224</v>
      </c>
      <c r="D2149" s="125" t="s">
        <v>1068</v>
      </c>
      <c r="E2149" s="125" t="s">
        <v>5942</v>
      </c>
      <c r="F2149" s="122" t="s">
        <v>30</v>
      </c>
      <c r="G2149" s="122" t="s">
        <v>30</v>
      </c>
      <c r="H2149" s="122" t="s">
        <v>45</v>
      </c>
      <c r="I2149" s="125" t="s">
        <v>1377</v>
      </c>
      <c r="J2149" s="129" t="s">
        <v>6220</v>
      </c>
      <c r="K2149" s="122" t="s">
        <v>5943</v>
      </c>
      <c r="L2149" s="131" t="s">
        <v>619</v>
      </c>
      <c r="M2149" s="133" t="s">
        <v>7898</v>
      </c>
      <c r="N2149" s="122" t="s">
        <v>30</v>
      </c>
    </row>
    <row r="2150" spans="2:14" hidden="1" x14ac:dyDescent="0.25">
      <c r="B2150" s="120">
        <v>2147</v>
      </c>
      <c r="C2150" s="122">
        <v>20513192224</v>
      </c>
      <c r="D2150" s="125" t="s">
        <v>1068</v>
      </c>
      <c r="E2150" s="125" t="s">
        <v>5942</v>
      </c>
      <c r="F2150" s="122" t="s">
        <v>30</v>
      </c>
      <c r="G2150" s="122" t="s">
        <v>30</v>
      </c>
      <c r="H2150" s="122" t="s">
        <v>45</v>
      </c>
      <c r="I2150" s="125" t="s">
        <v>1377</v>
      </c>
      <c r="J2150" s="129" t="s">
        <v>8069</v>
      </c>
      <c r="K2150" s="122" t="s">
        <v>5944</v>
      </c>
      <c r="L2150" s="131" t="s">
        <v>42</v>
      </c>
      <c r="M2150" s="133" t="s">
        <v>7898</v>
      </c>
      <c r="N2150" s="122" t="s">
        <v>30</v>
      </c>
    </row>
    <row r="2151" spans="2:14" hidden="1" x14ac:dyDescent="0.25">
      <c r="B2151" s="120">
        <v>2148</v>
      </c>
      <c r="C2151" s="122">
        <v>20101627692</v>
      </c>
      <c r="D2151" s="125" t="s">
        <v>420</v>
      </c>
      <c r="E2151" s="125" t="s">
        <v>5945</v>
      </c>
      <c r="F2151" s="122" t="s">
        <v>30</v>
      </c>
      <c r="G2151" s="122" t="s">
        <v>30</v>
      </c>
      <c r="H2151" s="122" t="s">
        <v>51</v>
      </c>
      <c r="I2151" s="125" t="s">
        <v>1543</v>
      </c>
      <c r="J2151" s="129" t="s">
        <v>20669</v>
      </c>
      <c r="K2151" s="122" t="s">
        <v>5946</v>
      </c>
      <c r="L2151" s="131" t="s">
        <v>1309</v>
      </c>
      <c r="M2151" s="133" t="s">
        <v>7899</v>
      </c>
      <c r="N2151" s="122" t="s">
        <v>30</v>
      </c>
    </row>
    <row r="2152" spans="2:14" hidden="1" x14ac:dyDescent="0.25">
      <c r="B2152" s="120">
        <v>2149</v>
      </c>
      <c r="C2152" s="122">
        <v>20101627692</v>
      </c>
      <c r="D2152" s="125" t="s">
        <v>420</v>
      </c>
      <c r="E2152" s="125" t="s">
        <v>5945</v>
      </c>
      <c r="F2152" s="122" t="s">
        <v>30</v>
      </c>
      <c r="G2152" s="122" t="s">
        <v>30</v>
      </c>
      <c r="H2152" s="122" t="s">
        <v>51</v>
      </c>
      <c r="I2152" s="125" t="s">
        <v>1543</v>
      </c>
      <c r="J2152" s="129" t="s">
        <v>20668</v>
      </c>
      <c r="K2152" s="122" t="s">
        <v>5947</v>
      </c>
      <c r="L2152" s="131" t="s">
        <v>42</v>
      </c>
      <c r="M2152" s="133" t="s">
        <v>7899</v>
      </c>
      <c r="N2152" s="122" t="s">
        <v>30</v>
      </c>
    </row>
    <row r="2153" spans="2:14" hidden="1" x14ac:dyDescent="0.25">
      <c r="B2153" s="120">
        <v>2150</v>
      </c>
      <c r="C2153" s="122">
        <v>20549886486</v>
      </c>
      <c r="D2153" s="125" t="s">
        <v>5948</v>
      </c>
      <c r="E2153" s="125" t="s">
        <v>5949</v>
      </c>
      <c r="F2153" s="122" t="s">
        <v>30</v>
      </c>
      <c r="G2153" s="122" t="s">
        <v>30</v>
      </c>
      <c r="H2153" s="122" t="s">
        <v>45</v>
      </c>
      <c r="I2153" s="125" t="s">
        <v>1365</v>
      </c>
      <c r="J2153" s="129" t="s">
        <v>6221</v>
      </c>
      <c r="K2153" s="122" t="s">
        <v>5950</v>
      </c>
      <c r="L2153" s="131" t="s">
        <v>42</v>
      </c>
      <c r="M2153" s="133" t="s">
        <v>7900</v>
      </c>
      <c r="N2153" s="122" t="s">
        <v>30</v>
      </c>
    </row>
    <row r="2154" spans="2:14" hidden="1" x14ac:dyDescent="0.25">
      <c r="B2154" s="120">
        <v>2151</v>
      </c>
      <c r="C2154" s="122">
        <v>20601297478</v>
      </c>
      <c r="D2154" s="125" t="s">
        <v>5951</v>
      </c>
      <c r="E2154" s="125" t="s">
        <v>5952</v>
      </c>
      <c r="F2154" s="122" t="s">
        <v>30</v>
      </c>
      <c r="G2154" s="122" t="s">
        <v>30</v>
      </c>
      <c r="H2154" s="122" t="s">
        <v>75</v>
      </c>
      <c r="I2154" s="125" t="s">
        <v>1424</v>
      </c>
      <c r="J2154" s="129" t="s">
        <v>6223</v>
      </c>
      <c r="K2154" s="122" t="s">
        <v>5953</v>
      </c>
      <c r="L2154" s="131" t="s">
        <v>42</v>
      </c>
      <c r="M2154" s="133" t="s">
        <v>845</v>
      </c>
      <c r="N2154" s="122" t="s">
        <v>845</v>
      </c>
    </row>
    <row r="2155" spans="2:14" hidden="1" x14ac:dyDescent="0.25">
      <c r="B2155" s="120">
        <v>2152</v>
      </c>
      <c r="C2155" s="122">
        <v>20112844423</v>
      </c>
      <c r="D2155" s="125" t="s">
        <v>5954</v>
      </c>
      <c r="E2155" s="125" t="s">
        <v>5955</v>
      </c>
      <c r="F2155" s="122" t="s">
        <v>30</v>
      </c>
      <c r="G2155" s="122" t="s">
        <v>30</v>
      </c>
      <c r="H2155" s="122" t="s">
        <v>135</v>
      </c>
      <c r="I2155" s="125" t="s">
        <v>1986</v>
      </c>
      <c r="J2155" s="129" t="s">
        <v>20604</v>
      </c>
      <c r="K2155" s="122" t="s">
        <v>5956</v>
      </c>
      <c r="L2155" s="131" t="s">
        <v>5957</v>
      </c>
      <c r="M2155" s="133" t="s">
        <v>7901</v>
      </c>
      <c r="N2155" s="122" t="s">
        <v>30</v>
      </c>
    </row>
    <row r="2156" spans="2:14" hidden="1" x14ac:dyDescent="0.25">
      <c r="B2156" s="120">
        <v>2153</v>
      </c>
      <c r="C2156" s="122">
        <v>20112844423</v>
      </c>
      <c r="D2156" s="125" t="s">
        <v>5954</v>
      </c>
      <c r="E2156" s="125" t="s">
        <v>5955</v>
      </c>
      <c r="F2156" s="122" t="s">
        <v>30</v>
      </c>
      <c r="G2156" s="122" t="s">
        <v>30</v>
      </c>
      <c r="H2156" s="122" t="s">
        <v>135</v>
      </c>
      <c r="I2156" s="125" t="s">
        <v>1986</v>
      </c>
      <c r="J2156" s="129" t="s">
        <v>20602</v>
      </c>
      <c r="K2156" s="122" t="s">
        <v>20603</v>
      </c>
      <c r="L2156" s="131" t="s">
        <v>36</v>
      </c>
      <c r="M2156" s="133" t="s">
        <v>7901</v>
      </c>
      <c r="N2156" s="122" t="s">
        <v>30</v>
      </c>
    </row>
    <row r="2157" spans="2:14" hidden="1" x14ac:dyDescent="0.25">
      <c r="B2157" s="120">
        <v>2154</v>
      </c>
      <c r="C2157" s="122">
        <v>20112844423</v>
      </c>
      <c r="D2157" s="125" t="s">
        <v>5954</v>
      </c>
      <c r="E2157" s="125" t="s">
        <v>5955</v>
      </c>
      <c r="F2157" s="122" t="s">
        <v>30</v>
      </c>
      <c r="G2157" s="122" t="s">
        <v>30</v>
      </c>
      <c r="H2157" s="122" t="s">
        <v>135</v>
      </c>
      <c r="I2157" s="125" t="s">
        <v>1986</v>
      </c>
      <c r="J2157" s="129" t="s">
        <v>20601</v>
      </c>
      <c r="K2157" s="122" t="s">
        <v>5958</v>
      </c>
      <c r="L2157" s="131" t="s">
        <v>42</v>
      </c>
      <c r="M2157" s="133" t="s">
        <v>7901</v>
      </c>
      <c r="N2157" s="122" t="s">
        <v>30</v>
      </c>
    </row>
    <row r="2158" spans="2:14" hidden="1" x14ac:dyDescent="0.25">
      <c r="B2158" s="120">
        <v>2155</v>
      </c>
      <c r="C2158" s="122">
        <v>20177698122</v>
      </c>
      <c r="D2158" s="125" t="s">
        <v>194</v>
      </c>
      <c r="E2158" s="125" t="s">
        <v>5959</v>
      </c>
      <c r="F2158" s="122" t="s">
        <v>30</v>
      </c>
      <c r="G2158" s="122" t="s">
        <v>168</v>
      </c>
      <c r="H2158" s="122" t="s">
        <v>169</v>
      </c>
      <c r="I2158" s="125" t="s">
        <v>2446</v>
      </c>
      <c r="J2158" s="129" t="s">
        <v>6224</v>
      </c>
      <c r="K2158" s="122" t="s">
        <v>5960</v>
      </c>
      <c r="L2158" s="131" t="s">
        <v>42</v>
      </c>
      <c r="M2158" s="133" t="s">
        <v>7902</v>
      </c>
      <c r="N2158" s="122" t="s">
        <v>168</v>
      </c>
    </row>
    <row r="2159" spans="2:14" hidden="1" x14ac:dyDescent="0.25">
      <c r="B2159" s="120">
        <v>2156</v>
      </c>
      <c r="C2159" s="122">
        <v>10077119065</v>
      </c>
      <c r="D2159" s="125" t="s">
        <v>627</v>
      </c>
      <c r="E2159" s="125" t="s">
        <v>1572</v>
      </c>
      <c r="F2159" s="122" t="s">
        <v>30</v>
      </c>
      <c r="G2159" s="122" t="s">
        <v>30</v>
      </c>
      <c r="H2159" s="122" t="s">
        <v>45</v>
      </c>
      <c r="I2159" s="125" t="s">
        <v>1424</v>
      </c>
      <c r="J2159" s="129" t="s">
        <v>7988</v>
      </c>
      <c r="K2159" s="122" t="s">
        <v>1571</v>
      </c>
      <c r="L2159" s="131" t="s">
        <v>100</v>
      </c>
      <c r="M2159" s="133" t="s">
        <v>845</v>
      </c>
      <c r="N2159" s="122" t="s">
        <v>845</v>
      </c>
    </row>
    <row r="2160" spans="2:14" hidden="1" x14ac:dyDescent="0.25">
      <c r="B2160" s="120">
        <v>2157</v>
      </c>
      <c r="C2160" s="122">
        <v>20101217010</v>
      </c>
      <c r="D2160" s="125" t="s">
        <v>532</v>
      </c>
      <c r="E2160" s="125" t="s">
        <v>1518</v>
      </c>
      <c r="F2160" s="122" t="s">
        <v>30</v>
      </c>
      <c r="G2160" s="122" t="s">
        <v>30</v>
      </c>
      <c r="H2160" s="122" t="s">
        <v>51</v>
      </c>
      <c r="I2160" s="125" t="s">
        <v>1519</v>
      </c>
      <c r="J2160" s="129" t="s">
        <v>1522</v>
      </c>
      <c r="K2160" s="122" t="s">
        <v>1523</v>
      </c>
      <c r="L2160" s="131" t="s">
        <v>7981</v>
      </c>
      <c r="M2160" s="133" t="s">
        <v>7746</v>
      </c>
      <c r="N2160" s="122" t="s">
        <v>30</v>
      </c>
    </row>
    <row r="2161" spans="2:14" hidden="1" x14ac:dyDescent="0.25">
      <c r="B2161" s="120">
        <v>2158</v>
      </c>
      <c r="C2161" s="122">
        <v>20101217010</v>
      </c>
      <c r="D2161" s="125" t="s">
        <v>532</v>
      </c>
      <c r="E2161" s="125" t="s">
        <v>1518</v>
      </c>
      <c r="F2161" s="122" t="s">
        <v>30</v>
      </c>
      <c r="G2161" s="122" t="s">
        <v>30</v>
      </c>
      <c r="H2161" s="122" t="s">
        <v>51</v>
      </c>
      <c r="I2161" s="125" t="s">
        <v>1519</v>
      </c>
      <c r="J2161" s="129" t="s">
        <v>7980</v>
      </c>
      <c r="K2161" s="122" t="s">
        <v>7979</v>
      </c>
      <c r="L2161" s="131" t="s">
        <v>42</v>
      </c>
      <c r="M2161" s="133" t="s">
        <v>7746</v>
      </c>
      <c r="N2161" s="122" t="s">
        <v>30</v>
      </c>
    </row>
    <row r="2162" spans="2:14" hidden="1" x14ac:dyDescent="0.25">
      <c r="B2162" s="120">
        <v>2159</v>
      </c>
      <c r="C2162" s="122">
        <v>20101217010</v>
      </c>
      <c r="D2162" s="125" t="s">
        <v>532</v>
      </c>
      <c r="E2162" s="125" t="s">
        <v>1518</v>
      </c>
      <c r="F2162" s="122" t="s">
        <v>30</v>
      </c>
      <c r="G2162" s="122" t="s">
        <v>30</v>
      </c>
      <c r="H2162" s="122" t="s">
        <v>51</v>
      </c>
      <c r="I2162" s="125" t="s">
        <v>1519</v>
      </c>
      <c r="J2162" s="129" t="s">
        <v>1520</v>
      </c>
      <c r="K2162" s="122" t="s">
        <v>1521</v>
      </c>
      <c r="L2162" s="131" t="s">
        <v>76</v>
      </c>
      <c r="M2162" s="133" t="s">
        <v>7746</v>
      </c>
      <c r="N2162" s="122" t="s">
        <v>30</v>
      </c>
    </row>
    <row r="2163" spans="2:14" hidden="1" x14ac:dyDescent="0.25">
      <c r="B2163" s="120">
        <v>2160</v>
      </c>
      <c r="C2163" s="122">
        <v>20515915428</v>
      </c>
      <c r="D2163" s="125" t="s">
        <v>482</v>
      </c>
      <c r="E2163" s="125" t="s">
        <v>1509</v>
      </c>
      <c r="F2163" s="122" t="s">
        <v>30</v>
      </c>
      <c r="G2163" s="122" t="s">
        <v>30</v>
      </c>
      <c r="H2163" s="122" t="s">
        <v>30</v>
      </c>
      <c r="I2163" s="125" t="s">
        <v>1507</v>
      </c>
      <c r="J2163" s="129" t="s">
        <v>1510</v>
      </c>
      <c r="K2163" s="122" t="s">
        <v>1511</v>
      </c>
      <c r="L2163" s="131" t="s">
        <v>42</v>
      </c>
      <c r="M2163" s="133" t="s">
        <v>845</v>
      </c>
      <c r="N2163" s="122" t="s">
        <v>845</v>
      </c>
    </row>
    <row r="2164" spans="2:14" hidden="1" x14ac:dyDescent="0.25">
      <c r="B2164" s="120">
        <v>2161</v>
      </c>
      <c r="C2164" s="122">
        <v>20417926632</v>
      </c>
      <c r="D2164" s="125" t="s">
        <v>278</v>
      </c>
      <c r="E2164" s="125" t="s">
        <v>1402</v>
      </c>
      <c r="F2164" s="122" t="s">
        <v>30</v>
      </c>
      <c r="G2164" s="122" t="s">
        <v>30</v>
      </c>
      <c r="H2164" s="122" t="s">
        <v>34</v>
      </c>
      <c r="I2164" s="125" t="s">
        <v>1403</v>
      </c>
      <c r="J2164" s="129" t="s">
        <v>7969</v>
      </c>
      <c r="K2164" s="122" t="s">
        <v>7970</v>
      </c>
      <c r="L2164" s="131" t="s">
        <v>42</v>
      </c>
      <c r="M2164" s="133" t="s">
        <v>7767</v>
      </c>
      <c r="N2164" s="122" t="s">
        <v>286</v>
      </c>
    </row>
    <row r="2165" spans="2:14" hidden="1" x14ac:dyDescent="0.25">
      <c r="B2165" s="120">
        <v>2162</v>
      </c>
      <c r="C2165" s="122">
        <v>20417926632</v>
      </c>
      <c r="D2165" s="125" t="s">
        <v>278</v>
      </c>
      <c r="E2165" s="125" t="s">
        <v>1402</v>
      </c>
      <c r="F2165" s="122" t="s">
        <v>30</v>
      </c>
      <c r="G2165" s="122" t="s">
        <v>30</v>
      </c>
      <c r="H2165" s="122" t="s">
        <v>34</v>
      </c>
      <c r="I2165" s="125" t="s">
        <v>1403</v>
      </c>
      <c r="J2165" s="129" t="s">
        <v>1407</v>
      </c>
      <c r="K2165" s="122" t="s">
        <v>1408</v>
      </c>
      <c r="L2165" s="131" t="s">
        <v>1309</v>
      </c>
      <c r="M2165" s="133" t="s">
        <v>7767</v>
      </c>
      <c r="N2165" s="122" t="s">
        <v>286</v>
      </c>
    </row>
    <row r="2166" spans="2:14" hidden="1" x14ac:dyDescent="0.25">
      <c r="B2166" s="120">
        <v>2163</v>
      </c>
      <c r="C2166" s="122">
        <v>20417926632</v>
      </c>
      <c r="D2166" s="125" t="s">
        <v>278</v>
      </c>
      <c r="E2166" s="125" t="s">
        <v>1402</v>
      </c>
      <c r="F2166" s="122" t="s">
        <v>30</v>
      </c>
      <c r="G2166" s="122" t="s">
        <v>30</v>
      </c>
      <c r="H2166" s="122" t="s">
        <v>34</v>
      </c>
      <c r="I2166" s="125" t="s">
        <v>1403</v>
      </c>
      <c r="J2166" s="129" t="s">
        <v>1406</v>
      </c>
      <c r="K2166" s="122" t="s">
        <v>5977</v>
      </c>
      <c r="L2166" s="131" t="s">
        <v>209</v>
      </c>
      <c r="M2166" s="133" t="s">
        <v>7767</v>
      </c>
      <c r="N2166" s="122" t="s">
        <v>286</v>
      </c>
    </row>
    <row r="2167" spans="2:14" hidden="1" x14ac:dyDescent="0.25">
      <c r="B2167" s="120">
        <v>2164</v>
      </c>
      <c r="C2167" s="122">
        <v>20417926632</v>
      </c>
      <c r="D2167" s="125" t="s">
        <v>278</v>
      </c>
      <c r="E2167" s="125" t="s">
        <v>1402</v>
      </c>
      <c r="F2167" s="122" t="s">
        <v>30</v>
      </c>
      <c r="G2167" s="122" t="s">
        <v>30</v>
      </c>
      <c r="H2167" s="122" t="s">
        <v>34</v>
      </c>
      <c r="I2167" s="125" t="s">
        <v>1403</v>
      </c>
      <c r="J2167" s="129" t="s">
        <v>1404</v>
      </c>
      <c r="K2167" s="122" t="s">
        <v>1405</v>
      </c>
      <c r="L2167" s="131" t="s">
        <v>209</v>
      </c>
      <c r="M2167" s="133" t="s">
        <v>7767</v>
      </c>
      <c r="N2167" s="122" t="s">
        <v>286</v>
      </c>
    </row>
    <row r="2168" spans="2:14" hidden="1" x14ac:dyDescent="0.25">
      <c r="B2168" s="120">
        <v>2165</v>
      </c>
      <c r="C2168" s="122">
        <v>20492841103</v>
      </c>
      <c r="D2168" s="125" t="s">
        <v>521</v>
      </c>
      <c r="E2168" s="125" t="s">
        <v>5978</v>
      </c>
      <c r="F2168" s="122" t="s">
        <v>30</v>
      </c>
      <c r="G2168" s="122" t="s">
        <v>30</v>
      </c>
      <c r="H2168" s="122" t="s">
        <v>50</v>
      </c>
      <c r="I2168" s="125" t="s">
        <v>1395</v>
      </c>
      <c r="J2168" s="129" t="s">
        <v>1400</v>
      </c>
      <c r="K2168" s="122" t="s">
        <v>1401</v>
      </c>
      <c r="L2168" s="131" t="s">
        <v>42</v>
      </c>
      <c r="M2168" s="133" t="s">
        <v>7768</v>
      </c>
      <c r="N2168" s="122" t="s">
        <v>30</v>
      </c>
    </row>
    <row r="2169" spans="2:14" hidden="1" x14ac:dyDescent="0.25">
      <c r="B2169" s="120">
        <v>2166</v>
      </c>
      <c r="C2169" s="122">
        <v>20546082092</v>
      </c>
      <c r="D2169" s="125" t="s">
        <v>518</v>
      </c>
      <c r="E2169" s="125" t="s">
        <v>5979</v>
      </c>
      <c r="F2169" s="122" t="s">
        <v>30</v>
      </c>
      <c r="G2169" s="122" t="s">
        <v>30</v>
      </c>
      <c r="H2169" s="122" t="s">
        <v>51</v>
      </c>
      <c r="I2169" s="125" t="s">
        <v>1398</v>
      </c>
      <c r="J2169" s="129" t="s">
        <v>6228</v>
      </c>
      <c r="K2169" s="122" t="s">
        <v>1399</v>
      </c>
      <c r="L2169" s="131" t="s">
        <v>57</v>
      </c>
      <c r="M2169" s="133" t="s">
        <v>7769</v>
      </c>
      <c r="N2169" s="122" t="s">
        <v>30</v>
      </c>
    </row>
    <row r="2170" spans="2:14" hidden="1" x14ac:dyDescent="0.25">
      <c r="B2170" s="120">
        <v>2167</v>
      </c>
      <c r="C2170" s="122">
        <v>20100029406</v>
      </c>
      <c r="D2170" s="125" t="s">
        <v>456</v>
      </c>
      <c r="E2170" s="125" t="s">
        <v>1386</v>
      </c>
      <c r="F2170" s="122" t="s">
        <v>30</v>
      </c>
      <c r="G2170" s="122" t="s">
        <v>30</v>
      </c>
      <c r="H2170" s="122" t="s">
        <v>30</v>
      </c>
      <c r="I2170" s="125" t="s">
        <v>1387</v>
      </c>
      <c r="J2170" s="129" t="s">
        <v>1392</v>
      </c>
      <c r="K2170" s="122" t="s">
        <v>7968</v>
      </c>
      <c r="L2170" s="131" t="s">
        <v>7944</v>
      </c>
      <c r="M2170" s="133" t="s">
        <v>7771</v>
      </c>
      <c r="N2170" s="122" t="s">
        <v>30</v>
      </c>
    </row>
    <row r="2171" spans="2:14" hidden="1" x14ac:dyDescent="0.25">
      <c r="B2171" s="120">
        <v>2168</v>
      </c>
      <c r="C2171" s="122">
        <v>20100029406</v>
      </c>
      <c r="D2171" s="125" t="s">
        <v>456</v>
      </c>
      <c r="E2171" s="125" t="s">
        <v>1386</v>
      </c>
      <c r="F2171" s="122" t="s">
        <v>30</v>
      </c>
      <c r="G2171" s="122" t="s">
        <v>30</v>
      </c>
      <c r="H2171" s="122" t="s">
        <v>30</v>
      </c>
      <c r="I2171" s="125" t="s">
        <v>1387</v>
      </c>
      <c r="J2171" s="129" t="s">
        <v>1390</v>
      </c>
      <c r="K2171" s="122" t="s">
        <v>1391</v>
      </c>
      <c r="L2171" s="131" t="s">
        <v>119</v>
      </c>
      <c r="M2171" s="133" t="s">
        <v>7771</v>
      </c>
      <c r="N2171" s="122" t="s">
        <v>30</v>
      </c>
    </row>
    <row r="2172" spans="2:14" hidden="1" x14ac:dyDescent="0.25">
      <c r="B2172" s="120">
        <v>2169</v>
      </c>
      <c r="C2172" s="122">
        <v>20100029406</v>
      </c>
      <c r="D2172" s="125" t="s">
        <v>456</v>
      </c>
      <c r="E2172" s="125" t="s">
        <v>1386</v>
      </c>
      <c r="F2172" s="122" t="s">
        <v>30</v>
      </c>
      <c r="G2172" s="122" t="s">
        <v>30</v>
      </c>
      <c r="H2172" s="122" t="s">
        <v>30</v>
      </c>
      <c r="I2172" s="125" t="s">
        <v>1387</v>
      </c>
      <c r="J2172" s="129" t="s">
        <v>1388</v>
      </c>
      <c r="K2172" s="122" t="s">
        <v>1389</v>
      </c>
      <c r="L2172" s="131" t="s">
        <v>119</v>
      </c>
      <c r="M2172" s="133" t="s">
        <v>7771</v>
      </c>
      <c r="N2172" s="122" t="s">
        <v>30</v>
      </c>
    </row>
    <row r="2173" spans="2:14" hidden="1" x14ac:dyDescent="0.25">
      <c r="B2173" s="120">
        <v>2170</v>
      </c>
      <c r="C2173" s="123">
        <v>10480547484</v>
      </c>
      <c r="D2173" s="126" t="s">
        <v>666</v>
      </c>
      <c r="E2173" s="126" t="s">
        <v>6239</v>
      </c>
      <c r="F2173" s="123" t="s">
        <v>30</v>
      </c>
      <c r="G2173" s="123" t="s">
        <v>54</v>
      </c>
      <c r="H2173" s="123" t="s">
        <v>54</v>
      </c>
      <c r="I2173" s="126" t="s">
        <v>1450</v>
      </c>
      <c r="J2173" s="130" t="s">
        <v>6147</v>
      </c>
      <c r="K2173" s="123" t="s">
        <v>1235</v>
      </c>
      <c r="L2173" s="131" t="s">
        <v>100</v>
      </c>
      <c r="M2173" s="134" t="s">
        <v>845</v>
      </c>
      <c r="N2173" s="123" t="s">
        <v>845</v>
      </c>
    </row>
    <row r="2174" spans="2:14" hidden="1" x14ac:dyDescent="0.25">
      <c r="B2174" s="120">
        <v>2171</v>
      </c>
      <c r="C2174" s="123">
        <v>20603768877</v>
      </c>
      <c r="D2174" s="126" t="s">
        <v>4830</v>
      </c>
      <c r="E2174" s="126" t="s">
        <v>4831</v>
      </c>
      <c r="F2174" s="123" t="s">
        <v>30</v>
      </c>
      <c r="G2174" s="123" t="s">
        <v>30</v>
      </c>
      <c r="H2174" s="123" t="s">
        <v>135</v>
      </c>
      <c r="I2174" s="126" t="s">
        <v>6240</v>
      </c>
      <c r="J2174" s="130" t="s">
        <v>7966</v>
      </c>
      <c r="K2174" s="123" t="s">
        <v>7967</v>
      </c>
      <c r="L2174" s="131" t="s">
        <v>209</v>
      </c>
      <c r="M2174" s="134" t="s">
        <v>6242</v>
      </c>
      <c r="N2174" s="123" t="s">
        <v>30</v>
      </c>
    </row>
    <row r="2175" spans="2:14" hidden="1" x14ac:dyDescent="0.25">
      <c r="B2175" s="120">
        <v>2172</v>
      </c>
      <c r="C2175" s="123">
        <v>20603768877</v>
      </c>
      <c r="D2175" s="126" t="s">
        <v>4830</v>
      </c>
      <c r="E2175" s="126" t="s">
        <v>4831</v>
      </c>
      <c r="F2175" s="123" t="s">
        <v>30</v>
      </c>
      <c r="G2175" s="123" t="s">
        <v>30</v>
      </c>
      <c r="H2175" s="123" t="s">
        <v>135</v>
      </c>
      <c r="I2175" s="126" t="s">
        <v>6240</v>
      </c>
      <c r="J2175" s="130" t="s">
        <v>7964</v>
      </c>
      <c r="K2175" s="123" t="s">
        <v>7965</v>
      </c>
      <c r="L2175" s="131" t="s">
        <v>209</v>
      </c>
      <c r="M2175" s="134" t="s">
        <v>6242</v>
      </c>
      <c r="N2175" s="123" t="s">
        <v>30</v>
      </c>
    </row>
    <row r="2176" spans="2:14" hidden="1" x14ac:dyDescent="0.25">
      <c r="B2176" s="120">
        <v>2173</v>
      </c>
      <c r="C2176" s="123">
        <v>20603768877</v>
      </c>
      <c r="D2176" s="126" t="s">
        <v>4830</v>
      </c>
      <c r="E2176" s="126" t="s">
        <v>4831</v>
      </c>
      <c r="F2176" s="123" t="s">
        <v>30</v>
      </c>
      <c r="G2176" s="123" t="s">
        <v>30</v>
      </c>
      <c r="H2176" s="123" t="s">
        <v>135</v>
      </c>
      <c r="I2176" s="126" t="s">
        <v>6240</v>
      </c>
      <c r="J2176" s="130" t="s">
        <v>7723</v>
      </c>
      <c r="K2176" s="123" t="s">
        <v>6241</v>
      </c>
      <c r="L2176" s="131" t="s">
        <v>42</v>
      </c>
      <c r="M2176" s="134" t="s">
        <v>6242</v>
      </c>
      <c r="N2176" s="123" t="s">
        <v>30</v>
      </c>
    </row>
    <row r="2177" spans="2:14" hidden="1" x14ac:dyDescent="0.25">
      <c r="B2177" s="120">
        <v>2174</v>
      </c>
      <c r="C2177" s="123">
        <v>20603768877</v>
      </c>
      <c r="D2177" s="126" t="s">
        <v>4830</v>
      </c>
      <c r="E2177" s="126" t="s">
        <v>4831</v>
      </c>
      <c r="F2177" s="123" t="s">
        <v>30</v>
      </c>
      <c r="G2177" s="123" t="s">
        <v>30</v>
      </c>
      <c r="H2177" s="123" t="s">
        <v>135</v>
      </c>
      <c r="I2177" s="126" t="s">
        <v>6240</v>
      </c>
      <c r="J2177" s="130" t="s">
        <v>7961</v>
      </c>
      <c r="K2177" s="123" t="s">
        <v>7962</v>
      </c>
      <c r="L2177" s="131" t="s">
        <v>7963</v>
      </c>
      <c r="M2177" s="134" t="s">
        <v>6242</v>
      </c>
      <c r="N2177" s="123" t="s">
        <v>30</v>
      </c>
    </row>
    <row r="2178" spans="2:14" hidden="1" x14ac:dyDescent="0.25">
      <c r="B2178" s="120">
        <v>2175</v>
      </c>
      <c r="C2178" s="123">
        <v>20601978068</v>
      </c>
      <c r="D2178" s="126" t="s">
        <v>136</v>
      </c>
      <c r="E2178" s="126" t="s">
        <v>6243</v>
      </c>
      <c r="F2178" s="123" t="s">
        <v>30</v>
      </c>
      <c r="G2178" s="123" t="s">
        <v>30</v>
      </c>
      <c r="H2178" s="123" t="s">
        <v>35</v>
      </c>
      <c r="I2178" s="126" t="s">
        <v>1983</v>
      </c>
      <c r="J2178" s="130" t="s">
        <v>7724</v>
      </c>
      <c r="K2178" s="123" t="s">
        <v>6244</v>
      </c>
      <c r="L2178" s="131" t="s">
        <v>42</v>
      </c>
      <c r="M2178" s="134" t="s">
        <v>6245</v>
      </c>
      <c r="N2178" s="123" t="s">
        <v>67</v>
      </c>
    </row>
    <row r="2179" spans="2:14" hidden="1" x14ac:dyDescent="0.25">
      <c r="B2179" s="120">
        <v>2176</v>
      </c>
      <c r="C2179" s="123">
        <v>20606527889</v>
      </c>
      <c r="D2179" s="126" t="s">
        <v>6246</v>
      </c>
      <c r="E2179" s="126" t="s">
        <v>6247</v>
      </c>
      <c r="F2179" s="123" t="s">
        <v>30</v>
      </c>
      <c r="G2179" s="123" t="s">
        <v>30</v>
      </c>
      <c r="H2179" s="123" t="s">
        <v>45</v>
      </c>
      <c r="I2179" s="126" t="s">
        <v>1977</v>
      </c>
      <c r="J2179" s="130" t="s">
        <v>7725</v>
      </c>
      <c r="K2179" s="123" t="s">
        <v>6248</v>
      </c>
      <c r="L2179" s="131" t="s">
        <v>42</v>
      </c>
      <c r="M2179" s="134" t="s">
        <v>6249</v>
      </c>
      <c r="N2179" s="123" t="s">
        <v>30</v>
      </c>
    </row>
    <row r="2180" spans="2:14" hidden="1" x14ac:dyDescent="0.25">
      <c r="B2180" s="120">
        <v>2177</v>
      </c>
      <c r="C2180" s="123">
        <v>20548263035</v>
      </c>
      <c r="D2180" s="126" t="s">
        <v>6250</v>
      </c>
      <c r="E2180" s="126" t="s">
        <v>6251</v>
      </c>
      <c r="F2180" s="123" t="s">
        <v>67</v>
      </c>
      <c r="G2180" s="123" t="s">
        <v>67</v>
      </c>
      <c r="H2180" s="123" t="s">
        <v>67</v>
      </c>
      <c r="I2180" s="126" t="s">
        <v>1931</v>
      </c>
      <c r="J2180" s="130" t="s">
        <v>7959</v>
      </c>
      <c r="K2180" s="123" t="s">
        <v>7960</v>
      </c>
      <c r="L2180" s="131" t="s">
        <v>42</v>
      </c>
      <c r="M2180" s="134" t="s">
        <v>6253</v>
      </c>
      <c r="N2180" s="123" t="s">
        <v>30</v>
      </c>
    </row>
    <row r="2181" spans="2:14" hidden="1" x14ac:dyDescent="0.25">
      <c r="B2181" s="120">
        <v>2178</v>
      </c>
      <c r="C2181" s="123">
        <v>20548263035</v>
      </c>
      <c r="D2181" s="126" t="s">
        <v>6250</v>
      </c>
      <c r="E2181" s="126" t="s">
        <v>6251</v>
      </c>
      <c r="F2181" s="123" t="s">
        <v>67</v>
      </c>
      <c r="G2181" s="123" t="s">
        <v>67</v>
      </c>
      <c r="H2181" s="123" t="s">
        <v>67</v>
      </c>
      <c r="I2181" s="126" t="s">
        <v>1931</v>
      </c>
      <c r="J2181" s="130" t="s">
        <v>7726</v>
      </c>
      <c r="K2181" s="123" t="s">
        <v>6252</v>
      </c>
      <c r="L2181" s="131" t="s">
        <v>76</v>
      </c>
      <c r="M2181" s="134" t="s">
        <v>6253</v>
      </c>
      <c r="N2181" s="123" t="s">
        <v>30</v>
      </c>
    </row>
    <row r="2182" spans="2:14" hidden="1" x14ac:dyDescent="0.25">
      <c r="B2182" s="120">
        <v>2179</v>
      </c>
      <c r="C2182" s="123">
        <v>20509767930</v>
      </c>
      <c r="D2182" s="126" t="s">
        <v>6254</v>
      </c>
      <c r="E2182" s="126" t="s">
        <v>6255</v>
      </c>
      <c r="F2182" s="123" t="s">
        <v>6256</v>
      </c>
      <c r="G2182" s="123" t="s">
        <v>6257</v>
      </c>
      <c r="H2182" s="123" t="s">
        <v>6258</v>
      </c>
      <c r="I2182" s="126" t="s">
        <v>1619</v>
      </c>
      <c r="J2182" s="130" t="s">
        <v>7727</v>
      </c>
      <c r="K2182" s="123" t="s">
        <v>6259</v>
      </c>
      <c r="L2182" s="131" t="s">
        <v>209</v>
      </c>
      <c r="M2182" s="134" t="s">
        <v>6260</v>
      </c>
      <c r="N2182" s="123" t="s">
        <v>30</v>
      </c>
    </row>
    <row r="2183" spans="2:14" hidden="1" x14ac:dyDescent="0.25">
      <c r="B2183" s="120">
        <v>2180</v>
      </c>
      <c r="C2183" s="123">
        <v>20529389885</v>
      </c>
      <c r="D2183" s="126" t="s">
        <v>6261</v>
      </c>
      <c r="E2183" s="126" t="s">
        <v>6262</v>
      </c>
      <c r="F2183" s="123" t="s">
        <v>67</v>
      </c>
      <c r="G2183" s="123" t="s">
        <v>67</v>
      </c>
      <c r="H2183" s="123" t="s">
        <v>94</v>
      </c>
      <c r="I2183" s="126" t="s">
        <v>6263</v>
      </c>
      <c r="J2183" s="130" t="s">
        <v>7957</v>
      </c>
      <c r="K2183" s="123" t="s">
        <v>7958</v>
      </c>
      <c r="L2183" s="131" t="s">
        <v>76</v>
      </c>
      <c r="M2183" s="134" t="s">
        <v>6265</v>
      </c>
      <c r="N2183" s="123" t="s">
        <v>3637</v>
      </c>
    </row>
    <row r="2184" spans="2:14" hidden="1" x14ac:dyDescent="0.25">
      <c r="B2184" s="120">
        <v>2181</v>
      </c>
      <c r="C2184" s="123">
        <v>20529389885</v>
      </c>
      <c r="D2184" s="126" t="s">
        <v>6261</v>
      </c>
      <c r="E2184" s="126" t="s">
        <v>6262</v>
      </c>
      <c r="F2184" s="123" t="s">
        <v>67</v>
      </c>
      <c r="G2184" s="123" t="s">
        <v>67</v>
      </c>
      <c r="H2184" s="123" t="s">
        <v>94</v>
      </c>
      <c r="I2184" s="126" t="s">
        <v>6263</v>
      </c>
      <c r="J2184" s="130" t="s">
        <v>7728</v>
      </c>
      <c r="K2184" s="123" t="s">
        <v>6264</v>
      </c>
      <c r="L2184" s="131" t="s">
        <v>42</v>
      </c>
      <c r="M2184" s="134" t="s">
        <v>6265</v>
      </c>
      <c r="N2184" s="123" t="s">
        <v>3637</v>
      </c>
    </row>
    <row r="2185" spans="2:14" hidden="1" x14ac:dyDescent="0.25">
      <c r="B2185" s="120">
        <v>2182</v>
      </c>
      <c r="C2185" s="123">
        <v>20102154046</v>
      </c>
      <c r="D2185" s="126" t="s">
        <v>6266</v>
      </c>
      <c r="E2185" s="126" t="s">
        <v>6267</v>
      </c>
      <c r="F2185" s="123" t="s">
        <v>30</v>
      </c>
      <c r="G2185" s="123" t="s">
        <v>30</v>
      </c>
      <c r="H2185" s="123" t="s">
        <v>35</v>
      </c>
      <c r="I2185" s="126" t="s">
        <v>6268</v>
      </c>
      <c r="J2185" s="130" t="s">
        <v>7956</v>
      </c>
      <c r="K2185" s="123" t="s">
        <v>6269</v>
      </c>
      <c r="L2185" s="131" t="s">
        <v>42</v>
      </c>
      <c r="M2185" s="134" t="s">
        <v>845</v>
      </c>
      <c r="N2185" s="123" t="s">
        <v>845</v>
      </c>
    </row>
    <row r="2186" spans="2:14" hidden="1" x14ac:dyDescent="0.25">
      <c r="B2186" s="120">
        <v>2183</v>
      </c>
      <c r="C2186" s="123">
        <v>20609301288</v>
      </c>
      <c r="D2186" s="126" t="s">
        <v>443</v>
      </c>
      <c r="E2186" s="126" t="s">
        <v>6270</v>
      </c>
      <c r="F2186" s="123" t="s">
        <v>30</v>
      </c>
      <c r="G2186" s="123" t="s">
        <v>30</v>
      </c>
      <c r="H2186" s="123" t="s">
        <v>86</v>
      </c>
      <c r="I2186" s="126" t="s">
        <v>1947</v>
      </c>
      <c r="J2186" s="130" t="s">
        <v>7729</v>
      </c>
      <c r="K2186" s="123" t="s">
        <v>6271</v>
      </c>
      <c r="L2186" s="131" t="s">
        <v>42</v>
      </c>
      <c r="M2186" s="134" t="s">
        <v>6272</v>
      </c>
      <c r="N2186" s="123" t="s">
        <v>30</v>
      </c>
    </row>
    <row r="2187" spans="2:14" hidden="1" x14ac:dyDescent="0.25">
      <c r="B2187" s="120">
        <v>2184</v>
      </c>
      <c r="C2187" s="123">
        <v>20510485557</v>
      </c>
      <c r="D2187" s="126" t="s">
        <v>6273</v>
      </c>
      <c r="E2187" s="126" t="s">
        <v>6274</v>
      </c>
      <c r="F2187" s="123" t="s">
        <v>30</v>
      </c>
      <c r="G2187" s="123" t="s">
        <v>30</v>
      </c>
      <c r="H2187" s="123" t="s">
        <v>75</v>
      </c>
      <c r="I2187" s="126" t="s">
        <v>6275</v>
      </c>
      <c r="J2187" s="130" t="s">
        <v>7730</v>
      </c>
      <c r="K2187" s="123" t="s">
        <v>6276</v>
      </c>
      <c r="L2187" s="131" t="s">
        <v>42</v>
      </c>
      <c r="M2187" s="134" t="s">
        <v>6277</v>
      </c>
      <c r="N2187" s="123" t="s">
        <v>30</v>
      </c>
    </row>
    <row r="2188" spans="2:14" hidden="1" x14ac:dyDescent="0.25">
      <c r="B2188" s="120">
        <v>2185</v>
      </c>
      <c r="C2188" s="123">
        <v>20557494007</v>
      </c>
      <c r="D2188" s="126" t="s">
        <v>3539</v>
      </c>
      <c r="E2188" s="126" t="s">
        <v>6278</v>
      </c>
      <c r="F2188" s="123" t="s">
        <v>30</v>
      </c>
      <c r="G2188" s="123" t="s">
        <v>30</v>
      </c>
      <c r="H2188" s="123" t="s">
        <v>50</v>
      </c>
      <c r="I2188" s="126" t="s">
        <v>1377</v>
      </c>
      <c r="J2188" s="130" t="s">
        <v>7954</v>
      </c>
      <c r="K2188" s="123" t="s">
        <v>6279</v>
      </c>
      <c r="L2188" s="131" t="s">
        <v>42</v>
      </c>
      <c r="M2188" s="134" t="s">
        <v>7955</v>
      </c>
      <c r="N2188" s="123" t="s">
        <v>30</v>
      </c>
    </row>
    <row r="2189" spans="2:14" hidden="1" x14ac:dyDescent="0.25">
      <c r="B2189" s="120">
        <v>2186</v>
      </c>
      <c r="C2189" s="123">
        <v>10101053402</v>
      </c>
      <c r="D2189" s="126" t="s">
        <v>1091</v>
      </c>
      <c r="E2189" s="126" t="s">
        <v>6280</v>
      </c>
      <c r="F2189" s="123" t="s">
        <v>30</v>
      </c>
      <c r="G2189" s="123" t="s">
        <v>30</v>
      </c>
      <c r="H2189" s="123" t="s">
        <v>43</v>
      </c>
      <c r="I2189" s="126" t="s">
        <v>1931</v>
      </c>
      <c r="J2189" s="130" t="s">
        <v>7731</v>
      </c>
      <c r="K2189" s="123" t="s">
        <v>6281</v>
      </c>
      <c r="L2189" s="131" t="s">
        <v>6282</v>
      </c>
      <c r="M2189" s="134" t="s">
        <v>845</v>
      </c>
      <c r="N2189" s="123" t="s">
        <v>845</v>
      </c>
    </row>
    <row r="2190" spans="2:14" hidden="1" x14ac:dyDescent="0.25">
      <c r="B2190" s="120">
        <v>2187</v>
      </c>
      <c r="C2190" s="123">
        <v>20554466959</v>
      </c>
      <c r="D2190" s="126" t="s">
        <v>414</v>
      </c>
      <c r="E2190" s="126" t="s">
        <v>6283</v>
      </c>
      <c r="F2190" s="123" t="s">
        <v>30</v>
      </c>
      <c r="G2190" s="123" t="s">
        <v>30</v>
      </c>
      <c r="H2190" s="123" t="s">
        <v>51</v>
      </c>
      <c r="I2190" s="126" t="s">
        <v>1952</v>
      </c>
      <c r="J2190" s="130" t="s">
        <v>7732</v>
      </c>
      <c r="K2190" s="123" t="s">
        <v>6284</v>
      </c>
      <c r="L2190" s="131" t="s">
        <v>42</v>
      </c>
      <c r="M2190" s="134" t="s">
        <v>6285</v>
      </c>
      <c r="N2190" s="123" t="s">
        <v>30</v>
      </c>
    </row>
    <row r="2191" spans="2:14" hidden="1" x14ac:dyDescent="0.25">
      <c r="B2191" s="120">
        <v>2188</v>
      </c>
      <c r="C2191" s="123">
        <v>20108736659</v>
      </c>
      <c r="D2191" s="126" t="s">
        <v>1100</v>
      </c>
      <c r="E2191" s="126" t="s">
        <v>6286</v>
      </c>
      <c r="F2191" s="123" t="s">
        <v>30</v>
      </c>
      <c r="G2191" s="123" t="s">
        <v>30</v>
      </c>
      <c r="H2191" s="123" t="s">
        <v>41</v>
      </c>
      <c r="I2191" s="126" t="s">
        <v>2181</v>
      </c>
      <c r="J2191" s="130" t="s">
        <v>7953</v>
      </c>
      <c r="K2191" s="123" t="s">
        <v>6287</v>
      </c>
      <c r="L2191" s="131" t="s">
        <v>6288</v>
      </c>
      <c r="M2191" s="134" t="s">
        <v>845</v>
      </c>
      <c r="N2191" s="123" t="s">
        <v>845</v>
      </c>
    </row>
    <row r="2192" spans="2:14" hidden="1" x14ac:dyDescent="0.25">
      <c r="B2192" s="120">
        <v>2189</v>
      </c>
      <c r="C2192" s="123">
        <v>10089555880</v>
      </c>
      <c r="D2192" s="126" t="s">
        <v>6289</v>
      </c>
      <c r="E2192" s="126" t="s">
        <v>6290</v>
      </c>
      <c r="F2192" s="123" t="s">
        <v>30</v>
      </c>
      <c r="G2192" s="123" t="s">
        <v>30</v>
      </c>
      <c r="H2192" s="123" t="s">
        <v>6291</v>
      </c>
      <c r="I2192" s="126" t="s">
        <v>1424</v>
      </c>
      <c r="J2192" s="130" t="s">
        <v>7733</v>
      </c>
      <c r="K2192" s="123" t="s">
        <v>6292</v>
      </c>
      <c r="L2192" s="131" t="s">
        <v>6293</v>
      </c>
      <c r="M2192" s="134" t="s">
        <v>845</v>
      </c>
      <c r="N2192" s="123" t="s">
        <v>845</v>
      </c>
    </row>
    <row r="2193" spans="2:14" hidden="1" x14ac:dyDescent="0.25">
      <c r="B2193" s="120">
        <v>2190</v>
      </c>
      <c r="C2193" s="123">
        <v>20546059511</v>
      </c>
      <c r="D2193" s="126" t="s">
        <v>3590</v>
      </c>
      <c r="E2193" s="126" t="s">
        <v>6294</v>
      </c>
      <c r="F2193" s="123" t="s">
        <v>30</v>
      </c>
      <c r="G2193" s="123" t="s">
        <v>30</v>
      </c>
      <c r="H2193" s="123" t="s">
        <v>48</v>
      </c>
      <c r="I2193" s="126" t="s">
        <v>1377</v>
      </c>
      <c r="J2193" s="130" t="s">
        <v>7734</v>
      </c>
      <c r="K2193" s="123" t="s">
        <v>6295</v>
      </c>
      <c r="L2193" s="131" t="s">
        <v>42</v>
      </c>
      <c r="M2193" s="134" t="s">
        <v>845</v>
      </c>
      <c r="N2193" s="123" t="s">
        <v>845</v>
      </c>
    </row>
    <row r="2194" spans="2:14" hidden="1" x14ac:dyDescent="0.25">
      <c r="B2194" s="120">
        <v>2191</v>
      </c>
      <c r="C2194" s="123">
        <v>20267163228</v>
      </c>
      <c r="D2194" s="126" t="s">
        <v>6296</v>
      </c>
      <c r="E2194" s="126" t="s">
        <v>6297</v>
      </c>
      <c r="F2194" s="123" t="s">
        <v>30</v>
      </c>
      <c r="G2194" s="123" t="s">
        <v>30</v>
      </c>
      <c r="H2194" s="123" t="s">
        <v>80</v>
      </c>
      <c r="I2194" s="126" t="s">
        <v>1694</v>
      </c>
      <c r="J2194" s="130" t="s">
        <v>7951</v>
      </c>
      <c r="K2194" s="123" t="s">
        <v>7952</v>
      </c>
      <c r="L2194" s="131" t="s">
        <v>209</v>
      </c>
      <c r="M2194" s="134" t="s">
        <v>7940</v>
      </c>
      <c r="N2194" s="123" t="s">
        <v>30</v>
      </c>
    </row>
    <row r="2195" spans="2:14" hidden="1" x14ac:dyDescent="0.25">
      <c r="B2195" s="120">
        <v>2192</v>
      </c>
      <c r="C2195" s="123">
        <v>20267163228</v>
      </c>
      <c r="D2195" s="126" t="s">
        <v>6296</v>
      </c>
      <c r="E2195" s="126" t="s">
        <v>6297</v>
      </c>
      <c r="F2195" s="123" t="s">
        <v>30</v>
      </c>
      <c r="G2195" s="123" t="s">
        <v>30</v>
      </c>
      <c r="H2195" s="123" t="s">
        <v>80</v>
      </c>
      <c r="I2195" s="126" t="s">
        <v>1694</v>
      </c>
      <c r="J2195" s="130" t="s">
        <v>7735</v>
      </c>
      <c r="K2195" s="123" t="s">
        <v>6298</v>
      </c>
      <c r="L2195" s="131" t="s">
        <v>209</v>
      </c>
      <c r="M2195" s="134" t="s">
        <v>7940</v>
      </c>
      <c r="N2195" s="123" t="s">
        <v>30</v>
      </c>
    </row>
    <row r="2196" spans="2:14" hidden="1" x14ac:dyDescent="0.25">
      <c r="B2196" s="120">
        <v>2193</v>
      </c>
      <c r="C2196" s="123">
        <v>20267163228</v>
      </c>
      <c r="D2196" s="126" t="s">
        <v>6296</v>
      </c>
      <c r="E2196" s="126" t="s">
        <v>6297</v>
      </c>
      <c r="F2196" s="123" t="s">
        <v>30</v>
      </c>
      <c r="G2196" s="123" t="s">
        <v>30</v>
      </c>
      <c r="H2196" s="123" t="s">
        <v>80</v>
      </c>
      <c r="I2196" s="126" t="s">
        <v>1694</v>
      </c>
      <c r="J2196" s="130" t="s">
        <v>7949</v>
      </c>
      <c r="K2196" s="123" t="s">
        <v>7950</v>
      </c>
      <c r="L2196" s="131" t="s">
        <v>209</v>
      </c>
      <c r="M2196" s="134" t="s">
        <v>7940</v>
      </c>
      <c r="N2196" s="123" t="s">
        <v>30</v>
      </c>
    </row>
    <row r="2197" spans="2:14" hidden="1" x14ac:dyDescent="0.25">
      <c r="B2197" s="120">
        <v>2194</v>
      </c>
      <c r="C2197" s="123">
        <v>20267163228</v>
      </c>
      <c r="D2197" s="126" t="s">
        <v>6296</v>
      </c>
      <c r="E2197" s="126" t="s">
        <v>6297</v>
      </c>
      <c r="F2197" s="123" t="s">
        <v>30</v>
      </c>
      <c r="G2197" s="123" t="s">
        <v>30</v>
      </c>
      <c r="H2197" s="123" t="s">
        <v>80</v>
      </c>
      <c r="I2197" s="126" t="s">
        <v>1694</v>
      </c>
      <c r="J2197" s="130" t="s">
        <v>7947</v>
      </c>
      <c r="K2197" s="123" t="s">
        <v>7948</v>
      </c>
      <c r="L2197" s="131" t="s">
        <v>209</v>
      </c>
      <c r="M2197" s="134" t="s">
        <v>7940</v>
      </c>
      <c r="N2197" s="123" t="s">
        <v>30</v>
      </c>
    </row>
    <row r="2198" spans="2:14" hidden="1" x14ac:dyDescent="0.25">
      <c r="B2198" s="120">
        <v>2195</v>
      </c>
      <c r="C2198" s="123">
        <v>20267163228</v>
      </c>
      <c r="D2198" s="126" t="s">
        <v>6296</v>
      </c>
      <c r="E2198" s="126" t="s">
        <v>6297</v>
      </c>
      <c r="F2198" s="123" t="s">
        <v>30</v>
      </c>
      <c r="G2198" s="123" t="s">
        <v>30</v>
      </c>
      <c r="H2198" s="123" t="s">
        <v>80</v>
      </c>
      <c r="I2198" s="126" t="s">
        <v>1694</v>
      </c>
      <c r="J2198" s="130" t="s">
        <v>7945</v>
      </c>
      <c r="K2198" s="123" t="s">
        <v>7946</v>
      </c>
      <c r="L2198" s="131" t="s">
        <v>209</v>
      </c>
      <c r="M2198" s="134" t="s">
        <v>7940</v>
      </c>
      <c r="N2198" s="123" t="s">
        <v>30</v>
      </c>
    </row>
    <row r="2199" spans="2:14" hidden="1" x14ac:dyDescent="0.25">
      <c r="B2199" s="120">
        <v>2196</v>
      </c>
      <c r="C2199" s="123">
        <v>20267163228</v>
      </c>
      <c r="D2199" s="126" t="s">
        <v>6296</v>
      </c>
      <c r="E2199" s="126" t="s">
        <v>6297</v>
      </c>
      <c r="F2199" s="123" t="s">
        <v>30</v>
      </c>
      <c r="G2199" s="123" t="s">
        <v>30</v>
      </c>
      <c r="H2199" s="123" t="s">
        <v>80</v>
      </c>
      <c r="I2199" s="126" t="s">
        <v>1694</v>
      </c>
      <c r="J2199" s="130" t="s">
        <v>7942</v>
      </c>
      <c r="K2199" s="123" t="s">
        <v>7943</v>
      </c>
      <c r="L2199" s="131" t="s">
        <v>7944</v>
      </c>
      <c r="M2199" s="134" t="s">
        <v>7940</v>
      </c>
      <c r="N2199" s="123" t="s">
        <v>30</v>
      </c>
    </row>
    <row r="2200" spans="2:14" hidden="1" x14ac:dyDescent="0.25">
      <c r="B2200" s="120">
        <v>2197</v>
      </c>
      <c r="C2200" s="123">
        <v>20603173890</v>
      </c>
      <c r="D2200" s="126" t="s">
        <v>6299</v>
      </c>
      <c r="E2200" s="126" t="s">
        <v>6300</v>
      </c>
      <c r="F2200" s="123" t="s">
        <v>67</v>
      </c>
      <c r="G2200" s="123" t="s">
        <v>67</v>
      </c>
      <c r="H2200" s="123" t="s">
        <v>67</v>
      </c>
      <c r="I2200" s="126" t="s">
        <v>1956</v>
      </c>
      <c r="J2200" s="130" t="s">
        <v>7736</v>
      </c>
      <c r="K2200" s="123" t="s">
        <v>6301</v>
      </c>
      <c r="L2200" s="131" t="s">
        <v>42</v>
      </c>
      <c r="M2200" s="134" t="s">
        <v>7941</v>
      </c>
      <c r="N2200" s="123" t="s">
        <v>67</v>
      </c>
    </row>
    <row r="2201" spans="2:14" hidden="1" x14ac:dyDescent="0.25">
      <c r="B2201" s="120">
        <v>2198</v>
      </c>
      <c r="C2201" s="123">
        <v>20504009212</v>
      </c>
      <c r="D2201" s="126" t="s">
        <v>6302</v>
      </c>
      <c r="E2201" s="126" t="s">
        <v>6303</v>
      </c>
      <c r="F2201" s="123" t="s">
        <v>30</v>
      </c>
      <c r="G2201" s="123" t="s">
        <v>30</v>
      </c>
      <c r="H2201" s="123" t="s">
        <v>50</v>
      </c>
      <c r="I2201" s="126" t="s">
        <v>1755</v>
      </c>
      <c r="J2201" s="130" t="s">
        <v>7737</v>
      </c>
      <c r="K2201" s="123" t="s">
        <v>6304</v>
      </c>
      <c r="L2201" s="131" t="s">
        <v>42</v>
      </c>
      <c r="M2201" s="134" t="s">
        <v>6305</v>
      </c>
      <c r="N2201" s="123" t="s">
        <v>30</v>
      </c>
    </row>
    <row r="2202" spans="2:14" hidden="1" x14ac:dyDescent="0.25">
      <c r="B2202" s="120">
        <v>2199</v>
      </c>
      <c r="C2202" s="123">
        <v>20549340769</v>
      </c>
      <c r="D2202" s="126" t="s">
        <v>6306</v>
      </c>
      <c r="E2202" s="126" t="s">
        <v>6307</v>
      </c>
      <c r="F2202" s="123" t="s">
        <v>30</v>
      </c>
      <c r="G2202" s="123" t="s">
        <v>30</v>
      </c>
      <c r="H2202" s="123" t="s">
        <v>47</v>
      </c>
      <c r="I2202" s="126" t="s">
        <v>1551</v>
      </c>
      <c r="J2202" s="130" t="s">
        <v>7939</v>
      </c>
      <c r="K2202" s="123" t="s">
        <v>6308</v>
      </c>
      <c r="L2202" s="131" t="s">
        <v>42</v>
      </c>
      <c r="M2202" s="134" t="s">
        <v>6309</v>
      </c>
      <c r="N2202" s="123" t="s">
        <v>30</v>
      </c>
    </row>
    <row r="2203" spans="2:14" hidden="1" x14ac:dyDescent="0.25">
      <c r="B2203" s="120">
        <v>2200</v>
      </c>
      <c r="C2203" s="123">
        <v>20549340769</v>
      </c>
      <c r="D2203" s="126" t="s">
        <v>6306</v>
      </c>
      <c r="E2203" s="126" t="s">
        <v>6307</v>
      </c>
      <c r="F2203" s="123" t="s">
        <v>30</v>
      </c>
      <c r="G2203" s="123" t="s">
        <v>30</v>
      </c>
      <c r="H2203" s="123" t="s">
        <v>47</v>
      </c>
      <c r="I2203" s="126" t="s">
        <v>1551</v>
      </c>
      <c r="J2203" s="130" t="s">
        <v>7937</v>
      </c>
      <c r="K2203" s="123" t="s">
        <v>7938</v>
      </c>
      <c r="L2203" s="131" t="s">
        <v>209</v>
      </c>
      <c r="M2203" s="134" t="s">
        <v>6309</v>
      </c>
      <c r="N2203" s="123" t="s">
        <v>30</v>
      </c>
    </row>
    <row r="2204" spans="2:14" hidden="1" x14ac:dyDescent="0.25">
      <c r="B2204" s="120">
        <v>2201</v>
      </c>
      <c r="C2204" s="123">
        <v>20549340769</v>
      </c>
      <c r="D2204" s="126" t="s">
        <v>6306</v>
      </c>
      <c r="E2204" s="126" t="s">
        <v>6307</v>
      </c>
      <c r="F2204" s="123" t="s">
        <v>30</v>
      </c>
      <c r="G2204" s="123" t="s">
        <v>30</v>
      </c>
      <c r="H2204" s="123" t="s">
        <v>47</v>
      </c>
      <c r="I2204" s="126" t="s">
        <v>1551</v>
      </c>
      <c r="J2204" s="130" t="s">
        <v>7935</v>
      </c>
      <c r="K2204" s="123" t="s">
        <v>7936</v>
      </c>
      <c r="L2204" s="131" t="s">
        <v>209</v>
      </c>
      <c r="M2204" s="134" t="s">
        <v>6309</v>
      </c>
      <c r="N2204" s="123" t="s">
        <v>30</v>
      </c>
    </row>
    <row r="2205" spans="2:14" hidden="1" x14ac:dyDescent="0.25">
      <c r="B2205" s="120">
        <v>2202</v>
      </c>
      <c r="C2205" s="123">
        <v>20605092064</v>
      </c>
      <c r="D2205" s="126" t="s">
        <v>6310</v>
      </c>
      <c r="E2205" s="126" t="s">
        <v>6311</v>
      </c>
      <c r="F2205" s="123" t="s">
        <v>30</v>
      </c>
      <c r="G2205" s="123" t="s">
        <v>54</v>
      </c>
      <c r="H2205" s="123" t="s">
        <v>55</v>
      </c>
      <c r="I2205" s="126" t="s">
        <v>6312</v>
      </c>
      <c r="J2205" s="130" t="s">
        <v>7738</v>
      </c>
      <c r="K2205" s="123" t="s">
        <v>6313</v>
      </c>
      <c r="L2205" s="131" t="s">
        <v>42</v>
      </c>
      <c r="M2205" s="134" t="s">
        <v>6314</v>
      </c>
      <c r="N2205" s="123" t="s">
        <v>54</v>
      </c>
    </row>
    <row r="2206" spans="2:14" hidden="1" x14ac:dyDescent="0.25">
      <c r="B2206" s="120">
        <v>2203</v>
      </c>
      <c r="C2206" s="123">
        <v>20606071974</v>
      </c>
      <c r="D2206" s="126" t="s">
        <v>6315</v>
      </c>
      <c r="E2206" s="126" t="s">
        <v>6316</v>
      </c>
      <c r="F2206" s="123" t="s">
        <v>1530</v>
      </c>
      <c r="G2206" s="123" t="s">
        <v>30</v>
      </c>
      <c r="H2206" s="123" t="s">
        <v>75</v>
      </c>
      <c r="I2206" s="126" t="s">
        <v>6317</v>
      </c>
      <c r="J2206" s="130" t="s">
        <v>7739</v>
      </c>
      <c r="K2206" s="123" t="s">
        <v>6318</v>
      </c>
      <c r="L2206" s="131" t="s">
        <v>42</v>
      </c>
      <c r="M2206" s="134" t="s">
        <v>845</v>
      </c>
      <c r="N2206" s="123" t="s">
        <v>845</v>
      </c>
    </row>
    <row r="2207" spans="2:14" hidden="1" x14ac:dyDescent="0.25">
      <c r="B2207" s="120">
        <v>2204</v>
      </c>
      <c r="C2207" s="123">
        <v>20523209257</v>
      </c>
      <c r="D2207" s="126" t="s">
        <v>3594</v>
      </c>
      <c r="E2207" s="126" t="s">
        <v>6319</v>
      </c>
      <c r="F2207" s="123" t="s">
        <v>30</v>
      </c>
      <c r="G2207" s="123" t="s">
        <v>30</v>
      </c>
      <c r="H2207" s="123" t="s">
        <v>38</v>
      </c>
      <c r="I2207" s="126" t="s">
        <v>1365</v>
      </c>
      <c r="J2207" s="130" t="s">
        <v>7740</v>
      </c>
      <c r="K2207" s="123" t="s">
        <v>6320</v>
      </c>
      <c r="L2207" s="131" t="s">
        <v>42</v>
      </c>
      <c r="M2207" s="134" t="s">
        <v>6321</v>
      </c>
      <c r="N2207" s="123" t="s">
        <v>30</v>
      </c>
    </row>
    <row r="2208" spans="2:14" hidden="1" x14ac:dyDescent="0.25">
      <c r="B2208" s="120">
        <v>2205</v>
      </c>
      <c r="C2208" s="123">
        <v>20523209257</v>
      </c>
      <c r="D2208" s="126" t="s">
        <v>3594</v>
      </c>
      <c r="E2208" s="126" t="s">
        <v>6319</v>
      </c>
      <c r="F2208" s="123" t="s">
        <v>30</v>
      </c>
      <c r="G2208" s="123" t="s">
        <v>30</v>
      </c>
      <c r="H2208" s="123" t="s">
        <v>38</v>
      </c>
      <c r="I2208" s="126" t="s">
        <v>1365</v>
      </c>
      <c r="J2208" s="130" t="s">
        <v>7933</v>
      </c>
      <c r="K2208" s="123" t="s">
        <v>7934</v>
      </c>
      <c r="L2208" s="131" t="s">
        <v>209</v>
      </c>
      <c r="M2208" s="134" t="s">
        <v>6321</v>
      </c>
      <c r="N2208" s="123" t="s">
        <v>30</v>
      </c>
    </row>
    <row r="2209" spans="2:14" hidden="1" x14ac:dyDescent="0.25">
      <c r="B2209" s="120">
        <v>2206</v>
      </c>
      <c r="C2209" s="123">
        <v>10485055474</v>
      </c>
      <c r="D2209" s="126" t="s">
        <v>8647</v>
      </c>
      <c r="E2209" s="126" t="s">
        <v>8648</v>
      </c>
      <c r="F2209" s="123" t="s">
        <v>30</v>
      </c>
      <c r="G2209" s="123" t="s">
        <v>30</v>
      </c>
      <c r="H2209" s="123" t="s">
        <v>30</v>
      </c>
      <c r="I2209" s="126" t="s">
        <v>1424</v>
      </c>
      <c r="J2209" s="123" t="s">
        <v>8649</v>
      </c>
      <c r="K2209" s="123" t="s">
        <v>8647</v>
      </c>
      <c r="L2209" s="131" t="s">
        <v>100</v>
      </c>
      <c r="M2209" s="135" t="s">
        <v>845</v>
      </c>
      <c r="N2209" s="123" t="s">
        <v>845</v>
      </c>
    </row>
    <row r="2210" spans="2:14" hidden="1" x14ac:dyDescent="0.25">
      <c r="B2210" s="120">
        <v>2207</v>
      </c>
      <c r="C2210" s="123">
        <v>10438788536</v>
      </c>
      <c r="D2210" s="126" t="s">
        <v>8650</v>
      </c>
      <c r="E2210" s="126" t="s">
        <v>8651</v>
      </c>
      <c r="F2210" s="123" t="s">
        <v>30</v>
      </c>
      <c r="G2210" s="123" t="s">
        <v>30</v>
      </c>
      <c r="H2210" s="123" t="s">
        <v>58</v>
      </c>
      <c r="I2210" s="126" t="s">
        <v>1737</v>
      </c>
      <c r="J2210" s="123" t="s">
        <v>8652</v>
      </c>
      <c r="K2210" s="123" t="s">
        <v>8650</v>
      </c>
      <c r="L2210" s="131" t="s">
        <v>100</v>
      </c>
      <c r="M2210" s="135" t="s">
        <v>845</v>
      </c>
      <c r="N2210" s="123" t="s">
        <v>845</v>
      </c>
    </row>
    <row r="2211" spans="2:14" hidden="1" x14ac:dyDescent="0.25">
      <c r="B2211" s="120">
        <v>2208</v>
      </c>
      <c r="C2211" s="123">
        <v>10483750108</v>
      </c>
      <c r="D2211" s="126" t="s">
        <v>8653</v>
      </c>
      <c r="E2211" s="126" t="s">
        <v>8654</v>
      </c>
      <c r="F2211" s="123" t="s">
        <v>30</v>
      </c>
      <c r="G2211" s="123" t="s">
        <v>30</v>
      </c>
      <c r="H2211" s="123" t="s">
        <v>152</v>
      </c>
      <c r="I2211" s="126" t="s">
        <v>1424</v>
      </c>
      <c r="J2211" s="123" t="s">
        <v>8655</v>
      </c>
      <c r="K2211" s="123" t="s">
        <v>8656</v>
      </c>
      <c r="L2211" s="131" t="s">
        <v>100</v>
      </c>
      <c r="M2211" s="135" t="s">
        <v>845</v>
      </c>
      <c r="N2211" s="123" t="s">
        <v>845</v>
      </c>
    </row>
    <row r="2212" spans="2:14" hidden="1" x14ac:dyDescent="0.25">
      <c r="B2212" s="120">
        <v>2209</v>
      </c>
      <c r="C2212" s="123">
        <v>15507178283</v>
      </c>
      <c r="D2212" s="126" t="s">
        <v>8657</v>
      </c>
      <c r="E2212" s="126" t="s">
        <v>8658</v>
      </c>
      <c r="F2212" s="123" t="s">
        <v>30</v>
      </c>
      <c r="G2212" s="123" t="s">
        <v>30</v>
      </c>
      <c r="H2212" s="123" t="s">
        <v>41</v>
      </c>
      <c r="I2212" s="126" t="s">
        <v>8659</v>
      </c>
      <c r="J2212" s="123" t="s">
        <v>8660</v>
      </c>
      <c r="K2212" s="123" t="s">
        <v>8657</v>
      </c>
      <c r="L2212" s="131" t="s">
        <v>100</v>
      </c>
      <c r="M2212" s="135" t="s">
        <v>845</v>
      </c>
      <c r="N2212" s="123" t="s">
        <v>845</v>
      </c>
    </row>
    <row r="2213" spans="2:14" hidden="1" x14ac:dyDescent="0.25">
      <c r="B2213" s="120">
        <v>2210</v>
      </c>
      <c r="C2213" s="123">
        <v>10084712570</v>
      </c>
      <c r="D2213" s="126" t="s">
        <v>8661</v>
      </c>
      <c r="E2213" s="126" t="s">
        <v>8662</v>
      </c>
      <c r="F2213" s="123" t="s">
        <v>30</v>
      </c>
      <c r="G2213" s="123" t="s">
        <v>30</v>
      </c>
      <c r="H2213" s="123" t="s">
        <v>45</v>
      </c>
      <c r="I2213" s="126" t="s">
        <v>8663</v>
      </c>
      <c r="J2213" s="123" t="s">
        <v>8664</v>
      </c>
      <c r="K2213" s="123" t="s">
        <v>8665</v>
      </c>
      <c r="L2213" s="131" t="s">
        <v>100</v>
      </c>
      <c r="M2213" s="135" t="s">
        <v>845</v>
      </c>
      <c r="N2213" s="123" t="s">
        <v>845</v>
      </c>
    </row>
    <row r="2214" spans="2:14" hidden="1" x14ac:dyDescent="0.25">
      <c r="B2214" s="120">
        <v>2211</v>
      </c>
      <c r="C2214" s="123">
        <v>10452923845</v>
      </c>
      <c r="D2214" s="126" t="s">
        <v>8666</v>
      </c>
      <c r="E2214" s="126" t="s">
        <v>8667</v>
      </c>
      <c r="F2214" s="123" t="s">
        <v>30</v>
      </c>
      <c r="G2214" s="123" t="s">
        <v>30</v>
      </c>
      <c r="H2214" s="123" t="s">
        <v>41</v>
      </c>
      <c r="I2214" s="126" t="s">
        <v>1484</v>
      </c>
      <c r="J2214" s="123" t="s">
        <v>8668</v>
      </c>
      <c r="K2214" s="123" t="s">
        <v>8666</v>
      </c>
      <c r="L2214" s="131" t="s">
        <v>100</v>
      </c>
      <c r="M2214" s="135" t="s">
        <v>845</v>
      </c>
      <c r="N2214" s="123" t="s">
        <v>845</v>
      </c>
    </row>
    <row r="2215" spans="2:14" hidden="1" x14ac:dyDescent="0.25">
      <c r="B2215" s="120">
        <v>2212</v>
      </c>
      <c r="C2215" s="123">
        <v>10460538420</v>
      </c>
      <c r="D2215" s="126" t="s">
        <v>8669</v>
      </c>
      <c r="E2215" s="126" t="s">
        <v>8670</v>
      </c>
      <c r="F2215" s="123" t="s">
        <v>30</v>
      </c>
      <c r="G2215" s="123" t="s">
        <v>30</v>
      </c>
      <c r="H2215" s="123" t="s">
        <v>80</v>
      </c>
      <c r="I2215" s="126" t="s">
        <v>1694</v>
      </c>
      <c r="J2215" s="123" t="s">
        <v>8671</v>
      </c>
      <c r="K2215" s="123" t="s">
        <v>8669</v>
      </c>
      <c r="L2215" s="131" t="s">
        <v>100</v>
      </c>
      <c r="M2215" s="135" t="s">
        <v>845</v>
      </c>
      <c r="N2215" s="123" t="s">
        <v>845</v>
      </c>
    </row>
    <row r="2216" spans="2:14" hidden="1" x14ac:dyDescent="0.25">
      <c r="B2216" s="120">
        <v>2213</v>
      </c>
      <c r="C2216" s="123">
        <v>10152097315</v>
      </c>
      <c r="D2216" s="126" t="s">
        <v>8672</v>
      </c>
      <c r="E2216" s="126" t="s">
        <v>8673</v>
      </c>
      <c r="F2216" s="123" t="s">
        <v>30</v>
      </c>
      <c r="G2216" s="123" t="s">
        <v>30</v>
      </c>
      <c r="H2216" s="123" t="s">
        <v>58</v>
      </c>
      <c r="I2216" s="126" t="s">
        <v>8674</v>
      </c>
      <c r="J2216" s="123" t="s">
        <v>8675</v>
      </c>
      <c r="K2216" s="123" t="s">
        <v>8672</v>
      </c>
      <c r="L2216" s="131" t="s">
        <v>100</v>
      </c>
      <c r="M2216" s="135" t="s">
        <v>845</v>
      </c>
      <c r="N2216" s="123" t="s">
        <v>845</v>
      </c>
    </row>
    <row r="2217" spans="2:14" hidden="1" x14ac:dyDescent="0.25">
      <c r="B2217" s="120">
        <v>2214</v>
      </c>
      <c r="C2217" s="123">
        <v>10416291751</v>
      </c>
      <c r="D2217" s="126" t="s">
        <v>8676</v>
      </c>
      <c r="E2217" s="126" t="s">
        <v>8677</v>
      </c>
      <c r="F2217" s="123" t="s">
        <v>30</v>
      </c>
      <c r="G2217" s="123" t="s">
        <v>31</v>
      </c>
      <c r="H2217" s="123" t="s">
        <v>139</v>
      </c>
      <c r="I2217" s="126" t="s">
        <v>1701</v>
      </c>
      <c r="J2217" s="123" t="s">
        <v>8678</v>
      </c>
      <c r="K2217" s="123" t="s">
        <v>8676</v>
      </c>
      <c r="L2217" s="131" t="s">
        <v>100</v>
      </c>
      <c r="M2217" s="135" t="s">
        <v>845</v>
      </c>
      <c r="N2217" s="123" t="s">
        <v>845</v>
      </c>
    </row>
    <row r="2218" spans="2:14" hidden="1" x14ac:dyDescent="0.25">
      <c r="B2218" s="120">
        <v>2215</v>
      </c>
      <c r="C2218" s="123">
        <v>10432666889</v>
      </c>
      <c r="D2218" s="126" t="s">
        <v>8679</v>
      </c>
      <c r="E2218" s="126" t="s">
        <v>8680</v>
      </c>
      <c r="F2218" s="123" t="s">
        <v>30</v>
      </c>
      <c r="G2218" s="123" t="s">
        <v>30</v>
      </c>
      <c r="H2218" s="123" t="s">
        <v>34</v>
      </c>
      <c r="I2218" s="126" t="s">
        <v>1930</v>
      </c>
      <c r="J2218" s="123" t="s">
        <v>8681</v>
      </c>
      <c r="K2218" s="123" t="s">
        <v>8682</v>
      </c>
      <c r="L2218" s="131" t="s">
        <v>100</v>
      </c>
      <c r="M2218" s="135" t="s">
        <v>845</v>
      </c>
      <c r="N2218" s="123" t="s">
        <v>845</v>
      </c>
    </row>
    <row r="2219" spans="2:14" hidden="1" x14ac:dyDescent="0.25">
      <c r="B2219" s="120">
        <v>2216</v>
      </c>
      <c r="C2219" s="123">
        <v>10423176941</v>
      </c>
      <c r="D2219" s="126" t="s">
        <v>8683</v>
      </c>
      <c r="E2219" s="126" t="s">
        <v>8684</v>
      </c>
      <c r="F2219" s="123" t="s">
        <v>30</v>
      </c>
      <c r="G2219" s="123" t="s">
        <v>30</v>
      </c>
      <c r="H2219" s="123" t="s">
        <v>72</v>
      </c>
      <c r="I2219" s="126" t="s">
        <v>1984</v>
      </c>
      <c r="J2219" s="123" t="s">
        <v>8685</v>
      </c>
      <c r="K2219" s="123" t="s">
        <v>8686</v>
      </c>
      <c r="L2219" s="131" t="s">
        <v>100</v>
      </c>
      <c r="M2219" s="135" t="s">
        <v>845</v>
      </c>
      <c r="N2219" s="123" t="s">
        <v>845</v>
      </c>
    </row>
    <row r="2220" spans="2:14" hidden="1" x14ac:dyDescent="0.25">
      <c r="B2220" s="120">
        <v>2217</v>
      </c>
      <c r="C2220" s="123">
        <v>15603916767</v>
      </c>
      <c r="D2220" s="126" t="s">
        <v>8687</v>
      </c>
      <c r="E2220" s="126" t="s">
        <v>8688</v>
      </c>
      <c r="F2220" s="123" t="s">
        <v>30</v>
      </c>
      <c r="G2220" s="123" t="s">
        <v>30</v>
      </c>
      <c r="H2220" s="123" t="s">
        <v>45</v>
      </c>
      <c r="I2220" s="126" t="s">
        <v>1424</v>
      </c>
      <c r="J2220" s="123" t="s">
        <v>8689</v>
      </c>
      <c r="K2220" s="123" t="s">
        <v>8687</v>
      </c>
      <c r="L2220" s="131" t="s">
        <v>100</v>
      </c>
      <c r="M2220" s="135" t="s">
        <v>845</v>
      </c>
      <c r="N2220" s="123" t="s">
        <v>845</v>
      </c>
    </row>
    <row r="2221" spans="2:14" hidden="1" x14ac:dyDescent="0.25">
      <c r="B2221" s="120">
        <v>2218</v>
      </c>
      <c r="C2221" s="123">
        <v>10448201398</v>
      </c>
      <c r="D2221" s="126" t="s">
        <v>8690</v>
      </c>
      <c r="E2221" s="126" t="s">
        <v>8691</v>
      </c>
      <c r="F2221" s="123" t="s">
        <v>30</v>
      </c>
      <c r="G2221" s="123" t="s">
        <v>170</v>
      </c>
      <c r="H2221" s="123" t="s">
        <v>171</v>
      </c>
      <c r="I2221" s="126" t="s">
        <v>1931</v>
      </c>
      <c r="J2221" s="123" t="s">
        <v>8692</v>
      </c>
      <c r="K2221" s="123" t="s">
        <v>8690</v>
      </c>
      <c r="L2221" s="131" t="s">
        <v>100</v>
      </c>
      <c r="M2221" s="135" t="s">
        <v>845</v>
      </c>
      <c r="N2221" s="123" t="s">
        <v>845</v>
      </c>
    </row>
    <row r="2222" spans="2:14" hidden="1" x14ac:dyDescent="0.25">
      <c r="B2222" s="120">
        <v>2219</v>
      </c>
      <c r="C2222" s="123">
        <v>10433790222</v>
      </c>
      <c r="D2222" s="126" t="s">
        <v>8693</v>
      </c>
      <c r="E2222" s="126" t="s">
        <v>8694</v>
      </c>
      <c r="F2222" s="123" t="s">
        <v>30</v>
      </c>
      <c r="G2222" s="123" t="s">
        <v>30</v>
      </c>
      <c r="H2222" s="123" t="s">
        <v>30</v>
      </c>
      <c r="I2222" s="126" t="s">
        <v>1932</v>
      </c>
      <c r="J2222" s="123" t="s">
        <v>8695</v>
      </c>
      <c r="K2222" s="123" t="s">
        <v>8693</v>
      </c>
      <c r="L2222" s="131" t="s">
        <v>100</v>
      </c>
      <c r="M2222" s="135" t="s">
        <v>845</v>
      </c>
      <c r="N2222" s="123" t="s">
        <v>845</v>
      </c>
    </row>
    <row r="2223" spans="2:14" hidden="1" x14ac:dyDescent="0.25">
      <c r="B2223" s="120">
        <v>2220</v>
      </c>
      <c r="C2223" s="123">
        <v>10415916600</v>
      </c>
      <c r="D2223" s="126" t="s">
        <v>8696</v>
      </c>
      <c r="E2223" s="126" t="s">
        <v>8697</v>
      </c>
      <c r="F2223" s="123" t="s">
        <v>30</v>
      </c>
      <c r="G2223" s="123" t="s">
        <v>31</v>
      </c>
      <c r="H2223" s="123" t="s">
        <v>150</v>
      </c>
      <c r="I2223" s="126" t="s">
        <v>8698</v>
      </c>
      <c r="J2223" s="123" t="s">
        <v>8699</v>
      </c>
      <c r="K2223" s="123" t="s">
        <v>8696</v>
      </c>
      <c r="L2223" s="131" t="s">
        <v>100</v>
      </c>
      <c r="M2223" s="135" t="s">
        <v>845</v>
      </c>
      <c r="N2223" s="123" t="s">
        <v>845</v>
      </c>
    </row>
    <row r="2224" spans="2:14" hidden="1" x14ac:dyDescent="0.25">
      <c r="B2224" s="120">
        <v>2221</v>
      </c>
      <c r="C2224" s="123">
        <v>10068918770</v>
      </c>
      <c r="D2224" s="126" t="s">
        <v>8700</v>
      </c>
      <c r="E2224" s="126" t="s">
        <v>8701</v>
      </c>
      <c r="F2224" s="123" t="s">
        <v>30</v>
      </c>
      <c r="G2224" s="123" t="s">
        <v>30</v>
      </c>
      <c r="H2224" s="123" t="s">
        <v>45</v>
      </c>
      <c r="I2224" s="126" t="s">
        <v>1701</v>
      </c>
      <c r="J2224" s="123" t="s">
        <v>8702</v>
      </c>
      <c r="K2224" s="123" t="s">
        <v>8700</v>
      </c>
      <c r="L2224" s="131" t="s">
        <v>100</v>
      </c>
      <c r="M2224" s="135" t="s">
        <v>845</v>
      </c>
      <c r="N2224" s="123" t="s">
        <v>845</v>
      </c>
    </row>
    <row r="2225" spans="2:14" hidden="1" x14ac:dyDescent="0.25">
      <c r="B2225" s="120">
        <v>2222</v>
      </c>
      <c r="C2225" s="123">
        <v>10097945620</v>
      </c>
      <c r="D2225" s="126" t="s">
        <v>8703</v>
      </c>
      <c r="E2225" s="126" t="s">
        <v>8704</v>
      </c>
      <c r="F2225" s="123" t="s">
        <v>30</v>
      </c>
      <c r="G2225" s="123" t="s">
        <v>30</v>
      </c>
      <c r="H2225" s="123" t="s">
        <v>88</v>
      </c>
      <c r="I2225" s="126" t="s">
        <v>8659</v>
      </c>
      <c r="J2225" s="123" t="s">
        <v>8705</v>
      </c>
      <c r="K2225" s="123" t="s">
        <v>8706</v>
      </c>
      <c r="L2225" s="131" t="s">
        <v>100</v>
      </c>
      <c r="M2225" s="135" t="s">
        <v>845</v>
      </c>
      <c r="N2225" s="123" t="s">
        <v>845</v>
      </c>
    </row>
    <row r="2226" spans="2:14" hidden="1" x14ac:dyDescent="0.25">
      <c r="B2226" s="120">
        <v>2223</v>
      </c>
      <c r="C2226" s="123">
        <v>10771637561</v>
      </c>
      <c r="D2226" s="126" t="s">
        <v>8707</v>
      </c>
      <c r="E2226" s="126" t="s">
        <v>8708</v>
      </c>
      <c r="F2226" s="123" t="s">
        <v>30</v>
      </c>
      <c r="G2226" s="123" t="s">
        <v>30</v>
      </c>
      <c r="H2226" s="123" t="s">
        <v>38</v>
      </c>
      <c r="I2226" s="126" t="s">
        <v>87</v>
      </c>
      <c r="J2226" s="123" t="s">
        <v>8709</v>
      </c>
      <c r="K2226" s="123" t="s">
        <v>8707</v>
      </c>
      <c r="L2226" s="131" t="s">
        <v>100</v>
      </c>
      <c r="M2226" s="135" t="s">
        <v>845</v>
      </c>
      <c r="N2226" s="123" t="s">
        <v>845</v>
      </c>
    </row>
    <row r="2227" spans="2:14" hidden="1" x14ac:dyDescent="0.25">
      <c r="B2227" s="120">
        <v>2224</v>
      </c>
      <c r="C2227" s="123">
        <v>10759588211</v>
      </c>
      <c r="D2227" s="126" t="s">
        <v>8710</v>
      </c>
      <c r="E2227" s="126" t="s">
        <v>8711</v>
      </c>
      <c r="F2227" s="123" t="s">
        <v>67</v>
      </c>
      <c r="G2227" s="123" t="s">
        <v>67</v>
      </c>
      <c r="H2227" s="123" t="s">
        <v>67</v>
      </c>
      <c r="I2227" s="126" t="s">
        <v>1931</v>
      </c>
      <c r="J2227" s="123" t="s">
        <v>8712</v>
      </c>
      <c r="K2227" s="123" t="s">
        <v>8710</v>
      </c>
      <c r="L2227" s="131" t="s">
        <v>100</v>
      </c>
      <c r="M2227" s="135" t="s">
        <v>845</v>
      </c>
      <c r="N2227" s="123" t="s">
        <v>845</v>
      </c>
    </row>
    <row r="2228" spans="2:14" hidden="1" x14ac:dyDescent="0.25">
      <c r="B2228" s="120">
        <v>2225</v>
      </c>
      <c r="C2228" s="123">
        <v>10416170865</v>
      </c>
      <c r="D2228" s="126" t="s">
        <v>8713</v>
      </c>
      <c r="E2228" s="126" t="s">
        <v>8714</v>
      </c>
      <c r="F2228" s="123" t="s">
        <v>30</v>
      </c>
      <c r="G2228" s="123" t="s">
        <v>30</v>
      </c>
      <c r="H2228" s="123" t="s">
        <v>75</v>
      </c>
      <c r="I2228" s="126" t="s">
        <v>1551</v>
      </c>
      <c r="J2228" s="123" t="s">
        <v>8715</v>
      </c>
      <c r="K2228" s="123" t="s">
        <v>8716</v>
      </c>
      <c r="L2228" s="131" t="s">
        <v>100</v>
      </c>
      <c r="M2228" s="135" t="s">
        <v>845</v>
      </c>
      <c r="N2228" s="123" t="s">
        <v>845</v>
      </c>
    </row>
    <row r="2229" spans="2:14" hidden="1" x14ac:dyDescent="0.25">
      <c r="B2229" s="120">
        <v>2226</v>
      </c>
      <c r="C2229" s="123">
        <v>10201193112</v>
      </c>
      <c r="D2229" s="126" t="s">
        <v>8717</v>
      </c>
      <c r="E2229" s="126" t="s">
        <v>8718</v>
      </c>
      <c r="F2229" s="123" t="s">
        <v>30</v>
      </c>
      <c r="G2229" s="123" t="s">
        <v>54</v>
      </c>
      <c r="H2229" s="123" t="s">
        <v>54</v>
      </c>
      <c r="I2229" s="126" t="s">
        <v>1387</v>
      </c>
      <c r="J2229" s="123" t="s">
        <v>8719</v>
      </c>
      <c r="K2229" s="123" t="s">
        <v>8717</v>
      </c>
      <c r="L2229" s="131" t="s">
        <v>100</v>
      </c>
      <c r="M2229" s="135" t="s">
        <v>845</v>
      </c>
      <c r="N2229" s="123" t="s">
        <v>845</v>
      </c>
    </row>
    <row r="2230" spans="2:14" hidden="1" x14ac:dyDescent="0.25">
      <c r="B2230" s="120">
        <v>2227</v>
      </c>
      <c r="C2230" s="123">
        <v>10745004755</v>
      </c>
      <c r="D2230" s="126" t="s">
        <v>8720</v>
      </c>
      <c r="E2230" s="126" t="s">
        <v>8721</v>
      </c>
      <c r="F2230" s="123" t="s">
        <v>30</v>
      </c>
      <c r="G2230" s="123" t="s">
        <v>31</v>
      </c>
      <c r="H2230" s="123" t="s">
        <v>32</v>
      </c>
      <c r="I2230" s="126" t="s">
        <v>1441</v>
      </c>
      <c r="J2230" s="123" t="s">
        <v>8722</v>
      </c>
      <c r="K2230" s="123" t="s">
        <v>8720</v>
      </c>
      <c r="L2230" s="131" t="s">
        <v>100</v>
      </c>
      <c r="M2230" s="135" t="s">
        <v>845</v>
      </c>
      <c r="N2230" s="123" t="s">
        <v>845</v>
      </c>
    </row>
    <row r="2231" spans="2:14" hidden="1" x14ac:dyDescent="0.25">
      <c r="B2231" s="120">
        <v>2228</v>
      </c>
      <c r="C2231" s="123">
        <v>10463635469</v>
      </c>
      <c r="D2231" s="126" t="s">
        <v>8723</v>
      </c>
      <c r="E2231" s="126" t="s">
        <v>8724</v>
      </c>
      <c r="F2231" s="123" t="s">
        <v>30</v>
      </c>
      <c r="G2231" s="123" t="s">
        <v>30</v>
      </c>
      <c r="H2231" s="123" t="s">
        <v>85</v>
      </c>
      <c r="I2231" s="126" t="s">
        <v>8725</v>
      </c>
      <c r="J2231" s="123" t="s">
        <v>8726</v>
      </c>
      <c r="K2231" s="123" t="s">
        <v>8723</v>
      </c>
      <c r="L2231" s="131" t="s">
        <v>100</v>
      </c>
      <c r="M2231" s="135" t="s">
        <v>845</v>
      </c>
      <c r="N2231" s="123" t="s">
        <v>845</v>
      </c>
    </row>
    <row r="2232" spans="2:14" hidden="1" x14ac:dyDescent="0.25">
      <c r="B2232" s="120">
        <v>2229</v>
      </c>
      <c r="C2232" s="123">
        <v>10061043972</v>
      </c>
      <c r="D2232" s="126" t="s">
        <v>8727</v>
      </c>
      <c r="E2232" s="126" t="s">
        <v>8728</v>
      </c>
      <c r="F2232" s="123" t="s">
        <v>30</v>
      </c>
      <c r="G2232" s="123" t="s">
        <v>30</v>
      </c>
      <c r="H2232" s="123" t="s">
        <v>30</v>
      </c>
      <c r="I2232" s="126" t="s">
        <v>1930</v>
      </c>
      <c r="J2232" s="123" t="s">
        <v>8729</v>
      </c>
      <c r="K2232" s="123" t="s">
        <v>8730</v>
      </c>
      <c r="L2232" s="131" t="s">
        <v>100</v>
      </c>
      <c r="M2232" s="135" t="s">
        <v>845</v>
      </c>
      <c r="N2232" s="123" t="s">
        <v>845</v>
      </c>
    </row>
    <row r="2233" spans="2:14" hidden="1" x14ac:dyDescent="0.25">
      <c r="B2233" s="120">
        <v>2230</v>
      </c>
      <c r="C2233" s="123">
        <v>10437870034</v>
      </c>
      <c r="D2233" s="126" t="s">
        <v>8731</v>
      </c>
      <c r="E2233" s="126" t="s">
        <v>8732</v>
      </c>
      <c r="F2233" s="123" t="s">
        <v>30</v>
      </c>
      <c r="G2233" s="123" t="s">
        <v>30</v>
      </c>
      <c r="H2233" s="123" t="s">
        <v>50</v>
      </c>
      <c r="I2233" s="126" t="s">
        <v>1930</v>
      </c>
      <c r="J2233" s="123" t="s">
        <v>8733</v>
      </c>
      <c r="K2233" s="123" t="s">
        <v>8734</v>
      </c>
      <c r="L2233" s="131" t="s">
        <v>100</v>
      </c>
      <c r="M2233" s="135" t="s">
        <v>845</v>
      </c>
      <c r="N2233" s="123" t="s">
        <v>845</v>
      </c>
    </row>
    <row r="2234" spans="2:14" hidden="1" x14ac:dyDescent="0.25">
      <c r="B2234" s="120">
        <v>2231</v>
      </c>
      <c r="C2234" s="123">
        <v>10451414238</v>
      </c>
      <c r="D2234" s="126" t="s">
        <v>8735</v>
      </c>
      <c r="E2234" s="126" t="s">
        <v>8736</v>
      </c>
      <c r="F2234" s="123" t="s">
        <v>30</v>
      </c>
      <c r="G2234" s="123" t="s">
        <v>30</v>
      </c>
      <c r="H2234" s="123" t="s">
        <v>51</v>
      </c>
      <c r="I2234" s="126" t="s">
        <v>1983</v>
      </c>
      <c r="J2234" s="123" t="s">
        <v>8737</v>
      </c>
      <c r="K2234" s="123" t="s">
        <v>8735</v>
      </c>
      <c r="L2234" s="131" t="s">
        <v>100</v>
      </c>
      <c r="M2234" s="135" t="s">
        <v>845</v>
      </c>
      <c r="N2234" s="123" t="s">
        <v>845</v>
      </c>
    </row>
    <row r="2235" spans="2:14" hidden="1" x14ac:dyDescent="0.25">
      <c r="B2235" s="120">
        <v>2232</v>
      </c>
      <c r="C2235" s="123">
        <v>10454642304</v>
      </c>
      <c r="D2235" s="126" t="s">
        <v>8738</v>
      </c>
      <c r="E2235" s="126" t="s">
        <v>8739</v>
      </c>
      <c r="F2235" s="123" t="s">
        <v>30</v>
      </c>
      <c r="G2235" s="123" t="s">
        <v>30</v>
      </c>
      <c r="H2235" s="123" t="s">
        <v>50</v>
      </c>
      <c r="I2235" s="126" t="s">
        <v>1701</v>
      </c>
      <c r="J2235" s="123" t="s">
        <v>8740</v>
      </c>
      <c r="K2235" s="123" t="s">
        <v>8738</v>
      </c>
      <c r="L2235" s="131" t="s">
        <v>100</v>
      </c>
      <c r="M2235" s="135" t="s">
        <v>845</v>
      </c>
      <c r="N2235" s="123" t="s">
        <v>845</v>
      </c>
    </row>
    <row r="2236" spans="2:14" hidden="1" x14ac:dyDescent="0.25">
      <c r="B2236" s="120">
        <v>2233</v>
      </c>
      <c r="C2236" s="123">
        <v>10408951106</v>
      </c>
      <c r="D2236" s="126" t="s">
        <v>8741</v>
      </c>
      <c r="E2236" s="126" t="s">
        <v>8742</v>
      </c>
      <c r="F2236" s="123" t="s">
        <v>30</v>
      </c>
      <c r="G2236" s="123" t="s">
        <v>30</v>
      </c>
      <c r="H2236" s="123" t="s">
        <v>43</v>
      </c>
      <c r="I2236" s="126" t="s">
        <v>8743</v>
      </c>
      <c r="J2236" s="123" t="s">
        <v>8744</v>
      </c>
      <c r="K2236" s="123" t="s">
        <v>8741</v>
      </c>
      <c r="L2236" s="131" t="s">
        <v>100</v>
      </c>
      <c r="M2236" s="135" t="s">
        <v>845</v>
      </c>
      <c r="N2236" s="123" t="s">
        <v>845</v>
      </c>
    </row>
    <row r="2237" spans="2:14" hidden="1" x14ac:dyDescent="0.25">
      <c r="B2237" s="120">
        <v>2234</v>
      </c>
      <c r="C2237" s="123">
        <v>10200611921</v>
      </c>
      <c r="D2237" s="126" t="s">
        <v>8745</v>
      </c>
      <c r="E2237" s="126" t="s">
        <v>8746</v>
      </c>
      <c r="F2237" s="123" t="s">
        <v>67</v>
      </c>
      <c r="G2237" s="123" t="s">
        <v>67</v>
      </c>
      <c r="H2237" s="123" t="s">
        <v>67</v>
      </c>
      <c r="I2237" s="126" t="s">
        <v>1949</v>
      </c>
      <c r="J2237" s="123" t="s">
        <v>8747</v>
      </c>
      <c r="K2237" s="123" t="s">
        <v>8745</v>
      </c>
      <c r="L2237" s="131" t="s">
        <v>100</v>
      </c>
      <c r="M2237" s="135" t="s">
        <v>845</v>
      </c>
      <c r="N2237" s="123" t="s">
        <v>845</v>
      </c>
    </row>
    <row r="2238" spans="2:14" hidden="1" x14ac:dyDescent="0.25">
      <c r="B2238" s="120">
        <v>2235</v>
      </c>
      <c r="C2238" s="123">
        <v>11111111112</v>
      </c>
      <c r="D2238" s="126" t="s">
        <v>8748</v>
      </c>
      <c r="E2238" s="126" t="s">
        <v>8749</v>
      </c>
      <c r="F2238" s="123" t="s">
        <v>67</v>
      </c>
      <c r="G2238" s="123" t="s">
        <v>67</v>
      </c>
      <c r="H2238" s="123" t="s">
        <v>143</v>
      </c>
      <c r="I2238" s="126" t="s">
        <v>8750</v>
      </c>
      <c r="J2238" s="123" t="s">
        <v>8751</v>
      </c>
      <c r="K2238" s="123" t="s">
        <v>8752</v>
      </c>
      <c r="L2238" s="131" t="s">
        <v>100</v>
      </c>
      <c r="M2238" s="135" t="s">
        <v>845</v>
      </c>
      <c r="N2238" s="123" t="s">
        <v>845</v>
      </c>
    </row>
    <row r="2239" spans="2:14" hidden="1" x14ac:dyDescent="0.25">
      <c r="B2239" s="120">
        <v>2236</v>
      </c>
      <c r="C2239" s="123">
        <v>10033632482</v>
      </c>
      <c r="D2239" s="126" t="s">
        <v>8753</v>
      </c>
      <c r="E2239" s="126" t="s">
        <v>8754</v>
      </c>
      <c r="F2239" s="123" t="s">
        <v>30</v>
      </c>
      <c r="G2239" s="123" t="s">
        <v>30</v>
      </c>
      <c r="H2239" s="123" t="s">
        <v>30</v>
      </c>
      <c r="I2239" s="126" t="s">
        <v>1930</v>
      </c>
      <c r="J2239" s="123" t="s">
        <v>8755</v>
      </c>
      <c r="K2239" s="123" t="s">
        <v>8753</v>
      </c>
      <c r="L2239" s="131" t="s">
        <v>100</v>
      </c>
      <c r="M2239" s="135" t="s">
        <v>845</v>
      </c>
      <c r="N2239" s="123" t="s">
        <v>845</v>
      </c>
    </row>
    <row r="2240" spans="2:14" hidden="1" x14ac:dyDescent="0.25">
      <c r="B2240" s="120">
        <v>2237</v>
      </c>
      <c r="C2240" s="123">
        <v>10097895002</v>
      </c>
      <c r="D2240" s="126" t="s">
        <v>8756</v>
      </c>
      <c r="E2240" s="126" t="s">
        <v>8757</v>
      </c>
      <c r="F2240" s="123" t="s">
        <v>30</v>
      </c>
      <c r="G2240" s="123" t="s">
        <v>30</v>
      </c>
      <c r="H2240" s="123" t="s">
        <v>50</v>
      </c>
      <c r="I2240" s="126" t="s">
        <v>1701</v>
      </c>
      <c r="J2240" s="123" t="s">
        <v>8758</v>
      </c>
      <c r="K2240" s="123" t="s">
        <v>8756</v>
      </c>
      <c r="L2240" s="131" t="s">
        <v>100</v>
      </c>
      <c r="M2240" s="135" t="s">
        <v>845</v>
      </c>
      <c r="N2240" s="123" t="s">
        <v>845</v>
      </c>
    </row>
    <row r="2241" spans="2:14" hidden="1" x14ac:dyDescent="0.25">
      <c r="B2241" s="120">
        <v>2238</v>
      </c>
      <c r="C2241" s="123">
        <v>10101955350</v>
      </c>
      <c r="D2241" s="126" t="s">
        <v>8759</v>
      </c>
      <c r="E2241" s="126" t="s">
        <v>8760</v>
      </c>
      <c r="F2241" s="123" t="s">
        <v>30</v>
      </c>
      <c r="G2241" s="123" t="s">
        <v>30</v>
      </c>
      <c r="H2241" s="123" t="s">
        <v>50</v>
      </c>
      <c r="I2241" s="126" t="s">
        <v>1983</v>
      </c>
      <c r="J2241" s="123" t="s">
        <v>8761</v>
      </c>
      <c r="K2241" s="123" t="s">
        <v>8759</v>
      </c>
      <c r="L2241" s="131" t="s">
        <v>100</v>
      </c>
      <c r="M2241" s="135" t="s">
        <v>845</v>
      </c>
      <c r="N2241" s="123" t="s">
        <v>845</v>
      </c>
    </row>
    <row r="2242" spans="2:14" hidden="1" x14ac:dyDescent="0.25">
      <c r="B2242" s="120">
        <v>2239</v>
      </c>
      <c r="C2242" s="123">
        <v>10101610204</v>
      </c>
      <c r="D2242" s="126" t="s">
        <v>8762</v>
      </c>
      <c r="E2242" s="126" t="s">
        <v>8763</v>
      </c>
      <c r="F2242" s="123" t="s">
        <v>30</v>
      </c>
      <c r="G2242" s="123" t="s">
        <v>30</v>
      </c>
      <c r="H2242" s="123" t="s">
        <v>41</v>
      </c>
      <c r="I2242" s="126" t="s">
        <v>8659</v>
      </c>
      <c r="J2242" s="123" t="s">
        <v>8764</v>
      </c>
      <c r="K2242" s="123" t="s">
        <v>8762</v>
      </c>
      <c r="L2242" s="131" t="s">
        <v>100</v>
      </c>
      <c r="M2242" s="135" t="s">
        <v>845</v>
      </c>
      <c r="N2242" s="123" t="s">
        <v>845</v>
      </c>
    </row>
    <row r="2243" spans="2:14" hidden="1" x14ac:dyDescent="0.25">
      <c r="B2243" s="120">
        <v>2240</v>
      </c>
      <c r="C2243" s="123">
        <v>10471824033</v>
      </c>
      <c r="D2243" s="126" t="s">
        <v>8765</v>
      </c>
      <c r="E2243" s="126" t="s">
        <v>8766</v>
      </c>
      <c r="F2243" s="123" t="s">
        <v>30</v>
      </c>
      <c r="G2243" s="123" t="s">
        <v>31</v>
      </c>
      <c r="H2243" s="123" t="s">
        <v>145</v>
      </c>
      <c r="I2243" s="126" t="s">
        <v>1701</v>
      </c>
      <c r="J2243" s="123" t="s">
        <v>8767</v>
      </c>
      <c r="K2243" s="123" t="s">
        <v>8765</v>
      </c>
      <c r="L2243" s="131" t="s">
        <v>100</v>
      </c>
      <c r="M2243" s="135" t="s">
        <v>845</v>
      </c>
      <c r="N2243" s="123" t="s">
        <v>845</v>
      </c>
    </row>
    <row r="2244" spans="2:14" hidden="1" x14ac:dyDescent="0.25">
      <c r="B2244" s="120">
        <v>2241</v>
      </c>
      <c r="C2244" s="123">
        <v>10400161017</v>
      </c>
      <c r="D2244" s="126" t="s">
        <v>8768</v>
      </c>
      <c r="E2244" s="126" t="s">
        <v>8769</v>
      </c>
      <c r="F2244" s="123" t="s">
        <v>30</v>
      </c>
      <c r="G2244" s="123" t="s">
        <v>54</v>
      </c>
      <c r="H2244" s="123" t="s">
        <v>54</v>
      </c>
      <c r="I2244" s="126" t="s">
        <v>1701</v>
      </c>
      <c r="J2244" s="123" t="s">
        <v>8770</v>
      </c>
      <c r="K2244" s="123" t="s">
        <v>8768</v>
      </c>
      <c r="L2244" s="131" t="s">
        <v>100</v>
      </c>
      <c r="M2244" s="135" t="s">
        <v>845</v>
      </c>
      <c r="N2244" s="123" t="s">
        <v>845</v>
      </c>
    </row>
    <row r="2245" spans="2:14" hidden="1" x14ac:dyDescent="0.25">
      <c r="B2245" s="120">
        <v>2242</v>
      </c>
      <c r="C2245" s="123">
        <v>10409236346</v>
      </c>
      <c r="D2245" s="126" t="s">
        <v>8771</v>
      </c>
      <c r="E2245" s="126" t="s">
        <v>8772</v>
      </c>
      <c r="F2245" s="123" t="s">
        <v>30</v>
      </c>
      <c r="G2245" s="123" t="s">
        <v>54</v>
      </c>
      <c r="H2245" s="123" t="s">
        <v>54</v>
      </c>
      <c r="I2245" s="126" t="s">
        <v>1701</v>
      </c>
      <c r="J2245" s="123" t="s">
        <v>8773</v>
      </c>
      <c r="K2245" s="123" t="s">
        <v>8771</v>
      </c>
      <c r="L2245" s="131" t="s">
        <v>100</v>
      </c>
      <c r="M2245" s="135" t="s">
        <v>845</v>
      </c>
      <c r="N2245" s="123" t="s">
        <v>845</v>
      </c>
    </row>
    <row r="2246" spans="2:14" hidden="1" x14ac:dyDescent="0.25">
      <c r="B2246" s="120">
        <v>2243</v>
      </c>
      <c r="C2246" s="123">
        <v>10157477914</v>
      </c>
      <c r="D2246" s="126" t="s">
        <v>8774</v>
      </c>
      <c r="E2246" s="126" t="s">
        <v>8775</v>
      </c>
      <c r="F2246" s="123" t="s">
        <v>30</v>
      </c>
      <c r="G2246" s="123" t="s">
        <v>54</v>
      </c>
      <c r="H2246" s="123" t="s">
        <v>54</v>
      </c>
      <c r="I2246" s="126" t="s">
        <v>1701</v>
      </c>
      <c r="J2246" s="123" t="s">
        <v>8776</v>
      </c>
      <c r="K2246" s="123" t="s">
        <v>8774</v>
      </c>
      <c r="L2246" s="131" t="s">
        <v>100</v>
      </c>
      <c r="M2246" s="135" t="s">
        <v>845</v>
      </c>
      <c r="N2246" s="123" t="s">
        <v>845</v>
      </c>
    </row>
    <row r="2247" spans="2:14" hidden="1" x14ac:dyDescent="0.25">
      <c r="B2247" s="120">
        <v>2244</v>
      </c>
      <c r="C2247" s="123">
        <v>10431990691</v>
      </c>
      <c r="D2247" s="126" t="s">
        <v>8777</v>
      </c>
      <c r="E2247" s="126" t="s">
        <v>8778</v>
      </c>
      <c r="F2247" s="123" t="s">
        <v>30</v>
      </c>
      <c r="G2247" s="123" t="s">
        <v>54</v>
      </c>
      <c r="H2247" s="123" t="s">
        <v>54</v>
      </c>
      <c r="I2247" s="126" t="s">
        <v>1701</v>
      </c>
      <c r="J2247" s="123" t="s">
        <v>8779</v>
      </c>
      <c r="K2247" s="123" t="s">
        <v>8777</v>
      </c>
      <c r="L2247" s="131" t="s">
        <v>100</v>
      </c>
      <c r="M2247" s="135" t="s">
        <v>845</v>
      </c>
      <c r="N2247" s="123" t="s">
        <v>845</v>
      </c>
    </row>
    <row r="2248" spans="2:14" hidden="1" x14ac:dyDescent="0.25">
      <c r="B2248" s="120">
        <v>2245</v>
      </c>
      <c r="C2248" s="123">
        <v>10157332835</v>
      </c>
      <c r="D2248" s="126" t="s">
        <v>8780</v>
      </c>
      <c r="E2248" s="126" t="s">
        <v>8781</v>
      </c>
      <c r="F2248" s="123" t="s">
        <v>30</v>
      </c>
      <c r="G2248" s="123" t="s">
        <v>170</v>
      </c>
      <c r="H2248" s="123" t="s">
        <v>174</v>
      </c>
      <c r="I2248" s="126" t="s">
        <v>1962</v>
      </c>
      <c r="J2248" s="123" t="s">
        <v>8782</v>
      </c>
      <c r="K2248" s="123" t="s">
        <v>8783</v>
      </c>
      <c r="L2248" s="131" t="s">
        <v>100</v>
      </c>
      <c r="M2248" s="135" t="s">
        <v>845</v>
      </c>
      <c r="N2248" s="123" t="s">
        <v>845</v>
      </c>
    </row>
    <row r="2249" spans="2:14" hidden="1" x14ac:dyDescent="0.25">
      <c r="B2249" s="120">
        <v>2246</v>
      </c>
      <c r="C2249" s="123">
        <v>10094832701</v>
      </c>
      <c r="D2249" s="126" t="s">
        <v>8784</v>
      </c>
      <c r="E2249" s="126" t="s">
        <v>8785</v>
      </c>
      <c r="F2249" s="123" t="s">
        <v>30</v>
      </c>
      <c r="G2249" s="123" t="s">
        <v>30</v>
      </c>
      <c r="H2249" s="123" t="s">
        <v>50</v>
      </c>
      <c r="I2249" s="126" t="s">
        <v>1564</v>
      </c>
      <c r="J2249" s="123" t="s">
        <v>8786</v>
      </c>
      <c r="K2249" s="123" t="s">
        <v>8784</v>
      </c>
      <c r="L2249" s="131" t="s">
        <v>100</v>
      </c>
      <c r="M2249" s="135" t="s">
        <v>845</v>
      </c>
      <c r="N2249" s="123" t="s">
        <v>845</v>
      </c>
    </row>
    <row r="2250" spans="2:14" hidden="1" x14ac:dyDescent="0.25">
      <c r="B2250" s="120">
        <v>2247</v>
      </c>
      <c r="C2250" s="123">
        <v>10738158348</v>
      </c>
      <c r="D2250" s="126" t="s">
        <v>8787</v>
      </c>
      <c r="E2250" s="126" t="s">
        <v>8788</v>
      </c>
      <c r="F2250" s="123" t="s">
        <v>30</v>
      </c>
      <c r="G2250" s="123" t="s">
        <v>30</v>
      </c>
      <c r="H2250" s="123" t="s">
        <v>147</v>
      </c>
      <c r="I2250" s="126" t="s">
        <v>1439</v>
      </c>
      <c r="J2250" s="123" t="s">
        <v>8789</v>
      </c>
      <c r="K2250" s="123" t="s">
        <v>8790</v>
      </c>
      <c r="L2250" s="131" t="s">
        <v>100</v>
      </c>
      <c r="M2250" s="135" t="s">
        <v>845</v>
      </c>
      <c r="N2250" s="123" t="s">
        <v>845</v>
      </c>
    </row>
    <row r="2251" spans="2:14" hidden="1" x14ac:dyDescent="0.25">
      <c r="B2251" s="120">
        <v>2248</v>
      </c>
      <c r="C2251" s="123">
        <v>10158485511</v>
      </c>
      <c r="D2251" s="126" t="s">
        <v>8791</v>
      </c>
      <c r="E2251" s="126" t="s">
        <v>8792</v>
      </c>
      <c r="F2251" s="123" t="s">
        <v>30</v>
      </c>
      <c r="G2251" s="123" t="s">
        <v>168</v>
      </c>
      <c r="H2251" s="123" t="s">
        <v>168</v>
      </c>
      <c r="I2251" s="126" t="s">
        <v>1930</v>
      </c>
      <c r="J2251" s="123" t="s">
        <v>8793</v>
      </c>
      <c r="K2251" s="123" t="s">
        <v>8794</v>
      </c>
      <c r="L2251" s="131" t="s">
        <v>100</v>
      </c>
      <c r="M2251" s="135" t="s">
        <v>845</v>
      </c>
      <c r="N2251" s="123" t="s">
        <v>845</v>
      </c>
    </row>
    <row r="2252" spans="2:14" hidden="1" x14ac:dyDescent="0.25">
      <c r="B2252" s="120">
        <v>2249</v>
      </c>
      <c r="C2252" s="123">
        <v>10722460842</v>
      </c>
      <c r="D2252" s="126" t="s">
        <v>8795</v>
      </c>
      <c r="E2252" s="126" t="s">
        <v>8796</v>
      </c>
      <c r="F2252" s="123" t="s">
        <v>30</v>
      </c>
      <c r="G2252" s="123" t="s">
        <v>30</v>
      </c>
      <c r="H2252" s="123" t="s">
        <v>51</v>
      </c>
      <c r="I2252" s="126" t="s">
        <v>1701</v>
      </c>
      <c r="J2252" s="123" t="s">
        <v>8797</v>
      </c>
      <c r="K2252" s="123" t="s">
        <v>8795</v>
      </c>
      <c r="L2252" s="131" t="s">
        <v>100</v>
      </c>
      <c r="M2252" s="135" t="s">
        <v>845</v>
      </c>
      <c r="N2252" s="123" t="s">
        <v>845</v>
      </c>
    </row>
    <row r="2253" spans="2:14" hidden="1" x14ac:dyDescent="0.25">
      <c r="B2253" s="120">
        <v>2250</v>
      </c>
      <c r="C2253" s="123">
        <v>10458019466</v>
      </c>
      <c r="D2253" s="126" t="s">
        <v>8798</v>
      </c>
      <c r="E2253" s="126" t="s">
        <v>8799</v>
      </c>
      <c r="F2253" s="123" t="s">
        <v>30</v>
      </c>
      <c r="G2253" s="123" t="s">
        <v>30</v>
      </c>
      <c r="H2253" s="123" t="s">
        <v>72</v>
      </c>
      <c r="I2253" s="126" t="s">
        <v>1701</v>
      </c>
      <c r="J2253" s="123" t="s">
        <v>8800</v>
      </c>
      <c r="K2253" s="123" t="s">
        <v>8798</v>
      </c>
      <c r="L2253" s="131" t="s">
        <v>100</v>
      </c>
      <c r="M2253" s="135" t="s">
        <v>845</v>
      </c>
      <c r="N2253" s="123" t="s">
        <v>845</v>
      </c>
    </row>
    <row r="2254" spans="2:14" hidden="1" x14ac:dyDescent="0.25">
      <c r="B2254" s="120">
        <v>2251</v>
      </c>
      <c r="C2254" s="123">
        <v>10452306811</v>
      </c>
      <c r="D2254" s="126" t="s">
        <v>8801</v>
      </c>
      <c r="E2254" s="126" t="s">
        <v>8802</v>
      </c>
      <c r="F2254" s="123" t="s">
        <v>30</v>
      </c>
      <c r="G2254" s="123" t="s">
        <v>30</v>
      </c>
      <c r="H2254" s="123" t="s">
        <v>72</v>
      </c>
      <c r="I2254" s="126" t="s">
        <v>1701</v>
      </c>
      <c r="J2254" s="123" t="s">
        <v>8803</v>
      </c>
      <c r="K2254" s="123" t="s">
        <v>8801</v>
      </c>
      <c r="L2254" s="131" t="s">
        <v>100</v>
      </c>
      <c r="M2254" s="135" t="s">
        <v>845</v>
      </c>
      <c r="N2254" s="123" t="s">
        <v>845</v>
      </c>
    </row>
    <row r="2255" spans="2:14" hidden="1" x14ac:dyDescent="0.25">
      <c r="B2255" s="120">
        <v>2252</v>
      </c>
      <c r="C2255" s="123">
        <v>10431902953</v>
      </c>
      <c r="D2255" s="126" t="s">
        <v>8804</v>
      </c>
      <c r="E2255" s="126" t="s">
        <v>8805</v>
      </c>
      <c r="F2255" s="123" t="s">
        <v>67</v>
      </c>
      <c r="G2255" s="123" t="s">
        <v>67</v>
      </c>
      <c r="H2255" s="123" t="s">
        <v>94</v>
      </c>
      <c r="I2255" s="126" t="s">
        <v>1701</v>
      </c>
      <c r="J2255" s="123" t="s">
        <v>8806</v>
      </c>
      <c r="K2255" s="123" t="s">
        <v>8804</v>
      </c>
      <c r="L2255" s="131" t="s">
        <v>100</v>
      </c>
      <c r="M2255" s="135" t="s">
        <v>845</v>
      </c>
      <c r="N2255" s="123" t="s">
        <v>845</v>
      </c>
    </row>
    <row r="2256" spans="2:14" hidden="1" x14ac:dyDescent="0.25">
      <c r="B2256" s="120">
        <v>2253</v>
      </c>
      <c r="C2256" s="123">
        <v>10764180351</v>
      </c>
      <c r="D2256" s="126" t="s">
        <v>8807</v>
      </c>
      <c r="E2256" s="126" t="s">
        <v>8808</v>
      </c>
      <c r="F2256" s="123" t="s">
        <v>30</v>
      </c>
      <c r="G2256" s="123" t="s">
        <v>30</v>
      </c>
      <c r="H2256" s="123" t="s">
        <v>52</v>
      </c>
      <c r="I2256" s="126" t="s">
        <v>1706</v>
      </c>
      <c r="J2256" s="123" t="s">
        <v>8809</v>
      </c>
      <c r="K2256" s="123" t="s">
        <v>8807</v>
      </c>
      <c r="L2256" s="131" t="s">
        <v>100</v>
      </c>
      <c r="M2256" s="135" t="s">
        <v>845</v>
      </c>
      <c r="N2256" s="123" t="s">
        <v>845</v>
      </c>
    </row>
    <row r="2257" spans="2:14" hidden="1" x14ac:dyDescent="0.25">
      <c r="B2257" s="120">
        <v>2254</v>
      </c>
      <c r="C2257" s="123">
        <v>10433360643</v>
      </c>
      <c r="D2257" s="126" t="s">
        <v>8810</v>
      </c>
      <c r="E2257" s="126" t="s">
        <v>8811</v>
      </c>
      <c r="F2257" s="123" t="s">
        <v>30</v>
      </c>
      <c r="G2257" s="123" t="s">
        <v>30</v>
      </c>
      <c r="H2257" s="123" t="s">
        <v>34</v>
      </c>
      <c r="I2257" s="126" t="s">
        <v>1701</v>
      </c>
      <c r="J2257" s="123" t="s">
        <v>8812</v>
      </c>
      <c r="K2257" s="123" t="s">
        <v>8810</v>
      </c>
      <c r="L2257" s="131" t="s">
        <v>100</v>
      </c>
      <c r="M2257" s="135" t="s">
        <v>845</v>
      </c>
      <c r="N2257" s="123" t="s">
        <v>845</v>
      </c>
    </row>
    <row r="2258" spans="2:14" hidden="1" x14ac:dyDescent="0.25">
      <c r="B2258" s="120">
        <v>2255</v>
      </c>
      <c r="C2258" s="123">
        <v>10438255783</v>
      </c>
      <c r="D2258" s="126" t="s">
        <v>8813</v>
      </c>
      <c r="E2258" s="126" t="s">
        <v>8814</v>
      </c>
      <c r="F2258" s="123" t="s">
        <v>30</v>
      </c>
      <c r="G2258" s="123" t="s">
        <v>30</v>
      </c>
      <c r="H2258" s="123" t="s">
        <v>79</v>
      </c>
      <c r="I2258" s="126" t="s">
        <v>1701</v>
      </c>
      <c r="J2258" s="123" t="s">
        <v>8815</v>
      </c>
      <c r="K2258" s="123" t="s">
        <v>8813</v>
      </c>
      <c r="L2258" s="131" t="s">
        <v>100</v>
      </c>
      <c r="M2258" s="135" t="s">
        <v>845</v>
      </c>
      <c r="N2258" s="123" t="s">
        <v>845</v>
      </c>
    </row>
    <row r="2259" spans="2:14" hidden="1" x14ac:dyDescent="0.25">
      <c r="B2259" s="120">
        <v>2256</v>
      </c>
      <c r="C2259" s="123">
        <v>10483986195</v>
      </c>
      <c r="D2259" s="126" t="s">
        <v>8816</v>
      </c>
      <c r="E2259" s="126" t="s">
        <v>8817</v>
      </c>
      <c r="F2259" s="123" t="s">
        <v>30</v>
      </c>
      <c r="G2259" s="123" t="s">
        <v>30</v>
      </c>
      <c r="H2259" s="123" t="s">
        <v>51</v>
      </c>
      <c r="I2259" s="126" t="s">
        <v>1701</v>
      </c>
      <c r="J2259" s="123" t="s">
        <v>8818</v>
      </c>
      <c r="K2259" s="123" t="s">
        <v>8816</v>
      </c>
      <c r="L2259" s="131" t="s">
        <v>100</v>
      </c>
      <c r="M2259" s="135" t="s">
        <v>845</v>
      </c>
      <c r="N2259" s="123" t="s">
        <v>845</v>
      </c>
    </row>
    <row r="2260" spans="2:14" hidden="1" x14ac:dyDescent="0.25">
      <c r="B2260" s="120">
        <v>2257</v>
      </c>
      <c r="C2260" s="123">
        <v>10430037698</v>
      </c>
      <c r="D2260" s="126" t="s">
        <v>8819</v>
      </c>
      <c r="E2260" s="126" t="s">
        <v>8820</v>
      </c>
      <c r="F2260" s="123" t="s">
        <v>30</v>
      </c>
      <c r="G2260" s="123" t="s">
        <v>30</v>
      </c>
      <c r="H2260" s="123" t="s">
        <v>75</v>
      </c>
      <c r="I2260" s="126" t="s">
        <v>1931</v>
      </c>
      <c r="J2260" s="123" t="s">
        <v>8821</v>
      </c>
      <c r="K2260" s="123" t="s">
        <v>8822</v>
      </c>
      <c r="L2260" s="131" t="s">
        <v>100</v>
      </c>
      <c r="M2260" s="135" t="s">
        <v>845</v>
      </c>
      <c r="N2260" s="123" t="s">
        <v>845</v>
      </c>
    </row>
    <row r="2261" spans="2:14" hidden="1" x14ac:dyDescent="0.25">
      <c r="B2261" s="120">
        <v>2258</v>
      </c>
      <c r="C2261" s="123">
        <v>10086908684</v>
      </c>
      <c r="D2261" s="126" t="s">
        <v>8823</v>
      </c>
      <c r="E2261" s="126" t="s">
        <v>8824</v>
      </c>
      <c r="F2261" s="123" t="s">
        <v>30</v>
      </c>
      <c r="G2261" s="123" t="s">
        <v>30</v>
      </c>
      <c r="H2261" s="123" t="s">
        <v>45</v>
      </c>
      <c r="I2261" s="126" t="s">
        <v>8825</v>
      </c>
      <c r="J2261" s="123" t="s">
        <v>8826</v>
      </c>
      <c r="K2261" s="123" t="s">
        <v>8823</v>
      </c>
      <c r="L2261" s="131" t="s">
        <v>100</v>
      </c>
      <c r="M2261" s="135" t="s">
        <v>845</v>
      </c>
      <c r="N2261" s="123" t="s">
        <v>845</v>
      </c>
    </row>
    <row r="2262" spans="2:14" hidden="1" x14ac:dyDescent="0.25">
      <c r="B2262" s="120">
        <v>2259</v>
      </c>
      <c r="C2262" s="123">
        <v>10407290408</v>
      </c>
      <c r="D2262" s="126" t="s">
        <v>8827</v>
      </c>
      <c r="E2262" s="126" t="s">
        <v>8828</v>
      </c>
      <c r="F2262" s="123" t="s">
        <v>67</v>
      </c>
      <c r="G2262" s="123" t="s">
        <v>67</v>
      </c>
      <c r="H2262" s="123" t="s">
        <v>94</v>
      </c>
      <c r="I2262" s="126" t="s">
        <v>87</v>
      </c>
      <c r="J2262" s="123" t="s">
        <v>8829</v>
      </c>
      <c r="K2262" s="123" t="s">
        <v>8830</v>
      </c>
      <c r="L2262" s="131" t="s">
        <v>100</v>
      </c>
      <c r="M2262" s="135" t="s">
        <v>845</v>
      </c>
      <c r="N2262" s="123" t="s">
        <v>845</v>
      </c>
    </row>
    <row r="2263" spans="2:14" hidden="1" x14ac:dyDescent="0.25">
      <c r="B2263" s="120">
        <v>2260</v>
      </c>
      <c r="C2263" s="123">
        <v>10105576221</v>
      </c>
      <c r="D2263" s="126" t="s">
        <v>8831</v>
      </c>
      <c r="E2263" s="126" t="s">
        <v>8832</v>
      </c>
      <c r="F2263" s="123" t="s">
        <v>30</v>
      </c>
      <c r="G2263" s="123" t="s">
        <v>30</v>
      </c>
      <c r="H2263" s="123" t="s">
        <v>38</v>
      </c>
      <c r="I2263" s="126" t="s">
        <v>104</v>
      </c>
      <c r="J2263" s="123" t="s">
        <v>8833</v>
      </c>
      <c r="K2263" s="123" t="s">
        <v>8831</v>
      </c>
      <c r="L2263" s="131" t="s">
        <v>100</v>
      </c>
      <c r="M2263" s="135" t="s">
        <v>845</v>
      </c>
      <c r="N2263" s="123" t="s">
        <v>845</v>
      </c>
    </row>
    <row r="2264" spans="2:14" hidden="1" x14ac:dyDescent="0.25">
      <c r="B2264" s="120">
        <v>2261</v>
      </c>
      <c r="C2264" s="123">
        <v>10426407863</v>
      </c>
      <c r="D2264" s="126" t="s">
        <v>8834</v>
      </c>
      <c r="E2264" s="126" t="s">
        <v>8835</v>
      </c>
      <c r="F2264" s="123" t="s">
        <v>30</v>
      </c>
      <c r="G2264" s="123" t="s">
        <v>30</v>
      </c>
      <c r="H2264" s="123" t="s">
        <v>52</v>
      </c>
      <c r="I2264" s="126" t="s">
        <v>1564</v>
      </c>
      <c r="J2264" s="123" t="s">
        <v>8836</v>
      </c>
      <c r="K2264" s="123" t="s">
        <v>8834</v>
      </c>
      <c r="L2264" s="131" t="s">
        <v>100</v>
      </c>
      <c r="M2264" s="135" t="s">
        <v>845</v>
      </c>
      <c r="N2264" s="123" t="s">
        <v>845</v>
      </c>
    </row>
    <row r="2265" spans="2:14" hidden="1" x14ac:dyDescent="0.25">
      <c r="B2265" s="120">
        <v>2262</v>
      </c>
      <c r="C2265" s="123">
        <v>10449540455</v>
      </c>
      <c r="D2265" s="126" t="s">
        <v>8837</v>
      </c>
      <c r="E2265" s="126" t="s">
        <v>8838</v>
      </c>
      <c r="F2265" s="123" t="s">
        <v>30</v>
      </c>
      <c r="G2265" s="123" t="s">
        <v>30</v>
      </c>
      <c r="H2265" s="123" t="s">
        <v>50</v>
      </c>
      <c r="I2265" s="126" t="s">
        <v>1701</v>
      </c>
      <c r="J2265" s="123" t="s">
        <v>8839</v>
      </c>
      <c r="K2265" s="123" t="s">
        <v>8837</v>
      </c>
      <c r="L2265" s="131" t="s">
        <v>100</v>
      </c>
      <c r="M2265" s="135" t="s">
        <v>845</v>
      </c>
      <c r="N2265" s="123" t="s">
        <v>845</v>
      </c>
    </row>
    <row r="2266" spans="2:14" hidden="1" x14ac:dyDescent="0.25">
      <c r="B2266" s="120">
        <v>2263</v>
      </c>
      <c r="C2266" s="123">
        <v>10405255575</v>
      </c>
      <c r="D2266" s="126" t="s">
        <v>8840</v>
      </c>
      <c r="E2266" s="126" t="s">
        <v>8841</v>
      </c>
      <c r="F2266" s="123" t="s">
        <v>30</v>
      </c>
      <c r="G2266" s="123" t="s">
        <v>30</v>
      </c>
      <c r="H2266" s="123" t="s">
        <v>88</v>
      </c>
      <c r="I2266" s="126" t="s">
        <v>1737</v>
      </c>
      <c r="J2266" s="123" t="s">
        <v>8842</v>
      </c>
      <c r="K2266" s="123" t="s">
        <v>8840</v>
      </c>
      <c r="L2266" s="131" t="s">
        <v>100</v>
      </c>
      <c r="M2266" s="135" t="s">
        <v>845</v>
      </c>
      <c r="N2266" s="123" t="s">
        <v>845</v>
      </c>
    </row>
    <row r="2267" spans="2:14" hidden="1" x14ac:dyDescent="0.25">
      <c r="B2267" s="120">
        <v>2264</v>
      </c>
      <c r="C2267" s="123">
        <v>10475071625</v>
      </c>
      <c r="D2267" s="126" t="s">
        <v>8843</v>
      </c>
      <c r="E2267" s="126" t="s">
        <v>8844</v>
      </c>
      <c r="F2267" s="123" t="s">
        <v>30</v>
      </c>
      <c r="G2267" s="123" t="s">
        <v>30</v>
      </c>
      <c r="H2267" s="123" t="s">
        <v>43</v>
      </c>
      <c r="I2267" s="126" t="s">
        <v>1209</v>
      </c>
      <c r="J2267" s="123" t="s">
        <v>8845</v>
      </c>
      <c r="K2267" s="123" t="s">
        <v>8843</v>
      </c>
      <c r="L2267" s="131" t="s">
        <v>100</v>
      </c>
      <c r="M2267" s="135" t="s">
        <v>845</v>
      </c>
      <c r="N2267" s="123" t="s">
        <v>845</v>
      </c>
    </row>
    <row r="2268" spans="2:14" hidden="1" x14ac:dyDescent="0.25">
      <c r="B2268" s="120">
        <v>2265</v>
      </c>
      <c r="C2268" s="123">
        <v>10704220834</v>
      </c>
      <c r="D2268" s="126" t="s">
        <v>8846</v>
      </c>
      <c r="E2268" s="126" t="s">
        <v>8847</v>
      </c>
      <c r="F2268" s="123" t="s">
        <v>30</v>
      </c>
      <c r="G2268" s="123" t="s">
        <v>30</v>
      </c>
      <c r="H2268" s="123" t="s">
        <v>45</v>
      </c>
      <c r="I2268" s="126" t="s">
        <v>8659</v>
      </c>
      <c r="J2268" s="123" t="s">
        <v>8848</v>
      </c>
      <c r="K2268" s="123" t="s">
        <v>8846</v>
      </c>
      <c r="L2268" s="131" t="s">
        <v>100</v>
      </c>
      <c r="M2268" s="135" t="s">
        <v>845</v>
      </c>
      <c r="N2268" s="123" t="s">
        <v>845</v>
      </c>
    </row>
    <row r="2269" spans="2:14" hidden="1" x14ac:dyDescent="0.25">
      <c r="B2269" s="120">
        <v>2266</v>
      </c>
      <c r="C2269" s="123">
        <v>10714408971</v>
      </c>
      <c r="D2269" s="126" t="s">
        <v>8849</v>
      </c>
      <c r="E2269" s="126" t="s">
        <v>8850</v>
      </c>
      <c r="F2269" s="123" t="s">
        <v>30</v>
      </c>
      <c r="G2269" s="123" t="s">
        <v>30</v>
      </c>
      <c r="H2269" s="123" t="s">
        <v>41</v>
      </c>
      <c r="I2269" s="126" t="s">
        <v>1424</v>
      </c>
      <c r="J2269" s="123" t="s">
        <v>8851</v>
      </c>
      <c r="K2269" s="123" t="s">
        <v>8849</v>
      </c>
      <c r="L2269" s="131" t="s">
        <v>100</v>
      </c>
      <c r="M2269" s="135" t="s">
        <v>845</v>
      </c>
      <c r="N2269" s="123" t="s">
        <v>845</v>
      </c>
    </row>
    <row r="2270" spans="2:14" hidden="1" x14ac:dyDescent="0.25">
      <c r="B2270" s="120">
        <v>2267</v>
      </c>
      <c r="C2270" s="123">
        <v>10440441560</v>
      </c>
      <c r="D2270" s="126" t="s">
        <v>8852</v>
      </c>
      <c r="E2270" s="126" t="s">
        <v>8853</v>
      </c>
      <c r="F2270" s="123" t="s">
        <v>30</v>
      </c>
      <c r="G2270" s="123" t="s">
        <v>30</v>
      </c>
      <c r="H2270" s="123" t="s">
        <v>68</v>
      </c>
      <c r="I2270" s="126" t="s">
        <v>101</v>
      </c>
      <c r="J2270" s="123" t="s">
        <v>8854</v>
      </c>
      <c r="K2270" s="123" t="s">
        <v>8852</v>
      </c>
      <c r="L2270" s="131" t="s">
        <v>100</v>
      </c>
      <c r="M2270" s="135" t="s">
        <v>845</v>
      </c>
      <c r="N2270" s="123" t="s">
        <v>845</v>
      </c>
    </row>
    <row r="2271" spans="2:14" hidden="1" x14ac:dyDescent="0.25">
      <c r="B2271" s="120">
        <v>2268</v>
      </c>
      <c r="C2271" s="123">
        <v>10429726102</v>
      </c>
      <c r="D2271" s="126" t="s">
        <v>8855</v>
      </c>
      <c r="E2271" s="126" t="s">
        <v>8856</v>
      </c>
      <c r="F2271" s="123" t="s">
        <v>30</v>
      </c>
      <c r="G2271" s="123" t="s">
        <v>30</v>
      </c>
      <c r="H2271" s="123" t="s">
        <v>45</v>
      </c>
      <c r="I2271" s="126" t="s">
        <v>1701</v>
      </c>
      <c r="J2271" s="123" t="s">
        <v>8857</v>
      </c>
      <c r="K2271" s="123" t="s">
        <v>8855</v>
      </c>
      <c r="L2271" s="131" t="s">
        <v>100</v>
      </c>
      <c r="M2271" s="135" t="s">
        <v>845</v>
      </c>
      <c r="N2271" s="123" t="s">
        <v>845</v>
      </c>
    </row>
    <row r="2272" spans="2:14" hidden="1" x14ac:dyDescent="0.25">
      <c r="B2272" s="120">
        <v>2269</v>
      </c>
      <c r="C2272" s="123">
        <v>10486501923</v>
      </c>
      <c r="D2272" s="126" t="s">
        <v>8858</v>
      </c>
      <c r="E2272" s="126" t="s">
        <v>8859</v>
      </c>
      <c r="F2272" s="123" t="s">
        <v>30</v>
      </c>
      <c r="G2272" s="123" t="s">
        <v>30</v>
      </c>
      <c r="H2272" s="123" t="s">
        <v>75</v>
      </c>
      <c r="I2272" s="126" t="s">
        <v>1930</v>
      </c>
      <c r="J2272" s="123" t="s">
        <v>8860</v>
      </c>
      <c r="K2272" s="123" t="s">
        <v>8858</v>
      </c>
      <c r="L2272" s="131" t="s">
        <v>100</v>
      </c>
      <c r="M2272" s="135" t="s">
        <v>845</v>
      </c>
      <c r="N2272" s="123" t="s">
        <v>845</v>
      </c>
    </row>
    <row r="2273" spans="2:14" hidden="1" x14ac:dyDescent="0.25">
      <c r="B2273" s="120">
        <v>2270</v>
      </c>
      <c r="C2273" s="123">
        <v>10427738961</v>
      </c>
      <c r="D2273" s="126" t="s">
        <v>8861</v>
      </c>
      <c r="E2273" s="126" t="s">
        <v>8862</v>
      </c>
      <c r="F2273" s="123" t="s">
        <v>30</v>
      </c>
      <c r="G2273" s="123" t="s">
        <v>170</v>
      </c>
      <c r="H2273" s="123" t="s">
        <v>171</v>
      </c>
      <c r="I2273" s="126" t="s">
        <v>1933</v>
      </c>
      <c r="J2273" s="123" t="s">
        <v>8863</v>
      </c>
      <c r="K2273" s="123" t="s">
        <v>8861</v>
      </c>
      <c r="L2273" s="131" t="s">
        <v>100</v>
      </c>
      <c r="M2273" s="135" t="s">
        <v>845</v>
      </c>
      <c r="N2273" s="123" t="s">
        <v>845</v>
      </c>
    </row>
    <row r="2274" spans="2:14" hidden="1" x14ac:dyDescent="0.25">
      <c r="B2274" s="120">
        <v>2271</v>
      </c>
      <c r="C2274" s="123">
        <v>10456460751</v>
      </c>
      <c r="D2274" s="126" t="s">
        <v>8864</v>
      </c>
      <c r="E2274" s="126" t="s">
        <v>8865</v>
      </c>
      <c r="F2274" s="123" t="s">
        <v>30</v>
      </c>
      <c r="G2274" s="123" t="s">
        <v>30</v>
      </c>
      <c r="H2274" s="123" t="s">
        <v>127</v>
      </c>
      <c r="I2274" s="126" t="s">
        <v>1934</v>
      </c>
      <c r="J2274" s="123" t="s">
        <v>8866</v>
      </c>
      <c r="K2274" s="123" t="s">
        <v>8864</v>
      </c>
      <c r="L2274" s="131" t="s">
        <v>100</v>
      </c>
      <c r="M2274" s="135" t="s">
        <v>845</v>
      </c>
      <c r="N2274" s="123" t="s">
        <v>845</v>
      </c>
    </row>
    <row r="2275" spans="2:14" hidden="1" x14ac:dyDescent="0.25">
      <c r="B2275" s="120">
        <v>2272</v>
      </c>
      <c r="C2275" s="123">
        <v>10047455800</v>
      </c>
      <c r="D2275" s="126" t="s">
        <v>8867</v>
      </c>
      <c r="E2275" s="126" t="s">
        <v>8868</v>
      </c>
      <c r="F2275" s="123" t="s">
        <v>30</v>
      </c>
      <c r="G2275" s="123" t="s">
        <v>30</v>
      </c>
      <c r="H2275" s="123" t="s">
        <v>41</v>
      </c>
      <c r="I2275" s="126" t="s">
        <v>1701</v>
      </c>
      <c r="J2275" s="123" t="s">
        <v>8869</v>
      </c>
      <c r="K2275" s="123" t="s">
        <v>8867</v>
      </c>
      <c r="L2275" s="131" t="s">
        <v>100</v>
      </c>
      <c r="M2275" s="135" t="s">
        <v>845</v>
      </c>
      <c r="N2275" s="123" t="s">
        <v>845</v>
      </c>
    </row>
    <row r="2276" spans="2:14" hidden="1" x14ac:dyDescent="0.25">
      <c r="B2276" s="120">
        <v>2273</v>
      </c>
      <c r="C2276" s="123">
        <v>10430387290</v>
      </c>
      <c r="D2276" s="126" t="s">
        <v>8870</v>
      </c>
      <c r="E2276" s="126" t="s">
        <v>8871</v>
      </c>
      <c r="F2276" s="123" t="s">
        <v>30</v>
      </c>
      <c r="G2276" s="123" t="s">
        <v>30</v>
      </c>
      <c r="H2276" s="123" t="s">
        <v>88</v>
      </c>
      <c r="I2276" s="126" t="s">
        <v>1737</v>
      </c>
      <c r="J2276" s="123" t="s">
        <v>8872</v>
      </c>
      <c r="K2276" s="123" t="s">
        <v>8870</v>
      </c>
      <c r="L2276" s="131" t="s">
        <v>100</v>
      </c>
      <c r="M2276" s="135" t="s">
        <v>845</v>
      </c>
      <c r="N2276" s="123" t="s">
        <v>845</v>
      </c>
    </row>
    <row r="2277" spans="2:14" hidden="1" x14ac:dyDescent="0.25">
      <c r="B2277" s="120">
        <v>2274</v>
      </c>
      <c r="C2277" s="123">
        <v>10482635976</v>
      </c>
      <c r="D2277" s="126" t="s">
        <v>8873</v>
      </c>
      <c r="E2277" s="126" t="s">
        <v>8874</v>
      </c>
      <c r="F2277" s="123" t="s">
        <v>30</v>
      </c>
      <c r="G2277" s="123" t="s">
        <v>30</v>
      </c>
      <c r="H2277" s="123" t="s">
        <v>110</v>
      </c>
      <c r="I2277" s="126" t="s">
        <v>1424</v>
      </c>
      <c r="J2277" s="123" t="s">
        <v>8875</v>
      </c>
      <c r="K2277" s="123" t="s">
        <v>8873</v>
      </c>
      <c r="L2277" s="131" t="s">
        <v>100</v>
      </c>
      <c r="M2277" s="135" t="s">
        <v>845</v>
      </c>
      <c r="N2277" s="123" t="s">
        <v>845</v>
      </c>
    </row>
    <row r="2278" spans="2:14" hidden="1" x14ac:dyDescent="0.25">
      <c r="B2278" s="120">
        <v>2275</v>
      </c>
      <c r="C2278" s="123">
        <v>10735269602</v>
      </c>
      <c r="D2278" s="126" t="s">
        <v>8876</v>
      </c>
      <c r="E2278" s="126" t="s">
        <v>8877</v>
      </c>
      <c r="F2278" s="123" t="s">
        <v>30</v>
      </c>
      <c r="G2278" s="123" t="s">
        <v>30</v>
      </c>
      <c r="H2278" s="123" t="s">
        <v>41</v>
      </c>
      <c r="I2278" s="126" t="s">
        <v>1960</v>
      </c>
      <c r="J2278" s="123" t="s">
        <v>8878</v>
      </c>
      <c r="K2278" s="123" t="s">
        <v>8876</v>
      </c>
      <c r="L2278" s="131" t="s">
        <v>100</v>
      </c>
      <c r="M2278" s="135" t="s">
        <v>845</v>
      </c>
      <c r="N2278" s="123" t="s">
        <v>845</v>
      </c>
    </row>
    <row r="2279" spans="2:14" hidden="1" x14ac:dyDescent="0.25">
      <c r="B2279" s="120">
        <v>2276</v>
      </c>
      <c r="C2279" s="123">
        <v>10436332004</v>
      </c>
      <c r="D2279" s="126" t="s">
        <v>8879</v>
      </c>
      <c r="E2279" s="126" t="s">
        <v>8880</v>
      </c>
      <c r="F2279" s="123" t="s">
        <v>30</v>
      </c>
      <c r="G2279" s="123" t="s">
        <v>30</v>
      </c>
      <c r="H2279" s="123" t="s">
        <v>51</v>
      </c>
      <c r="I2279" s="126" t="s">
        <v>1701</v>
      </c>
      <c r="J2279" s="123" t="s">
        <v>8881</v>
      </c>
      <c r="K2279" s="123" t="s">
        <v>8879</v>
      </c>
      <c r="L2279" s="131" t="s">
        <v>100</v>
      </c>
      <c r="M2279" s="135" t="s">
        <v>845</v>
      </c>
      <c r="N2279" s="123" t="s">
        <v>845</v>
      </c>
    </row>
    <row r="2280" spans="2:14" hidden="1" x14ac:dyDescent="0.25">
      <c r="B2280" s="120">
        <v>2277</v>
      </c>
      <c r="C2280" s="123">
        <v>10099730426</v>
      </c>
      <c r="D2280" s="126" t="s">
        <v>8882</v>
      </c>
      <c r="E2280" s="126" t="s">
        <v>8883</v>
      </c>
      <c r="F2280" s="123" t="s">
        <v>30</v>
      </c>
      <c r="G2280" s="123" t="s">
        <v>30</v>
      </c>
      <c r="H2280" s="123" t="s">
        <v>50</v>
      </c>
      <c r="I2280" s="126" t="s">
        <v>8884</v>
      </c>
      <c r="J2280" s="123" t="s">
        <v>8885</v>
      </c>
      <c r="K2280" s="123" t="s">
        <v>8882</v>
      </c>
      <c r="L2280" s="131" t="s">
        <v>100</v>
      </c>
      <c r="M2280" s="135" t="s">
        <v>845</v>
      </c>
      <c r="N2280" s="123" t="s">
        <v>845</v>
      </c>
    </row>
    <row r="2281" spans="2:14" hidden="1" x14ac:dyDescent="0.25">
      <c r="B2281" s="120">
        <v>2278</v>
      </c>
      <c r="C2281" s="123">
        <v>10420458504</v>
      </c>
      <c r="D2281" s="126" t="s">
        <v>8886</v>
      </c>
      <c r="E2281" s="126" t="s">
        <v>8887</v>
      </c>
      <c r="F2281" s="123" t="s">
        <v>30</v>
      </c>
      <c r="G2281" s="123" t="s">
        <v>30</v>
      </c>
      <c r="H2281" s="123" t="s">
        <v>37</v>
      </c>
      <c r="I2281" s="126" t="s">
        <v>1564</v>
      </c>
      <c r="J2281" s="123" t="s">
        <v>8888</v>
      </c>
      <c r="K2281" s="123" t="s">
        <v>8886</v>
      </c>
      <c r="L2281" s="131" t="s">
        <v>100</v>
      </c>
      <c r="M2281" s="135" t="s">
        <v>845</v>
      </c>
      <c r="N2281" s="123" t="s">
        <v>845</v>
      </c>
    </row>
    <row r="2282" spans="2:14" hidden="1" x14ac:dyDescent="0.25">
      <c r="B2282" s="120">
        <v>2279</v>
      </c>
      <c r="C2282" s="123">
        <v>10258542105</v>
      </c>
      <c r="D2282" s="126" t="s">
        <v>8889</v>
      </c>
      <c r="E2282" s="126" t="s">
        <v>8890</v>
      </c>
      <c r="F2282" s="123" t="s">
        <v>30</v>
      </c>
      <c r="G2282" s="123" t="s">
        <v>30</v>
      </c>
      <c r="H2282" s="123" t="s">
        <v>45</v>
      </c>
      <c r="I2282" s="126" t="s">
        <v>1701</v>
      </c>
      <c r="J2282" s="123" t="s">
        <v>8891</v>
      </c>
      <c r="K2282" s="123" t="s">
        <v>8892</v>
      </c>
      <c r="L2282" s="131" t="s">
        <v>100</v>
      </c>
      <c r="M2282" s="135" t="s">
        <v>845</v>
      </c>
      <c r="N2282" s="123" t="s">
        <v>845</v>
      </c>
    </row>
    <row r="2283" spans="2:14" hidden="1" x14ac:dyDescent="0.25">
      <c r="B2283" s="120">
        <v>2280</v>
      </c>
      <c r="C2283" s="123">
        <v>10104238730</v>
      </c>
      <c r="D2283" s="126" t="s">
        <v>8893</v>
      </c>
      <c r="E2283" s="126" t="s">
        <v>8894</v>
      </c>
      <c r="F2283" s="123" t="s">
        <v>30</v>
      </c>
      <c r="G2283" s="123" t="s">
        <v>30</v>
      </c>
      <c r="H2283" s="123" t="s">
        <v>60</v>
      </c>
      <c r="I2283" s="126" t="s">
        <v>1424</v>
      </c>
      <c r="J2283" s="123">
        <v>10423873</v>
      </c>
      <c r="K2283" s="123" t="s">
        <v>8893</v>
      </c>
      <c r="L2283" s="131" t="s">
        <v>100</v>
      </c>
      <c r="M2283" s="135" t="s">
        <v>845</v>
      </c>
      <c r="N2283" s="123" t="s">
        <v>845</v>
      </c>
    </row>
    <row r="2284" spans="2:14" hidden="1" x14ac:dyDescent="0.25">
      <c r="B2284" s="120">
        <v>2281</v>
      </c>
      <c r="C2284" s="123">
        <v>10407466158</v>
      </c>
      <c r="D2284" s="126" t="s">
        <v>8895</v>
      </c>
      <c r="E2284" s="126" t="s">
        <v>8896</v>
      </c>
      <c r="F2284" s="123" t="s">
        <v>30</v>
      </c>
      <c r="G2284" s="123" t="s">
        <v>170</v>
      </c>
      <c r="H2284" s="123" t="s">
        <v>171</v>
      </c>
      <c r="I2284" s="126" t="s">
        <v>8897</v>
      </c>
      <c r="J2284" s="123" t="s">
        <v>8898</v>
      </c>
      <c r="K2284" s="123" t="s">
        <v>8895</v>
      </c>
      <c r="L2284" s="131" t="s">
        <v>100</v>
      </c>
      <c r="M2284" s="135" t="s">
        <v>845</v>
      </c>
      <c r="N2284" s="123" t="s">
        <v>845</v>
      </c>
    </row>
    <row r="2285" spans="2:14" hidden="1" x14ac:dyDescent="0.25">
      <c r="B2285" s="120">
        <v>2282</v>
      </c>
      <c r="C2285" s="123">
        <v>10421710096</v>
      </c>
      <c r="D2285" s="126" t="s">
        <v>8899</v>
      </c>
      <c r="E2285" s="126" t="s">
        <v>8900</v>
      </c>
      <c r="F2285" s="123" t="s">
        <v>30</v>
      </c>
      <c r="G2285" s="123" t="s">
        <v>30</v>
      </c>
      <c r="H2285" s="123" t="s">
        <v>75</v>
      </c>
      <c r="I2285" s="126" t="s">
        <v>1979</v>
      </c>
      <c r="J2285" s="123" t="s">
        <v>8901</v>
      </c>
      <c r="K2285" s="123" t="s">
        <v>8899</v>
      </c>
      <c r="L2285" s="131" t="s">
        <v>100</v>
      </c>
      <c r="M2285" s="135" t="s">
        <v>845</v>
      </c>
      <c r="N2285" s="123" t="s">
        <v>845</v>
      </c>
    </row>
    <row r="2286" spans="2:14" hidden="1" x14ac:dyDescent="0.25">
      <c r="B2286" s="120">
        <v>2283</v>
      </c>
      <c r="C2286" s="123">
        <v>10413219596</v>
      </c>
      <c r="D2286" s="126" t="s">
        <v>8902</v>
      </c>
      <c r="E2286" s="126" t="s">
        <v>8903</v>
      </c>
      <c r="F2286" s="123" t="s">
        <v>30</v>
      </c>
      <c r="G2286" s="123" t="s">
        <v>170</v>
      </c>
      <c r="H2286" s="123" t="s">
        <v>174</v>
      </c>
      <c r="I2286" s="126" t="s">
        <v>1939</v>
      </c>
      <c r="J2286" s="123" t="s">
        <v>8904</v>
      </c>
      <c r="K2286" s="123" t="s">
        <v>8902</v>
      </c>
      <c r="L2286" s="131" t="s">
        <v>100</v>
      </c>
      <c r="M2286" s="135" t="s">
        <v>845</v>
      </c>
      <c r="N2286" s="123" t="s">
        <v>845</v>
      </c>
    </row>
    <row r="2287" spans="2:14" hidden="1" x14ac:dyDescent="0.25">
      <c r="B2287" s="120">
        <v>2284</v>
      </c>
      <c r="C2287" s="123">
        <v>10084864451</v>
      </c>
      <c r="D2287" s="126" t="s">
        <v>8905</v>
      </c>
      <c r="E2287" s="126" t="s">
        <v>8906</v>
      </c>
      <c r="F2287" s="123" t="s">
        <v>30</v>
      </c>
      <c r="G2287" s="123" t="s">
        <v>30</v>
      </c>
      <c r="H2287" s="123" t="s">
        <v>72</v>
      </c>
      <c r="I2287" s="126" t="s">
        <v>1931</v>
      </c>
      <c r="J2287" s="123" t="s">
        <v>8907</v>
      </c>
      <c r="K2287" s="123" t="s">
        <v>8905</v>
      </c>
      <c r="L2287" s="131" t="s">
        <v>100</v>
      </c>
      <c r="M2287" s="135" t="s">
        <v>845</v>
      </c>
      <c r="N2287" s="123" t="s">
        <v>845</v>
      </c>
    </row>
    <row r="2288" spans="2:14" hidden="1" x14ac:dyDescent="0.25">
      <c r="B2288" s="120">
        <v>2285</v>
      </c>
      <c r="C2288" s="123">
        <v>10160018475</v>
      </c>
      <c r="D2288" s="126" t="s">
        <v>8908</v>
      </c>
      <c r="E2288" s="126" t="s">
        <v>8909</v>
      </c>
      <c r="F2288" s="123" t="s">
        <v>30</v>
      </c>
      <c r="G2288" s="123" t="s">
        <v>54</v>
      </c>
      <c r="H2288" s="123" t="s">
        <v>117</v>
      </c>
      <c r="I2288" s="126" t="s">
        <v>1935</v>
      </c>
      <c r="J2288" s="123" t="s">
        <v>8910</v>
      </c>
      <c r="K2288" s="123" t="s">
        <v>8908</v>
      </c>
      <c r="L2288" s="131" t="s">
        <v>100</v>
      </c>
      <c r="M2288" s="135" t="s">
        <v>845</v>
      </c>
      <c r="N2288" s="123" t="s">
        <v>845</v>
      </c>
    </row>
    <row r="2289" spans="2:14" hidden="1" x14ac:dyDescent="0.25">
      <c r="B2289" s="120">
        <v>2286</v>
      </c>
      <c r="C2289" s="123">
        <v>10749257721</v>
      </c>
      <c r="D2289" s="126" t="s">
        <v>8911</v>
      </c>
      <c r="E2289" s="126" t="s">
        <v>8912</v>
      </c>
      <c r="F2289" s="123" t="s">
        <v>30</v>
      </c>
      <c r="G2289" s="123" t="s">
        <v>30</v>
      </c>
      <c r="H2289" s="123" t="s">
        <v>51</v>
      </c>
      <c r="I2289" s="126" t="s">
        <v>1499</v>
      </c>
      <c r="J2289" s="123" t="s">
        <v>8913</v>
      </c>
      <c r="K2289" s="123" t="s">
        <v>8914</v>
      </c>
      <c r="L2289" s="131" t="s">
        <v>100</v>
      </c>
      <c r="M2289" s="135" t="s">
        <v>845</v>
      </c>
      <c r="N2289" s="123" t="s">
        <v>845</v>
      </c>
    </row>
    <row r="2290" spans="2:14" hidden="1" x14ac:dyDescent="0.25">
      <c r="B2290" s="120">
        <v>2287</v>
      </c>
      <c r="C2290" s="123">
        <v>10483745317</v>
      </c>
      <c r="D2290" s="126" t="s">
        <v>8915</v>
      </c>
      <c r="E2290" s="126" t="s">
        <v>8916</v>
      </c>
      <c r="F2290" s="123" t="s">
        <v>30</v>
      </c>
      <c r="G2290" s="123" t="s">
        <v>30</v>
      </c>
      <c r="H2290" s="123" t="s">
        <v>72</v>
      </c>
      <c r="I2290" s="126" t="s">
        <v>1939</v>
      </c>
      <c r="J2290" s="123" t="s">
        <v>8917</v>
      </c>
      <c r="K2290" s="123" t="s">
        <v>8918</v>
      </c>
      <c r="L2290" s="131" t="s">
        <v>100</v>
      </c>
      <c r="M2290" s="135" t="s">
        <v>845</v>
      </c>
      <c r="N2290" s="123" t="s">
        <v>845</v>
      </c>
    </row>
    <row r="2291" spans="2:14" hidden="1" x14ac:dyDescent="0.25">
      <c r="B2291" s="120">
        <v>2288</v>
      </c>
      <c r="C2291" s="123">
        <v>10215538805</v>
      </c>
      <c r="D2291" s="126" t="s">
        <v>8919</v>
      </c>
      <c r="E2291" s="126" t="s">
        <v>8920</v>
      </c>
      <c r="F2291" s="123" t="s">
        <v>8921</v>
      </c>
      <c r="G2291" s="123" t="s">
        <v>8922</v>
      </c>
      <c r="H2291" s="123" t="s">
        <v>8923</v>
      </c>
      <c r="I2291" s="126" t="s">
        <v>1706</v>
      </c>
      <c r="J2291" s="123" t="s">
        <v>8924</v>
      </c>
      <c r="K2291" s="123" t="s">
        <v>8925</v>
      </c>
      <c r="L2291" s="131" t="s">
        <v>100</v>
      </c>
      <c r="M2291" s="135" t="s">
        <v>845</v>
      </c>
      <c r="N2291" s="123" t="s">
        <v>845</v>
      </c>
    </row>
    <row r="2292" spans="2:14" hidden="1" x14ac:dyDescent="0.25">
      <c r="B2292" s="120">
        <v>2289</v>
      </c>
      <c r="C2292" s="123">
        <v>10738794767</v>
      </c>
      <c r="D2292" s="126" t="s">
        <v>8926</v>
      </c>
      <c r="E2292" s="126" t="s">
        <v>8927</v>
      </c>
      <c r="F2292" s="123" t="s">
        <v>30</v>
      </c>
      <c r="G2292" s="123" t="s">
        <v>31</v>
      </c>
      <c r="H2292" s="123" t="s">
        <v>139</v>
      </c>
      <c r="I2292" s="126" t="s">
        <v>1424</v>
      </c>
      <c r="J2292" s="123" t="s">
        <v>8928</v>
      </c>
      <c r="K2292" s="123" t="s">
        <v>8926</v>
      </c>
      <c r="L2292" s="131" t="s">
        <v>100</v>
      </c>
      <c r="M2292" s="135" t="s">
        <v>845</v>
      </c>
      <c r="N2292" s="123" t="s">
        <v>845</v>
      </c>
    </row>
    <row r="2293" spans="2:14" hidden="1" x14ac:dyDescent="0.25">
      <c r="B2293" s="120">
        <v>2290</v>
      </c>
      <c r="C2293" s="123">
        <v>10750469618</v>
      </c>
      <c r="D2293" s="126" t="s">
        <v>8929</v>
      </c>
      <c r="E2293" s="126" t="s">
        <v>8930</v>
      </c>
      <c r="F2293" s="123" t="s">
        <v>30</v>
      </c>
      <c r="G2293" s="123" t="s">
        <v>30</v>
      </c>
      <c r="H2293" s="123" t="s">
        <v>127</v>
      </c>
      <c r="I2293" s="126" t="s">
        <v>1949</v>
      </c>
      <c r="J2293" s="123" t="s">
        <v>8931</v>
      </c>
      <c r="K2293" s="123" t="s">
        <v>8929</v>
      </c>
      <c r="L2293" s="131" t="s">
        <v>100</v>
      </c>
      <c r="M2293" s="135" t="s">
        <v>845</v>
      </c>
      <c r="N2293" s="123" t="s">
        <v>845</v>
      </c>
    </row>
    <row r="2294" spans="2:14" hidden="1" x14ac:dyDescent="0.25">
      <c r="B2294" s="120">
        <v>2291</v>
      </c>
      <c r="C2294" s="123">
        <v>10406394382</v>
      </c>
      <c r="D2294" s="126" t="s">
        <v>8932</v>
      </c>
      <c r="E2294" s="126" t="s">
        <v>8933</v>
      </c>
      <c r="F2294" s="123" t="s">
        <v>30</v>
      </c>
      <c r="G2294" s="123" t="s">
        <v>30</v>
      </c>
      <c r="H2294" s="123" t="s">
        <v>280</v>
      </c>
      <c r="I2294" s="126" t="s">
        <v>8934</v>
      </c>
      <c r="J2294" s="123" t="s">
        <v>8935</v>
      </c>
      <c r="K2294" s="123" t="s">
        <v>8936</v>
      </c>
      <c r="L2294" s="131" t="s">
        <v>100</v>
      </c>
      <c r="M2294" s="135" t="s">
        <v>845</v>
      </c>
      <c r="N2294" s="123" t="s">
        <v>845</v>
      </c>
    </row>
    <row r="2295" spans="2:14" hidden="1" x14ac:dyDescent="0.25">
      <c r="B2295" s="120">
        <v>2292</v>
      </c>
      <c r="C2295" s="123">
        <v>10436838391</v>
      </c>
      <c r="D2295" s="126" t="s">
        <v>8937</v>
      </c>
      <c r="E2295" s="126" t="s">
        <v>8938</v>
      </c>
      <c r="F2295" s="123" t="s">
        <v>30</v>
      </c>
      <c r="G2295" s="123" t="s">
        <v>30</v>
      </c>
      <c r="H2295" s="123" t="s">
        <v>51</v>
      </c>
      <c r="I2295" s="126" t="s">
        <v>1643</v>
      </c>
      <c r="J2295" s="123" t="s">
        <v>8939</v>
      </c>
      <c r="K2295" s="123" t="s">
        <v>8940</v>
      </c>
      <c r="L2295" s="131" t="s">
        <v>100</v>
      </c>
      <c r="M2295" s="135" t="s">
        <v>845</v>
      </c>
      <c r="N2295" s="123" t="s">
        <v>845</v>
      </c>
    </row>
    <row r="2296" spans="2:14" hidden="1" x14ac:dyDescent="0.25">
      <c r="B2296" s="120">
        <v>2293</v>
      </c>
      <c r="C2296" s="123">
        <v>10154043425</v>
      </c>
      <c r="D2296" s="126" t="s">
        <v>8941</v>
      </c>
      <c r="E2296" s="126" t="s">
        <v>8942</v>
      </c>
      <c r="F2296" s="123" t="s">
        <v>30</v>
      </c>
      <c r="G2296" s="123" t="s">
        <v>31</v>
      </c>
      <c r="H2296" s="123" t="s">
        <v>150</v>
      </c>
      <c r="I2296" s="126" t="s">
        <v>1551</v>
      </c>
      <c r="J2296" s="123" t="s">
        <v>8943</v>
      </c>
      <c r="K2296" s="123" t="s">
        <v>8941</v>
      </c>
      <c r="L2296" s="131" t="s">
        <v>100</v>
      </c>
      <c r="M2296" s="135" t="s">
        <v>845</v>
      </c>
      <c r="N2296" s="123" t="s">
        <v>845</v>
      </c>
    </row>
    <row r="2297" spans="2:14" hidden="1" x14ac:dyDescent="0.25">
      <c r="B2297" s="120">
        <v>2294</v>
      </c>
      <c r="C2297" s="123">
        <v>10471336641</v>
      </c>
      <c r="D2297" s="126" t="s">
        <v>8944</v>
      </c>
      <c r="E2297" s="126" t="s">
        <v>8945</v>
      </c>
      <c r="F2297" s="123" t="s">
        <v>67</v>
      </c>
      <c r="G2297" s="123" t="s">
        <v>67</v>
      </c>
      <c r="H2297" s="123" t="s">
        <v>67</v>
      </c>
      <c r="I2297" s="126" t="s">
        <v>1701</v>
      </c>
      <c r="J2297" s="123" t="s">
        <v>8946</v>
      </c>
      <c r="K2297" s="123" t="s">
        <v>8944</v>
      </c>
      <c r="L2297" s="131" t="s">
        <v>100</v>
      </c>
      <c r="M2297" s="135" t="s">
        <v>845</v>
      </c>
      <c r="N2297" s="123" t="s">
        <v>845</v>
      </c>
    </row>
    <row r="2298" spans="2:14" hidden="1" x14ac:dyDescent="0.25">
      <c r="B2298" s="120">
        <v>2295</v>
      </c>
      <c r="C2298" s="123">
        <v>10483201180</v>
      </c>
      <c r="D2298" s="126" t="s">
        <v>8947</v>
      </c>
      <c r="E2298" s="126" t="s">
        <v>8948</v>
      </c>
      <c r="F2298" s="123" t="s">
        <v>30</v>
      </c>
      <c r="G2298" s="123" t="s">
        <v>30</v>
      </c>
      <c r="H2298" s="123" t="s">
        <v>43</v>
      </c>
      <c r="I2298" s="126" t="s">
        <v>1937</v>
      </c>
      <c r="J2298" s="123" t="s">
        <v>8949</v>
      </c>
      <c r="K2298" s="123" t="s">
        <v>8947</v>
      </c>
      <c r="L2298" s="131" t="s">
        <v>100</v>
      </c>
      <c r="M2298" s="135" t="s">
        <v>845</v>
      </c>
      <c r="N2298" s="123" t="s">
        <v>845</v>
      </c>
    </row>
    <row r="2299" spans="2:14" hidden="1" x14ac:dyDescent="0.25">
      <c r="B2299" s="120">
        <v>2296</v>
      </c>
      <c r="C2299" s="123">
        <v>10478245659</v>
      </c>
      <c r="D2299" s="126" t="s">
        <v>8950</v>
      </c>
      <c r="E2299" s="126" t="s">
        <v>8951</v>
      </c>
      <c r="F2299" s="123" t="s">
        <v>30</v>
      </c>
      <c r="G2299" s="123" t="s">
        <v>30</v>
      </c>
      <c r="H2299" s="123" t="s">
        <v>58</v>
      </c>
      <c r="I2299" s="126" t="s">
        <v>1931</v>
      </c>
      <c r="J2299" s="123" t="s">
        <v>8952</v>
      </c>
      <c r="K2299" s="123" t="s">
        <v>8950</v>
      </c>
      <c r="L2299" s="131" t="s">
        <v>100</v>
      </c>
      <c r="M2299" s="135" t="s">
        <v>845</v>
      </c>
      <c r="N2299" s="123" t="s">
        <v>845</v>
      </c>
    </row>
    <row r="2300" spans="2:14" hidden="1" x14ac:dyDescent="0.25">
      <c r="B2300" s="120">
        <v>2297</v>
      </c>
      <c r="C2300" s="123">
        <v>10329338857</v>
      </c>
      <c r="D2300" s="126" t="s">
        <v>8953</v>
      </c>
      <c r="E2300" s="126" t="s">
        <v>8954</v>
      </c>
      <c r="F2300" s="123" t="s">
        <v>30</v>
      </c>
      <c r="G2300" s="123" t="s">
        <v>30</v>
      </c>
      <c r="H2300" s="123" t="s">
        <v>52</v>
      </c>
      <c r="I2300" s="126" t="s">
        <v>8955</v>
      </c>
      <c r="J2300" s="123" t="s">
        <v>8956</v>
      </c>
      <c r="K2300" s="123" t="s">
        <v>8953</v>
      </c>
      <c r="L2300" s="131" t="s">
        <v>100</v>
      </c>
      <c r="M2300" s="135" t="s">
        <v>845</v>
      </c>
      <c r="N2300" s="123" t="s">
        <v>845</v>
      </c>
    </row>
    <row r="2301" spans="2:14" hidden="1" x14ac:dyDescent="0.25">
      <c r="B2301" s="120">
        <v>2298</v>
      </c>
      <c r="C2301" s="123">
        <v>10704786129</v>
      </c>
      <c r="D2301" s="126" t="s">
        <v>8957</v>
      </c>
      <c r="E2301" s="126" t="s">
        <v>8958</v>
      </c>
      <c r="F2301" s="123" t="s">
        <v>30</v>
      </c>
      <c r="G2301" s="123" t="s">
        <v>30</v>
      </c>
      <c r="H2301" s="123" t="s">
        <v>50</v>
      </c>
      <c r="I2301" s="126" t="s">
        <v>1931</v>
      </c>
      <c r="J2301" s="123" t="s">
        <v>8959</v>
      </c>
      <c r="K2301" s="123" t="s">
        <v>8960</v>
      </c>
      <c r="L2301" s="131" t="s">
        <v>100</v>
      </c>
      <c r="M2301" s="135" t="s">
        <v>845</v>
      </c>
      <c r="N2301" s="123" t="s">
        <v>845</v>
      </c>
    </row>
    <row r="2302" spans="2:14" hidden="1" x14ac:dyDescent="0.25">
      <c r="B2302" s="120">
        <v>2299</v>
      </c>
      <c r="C2302" s="123">
        <v>10107326800</v>
      </c>
      <c r="D2302" s="126" t="s">
        <v>8961</v>
      </c>
      <c r="E2302" s="126" t="s">
        <v>8962</v>
      </c>
      <c r="F2302" s="123" t="s">
        <v>30</v>
      </c>
      <c r="G2302" s="123" t="s">
        <v>30</v>
      </c>
      <c r="H2302" s="123" t="s">
        <v>72</v>
      </c>
      <c r="I2302" s="126" t="s">
        <v>1424</v>
      </c>
      <c r="J2302" s="123" t="s">
        <v>8963</v>
      </c>
      <c r="K2302" s="123" t="s">
        <v>8964</v>
      </c>
      <c r="L2302" s="131" t="s">
        <v>100</v>
      </c>
      <c r="M2302" s="135" t="s">
        <v>845</v>
      </c>
      <c r="N2302" s="123" t="s">
        <v>845</v>
      </c>
    </row>
    <row r="2303" spans="2:14" hidden="1" x14ac:dyDescent="0.25">
      <c r="B2303" s="120">
        <v>2300</v>
      </c>
      <c r="C2303" s="123">
        <v>10102026476</v>
      </c>
      <c r="D2303" s="126" t="s">
        <v>8965</v>
      </c>
      <c r="E2303" s="126" t="s">
        <v>8966</v>
      </c>
      <c r="F2303" s="123" t="s">
        <v>30</v>
      </c>
      <c r="G2303" s="123" t="s">
        <v>30</v>
      </c>
      <c r="H2303" s="123" t="s">
        <v>58</v>
      </c>
      <c r="I2303" s="126" t="s">
        <v>1931</v>
      </c>
      <c r="J2303" s="123" t="s">
        <v>8967</v>
      </c>
      <c r="K2303" s="123" t="s">
        <v>8965</v>
      </c>
      <c r="L2303" s="131" t="s">
        <v>100</v>
      </c>
      <c r="M2303" s="135" t="s">
        <v>845</v>
      </c>
      <c r="N2303" s="123" t="s">
        <v>845</v>
      </c>
    </row>
    <row r="2304" spans="2:14" hidden="1" x14ac:dyDescent="0.25">
      <c r="B2304" s="120">
        <v>2301</v>
      </c>
      <c r="C2304" s="123">
        <v>10444322212</v>
      </c>
      <c r="D2304" s="126" t="s">
        <v>8968</v>
      </c>
      <c r="E2304" s="126" t="s">
        <v>8969</v>
      </c>
      <c r="F2304" s="123" t="s">
        <v>30</v>
      </c>
      <c r="G2304" s="123" t="s">
        <v>30</v>
      </c>
      <c r="H2304" s="123" t="s">
        <v>75</v>
      </c>
      <c r="I2304" s="126" t="s">
        <v>1938</v>
      </c>
      <c r="J2304" s="123" t="s">
        <v>8970</v>
      </c>
      <c r="K2304" s="123" t="s">
        <v>8968</v>
      </c>
      <c r="L2304" s="131" t="s">
        <v>100</v>
      </c>
      <c r="M2304" s="135" t="s">
        <v>845</v>
      </c>
      <c r="N2304" s="123" t="s">
        <v>845</v>
      </c>
    </row>
    <row r="2305" spans="2:14" hidden="1" x14ac:dyDescent="0.25">
      <c r="B2305" s="120">
        <v>2302</v>
      </c>
      <c r="C2305" s="123">
        <v>10403145489</v>
      </c>
      <c r="D2305" s="126" t="s">
        <v>8971</v>
      </c>
      <c r="E2305" s="126" t="s">
        <v>8972</v>
      </c>
      <c r="F2305" s="123" t="s">
        <v>30</v>
      </c>
      <c r="G2305" s="123" t="s">
        <v>168</v>
      </c>
      <c r="H2305" s="123" t="s">
        <v>168</v>
      </c>
      <c r="I2305" s="126" t="s">
        <v>8659</v>
      </c>
      <c r="J2305" s="123" t="s">
        <v>8973</v>
      </c>
      <c r="K2305" s="123" t="s">
        <v>8971</v>
      </c>
      <c r="L2305" s="131" t="s">
        <v>100</v>
      </c>
      <c r="M2305" s="135" t="s">
        <v>845</v>
      </c>
      <c r="N2305" s="123" t="s">
        <v>845</v>
      </c>
    </row>
    <row r="2306" spans="2:14" hidden="1" x14ac:dyDescent="0.25">
      <c r="B2306" s="120">
        <v>2303</v>
      </c>
      <c r="C2306" s="123">
        <v>10459635802</v>
      </c>
      <c r="D2306" s="126" t="s">
        <v>8974</v>
      </c>
      <c r="E2306" s="126" t="s">
        <v>8975</v>
      </c>
      <c r="F2306" s="123" t="s">
        <v>30</v>
      </c>
      <c r="G2306" s="123" t="s">
        <v>30</v>
      </c>
      <c r="H2306" s="123" t="s">
        <v>68</v>
      </c>
      <c r="I2306" s="126" t="s">
        <v>8976</v>
      </c>
      <c r="J2306" s="123" t="s">
        <v>8977</v>
      </c>
      <c r="K2306" s="123" t="s">
        <v>8978</v>
      </c>
      <c r="L2306" s="131" t="s">
        <v>100</v>
      </c>
      <c r="M2306" s="135" t="s">
        <v>845</v>
      </c>
      <c r="N2306" s="123" t="s">
        <v>845</v>
      </c>
    </row>
    <row r="2307" spans="2:14" hidden="1" x14ac:dyDescent="0.25">
      <c r="B2307" s="120">
        <v>2304</v>
      </c>
      <c r="C2307" s="123">
        <v>10752808096</v>
      </c>
      <c r="D2307" s="126" t="s">
        <v>8979</v>
      </c>
      <c r="E2307" s="126" t="s">
        <v>8980</v>
      </c>
      <c r="F2307" s="123" t="s">
        <v>30</v>
      </c>
      <c r="G2307" s="123" t="s">
        <v>170</v>
      </c>
      <c r="H2307" s="123" t="s">
        <v>175</v>
      </c>
      <c r="I2307" s="126" t="s">
        <v>1424</v>
      </c>
      <c r="J2307" s="123" t="s">
        <v>8981</v>
      </c>
      <c r="K2307" s="123" t="s">
        <v>8979</v>
      </c>
      <c r="L2307" s="131" t="s">
        <v>100</v>
      </c>
      <c r="M2307" s="135" t="s">
        <v>845</v>
      </c>
      <c r="N2307" s="123" t="s">
        <v>845</v>
      </c>
    </row>
    <row r="2308" spans="2:14" hidden="1" x14ac:dyDescent="0.25">
      <c r="B2308" s="120">
        <v>2305</v>
      </c>
      <c r="C2308" s="123">
        <v>10085994820</v>
      </c>
      <c r="D2308" s="126" t="s">
        <v>8982</v>
      </c>
      <c r="E2308" s="126" t="s">
        <v>8983</v>
      </c>
      <c r="F2308" s="123" t="s">
        <v>30</v>
      </c>
      <c r="G2308" s="123" t="s">
        <v>30</v>
      </c>
      <c r="H2308" s="123" t="s">
        <v>45</v>
      </c>
      <c r="I2308" s="126" t="s">
        <v>1931</v>
      </c>
      <c r="J2308" s="123" t="s">
        <v>8984</v>
      </c>
      <c r="K2308" s="123" t="s">
        <v>8982</v>
      </c>
      <c r="L2308" s="131" t="s">
        <v>100</v>
      </c>
      <c r="M2308" s="135" t="s">
        <v>845</v>
      </c>
      <c r="N2308" s="123" t="s">
        <v>845</v>
      </c>
    </row>
    <row r="2309" spans="2:14" hidden="1" x14ac:dyDescent="0.25">
      <c r="B2309" s="120">
        <v>2306</v>
      </c>
      <c r="C2309" s="123">
        <v>10157395501</v>
      </c>
      <c r="D2309" s="126" t="s">
        <v>8985</v>
      </c>
      <c r="E2309" s="126" t="s">
        <v>8986</v>
      </c>
      <c r="F2309" s="123" t="s">
        <v>30</v>
      </c>
      <c r="G2309" s="123" t="s">
        <v>170</v>
      </c>
      <c r="H2309" s="123" t="s">
        <v>174</v>
      </c>
      <c r="I2309" s="126" t="s">
        <v>1936</v>
      </c>
      <c r="J2309" s="123" t="s">
        <v>8987</v>
      </c>
      <c r="K2309" s="123" t="s">
        <v>8985</v>
      </c>
      <c r="L2309" s="131" t="s">
        <v>100</v>
      </c>
      <c r="M2309" s="135" t="s">
        <v>845</v>
      </c>
      <c r="N2309" s="123" t="s">
        <v>845</v>
      </c>
    </row>
    <row r="2310" spans="2:14" hidden="1" x14ac:dyDescent="0.25">
      <c r="B2310" s="120">
        <v>2307</v>
      </c>
      <c r="C2310" s="123">
        <v>10255664358</v>
      </c>
      <c r="D2310" s="126" t="s">
        <v>8988</v>
      </c>
      <c r="E2310" s="126" t="s">
        <v>8989</v>
      </c>
      <c r="F2310" s="123" t="s">
        <v>30</v>
      </c>
      <c r="G2310" s="123" t="s">
        <v>30</v>
      </c>
      <c r="H2310" s="123" t="s">
        <v>41</v>
      </c>
      <c r="I2310" s="126" t="s">
        <v>1737</v>
      </c>
      <c r="J2310" s="123" t="s">
        <v>8990</v>
      </c>
      <c r="K2310" s="123" t="s">
        <v>8988</v>
      </c>
      <c r="L2310" s="131" t="s">
        <v>100</v>
      </c>
      <c r="M2310" s="135" t="s">
        <v>845</v>
      </c>
      <c r="N2310" s="123" t="s">
        <v>845</v>
      </c>
    </row>
    <row r="2311" spans="2:14" hidden="1" x14ac:dyDescent="0.25">
      <c r="B2311" s="120">
        <v>2308</v>
      </c>
      <c r="C2311" s="123">
        <v>10412076546</v>
      </c>
      <c r="D2311" s="126" t="s">
        <v>8991</v>
      </c>
      <c r="E2311" s="126" t="s">
        <v>8992</v>
      </c>
      <c r="F2311" s="123" t="s">
        <v>30</v>
      </c>
      <c r="G2311" s="123" t="s">
        <v>30</v>
      </c>
      <c r="H2311" s="123" t="s">
        <v>72</v>
      </c>
      <c r="I2311" s="126" t="s">
        <v>1424</v>
      </c>
      <c r="J2311" s="123" t="s">
        <v>8993</v>
      </c>
      <c r="K2311" s="123" t="s">
        <v>8994</v>
      </c>
      <c r="L2311" s="131" t="s">
        <v>100</v>
      </c>
      <c r="M2311" s="135" t="s">
        <v>845</v>
      </c>
      <c r="N2311" s="123" t="s">
        <v>845</v>
      </c>
    </row>
    <row r="2312" spans="2:14" hidden="1" x14ac:dyDescent="0.25">
      <c r="B2312" s="120">
        <v>2309</v>
      </c>
      <c r="C2312" s="123">
        <v>10100707778</v>
      </c>
      <c r="D2312" s="126" t="s">
        <v>8995</v>
      </c>
      <c r="E2312" s="126" t="s">
        <v>8996</v>
      </c>
      <c r="F2312" s="123" t="s">
        <v>30</v>
      </c>
      <c r="G2312" s="123" t="s">
        <v>30</v>
      </c>
      <c r="H2312" s="123" t="s">
        <v>75</v>
      </c>
      <c r="I2312" s="126" t="s">
        <v>8997</v>
      </c>
      <c r="J2312" s="123" t="s">
        <v>8998</v>
      </c>
      <c r="K2312" s="123" t="s">
        <v>8999</v>
      </c>
      <c r="L2312" s="131" t="s">
        <v>100</v>
      </c>
      <c r="M2312" s="135" t="s">
        <v>845</v>
      </c>
      <c r="N2312" s="123" t="s">
        <v>845</v>
      </c>
    </row>
    <row r="2313" spans="2:14" hidden="1" x14ac:dyDescent="0.25">
      <c r="B2313" s="120">
        <v>2310</v>
      </c>
      <c r="C2313" s="123">
        <v>10424107161</v>
      </c>
      <c r="D2313" s="126" t="s">
        <v>9000</v>
      </c>
      <c r="E2313" s="126" t="s">
        <v>9001</v>
      </c>
      <c r="F2313" s="123" t="s">
        <v>30</v>
      </c>
      <c r="G2313" s="123" t="s">
        <v>30</v>
      </c>
      <c r="H2313" s="123" t="s">
        <v>75</v>
      </c>
      <c r="I2313" s="126" t="s">
        <v>8743</v>
      </c>
      <c r="J2313" s="123" t="s">
        <v>9002</v>
      </c>
      <c r="K2313" s="123" t="s">
        <v>9000</v>
      </c>
      <c r="L2313" s="131" t="s">
        <v>100</v>
      </c>
      <c r="M2313" s="135" t="s">
        <v>845</v>
      </c>
      <c r="N2313" s="123" t="s">
        <v>845</v>
      </c>
    </row>
    <row r="2314" spans="2:14" hidden="1" x14ac:dyDescent="0.25">
      <c r="B2314" s="120">
        <v>2311</v>
      </c>
      <c r="C2314" s="123">
        <v>10104818221</v>
      </c>
      <c r="D2314" s="126" t="s">
        <v>9003</v>
      </c>
      <c r="E2314" s="126" t="s">
        <v>9004</v>
      </c>
      <c r="F2314" s="123" t="s">
        <v>30</v>
      </c>
      <c r="G2314" s="123" t="s">
        <v>30</v>
      </c>
      <c r="H2314" s="123" t="s">
        <v>38</v>
      </c>
      <c r="I2314" s="126" t="s">
        <v>1706</v>
      </c>
      <c r="J2314" s="123" t="s">
        <v>9005</v>
      </c>
      <c r="K2314" s="123" t="s">
        <v>9003</v>
      </c>
      <c r="L2314" s="131" t="s">
        <v>100</v>
      </c>
      <c r="M2314" s="135" t="s">
        <v>845</v>
      </c>
      <c r="N2314" s="123" t="s">
        <v>845</v>
      </c>
    </row>
    <row r="2315" spans="2:14" hidden="1" x14ac:dyDescent="0.25">
      <c r="B2315" s="120">
        <v>2312</v>
      </c>
      <c r="C2315" s="123">
        <v>15611051325</v>
      </c>
      <c r="D2315" s="126" t="s">
        <v>9006</v>
      </c>
      <c r="E2315" s="126" t="s">
        <v>9007</v>
      </c>
      <c r="F2315" s="123" t="s">
        <v>30</v>
      </c>
      <c r="G2315" s="123" t="s">
        <v>54</v>
      </c>
      <c r="H2315" s="123" t="s">
        <v>55</v>
      </c>
      <c r="I2315" s="126" t="s">
        <v>8659</v>
      </c>
      <c r="J2315" s="123" t="s">
        <v>9008</v>
      </c>
      <c r="K2315" s="123" t="s">
        <v>9006</v>
      </c>
      <c r="L2315" s="131" t="s">
        <v>100</v>
      </c>
      <c r="M2315" s="135" t="s">
        <v>845</v>
      </c>
      <c r="N2315" s="123" t="s">
        <v>845</v>
      </c>
    </row>
    <row r="2316" spans="2:14" hidden="1" x14ac:dyDescent="0.25">
      <c r="B2316" s="120">
        <v>2313</v>
      </c>
      <c r="C2316" s="123">
        <v>10773385381</v>
      </c>
      <c r="D2316" s="126" t="s">
        <v>9009</v>
      </c>
      <c r="E2316" s="126" t="s">
        <v>9010</v>
      </c>
      <c r="F2316" s="123" t="s">
        <v>30</v>
      </c>
      <c r="G2316" s="123" t="s">
        <v>30</v>
      </c>
      <c r="H2316" s="123" t="s">
        <v>41</v>
      </c>
      <c r="I2316" s="126" t="s">
        <v>8659</v>
      </c>
      <c r="J2316" s="123" t="s">
        <v>9011</v>
      </c>
      <c r="K2316" s="123" t="s">
        <v>9009</v>
      </c>
      <c r="L2316" s="131" t="s">
        <v>100</v>
      </c>
      <c r="M2316" s="135" t="s">
        <v>845</v>
      </c>
      <c r="N2316" s="123" t="s">
        <v>845</v>
      </c>
    </row>
    <row r="2317" spans="2:14" hidden="1" x14ac:dyDescent="0.25">
      <c r="B2317" s="120">
        <v>2314</v>
      </c>
      <c r="C2317" s="123">
        <v>10426062033</v>
      </c>
      <c r="D2317" s="126" t="s">
        <v>9012</v>
      </c>
      <c r="E2317" s="126" t="s">
        <v>9013</v>
      </c>
      <c r="F2317" s="123" t="s">
        <v>30</v>
      </c>
      <c r="G2317" s="123" t="s">
        <v>30</v>
      </c>
      <c r="H2317" s="123" t="s">
        <v>72</v>
      </c>
      <c r="I2317" s="126" t="s">
        <v>9014</v>
      </c>
      <c r="J2317" s="123" t="s">
        <v>9015</v>
      </c>
      <c r="K2317" s="123" t="s">
        <v>9012</v>
      </c>
      <c r="L2317" s="131" t="s">
        <v>100</v>
      </c>
      <c r="M2317" s="135" t="s">
        <v>845</v>
      </c>
      <c r="N2317" s="123" t="s">
        <v>845</v>
      </c>
    </row>
    <row r="2318" spans="2:14" hidden="1" x14ac:dyDescent="0.25">
      <c r="B2318" s="120">
        <v>2315</v>
      </c>
      <c r="C2318" s="123">
        <v>10092533005</v>
      </c>
      <c r="D2318" s="126" t="s">
        <v>9016</v>
      </c>
      <c r="E2318" s="126" t="s">
        <v>9017</v>
      </c>
      <c r="F2318" s="123" t="s">
        <v>30</v>
      </c>
      <c r="G2318" s="123" t="s">
        <v>30</v>
      </c>
      <c r="H2318" s="123" t="s">
        <v>38</v>
      </c>
      <c r="I2318" s="126" t="s">
        <v>1701</v>
      </c>
      <c r="J2318" s="123" t="s">
        <v>9018</v>
      </c>
      <c r="K2318" s="123" t="s">
        <v>9016</v>
      </c>
      <c r="L2318" s="131" t="s">
        <v>100</v>
      </c>
      <c r="M2318" s="135" t="s">
        <v>845</v>
      </c>
      <c r="N2318" s="123" t="s">
        <v>845</v>
      </c>
    </row>
    <row r="2319" spans="2:14" hidden="1" x14ac:dyDescent="0.25">
      <c r="B2319" s="120">
        <v>2316</v>
      </c>
      <c r="C2319" s="123">
        <v>10400171438</v>
      </c>
      <c r="D2319" s="126" t="s">
        <v>9019</v>
      </c>
      <c r="E2319" s="126" t="s">
        <v>9020</v>
      </c>
      <c r="F2319" s="123" t="s">
        <v>30</v>
      </c>
      <c r="G2319" s="123" t="s">
        <v>54</v>
      </c>
      <c r="H2319" s="123" t="s">
        <v>55</v>
      </c>
      <c r="I2319" s="126" t="s">
        <v>1939</v>
      </c>
      <c r="J2319" s="123" t="s">
        <v>9021</v>
      </c>
      <c r="K2319" s="123" t="s">
        <v>9022</v>
      </c>
      <c r="L2319" s="131" t="s">
        <v>100</v>
      </c>
      <c r="M2319" s="135" t="s">
        <v>845</v>
      </c>
      <c r="N2319" s="123" t="s">
        <v>845</v>
      </c>
    </row>
    <row r="2320" spans="2:14" hidden="1" x14ac:dyDescent="0.25">
      <c r="B2320" s="120">
        <v>2317</v>
      </c>
      <c r="C2320" s="123">
        <v>10453847484</v>
      </c>
      <c r="D2320" s="126" t="s">
        <v>9023</v>
      </c>
      <c r="E2320" s="126" t="s">
        <v>9024</v>
      </c>
      <c r="F2320" s="123" t="s">
        <v>30</v>
      </c>
      <c r="G2320" s="123" t="s">
        <v>30</v>
      </c>
      <c r="H2320" s="123" t="s">
        <v>38</v>
      </c>
      <c r="I2320" s="126" t="s">
        <v>1809</v>
      </c>
      <c r="J2320" s="123" t="s">
        <v>9025</v>
      </c>
      <c r="K2320" s="123" t="s">
        <v>9023</v>
      </c>
      <c r="L2320" s="131" t="s">
        <v>100</v>
      </c>
      <c r="M2320" s="135" t="s">
        <v>845</v>
      </c>
      <c r="N2320" s="123" t="s">
        <v>845</v>
      </c>
    </row>
    <row r="2321" spans="2:14" hidden="1" x14ac:dyDescent="0.25">
      <c r="B2321" s="120">
        <v>2318</v>
      </c>
      <c r="C2321" s="123">
        <v>10094716328</v>
      </c>
      <c r="D2321" s="126" t="s">
        <v>9026</v>
      </c>
      <c r="E2321" s="126" t="s">
        <v>9027</v>
      </c>
      <c r="F2321" s="123" t="s">
        <v>30</v>
      </c>
      <c r="G2321" s="123" t="s">
        <v>30</v>
      </c>
      <c r="H2321" s="123" t="s">
        <v>58</v>
      </c>
      <c r="I2321" s="126" t="s">
        <v>1963</v>
      </c>
      <c r="J2321" s="123" t="s">
        <v>9028</v>
      </c>
      <c r="K2321" s="123" t="s">
        <v>9026</v>
      </c>
      <c r="L2321" s="131" t="s">
        <v>100</v>
      </c>
      <c r="M2321" s="135" t="s">
        <v>845</v>
      </c>
      <c r="N2321" s="123" t="s">
        <v>845</v>
      </c>
    </row>
    <row r="2322" spans="2:14" hidden="1" x14ac:dyDescent="0.25">
      <c r="B2322" s="120">
        <v>2319</v>
      </c>
      <c r="C2322" s="123">
        <v>10480135089</v>
      </c>
      <c r="D2322" s="126" t="s">
        <v>9029</v>
      </c>
      <c r="E2322" s="126" t="s">
        <v>9030</v>
      </c>
      <c r="F2322" s="123" t="s">
        <v>30</v>
      </c>
      <c r="G2322" s="123" t="s">
        <v>30</v>
      </c>
      <c r="H2322" s="123" t="s">
        <v>50</v>
      </c>
      <c r="I2322" s="126" t="s">
        <v>1701</v>
      </c>
      <c r="J2322" s="123" t="s">
        <v>9031</v>
      </c>
      <c r="K2322" s="123" t="s">
        <v>9032</v>
      </c>
      <c r="L2322" s="131" t="s">
        <v>100</v>
      </c>
      <c r="M2322" s="135" t="s">
        <v>845</v>
      </c>
      <c r="N2322" s="123" t="s">
        <v>845</v>
      </c>
    </row>
    <row r="2323" spans="2:14" hidden="1" x14ac:dyDescent="0.25">
      <c r="B2323" s="120">
        <v>2320</v>
      </c>
      <c r="C2323" s="123">
        <v>10159824140</v>
      </c>
      <c r="D2323" s="126" t="s">
        <v>9033</v>
      </c>
      <c r="E2323" s="126" t="s">
        <v>9034</v>
      </c>
      <c r="F2323" s="123" t="s">
        <v>30</v>
      </c>
      <c r="G2323" s="123" t="s">
        <v>54</v>
      </c>
      <c r="H2323" s="123" t="s">
        <v>55</v>
      </c>
      <c r="I2323" s="126" t="s">
        <v>9035</v>
      </c>
      <c r="J2323" s="123" t="s">
        <v>9036</v>
      </c>
      <c r="K2323" s="123" t="s">
        <v>9037</v>
      </c>
      <c r="L2323" s="131" t="s">
        <v>100</v>
      </c>
      <c r="M2323" s="135" t="s">
        <v>845</v>
      </c>
      <c r="N2323" s="123" t="s">
        <v>845</v>
      </c>
    </row>
    <row r="2324" spans="2:14" hidden="1" x14ac:dyDescent="0.25">
      <c r="B2324" s="120">
        <v>2321</v>
      </c>
      <c r="C2324" s="123">
        <v>10101455152</v>
      </c>
      <c r="D2324" s="126" t="s">
        <v>9038</v>
      </c>
      <c r="E2324" s="126" t="s">
        <v>9039</v>
      </c>
      <c r="F2324" s="123" t="s">
        <v>30</v>
      </c>
      <c r="G2324" s="123" t="s">
        <v>30</v>
      </c>
      <c r="H2324" s="123" t="s">
        <v>75</v>
      </c>
      <c r="I2324" s="126" t="s">
        <v>1940</v>
      </c>
      <c r="J2324" s="123" t="s">
        <v>9040</v>
      </c>
      <c r="K2324" s="123" t="s">
        <v>9041</v>
      </c>
      <c r="L2324" s="131" t="s">
        <v>100</v>
      </c>
      <c r="M2324" s="135" t="s">
        <v>845</v>
      </c>
      <c r="N2324" s="123" t="s">
        <v>845</v>
      </c>
    </row>
    <row r="2325" spans="2:14" hidden="1" x14ac:dyDescent="0.25">
      <c r="B2325" s="120">
        <v>2322</v>
      </c>
      <c r="C2325" s="123">
        <v>10099301967</v>
      </c>
      <c r="D2325" s="126" t="s">
        <v>9042</v>
      </c>
      <c r="E2325" s="126" t="s">
        <v>9043</v>
      </c>
      <c r="F2325" s="123" t="s">
        <v>30</v>
      </c>
      <c r="G2325" s="123" t="s">
        <v>30</v>
      </c>
      <c r="H2325" s="123" t="s">
        <v>30</v>
      </c>
      <c r="I2325" s="126" t="s">
        <v>9044</v>
      </c>
      <c r="J2325" s="123" t="s">
        <v>9045</v>
      </c>
      <c r="K2325" s="123" t="s">
        <v>9042</v>
      </c>
      <c r="L2325" s="131" t="s">
        <v>100</v>
      </c>
      <c r="M2325" s="135" t="s">
        <v>845</v>
      </c>
      <c r="N2325" s="123" t="s">
        <v>845</v>
      </c>
    </row>
    <row r="2326" spans="2:14" hidden="1" x14ac:dyDescent="0.25">
      <c r="B2326" s="120">
        <v>2323</v>
      </c>
      <c r="C2326" s="123">
        <v>10275731612</v>
      </c>
      <c r="D2326" s="126" t="s">
        <v>9046</v>
      </c>
      <c r="E2326" s="126" t="s">
        <v>9047</v>
      </c>
      <c r="F2326" s="123" t="s">
        <v>30</v>
      </c>
      <c r="G2326" s="123" t="s">
        <v>30</v>
      </c>
      <c r="H2326" s="123" t="s">
        <v>52</v>
      </c>
      <c r="I2326" s="126" t="s">
        <v>1643</v>
      </c>
      <c r="J2326" s="123" t="s">
        <v>9048</v>
      </c>
      <c r="K2326" s="123" t="s">
        <v>9046</v>
      </c>
      <c r="L2326" s="131" t="s">
        <v>100</v>
      </c>
      <c r="M2326" s="135" t="s">
        <v>845</v>
      </c>
      <c r="N2326" s="123" t="s">
        <v>845</v>
      </c>
    </row>
    <row r="2327" spans="2:14" hidden="1" x14ac:dyDescent="0.25">
      <c r="B2327" s="120">
        <v>2324</v>
      </c>
      <c r="C2327" s="123">
        <v>10475347710</v>
      </c>
      <c r="D2327" s="126" t="s">
        <v>9049</v>
      </c>
      <c r="E2327" s="126" t="s">
        <v>9050</v>
      </c>
      <c r="F2327" s="123" t="s">
        <v>67</v>
      </c>
      <c r="G2327" s="123" t="s">
        <v>67</v>
      </c>
      <c r="H2327" s="123" t="s">
        <v>94</v>
      </c>
      <c r="I2327" s="126" t="s">
        <v>1737</v>
      </c>
      <c r="J2327" s="123" t="s">
        <v>9051</v>
      </c>
      <c r="K2327" s="123" t="s">
        <v>9052</v>
      </c>
      <c r="L2327" s="131" t="s">
        <v>100</v>
      </c>
      <c r="M2327" s="135" t="s">
        <v>845</v>
      </c>
      <c r="N2327" s="123" t="s">
        <v>845</v>
      </c>
    </row>
    <row r="2328" spans="2:14" hidden="1" x14ac:dyDescent="0.25">
      <c r="B2328" s="120">
        <v>2325</v>
      </c>
      <c r="C2328" s="123">
        <v>10713266171</v>
      </c>
      <c r="D2328" s="126" t="s">
        <v>9053</v>
      </c>
      <c r="E2328" s="126" t="s">
        <v>9054</v>
      </c>
      <c r="F2328" s="123" t="s">
        <v>30</v>
      </c>
      <c r="G2328" s="123" t="s">
        <v>30</v>
      </c>
      <c r="H2328" s="123" t="s">
        <v>58</v>
      </c>
      <c r="I2328" s="126" t="s">
        <v>1931</v>
      </c>
      <c r="J2328" s="123" t="s">
        <v>9055</v>
      </c>
      <c r="K2328" s="123" t="s">
        <v>9053</v>
      </c>
      <c r="L2328" s="131" t="s">
        <v>100</v>
      </c>
      <c r="M2328" s="135" t="s">
        <v>845</v>
      </c>
      <c r="N2328" s="123" t="s">
        <v>845</v>
      </c>
    </row>
    <row r="2329" spans="2:14" hidden="1" x14ac:dyDescent="0.25">
      <c r="B2329" s="120">
        <v>2326</v>
      </c>
      <c r="C2329" s="123">
        <v>10765896083</v>
      </c>
      <c r="D2329" s="126" t="s">
        <v>9056</v>
      </c>
      <c r="E2329" s="126" t="s">
        <v>9057</v>
      </c>
      <c r="F2329" s="123" t="s">
        <v>30</v>
      </c>
      <c r="G2329" s="123" t="s">
        <v>30</v>
      </c>
      <c r="H2329" s="123" t="s">
        <v>45</v>
      </c>
      <c r="I2329" s="126" t="s">
        <v>1450</v>
      </c>
      <c r="J2329" s="123" t="s">
        <v>9058</v>
      </c>
      <c r="K2329" s="123" t="s">
        <v>9056</v>
      </c>
      <c r="L2329" s="131" t="s">
        <v>100</v>
      </c>
      <c r="M2329" s="135" t="s">
        <v>845</v>
      </c>
      <c r="N2329" s="123" t="s">
        <v>845</v>
      </c>
    </row>
    <row r="2330" spans="2:14" hidden="1" x14ac:dyDescent="0.25">
      <c r="B2330" s="120">
        <v>2327</v>
      </c>
      <c r="C2330" s="123">
        <v>10096692264</v>
      </c>
      <c r="D2330" s="126" t="s">
        <v>9059</v>
      </c>
      <c r="E2330" s="126" t="s">
        <v>9060</v>
      </c>
      <c r="F2330" s="123" t="s">
        <v>30</v>
      </c>
      <c r="G2330" s="123" t="s">
        <v>30</v>
      </c>
      <c r="H2330" s="123" t="s">
        <v>43</v>
      </c>
      <c r="I2330" s="126" t="s">
        <v>1949</v>
      </c>
      <c r="J2330" s="123" t="s">
        <v>9061</v>
      </c>
      <c r="K2330" s="123" t="s">
        <v>9062</v>
      </c>
      <c r="L2330" s="131" t="s">
        <v>100</v>
      </c>
      <c r="M2330" s="135" t="s">
        <v>845</v>
      </c>
      <c r="N2330" s="123" t="s">
        <v>845</v>
      </c>
    </row>
    <row r="2331" spans="2:14" hidden="1" x14ac:dyDescent="0.25">
      <c r="B2331" s="120">
        <v>2328</v>
      </c>
      <c r="C2331" s="123">
        <v>10713953801</v>
      </c>
      <c r="D2331" s="126" t="s">
        <v>9063</v>
      </c>
      <c r="E2331" s="126" t="s">
        <v>9064</v>
      </c>
      <c r="F2331" s="123" t="s">
        <v>30</v>
      </c>
      <c r="G2331" s="123" t="s">
        <v>30</v>
      </c>
      <c r="H2331" s="123" t="s">
        <v>147</v>
      </c>
      <c r="I2331" s="126" t="s">
        <v>1952</v>
      </c>
      <c r="J2331" s="123" t="s">
        <v>9065</v>
      </c>
      <c r="K2331" s="123" t="s">
        <v>9063</v>
      </c>
      <c r="L2331" s="131" t="s">
        <v>100</v>
      </c>
      <c r="M2331" s="135" t="s">
        <v>845</v>
      </c>
      <c r="N2331" s="123" t="s">
        <v>845</v>
      </c>
    </row>
    <row r="2332" spans="2:14" hidden="1" x14ac:dyDescent="0.25">
      <c r="B2332" s="120">
        <v>2329</v>
      </c>
      <c r="C2332" s="123">
        <v>10188728559</v>
      </c>
      <c r="D2332" s="126" t="s">
        <v>9066</v>
      </c>
      <c r="E2332" s="126" t="s">
        <v>9067</v>
      </c>
      <c r="F2332" s="123" t="s">
        <v>30</v>
      </c>
      <c r="G2332" s="123" t="s">
        <v>30</v>
      </c>
      <c r="H2332" s="123" t="s">
        <v>43</v>
      </c>
      <c r="I2332" s="126" t="s">
        <v>1377</v>
      </c>
      <c r="J2332" s="123" t="s">
        <v>9068</v>
      </c>
      <c r="K2332" s="123" t="s">
        <v>9066</v>
      </c>
      <c r="L2332" s="131" t="s">
        <v>100</v>
      </c>
      <c r="M2332" s="135" t="s">
        <v>845</v>
      </c>
      <c r="N2332" s="123" t="s">
        <v>845</v>
      </c>
    </row>
    <row r="2333" spans="2:14" hidden="1" x14ac:dyDescent="0.25">
      <c r="B2333" s="120">
        <v>2330</v>
      </c>
      <c r="C2333" s="123">
        <v>10086446877</v>
      </c>
      <c r="D2333" s="126" t="s">
        <v>9069</v>
      </c>
      <c r="E2333" s="126" t="s">
        <v>9070</v>
      </c>
      <c r="F2333" s="123" t="s">
        <v>30</v>
      </c>
      <c r="G2333" s="123" t="s">
        <v>30</v>
      </c>
      <c r="H2333" s="123" t="s">
        <v>45</v>
      </c>
      <c r="I2333" s="126" t="s">
        <v>1701</v>
      </c>
      <c r="J2333" s="123" t="s">
        <v>9071</v>
      </c>
      <c r="K2333" s="123" t="s">
        <v>9069</v>
      </c>
      <c r="L2333" s="131" t="s">
        <v>100</v>
      </c>
      <c r="M2333" s="135" t="s">
        <v>845</v>
      </c>
      <c r="N2333" s="123" t="s">
        <v>845</v>
      </c>
    </row>
    <row r="2334" spans="2:14" hidden="1" x14ac:dyDescent="0.25">
      <c r="B2334" s="120">
        <v>2331</v>
      </c>
      <c r="C2334" s="123">
        <v>10764125237</v>
      </c>
      <c r="D2334" s="126" t="s">
        <v>9072</v>
      </c>
      <c r="E2334" s="126" t="s">
        <v>9073</v>
      </c>
      <c r="F2334" s="123" t="s">
        <v>30</v>
      </c>
      <c r="G2334" s="123" t="s">
        <v>54</v>
      </c>
      <c r="H2334" s="123" t="s">
        <v>54</v>
      </c>
      <c r="I2334" s="126" t="s">
        <v>1954</v>
      </c>
      <c r="J2334" s="123" t="s">
        <v>9074</v>
      </c>
      <c r="K2334" s="123" t="s">
        <v>9075</v>
      </c>
      <c r="L2334" s="131" t="s">
        <v>100</v>
      </c>
      <c r="M2334" s="135" t="s">
        <v>845</v>
      </c>
      <c r="N2334" s="123" t="s">
        <v>845</v>
      </c>
    </row>
    <row r="2335" spans="2:14" hidden="1" x14ac:dyDescent="0.25">
      <c r="B2335" s="120">
        <v>2332</v>
      </c>
      <c r="C2335" s="123">
        <v>10426306315</v>
      </c>
      <c r="D2335" s="126" t="s">
        <v>9076</v>
      </c>
      <c r="E2335" s="126" t="s">
        <v>9077</v>
      </c>
      <c r="F2335" s="123" t="s">
        <v>30</v>
      </c>
      <c r="G2335" s="123" t="s">
        <v>30</v>
      </c>
      <c r="H2335" s="123" t="s">
        <v>43</v>
      </c>
      <c r="I2335" s="126" t="s">
        <v>1737</v>
      </c>
      <c r="J2335" s="123" t="s">
        <v>9078</v>
      </c>
      <c r="K2335" s="123" t="s">
        <v>9076</v>
      </c>
      <c r="L2335" s="131" t="s">
        <v>100</v>
      </c>
      <c r="M2335" s="135" t="s">
        <v>845</v>
      </c>
      <c r="N2335" s="123" t="s">
        <v>845</v>
      </c>
    </row>
    <row r="2336" spans="2:14" hidden="1" x14ac:dyDescent="0.25">
      <c r="B2336" s="120">
        <v>2333</v>
      </c>
      <c r="C2336" s="123">
        <v>10453035137</v>
      </c>
      <c r="D2336" s="126" t="s">
        <v>9079</v>
      </c>
      <c r="E2336" s="126" t="s">
        <v>9080</v>
      </c>
      <c r="F2336" s="123" t="s">
        <v>30</v>
      </c>
      <c r="G2336" s="123" t="s">
        <v>30</v>
      </c>
      <c r="H2336" s="123" t="s">
        <v>50</v>
      </c>
      <c r="I2336" s="126" t="s">
        <v>1941</v>
      </c>
      <c r="J2336" s="123" t="s">
        <v>9081</v>
      </c>
      <c r="K2336" s="123" t="s">
        <v>9079</v>
      </c>
      <c r="L2336" s="131" t="s">
        <v>100</v>
      </c>
      <c r="M2336" s="135" t="s">
        <v>845</v>
      </c>
      <c r="N2336" s="123" t="s">
        <v>845</v>
      </c>
    </row>
    <row r="2337" spans="2:14" hidden="1" x14ac:dyDescent="0.25">
      <c r="B2337" s="120">
        <v>2334</v>
      </c>
      <c r="C2337" s="123">
        <v>10802846237</v>
      </c>
      <c r="D2337" s="126" t="s">
        <v>9082</v>
      </c>
      <c r="E2337" s="126" t="s">
        <v>9083</v>
      </c>
      <c r="F2337" s="123" t="s">
        <v>30</v>
      </c>
      <c r="G2337" s="123" t="s">
        <v>168</v>
      </c>
      <c r="H2337" s="123" t="s">
        <v>168</v>
      </c>
      <c r="I2337" s="126" t="s">
        <v>1931</v>
      </c>
      <c r="J2337" s="123" t="s">
        <v>9084</v>
      </c>
      <c r="K2337" s="123" t="s">
        <v>9082</v>
      </c>
      <c r="L2337" s="131" t="s">
        <v>100</v>
      </c>
      <c r="M2337" s="135" t="s">
        <v>845</v>
      </c>
      <c r="N2337" s="123" t="s">
        <v>845</v>
      </c>
    </row>
    <row r="2338" spans="2:14" hidden="1" x14ac:dyDescent="0.25">
      <c r="B2338" s="120">
        <v>2335</v>
      </c>
      <c r="C2338" s="123">
        <v>10766223473</v>
      </c>
      <c r="D2338" s="126" t="s">
        <v>9085</v>
      </c>
      <c r="E2338" s="126" t="s">
        <v>9086</v>
      </c>
      <c r="F2338" s="123" t="s">
        <v>30</v>
      </c>
      <c r="G2338" s="123" t="s">
        <v>30</v>
      </c>
      <c r="H2338" s="123" t="s">
        <v>72</v>
      </c>
      <c r="I2338" s="126" t="s">
        <v>1377</v>
      </c>
      <c r="J2338" s="123" t="s">
        <v>9087</v>
      </c>
      <c r="K2338" s="123" t="s">
        <v>9085</v>
      </c>
      <c r="L2338" s="131" t="s">
        <v>100</v>
      </c>
      <c r="M2338" s="135" t="s">
        <v>845</v>
      </c>
      <c r="N2338" s="123" t="s">
        <v>845</v>
      </c>
    </row>
    <row r="2339" spans="2:14" hidden="1" x14ac:dyDescent="0.25">
      <c r="B2339" s="120">
        <v>2336</v>
      </c>
      <c r="C2339" s="123">
        <v>10438495105</v>
      </c>
      <c r="D2339" s="126" t="s">
        <v>9088</v>
      </c>
      <c r="E2339" s="126" t="s">
        <v>9089</v>
      </c>
      <c r="F2339" s="123" t="s">
        <v>30</v>
      </c>
      <c r="G2339" s="123" t="s">
        <v>30</v>
      </c>
      <c r="H2339" s="123" t="s">
        <v>72</v>
      </c>
      <c r="I2339" s="126" t="s">
        <v>1701</v>
      </c>
      <c r="J2339" s="123" t="s">
        <v>6153</v>
      </c>
      <c r="K2339" s="123" t="s">
        <v>9088</v>
      </c>
      <c r="L2339" s="131" t="s">
        <v>100</v>
      </c>
      <c r="M2339" s="135" t="s">
        <v>845</v>
      </c>
      <c r="N2339" s="123" t="s">
        <v>845</v>
      </c>
    </row>
    <row r="2340" spans="2:14" hidden="1" x14ac:dyDescent="0.25">
      <c r="B2340" s="120">
        <v>2337</v>
      </c>
      <c r="C2340" s="123">
        <v>10099353863</v>
      </c>
      <c r="D2340" s="126" t="s">
        <v>9090</v>
      </c>
      <c r="E2340" s="126" t="s">
        <v>9091</v>
      </c>
      <c r="F2340" s="123" t="s">
        <v>30</v>
      </c>
      <c r="G2340" s="123" t="s">
        <v>30</v>
      </c>
      <c r="H2340" s="123" t="s">
        <v>75</v>
      </c>
      <c r="I2340" s="126" t="s">
        <v>1942</v>
      </c>
      <c r="J2340" s="123" t="s">
        <v>9092</v>
      </c>
      <c r="K2340" s="123" t="s">
        <v>9090</v>
      </c>
      <c r="L2340" s="131" t="s">
        <v>100</v>
      </c>
      <c r="M2340" s="135" t="s">
        <v>845</v>
      </c>
      <c r="N2340" s="123" t="s">
        <v>845</v>
      </c>
    </row>
    <row r="2341" spans="2:14" hidden="1" x14ac:dyDescent="0.25">
      <c r="B2341" s="120">
        <v>2338</v>
      </c>
      <c r="C2341" s="123">
        <v>10084805420</v>
      </c>
      <c r="D2341" s="126" t="s">
        <v>9093</v>
      </c>
      <c r="E2341" s="126" t="s">
        <v>9094</v>
      </c>
      <c r="F2341" s="123" t="s">
        <v>30</v>
      </c>
      <c r="G2341" s="123" t="s">
        <v>30</v>
      </c>
      <c r="H2341" s="123" t="s">
        <v>72</v>
      </c>
      <c r="I2341" s="126" t="s">
        <v>9095</v>
      </c>
      <c r="J2341" s="123" t="s">
        <v>9096</v>
      </c>
      <c r="K2341" s="123" t="s">
        <v>9093</v>
      </c>
      <c r="L2341" s="131" t="s">
        <v>100</v>
      </c>
      <c r="M2341" s="135" t="s">
        <v>845</v>
      </c>
      <c r="N2341" s="123" t="s">
        <v>845</v>
      </c>
    </row>
    <row r="2342" spans="2:14" hidden="1" x14ac:dyDescent="0.25">
      <c r="B2342" s="120">
        <v>2339</v>
      </c>
      <c r="C2342" s="123">
        <v>10764332895</v>
      </c>
      <c r="D2342" s="126" t="s">
        <v>9097</v>
      </c>
      <c r="E2342" s="126" t="s">
        <v>9098</v>
      </c>
      <c r="F2342" s="123" t="s">
        <v>30</v>
      </c>
      <c r="G2342" s="123" t="s">
        <v>30</v>
      </c>
      <c r="H2342" s="123" t="s">
        <v>38</v>
      </c>
      <c r="I2342" s="126" t="s">
        <v>9099</v>
      </c>
      <c r="J2342" s="123" t="s">
        <v>9100</v>
      </c>
      <c r="K2342" s="123" t="s">
        <v>9097</v>
      </c>
      <c r="L2342" s="131" t="s">
        <v>100</v>
      </c>
      <c r="M2342" s="135" t="s">
        <v>845</v>
      </c>
      <c r="N2342" s="123" t="s">
        <v>845</v>
      </c>
    </row>
    <row r="2343" spans="2:14" hidden="1" x14ac:dyDescent="0.25">
      <c r="B2343" s="120">
        <v>2340</v>
      </c>
      <c r="C2343" s="123">
        <v>10207252790</v>
      </c>
      <c r="D2343" s="126" t="s">
        <v>9101</v>
      </c>
      <c r="E2343" s="126" t="s">
        <v>9102</v>
      </c>
      <c r="F2343" s="123" t="s">
        <v>30</v>
      </c>
      <c r="G2343" s="123" t="s">
        <v>30</v>
      </c>
      <c r="H2343" s="123" t="s">
        <v>45</v>
      </c>
      <c r="I2343" s="126" t="s">
        <v>9103</v>
      </c>
      <c r="J2343" s="123" t="s">
        <v>9104</v>
      </c>
      <c r="K2343" s="123" t="s">
        <v>9105</v>
      </c>
      <c r="L2343" s="131" t="s">
        <v>100</v>
      </c>
      <c r="M2343" s="135" t="s">
        <v>845</v>
      </c>
      <c r="N2343" s="123" t="s">
        <v>845</v>
      </c>
    </row>
    <row r="2344" spans="2:14" hidden="1" x14ac:dyDescent="0.25">
      <c r="B2344" s="120">
        <v>2341</v>
      </c>
      <c r="C2344" s="123">
        <v>10093861995</v>
      </c>
      <c r="D2344" s="126" t="s">
        <v>9106</v>
      </c>
      <c r="E2344" s="126" t="s">
        <v>9107</v>
      </c>
      <c r="F2344" s="123" t="s">
        <v>30</v>
      </c>
      <c r="G2344" s="123" t="s">
        <v>30</v>
      </c>
      <c r="H2344" s="123" t="s">
        <v>47</v>
      </c>
      <c r="I2344" s="126" t="s">
        <v>1942</v>
      </c>
      <c r="J2344" s="123" t="s">
        <v>9108</v>
      </c>
      <c r="K2344" s="123" t="s">
        <v>9106</v>
      </c>
      <c r="L2344" s="131" t="s">
        <v>100</v>
      </c>
      <c r="M2344" s="135" t="s">
        <v>845</v>
      </c>
      <c r="N2344" s="123" t="s">
        <v>845</v>
      </c>
    </row>
    <row r="2345" spans="2:14" hidden="1" x14ac:dyDescent="0.25">
      <c r="B2345" s="120">
        <v>2342</v>
      </c>
      <c r="C2345" s="123">
        <v>10403184476</v>
      </c>
      <c r="D2345" s="126" t="s">
        <v>9109</v>
      </c>
      <c r="E2345" s="126" t="s">
        <v>9110</v>
      </c>
      <c r="F2345" s="123" t="s">
        <v>30</v>
      </c>
      <c r="G2345" s="123" t="s">
        <v>30</v>
      </c>
      <c r="H2345" s="123" t="s">
        <v>37</v>
      </c>
      <c r="I2345" s="126" t="s">
        <v>1424</v>
      </c>
      <c r="J2345" s="123" t="s">
        <v>9111</v>
      </c>
      <c r="K2345" s="123" t="s">
        <v>9109</v>
      </c>
      <c r="L2345" s="131" t="s">
        <v>100</v>
      </c>
      <c r="M2345" s="135" t="s">
        <v>845</v>
      </c>
      <c r="N2345" s="123" t="s">
        <v>845</v>
      </c>
    </row>
    <row r="2346" spans="2:14" hidden="1" x14ac:dyDescent="0.25">
      <c r="B2346" s="120">
        <v>2343</v>
      </c>
      <c r="C2346" s="123">
        <v>10071762748</v>
      </c>
      <c r="D2346" s="126" t="s">
        <v>9112</v>
      </c>
      <c r="E2346" s="126" t="s">
        <v>9113</v>
      </c>
      <c r="F2346" s="123" t="s">
        <v>30</v>
      </c>
      <c r="G2346" s="123" t="s">
        <v>30</v>
      </c>
      <c r="H2346" s="123" t="s">
        <v>75</v>
      </c>
      <c r="I2346" s="126" t="s">
        <v>1701</v>
      </c>
      <c r="J2346" s="123" t="s">
        <v>9114</v>
      </c>
      <c r="K2346" s="123" t="s">
        <v>9115</v>
      </c>
      <c r="L2346" s="131" t="s">
        <v>100</v>
      </c>
      <c r="M2346" s="135" t="s">
        <v>845</v>
      </c>
      <c r="N2346" s="123" t="s">
        <v>845</v>
      </c>
    </row>
    <row r="2347" spans="2:14" hidden="1" x14ac:dyDescent="0.25">
      <c r="B2347" s="120">
        <v>2344</v>
      </c>
      <c r="C2347" s="123">
        <v>10740822051</v>
      </c>
      <c r="D2347" s="126" t="s">
        <v>9116</v>
      </c>
      <c r="E2347" s="126" t="s">
        <v>9117</v>
      </c>
      <c r="F2347" s="123" t="s">
        <v>30</v>
      </c>
      <c r="G2347" s="123" t="s">
        <v>30</v>
      </c>
      <c r="H2347" s="123" t="s">
        <v>51</v>
      </c>
      <c r="I2347" s="126" t="s">
        <v>1706</v>
      </c>
      <c r="J2347" s="123" t="s">
        <v>9118</v>
      </c>
      <c r="K2347" s="123" t="s">
        <v>9116</v>
      </c>
      <c r="L2347" s="131" t="s">
        <v>100</v>
      </c>
      <c r="M2347" s="135" t="s">
        <v>845</v>
      </c>
      <c r="N2347" s="123" t="s">
        <v>845</v>
      </c>
    </row>
    <row r="2348" spans="2:14" hidden="1" x14ac:dyDescent="0.25">
      <c r="B2348" s="120">
        <v>2345</v>
      </c>
      <c r="C2348" s="123">
        <v>10100714642</v>
      </c>
      <c r="D2348" s="126" t="s">
        <v>9119</v>
      </c>
      <c r="E2348" s="126" t="s">
        <v>9120</v>
      </c>
      <c r="F2348" s="123" t="s">
        <v>30</v>
      </c>
      <c r="G2348" s="123" t="s">
        <v>30</v>
      </c>
      <c r="H2348" s="123" t="s">
        <v>86</v>
      </c>
      <c r="I2348" s="126" t="s">
        <v>1950</v>
      </c>
      <c r="J2348" s="123" t="s">
        <v>9121</v>
      </c>
      <c r="K2348" s="123" t="s">
        <v>9119</v>
      </c>
      <c r="L2348" s="131" t="s">
        <v>100</v>
      </c>
      <c r="M2348" s="135" t="s">
        <v>845</v>
      </c>
      <c r="N2348" s="123" t="s">
        <v>845</v>
      </c>
    </row>
    <row r="2349" spans="2:14" hidden="1" x14ac:dyDescent="0.25">
      <c r="B2349" s="120">
        <v>2346</v>
      </c>
      <c r="C2349" s="123">
        <v>10480750581</v>
      </c>
      <c r="D2349" s="126" t="s">
        <v>9122</v>
      </c>
      <c r="E2349" s="126" t="s">
        <v>9123</v>
      </c>
      <c r="F2349" s="123" t="s">
        <v>30</v>
      </c>
      <c r="G2349" s="123" t="s">
        <v>168</v>
      </c>
      <c r="H2349" s="123" t="s">
        <v>168</v>
      </c>
      <c r="I2349" s="126" t="s">
        <v>1930</v>
      </c>
      <c r="J2349" s="123" t="s">
        <v>9124</v>
      </c>
      <c r="K2349" s="123" t="s">
        <v>9122</v>
      </c>
      <c r="L2349" s="131" t="s">
        <v>100</v>
      </c>
      <c r="M2349" s="135" t="s">
        <v>845</v>
      </c>
      <c r="N2349" s="123" t="s">
        <v>845</v>
      </c>
    </row>
    <row r="2350" spans="2:14" hidden="1" x14ac:dyDescent="0.25">
      <c r="B2350" s="120">
        <v>2347</v>
      </c>
      <c r="C2350" s="123">
        <v>10411825189</v>
      </c>
      <c r="D2350" s="126" t="s">
        <v>9125</v>
      </c>
      <c r="E2350" s="126" t="s">
        <v>9126</v>
      </c>
      <c r="F2350" s="123" t="s">
        <v>67</v>
      </c>
      <c r="G2350" s="123" t="s">
        <v>67</v>
      </c>
      <c r="H2350" s="123" t="s">
        <v>67</v>
      </c>
      <c r="I2350" s="126" t="s">
        <v>1701</v>
      </c>
      <c r="J2350" s="123" t="s">
        <v>9127</v>
      </c>
      <c r="K2350" s="123" t="s">
        <v>9125</v>
      </c>
      <c r="L2350" s="131" t="s">
        <v>100</v>
      </c>
      <c r="M2350" s="135" t="s">
        <v>845</v>
      </c>
      <c r="N2350" s="123" t="s">
        <v>845</v>
      </c>
    </row>
    <row r="2351" spans="2:14" hidden="1" x14ac:dyDescent="0.25">
      <c r="B2351" s="120">
        <v>2348</v>
      </c>
      <c r="C2351" s="123">
        <v>10159740949</v>
      </c>
      <c r="D2351" s="126" t="s">
        <v>9128</v>
      </c>
      <c r="E2351" s="126" t="s">
        <v>9129</v>
      </c>
      <c r="F2351" s="123" t="s">
        <v>30</v>
      </c>
      <c r="G2351" s="123" t="s">
        <v>54</v>
      </c>
      <c r="H2351" s="123" t="s">
        <v>54</v>
      </c>
      <c r="I2351" s="126" t="s">
        <v>1701</v>
      </c>
      <c r="J2351" s="123" t="s">
        <v>9130</v>
      </c>
      <c r="K2351" s="123" t="s">
        <v>9128</v>
      </c>
      <c r="L2351" s="131" t="s">
        <v>100</v>
      </c>
      <c r="M2351" s="135" t="s">
        <v>845</v>
      </c>
      <c r="N2351" s="123" t="s">
        <v>845</v>
      </c>
    </row>
    <row r="2352" spans="2:14" hidden="1" x14ac:dyDescent="0.25">
      <c r="B2352" s="120">
        <v>2349</v>
      </c>
      <c r="C2352" s="123">
        <v>10704776603</v>
      </c>
      <c r="D2352" s="126" t="s">
        <v>9131</v>
      </c>
      <c r="E2352" s="126" t="s">
        <v>9132</v>
      </c>
      <c r="F2352" s="123" t="s">
        <v>30</v>
      </c>
      <c r="G2352" s="123" t="s">
        <v>31</v>
      </c>
      <c r="H2352" s="123" t="s">
        <v>149</v>
      </c>
      <c r="I2352" s="126" t="s">
        <v>1394</v>
      </c>
      <c r="J2352" s="123" t="s">
        <v>9133</v>
      </c>
      <c r="K2352" s="123" t="s">
        <v>9131</v>
      </c>
      <c r="L2352" s="131" t="s">
        <v>100</v>
      </c>
      <c r="M2352" s="135" t="s">
        <v>845</v>
      </c>
      <c r="N2352" s="123" t="s">
        <v>845</v>
      </c>
    </row>
    <row r="2353" spans="2:14" hidden="1" x14ac:dyDescent="0.25">
      <c r="B2353" s="120">
        <v>2350</v>
      </c>
      <c r="C2353" s="123">
        <v>10096002870</v>
      </c>
      <c r="D2353" s="126" t="s">
        <v>9134</v>
      </c>
      <c r="E2353" s="126" t="s">
        <v>9135</v>
      </c>
      <c r="F2353" s="123" t="s">
        <v>30</v>
      </c>
      <c r="G2353" s="123" t="s">
        <v>30</v>
      </c>
      <c r="H2353" s="123" t="s">
        <v>72</v>
      </c>
      <c r="I2353" s="126" t="s">
        <v>1943</v>
      </c>
      <c r="J2353" s="123" t="s">
        <v>9136</v>
      </c>
      <c r="K2353" s="123" t="s">
        <v>9134</v>
      </c>
      <c r="L2353" s="131" t="s">
        <v>100</v>
      </c>
      <c r="M2353" s="135" t="s">
        <v>845</v>
      </c>
      <c r="N2353" s="123" t="s">
        <v>845</v>
      </c>
    </row>
    <row r="2354" spans="2:14" hidden="1" x14ac:dyDescent="0.25">
      <c r="B2354" s="120">
        <v>2351</v>
      </c>
      <c r="C2354" s="123">
        <v>10463740360</v>
      </c>
      <c r="D2354" s="126" t="s">
        <v>9137</v>
      </c>
      <c r="E2354" s="126" t="s">
        <v>9138</v>
      </c>
      <c r="F2354" s="123" t="s">
        <v>30</v>
      </c>
      <c r="G2354" s="123" t="s">
        <v>30</v>
      </c>
      <c r="H2354" s="123" t="s">
        <v>52</v>
      </c>
      <c r="I2354" s="126" t="s">
        <v>9139</v>
      </c>
      <c r="J2354" s="123" t="s">
        <v>9140</v>
      </c>
      <c r="K2354" s="123" t="s">
        <v>9137</v>
      </c>
      <c r="L2354" s="131" t="s">
        <v>100</v>
      </c>
      <c r="M2354" s="135" t="s">
        <v>845</v>
      </c>
      <c r="N2354" s="123" t="s">
        <v>845</v>
      </c>
    </row>
    <row r="2355" spans="2:14" hidden="1" x14ac:dyDescent="0.25">
      <c r="B2355" s="120">
        <v>2352</v>
      </c>
      <c r="C2355" s="123">
        <v>10483349527</v>
      </c>
      <c r="D2355" s="126" t="s">
        <v>9141</v>
      </c>
      <c r="E2355" s="126" t="s">
        <v>9142</v>
      </c>
      <c r="F2355" s="123" t="s">
        <v>30</v>
      </c>
      <c r="G2355" s="123" t="s">
        <v>30</v>
      </c>
      <c r="H2355" s="123" t="s">
        <v>113</v>
      </c>
      <c r="I2355" s="126" t="s">
        <v>1424</v>
      </c>
      <c r="J2355" s="123" t="s">
        <v>9143</v>
      </c>
      <c r="K2355" s="123" t="s">
        <v>9144</v>
      </c>
      <c r="L2355" s="131" t="s">
        <v>100</v>
      </c>
      <c r="M2355" s="135" t="s">
        <v>845</v>
      </c>
      <c r="N2355" s="123" t="s">
        <v>845</v>
      </c>
    </row>
    <row r="2356" spans="2:14" hidden="1" x14ac:dyDescent="0.25">
      <c r="B2356" s="120">
        <v>2353</v>
      </c>
      <c r="C2356" s="123">
        <v>10258437123</v>
      </c>
      <c r="D2356" s="126" t="s">
        <v>9145</v>
      </c>
      <c r="E2356" s="126" t="s">
        <v>9146</v>
      </c>
      <c r="F2356" s="123" t="s">
        <v>67</v>
      </c>
      <c r="G2356" s="123" t="s">
        <v>67</v>
      </c>
      <c r="H2356" s="123" t="s">
        <v>67</v>
      </c>
      <c r="I2356" s="126" t="s">
        <v>8743</v>
      </c>
      <c r="J2356" s="123" t="s">
        <v>9147</v>
      </c>
      <c r="K2356" s="123" t="s">
        <v>9145</v>
      </c>
      <c r="L2356" s="131" t="s">
        <v>100</v>
      </c>
      <c r="M2356" s="135" t="s">
        <v>845</v>
      </c>
      <c r="N2356" s="123" t="s">
        <v>845</v>
      </c>
    </row>
    <row r="2357" spans="2:14" hidden="1" x14ac:dyDescent="0.25">
      <c r="B2357" s="120">
        <v>2354</v>
      </c>
      <c r="C2357" s="123">
        <v>10723297589</v>
      </c>
      <c r="D2357" s="126" t="s">
        <v>9148</v>
      </c>
      <c r="E2357" s="126" t="s">
        <v>9149</v>
      </c>
      <c r="F2357" s="123" t="s">
        <v>30</v>
      </c>
      <c r="G2357" s="123" t="s">
        <v>30</v>
      </c>
      <c r="H2357" s="123" t="s">
        <v>50</v>
      </c>
      <c r="I2357" s="126" t="s">
        <v>1931</v>
      </c>
      <c r="J2357" s="123" t="s">
        <v>9150</v>
      </c>
      <c r="K2357" s="123" t="s">
        <v>9148</v>
      </c>
      <c r="L2357" s="131" t="s">
        <v>100</v>
      </c>
      <c r="M2357" s="135" t="s">
        <v>845</v>
      </c>
      <c r="N2357" s="123" t="s">
        <v>845</v>
      </c>
    </row>
    <row r="2358" spans="2:14" hidden="1" x14ac:dyDescent="0.25">
      <c r="B2358" s="120">
        <v>2355</v>
      </c>
      <c r="C2358" s="123">
        <v>10408183010</v>
      </c>
      <c r="D2358" s="126" t="s">
        <v>9151</v>
      </c>
      <c r="E2358" s="126" t="s">
        <v>9152</v>
      </c>
      <c r="F2358" s="123" t="s">
        <v>30</v>
      </c>
      <c r="G2358" s="123" t="s">
        <v>30</v>
      </c>
      <c r="H2358" s="123" t="s">
        <v>40</v>
      </c>
      <c r="I2358" s="126" t="s">
        <v>9153</v>
      </c>
      <c r="J2358" s="123" t="s">
        <v>9154</v>
      </c>
      <c r="K2358" s="123" t="s">
        <v>9151</v>
      </c>
      <c r="L2358" s="131" t="s">
        <v>100</v>
      </c>
      <c r="M2358" s="135" t="s">
        <v>845</v>
      </c>
      <c r="N2358" s="123" t="s">
        <v>845</v>
      </c>
    </row>
    <row r="2359" spans="2:14" hidden="1" x14ac:dyDescent="0.25">
      <c r="B2359" s="120">
        <v>2356</v>
      </c>
      <c r="C2359" s="123">
        <v>10157542350</v>
      </c>
      <c r="D2359" s="126" t="s">
        <v>9155</v>
      </c>
      <c r="E2359" s="126" t="s">
        <v>9156</v>
      </c>
      <c r="F2359" s="123" t="s">
        <v>30</v>
      </c>
      <c r="G2359" s="123" t="s">
        <v>54</v>
      </c>
      <c r="H2359" s="123" t="s">
        <v>117</v>
      </c>
      <c r="I2359" s="126" t="s">
        <v>1942</v>
      </c>
      <c r="J2359" s="123" t="s">
        <v>9157</v>
      </c>
      <c r="K2359" s="123" t="s">
        <v>9155</v>
      </c>
      <c r="L2359" s="131" t="s">
        <v>100</v>
      </c>
      <c r="M2359" s="135" t="s">
        <v>845</v>
      </c>
      <c r="N2359" s="123" t="s">
        <v>845</v>
      </c>
    </row>
    <row r="2360" spans="2:14" hidden="1" x14ac:dyDescent="0.25">
      <c r="B2360" s="120">
        <v>2357</v>
      </c>
      <c r="C2360" s="123">
        <v>10157470197</v>
      </c>
      <c r="D2360" s="126" t="s">
        <v>9158</v>
      </c>
      <c r="E2360" s="126" t="s">
        <v>9159</v>
      </c>
      <c r="F2360" s="123" t="s">
        <v>30</v>
      </c>
      <c r="G2360" s="123" t="s">
        <v>54</v>
      </c>
      <c r="H2360" s="123" t="s">
        <v>54</v>
      </c>
      <c r="I2360" s="126" t="s">
        <v>1939</v>
      </c>
      <c r="J2360" s="123" t="s">
        <v>9160</v>
      </c>
      <c r="K2360" s="123" t="s">
        <v>9158</v>
      </c>
      <c r="L2360" s="131" t="s">
        <v>100</v>
      </c>
      <c r="M2360" s="135" t="s">
        <v>845</v>
      </c>
      <c r="N2360" s="123" t="s">
        <v>845</v>
      </c>
    </row>
    <row r="2361" spans="2:14" hidden="1" x14ac:dyDescent="0.25">
      <c r="B2361" s="120">
        <v>2358</v>
      </c>
      <c r="C2361" s="123">
        <v>10463239547</v>
      </c>
      <c r="D2361" s="126" t="s">
        <v>9161</v>
      </c>
      <c r="E2361" s="126" t="s">
        <v>9162</v>
      </c>
      <c r="F2361" s="123" t="s">
        <v>30</v>
      </c>
      <c r="G2361" s="123" t="s">
        <v>30</v>
      </c>
      <c r="H2361" s="123" t="s">
        <v>50</v>
      </c>
      <c r="I2361" s="126" t="s">
        <v>1551</v>
      </c>
      <c r="J2361" s="123" t="s">
        <v>9163</v>
      </c>
      <c r="K2361" s="123" t="s">
        <v>9161</v>
      </c>
      <c r="L2361" s="131" t="s">
        <v>100</v>
      </c>
      <c r="M2361" s="135" t="s">
        <v>845</v>
      </c>
      <c r="N2361" s="123" t="s">
        <v>845</v>
      </c>
    </row>
    <row r="2362" spans="2:14" hidden="1" x14ac:dyDescent="0.25">
      <c r="B2362" s="120">
        <v>2359</v>
      </c>
      <c r="C2362" s="123">
        <v>10451145938</v>
      </c>
      <c r="D2362" s="126" t="s">
        <v>9164</v>
      </c>
      <c r="E2362" s="126" t="s">
        <v>9165</v>
      </c>
      <c r="F2362" s="123" t="s">
        <v>67</v>
      </c>
      <c r="G2362" s="123" t="s">
        <v>67</v>
      </c>
      <c r="H2362" s="123" t="s">
        <v>67</v>
      </c>
      <c r="I2362" s="126" t="s">
        <v>1701</v>
      </c>
      <c r="J2362" s="123" t="s">
        <v>9166</v>
      </c>
      <c r="K2362" s="123" t="s">
        <v>9164</v>
      </c>
      <c r="L2362" s="131" t="s">
        <v>100</v>
      </c>
      <c r="M2362" s="135" t="s">
        <v>845</v>
      </c>
      <c r="N2362" s="123" t="s">
        <v>845</v>
      </c>
    </row>
    <row r="2363" spans="2:14" hidden="1" x14ac:dyDescent="0.25">
      <c r="B2363" s="120">
        <v>2360</v>
      </c>
      <c r="C2363" s="123">
        <v>10248087914</v>
      </c>
      <c r="D2363" s="126" t="s">
        <v>9167</v>
      </c>
      <c r="E2363" s="126" t="s">
        <v>9168</v>
      </c>
      <c r="F2363" s="123" t="s">
        <v>30</v>
      </c>
      <c r="G2363" s="123" t="s">
        <v>30</v>
      </c>
      <c r="H2363" s="123" t="s">
        <v>50</v>
      </c>
      <c r="I2363" s="126" t="s">
        <v>1931</v>
      </c>
      <c r="J2363" s="123" t="s">
        <v>9169</v>
      </c>
      <c r="K2363" s="123" t="s">
        <v>9167</v>
      </c>
      <c r="L2363" s="131" t="s">
        <v>100</v>
      </c>
      <c r="M2363" s="135" t="s">
        <v>845</v>
      </c>
      <c r="N2363" s="123" t="s">
        <v>845</v>
      </c>
    </row>
    <row r="2364" spans="2:14" hidden="1" x14ac:dyDescent="0.25">
      <c r="B2364" s="120">
        <v>2361</v>
      </c>
      <c r="C2364" s="123">
        <v>10106591551</v>
      </c>
      <c r="D2364" s="126" t="s">
        <v>9170</v>
      </c>
      <c r="E2364" s="126" t="s">
        <v>9171</v>
      </c>
      <c r="F2364" s="123" t="s">
        <v>30</v>
      </c>
      <c r="G2364" s="123" t="s">
        <v>30</v>
      </c>
      <c r="H2364" s="123" t="s">
        <v>30</v>
      </c>
      <c r="I2364" s="126" t="s">
        <v>1944</v>
      </c>
      <c r="J2364" s="123" t="s">
        <v>9172</v>
      </c>
      <c r="K2364" s="123" t="s">
        <v>9173</v>
      </c>
      <c r="L2364" s="131" t="s">
        <v>100</v>
      </c>
      <c r="M2364" s="135" t="s">
        <v>845</v>
      </c>
      <c r="N2364" s="123" t="s">
        <v>845</v>
      </c>
    </row>
    <row r="2365" spans="2:14" hidden="1" x14ac:dyDescent="0.25">
      <c r="B2365" s="120">
        <v>2362</v>
      </c>
      <c r="C2365" s="123">
        <v>10101492431</v>
      </c>
      <c r="D2365" s="126" t="s">
        <v>9174</v>
      </c>
      <c r="E2365" s="126" t="s">
        <v>9175</v>
      </c>
      <c r="F2365" s="123" t="s">
        <v>30</v>
      </c>
      <c r="G2365" s="123" t="s">
        <v>30</v>
      </c>
      <c r="H2365" s="123" t="s">
        <v>280</v>
      </c>
      <c r="I2365" s="126" t="s">
        <v>1701</v>
      </c>
      <c r="J2365" s="123" t="s">
        <v>9176</v>
      </c>
      <c r="K2365" s="123" t="s">
        <v>9174</v>
      </c>
      <c r="L2365" s="131" t="s">
        <v>100</v>
      </c>
      <c r="M2365" s="135" t="s">
        <v>845</v>
      </c>
      <c r="N2365" s="123" t="s">
        <v>845</v>
      </c>
    </row>
    <row r="2366" spans="2:14" hidden="1" x14ac:dyDescent="0.25">
      <c r="B2366" s="120">
        <v>2363</v>
      </c>
      <c r="C2366" s="123">
        <v>10459087210</v>
      </c>
      <c r="D2366" s="126" t="s">
        <v>9177</v>
      </c>
      <c r="E2366" s="126" t="s">
        <v>9178</v>
      </c>
      <c r="F2366" s="123" t="s">
        <v>30</v>
      </c>
      <c r="G2366" s="123" t="s">
        <v>170</v>
      </c>
      <c r="H2366" s="123" t="s">
        <v>171</v>
      </c>
      <c r="I2366" s="126" t="s">
        <v>9179</v>
      </c>
      <c r="J2366" s="123" t="s">
        <v>9180</v>
      </c>
      <c r="K2366" s="123" t="s">
        <v>9177</v>
      </c>
      <c r="L2366" s="131" t="s">
        <v>100</v>
      </c>
      <c r="M2366" s="135" t="s">
        <v>845</v>
      </c>
      <c r="N2366" s="123" t="s">
        <v>845</v>
      </c>
    </row>
    <row r="2367" spans="2:14" hidden="1" x14ac:dyDescent="0.25">
      <c r="B2367" s="120">
        <v>2364</v>
      </c>
      <c r="C2367" s="123">
        <v>10471249331</v>
      </c>
      <c r="D2367" s="126" t="s">
        <v>9181</v>
      </c>
      <c r="E2367" s="126" t="s">
        <v>9182</v>
      </c>
      <c r="F2367" s="123" t="s">
        <v>30</v>
      </c>
      <c r="G2367" s="123" t="s">
        <v>30</v>
      </c>
      <c r="H2367" s="123" t="s">
        <v>45</v>
      </c>
      <c r="I2367" s="126" t="s">
        <v>9183</v>
      </c>
      <c r="J2367" s="123" t="s">
        <v>9184</v>
      </c>
      <c r="K2367" s="123" t="s">
        <v>9181</v>
      </c>
      <c r="L2367" s="131" t="s">
        <v>100</v>
      </c>
      <c r="M2367" s="135" t="s">
        <v>845</v>
      </c>
      <c r="N2367" s="123" t="s">
        <v>845</v>
      </c>
    </row>
    <row r="2368" spans="2:14" hidden="1" x14ac:dyDescent="0.25">
      <c r="B2368" s="120">
        <v>2365</v>
      </c>
      <c r="C2368" s="123">
        <v>10765780239</v>
      </c>
      <c r="D2368" s="126" t="s">
        <v>9185</v>
      </c>
      <c r="E2368" s="126" t="s">
        <v>9186</v>
      </c>
      <c r="F2368" s="123" t="s">
        <v>67</v>
      </c>
      <c r="G2368" s="123" t="s">
        <v>67</v>
      </c>
      <c r="H2368" s="123" t="s">
        <v>94</v>
      </c>
      <c r="I2368" s="126" t="s">
        <v>1737</v>
      </c>
      <c r="J2368" s="123" t="s">
        <v>9187</v>
      </c>
      <c r="K2368" s="123" t="s">
        <v>9185</v>
      </c>
      <c r="L2368" s="131" t="s">
        <v>100</v>
      </c>
      <c r="M2368" s="135" t="s">
        <v>845</v>
      </c>
      <c r="N2368" s="123" t="s">
        <v>845</v>
      </c>
    </row>
    <row r="2369" spans="2:14" hidden="1" x14ac:dyDescent="0.25">
      <c r="B2369" s="120">
        <v>2366</v>
      </c>
      <c r="C2369" s="123">
        <v>10409303337</v>
      </c>
      <c r="D2369" s="126" t="s">
        <v>9188</v>
      </c>
      <c r="E2369" s="126" t="s">
        <v>9189</v>
      </c>
      <c r="F2369" s="123" t="s">
        <v>30</v>
      </c>
      <c r="G2369" s="123" t="s">
        <v>31</v>
      </c>
      <c r="H2369" s="123" t="s">
        <v>92</v>
      </c>
      <c r="I2369" s="126" t="s">
        <v>1950</v>
      </c>
      <c r="J2369" s="123" t="s">
        <v>9190</v>
      </c>
      <c r="K2369" s="123" t="s">
        <v>9188</v>
      </c>
      <c r="L2369" s="131" t="s">
        <v>100</v>
      </c>
      <c r="M2369" s="135" t="s">
        <v>845</v>
      </c>
      <c r="N2369" s="123" t="s">
        <v>845</v>
      </c>
    </row>
    <row r="2370" spans="2:14" hidden="1" x14ac:dyDescent="0.25">
      <c r="B2370" s="120">
        <v>2367</v>
      </c>
      <c r="C2370" s="123">
        <v>10104413850</v>
      </c>
      <c r="D2370" s="126" t="s">
        <v>9191</v>
      </c>
      <c r="E2370" s="126" t="s">
        <v>9192</v>
      </c>
      <c r="F2370" s="123" t="s">
        <v>30</v>
      </c>
      <c r="G2370" s="123" t="s">
        <v>30</v>
      </c>
      <c r="H2370" s="123" t="s">
        <v>60</v>
      </c>
      <c r="I2370" s="126" t="s">
        <v>1387</v>
      </c>
      <c r="J2370" s="123" t="s">
        <v>9193</v>
      </c>
      <c r="K2370" s="123" t="s">
        <v>9191</v>
      </c>
      <c r="L2370" s="131" t="s">
        <v>100</v>
      </c>
      <c r="M2370" s="135" t="s">
        <v>845</v>
      </c>
      <c r="N2370" s="123" t="s">
        <v>845</v>
      </c>
    </row>
    <row r="2371" spans="2:14" hidden="1" x14ac:dyDescent="0.25">
      <c r="B2371" s="120">
        <v>2368</v>
      </c>
      <c r="C2371" s="123">
        <v>10152171728</v>
      </c>
      <c r="D2371" s="126" t="s">
        <v>9194</v>
      </c>
      <c r="E2371" s="126" t="s">
        <v>9195</v>
      </c>
      <c r="F2371" s="123" t="s">
        <v>30</v>
      </c>
      <c r="G2371" s="123" t="s">
        <v>170</v>
      </c>
      <c r="H2371" s="123" t="s">
        <v>171</v>
      </c>
      <c r="I2371" s="126" t="s">
        <v>1945</v>
      </c>
      <c r="J2371" s="123" t="s">
        <v>9196</v>
      </c>
      <c r="K2371" s="123" t="s">
        <v>9194</v>
      </c>
      <c r="L2371" s="131" t="s">
        <v>100</v>
      </c>
      <c r="M2371" s="135" t="s">
        <v>845</v>
      </c>
      <c r="N2371" s="123" t="s">
        <v>845</v>
      </c>
    </row>
    <row r="2372" spans="2:14" hidden="1" x14ac:dyDescent="0.25">
      <c r="B2372" s="120">
        <v>2369</v>
      </c>
      <c r="C2372" s="123">
        <v>10433776777</v>
      </c>
      <c r="D2372" s="126" t="s">
        <v>9197</v>
      </c>
      <c r="E2372" s="126" t="s">
        <v>9198</v>
      </c>
      <c r="F2372" s="123" t="s">
        <v>30</v>
      </c>
      <c r="G2372" s="123" t="s">
        <v>168</v>
      </c>
      <c r="H2372" s="123" t="s">
        <v>180</v>
      </c>
      <c r="I2372" s="126" t="s">
        <v>1619</v>
      </c>
      <c r="J2372" s="123" t="s">
        <v>9199</v>
      </c>
      <c r="K2372" s="123" t="s">
        <v>9197</v>
      </c>
      <c r="L2372" s="131" t="s">
        <v>100</v>
      </c>
      <c r="M2372" s="135" t="s">
        <v>845</v>
      </c>
      <c r="N2372" s="123" t="s">
        <v>845</v>
      </c>
    </row>
    <row r="2373" spans="2:14" hidden="1" x14ac:dyDescent="0.25">
      <c r="B2373" s="120">
        <v>2370</v>
      </c>
      <c r="C2373" s="123">
        <v>10458800729</v>
      </c>
      <c r="D2373" s="126" t="s">
        <v>9200</v>
      </c>
      <c r="E2373" s="126" t="s">
        <v>9201</v>
      </c>
      <c r="F2373" s="123" t="s">
        <v>30</v>
      </c>
      <c r="G2373" s="123" t="s">
        <v>30</v>
      </c>
      <c r="H2373" s="123" t="s">
        <v>68</v>
      </c>
      <c r="I2373" s="126" t="s">
        <v>1984</v>
      </c>
      <c r="J2373" s="123" t="s">
        <v>9202</v>
      </c>
      <c r="K2373" s="123" t="s">
        <v>9200</v>
      </c>
      <c r="L2373" s="131" t="s">
        <v>100</v>
      </c>
      <c r="M2373" s="135" t="s">
        <v>845</v>
      </c>
      <c r="N2373" s="123" t="s">
        <v>845</v>
      </c>
    </row>
    <row r="2374" spans="2:14" hidden="1" x14ac:dyDescent="0.25">
      <c r="B2374" s="120">
        <v>2371</v>
      </c>
      <c r="C2374" s="123">
        <v>10418831303</v>
      </c>
      <c r="D2374" s="126" t="s">
        <v>9203</v>
      </c>
      <c r="E2374" s="126" t="s">
        <v>9204</v>
      </c>
      <c r="F2374" s="123" t="s">
        <v>30</v>
      </c>
      <c r="G2374" s="123" t="s">
        <v>30</v>
      </c>
      <c r="H2374" s="123" t="s">
        <v>50</v>
      </c>
      <c r="I2374" s="126" t="s">
        <v>1701</v>
      </c>
      <c r="J2374" s="123" t="s">
        <v>9205</v>
      </c>
      <c r="K2374" s="123" t="s">
        <v>9203</v>
      </c>
      <c r="L2374" s="131" t="s">
        <v>100</v>
      </c>
      <c r="M2374" s="135" t="s">
        <v>845</v>
      </c>
      <c r="N2374" s="123" t="s">
        <v>845</v>
      </c>
    </row>
    <row r="2375" spans="2:14" hidden="1" x14ac:dyDescent="0.25">
      <c r="B2375" s="120">
        <v>2372</v>
      </c>
      <c r="C2375" s="123">
        <v>10477962357</v>
      </c>
      <c r="D2375" s="126" t="s">
        <v>9206</v>
      </c>
      <c r="E2375" s="126" t="s">
        <v>9207</v>
      </c>
      <c r="F2375" s="123" t="s">
        <v>30</v>
      </c>
      <c r="G2375" s="123" t="s">
        <v>30</v>
      </c>
      <c r="H2375" s="123" t="s">
        <v>45</v>
      </c>
      <c r="I2375" s="126" t="s">
        <v>1980</v>
      </c>
      <c r="J2375" s="123" t="s">
        <v>9208</v>
      </c>
      <c r="K2375" s="123" t="s">
        <v>9206</v>
      </c>
      <c r="L2375" s="131" t="s">
        <v>100</v>
      </c>
      <c r="M2375" s="135" t="s">
        <v>845</v>
      </c>
      <c r="N2375" s="123" t="s">
        <v>845</v>
      </c>
    </row>
    <row r="2376" spans="2:14" hidden="1" x14ac:dyDescent="0.25">
      <c r="B2376" s="120">
        <v>2373</v>
      </c>
      <c r="C2376" s="123">
        <v>10412020346</v>
      </c>
      <c r="D2376" s="126" t="s">
        <v>9209</v>
      </c>
      <c r="E2376" s="126" t="s">
        <v>9210</v>
      </c>
      <c r="F2376" s="123" t="s">
        <v>30</v>
      </c>
      <c r="G2376" s="123" t="s">
        <v>30</v>
      </c>
      <c r="H2376" s="123" t="s">
        <v>41</v>
      </c>
      <c r="I2376" s="126" t="s">
        <v>1398</v>
      </c>
      <c r="J2376" s="123" t="s">
        <v>9211</v>
      </c>
      <c r="K2376" s="123" t="s">
        <v>9209</v>
      </c>
      <c r="L2376" s="131" t="s">
        <v>100</v>
      </c>
      <c r="M2376" s="135" t="s">
        <v>845</v>
      </c>
      <c r="N2376" s="123" t="s">
        <v>845</v>
      </c>
    </row>
    <row r="2377" spans="2:14" hidden="1" x14ac:dyDescent="0.25">
      <c r="B2377" s="120">
        <v>2374</v>
      </c>
      <c r="C2377" s="123">
        <v>10416967097</v>
      </c>
      <c r="D2377" s="126" t="s">
        <v>9212</v>
      </c>
      <c r="E2377" s="126" t="s">
        <v>9213</v>
      </c>
      <c r="F2377" s="123" t="s">
        <v>30</v>
      </c>
      <c r="G2377" s="123" t="s">
        <v>54</v>
      </c>
      <c r="H2377" s="123" t="s">
        <v>55</v>
      </c>
      <c r="I2377" s="126" t="s">
        <v>1655</v>
      </c>
      <c r="J2377" s="123" t="s">
        <v>9214</v>
      </c>
      <c r="K2377" s="123" t="s">
        <v>9212</v>
      </c>
      <c r="L2377" s="131" t="s">
        <v>100</v>
      </c>
      <c r="M2377" s="135" t="s">
        <v>845</v>
      </c>
      <c r="N2377" s="123" t="s">
        <v>845</v>
      </c>
    </row>
    <row r="2378" spans="2:14" hidden="1" x14ac:dyDescent="0.25">
      <c r="B2378" s="120">
        <v>2375</v>
      </c>
      <c r="C2378" s="123">
        <v>10086334831</v>
      </c>
      <c r="D2378" s="126" t="s">
        <v>9215</v>
      </c>
      <c r="E2378" s="126" t="s">
        <v>9216</v>
      </c>
      <c r="F2378" s="123" t="s">
        <v>30</v>
      </c>
      <c r="G2378" s="123" t="s">
        <v>30</v>
      </c>
      <c r="H2378" s="123" t="s">
        <v>72</v>
      </c>
      <c r="I2378" s="126" t="s">
        <v>1701</v>
      </c>
      <c r="J2378" s="123" t="s">
        <v>9217</v>
      </c>
      <c r="K2378" s="123" t="s">
        <v>9215</v>
      </c>
      <c r="L2378" s="131" t="s">
        <v>100</v>
      </c>
      <c r="M2378" s="135" t="s">
        <v>845</v>
      </c>
      <c r="N2378" s="123" t="s">
        <v>845</v>
      </c>
    </row>
    <row r="2379" spans="2:14" hidden="1" x14ac:dyDescent="0.25">
      <c r="B2379" s="120">
        <v>2376</v>
      </c>
      <c r="C2379" s="123">
        <v>10407900800</v>
      </c>
      <c r="D2379" s="126" t="s">
        <v>9218</v>
      </c>
      <c r="E2379" s="126" t="s">
        <v>9219</v>
      </c>
      <c r="F2379" s="123" t="s">
        <v>30</v>
      </c>
      <c r="G2379" s="123" t="s">
        <v>30</v>
      </c>
      <c r="H2379" s="123" t="s">
        <v>72</v>
      </c>
      <c r="I2379" s="126" t="s">
        <v>1564</v>
      </c>
      <c r="J2379" s="123" t="s">
        <v>9220</v>
      </c>
      <c r="K2379" s="123" t="s">
        <v>9218</v>
      </c>
      <c r="L2379" s="131" t="s">
        <v>100</v>
      </c>
      <c r="M2379" s="135" t="s">
        <v>845</v>
      </c>
      <c r="N2379" s="123" t="s">
        <v>845</v>
      </c>
    </row>
    <row r="2380" spans="2:14" hidden="1" x14ac:dyDescent="0.25">
      <c r="B2380" s="120">
        <v>2377</v>
      </c>
      <c r="C2380" s="123">
        <v>10214189467</v>
      </c>
      <c r="D2380" s="126" t="s">
        <v>9221</v>
      </c>
      <c r="E2380" s="126" t="s">
        <v>9222</v>
      </c>
      <c r="F2380" s="123" t="s">
        <v>30</v>
      </c>
      <c r="G2380" s="123" t="s">
        <v>30</v>
      </c>
      <c r="H2380" s="123" t="s">
        <v>75</v>
      </c>
      <c r="I2380" s="126" t="s">
        <v>8743</v>
      </c>
      <c r="J2380" s="123">
        <v>21418946</v>
      </c>
      <c r="K2380" s="123" t="s">
        <v>9221</v>
      </c>
      <c r="L2380" s="131" t="s">
        <v>100</v>
      </c>
      <c r="M2380" s="135" t="s">
        <v>845</v>
      </c>
      <c r="N2380" s="123" t="s">
        <v>845</v>
      </c>
    </row>
    <row r="2381" spans="2:14" hidden="1" x14ac:dyDescent="0.25">
      <c r="B2381" s="120">
        <v>2378</v>
      </c>
      <c r="C2381" s="123">
        <v>10714488991</v>
      </c>
      <c r="D2381" s="126" t="s">
        <v>9223</v>
      </c>
      <c r="E2381" s="126" t="s">
        <v>9224</v>
      </c>
      <c r="F2381" s="123" t="s">
        <v>30</v>
      </c>
      <c r="G2381" s="123" t="s">
        <v>170</v>
      </c>
      <c r="H2381" s="123" t="s">
        <v>174</v>
      </c>
      <c r="I2381" s="126" t="s">
        <v>1701</v>
      </c>
      <c r="J2381" s="123" t="s">
        <v>9225</v>
      </c>
      <c r="K2381" s="123" t="s">
        <v>9223</v>
      </c>
      <c r="L2381" s="131" t="s">
        <v>100</v>
      </c>
      <c r="M2381" s="135" t="s">
        <v>845</v>
      </c>
      <c r="N2381" s="123" t="s">
        <v>845</v>
      </c>
    </row>
    <row r="2382" spans="2:14" hidden="1" x14ac:dyDescent="0.25">
      <c r="B2382" s="120">
        <v>2379</v>
      </c>
      <c r="C2382" s="123">
        <v>10090598711</v>
      </c>
      <c r="D2382" s="126" t="s">
        <v>9226</v>
      </c>
      <c r="E2382" s="126" t="s">
        <v>9227</v>
      </c>
      <c r="F2382" s="123" t="s">
        <v>30</v>
      </c>
      <c r="G2382" s="123" t="s">
        <v>30</v>
      </c>
      <c r="H2382" s="123" t="s">
        <v>51</v>
      </c>
      <c r="I2382" s="126" t="s">
        <v>1441</v>
      </c>
      <c r="J2382" s="123" t="s">
        <v>9228</v>
      </c>
      <c r="K2382" s="123" t="s">
        <v>9226</v>
      </c>
      <c r="L2382" s="131" t="s">
        <v>100</v>
      </c>
      <c r="M2382" s="135" t="s">
        <v>845</v>
      </c>
      <c r="N2382" s="123" t="s">
        <v>845</v>
      </c>
    </row>
    <row r="2383" spans="2:14" hidden="1" x14ac:dyDescent="0.25">
      <c r="B2383" s="120">
        <v>2380</v>
      </c>
      <c r="C2383" s="123">
        <v>10454807184</v>
      </c>
      <c r="D2383" s="126" t="s">
        <v>9229</v>
      </c>
      <c r="E2383" s="126" t="s">
        <v>9230</v>
      </c>
      <c r="F2383" s="123" t="s">
        <v>30</v>
      </c>
      <c r="G2383" s="123" t="s">
        <v>30</v>
      </c>
      <c r="H2383" s="123" t="s">
        <v>30</v>
      </c>
      <c r="I2383" s="126" t="s">
        <v>1930</v>
      </c>
      <c r="J2383" s="123" t="s">
        <v>9231</v>
      </c>
      <c r="K2383" s="123" t="s">
        <v>9232</v>
      </c>
      <c r="L2383" s="131" t="s">
        <v>100</v>
      </c>
      <c r="M2383" s="135" t="s">
        <v>845</v>
      </c>
      <c r="N2383" s="123" t="s">
        <v>845</v>
      </c>
    </row>
    <row r="2384" spans="2:14" hidden="1" x14ac:dyDescent="0.25">
      <c r="B2384" s="120">
        <v>2381</v>
      </c>
      <c r="C2384" s="123">
        <v>10700121882</v>
      </c>
      <c r="D2384" s="126" t="s">
        <v>9233</v>
      </c>
      <c r="E2384" s="126" t="s">
        <v>9234</v>
      </c>
      <c r="F2384" s="123" t="s">
        <v>67</v>
      </c>
      <c r="G2384" s="123" t="s">
        <v>67</v>
      </c>
      <c r="H2384" s="123" t="s">
        <v>94</v>
      </c>
      <c r="I2384" s="126" t="s">
        <v>6746</v>
      </c>
      <c r="J2384" s="123" t="s">
        <v>9235</v>
      </c>
      <c r="K2384" s="123" t="s">
        <v>9236</v>
      </c>
      <c r="L2384" s="131" t="s">
        <v>100</v>
      </c>
      <c r="M2384" s="135" t="s">
        <v>845</v>
      </c>
      <c r="N2384" s="123" t="s">
        <v>845</v>
      </c>
    </row>
    <row r="2385" spans="2:14" hidden="1" x14ac:dyDescent="0.25">
      <c r="B2385" s="120">
        <v>2382</v>
      </c>
      <c r="C2385" s="123">
        <v>10450896727</v>
      </c>
      <c r="D2385" s="126" t="s">
        <v>9237</v>
      </c>
      <c r="E2385" s="126" t="s">
        <v>9238</v>
      </c>
      <c r="F2385" s="123" t="s">
        <v>30</v>
      </c>
      <c r="G2385" s="123" t="s">
        <v>30</v>
      </c>
      <c r="H2385" s="123" t="s">
        <v>60</v>
      </c>
      <c r="I2385" s="126" t="s">
        <v>9239</v>
      </c>
      <c r="J2385" s="123" t="s">
        <v>9240</v>
      </c>
      <c r="K2385" s="123" t="s">
        <v>9237</v>
      </c>
      <c r="L2385" s="131" t="s">
        <v>100</v>
      </c>
      <c r="M2385" s="135" t="s">
        <v>845</v>
      </c>
      <c r="N2385" s="123" t="s">
        <v>845</v>
      </c>
    </row>
    <row r="2386" spans="2:14" hidden="1" x14ac:dyDescent="0.25">
      <c r="B2386" s="120">
        <v>2383</v>
      </c>
      <c r="C2386" s="123">
        <v>10475415383</v>
      </c>
      <c r="D2386" s="126" t="s">
        <v>9241</v>
      </c>
      <c r="E2386" s="126" t="s">
        <v>9242</v>
      </c>
      <c r="F2386" s="123" t="s">
        <v>30</v>
      </c>
      <c r="G2386" s="123" t="s">
        <v>30</v>
      </c>
      <c r="H2386" s="123" t="s">
        <v>39</v>
      </c>
      <c r="I2386" s="126" t="s">
        <v>1950</v>
      </c>
      <c r="J2386" s="123" t="s">
        <v>9243</v>
      </c>
      <c r="K2386" s="123" t="s">
        <v>9241</v>
      </c>
      <c r="L2386" s="131" t="s">
        <v>100</v>
      </c>
      <c r="M2386" s="135" t="s">
        <v>845</v>
      </c>
      <c r="N2386" s="123" t="s">
        <v>845</v>
      </c>
    </row>
    <row r="2387" spans="2:14" hidden="1" x14ac:dyDescent="0.25">
      <c r="B2387" s="120">
        <v>2384</v>
      </c>
      <c r="C2387" s="123">
        <v>10448761385</v>
      </c>
      <c r="D2387" s="126" t="s">
        <v>9244</v>
      </c>
      <c r="E2387" s="126" t="s">
        <v>9245</v>
      </c>
      <c r="F2387" s="123" t="s">
        <v>30</v>
      </c>
      <c r="G2387" s="123" t="s">
        <v>168</v>
      </c>
      <c r="H2387" s="123" t="s">
        <v>168</v>
      </c>
      <c r="I2387" s="126" t="s">
        <v>1655</v>
      </c>
      <c r="J2387" s="123" t="s">
        <v>9246</v>
      </c>
      <c r="K2387" s="123" t="s">
        <v>9244</v>
      </c>
      <c r="L2387" s="131" t="s">
        <v>100</v>
      </c>
      <c r="M2387" s="135" t="s">
        <v>845</v>
      </c>
      <c r="N2387" s="123" t="s">
        <v>845</v>
      </c>
    </row>
    <row r="2388" spans="2:14" hidden="1" x14ac:dyDescent="0.25">
      <c r="B2388" s="120">
        <v>2385</v>
      </c>
      <c r="C2388" s="123">
        <v>10157640149</v>
      </c>
      <c r="D2388" s="126" t="s">
        <v>9247</v>
      </c>
      <c r="E2388" s="126" t="s">
        <v>9248</v>
      </c>
      <c r="F2388" s="123" t="s">
        <v>30</v>
      </c>
      <c r="G2388" s="123" t="s">
        <v>170</v>
      </c>
      <c r="H2388" s="123" t="s">
        <v>179</v>
      </c>
      <c r="I2388" s="126" t="s">
        <v>1424</v>
      </c>
      <c r="J2388" s="123" t="s">
        <v>9249</v>
      </c>
      <c r="K2388" s="123" t="s">
        <v>9247</v>
      </c>
      <c r="L2388" s="131" t="s">
        <v>100</v>
      </c>
      <c r="M2388" s="135" t="s">
        <v>845</v>
      </c>
      <c r="N2388" s="123" t="s">
        <v>845</v>
      </c>
    </row>
    <row r="2389" spans="2:14" hidden="1" x14ac:dyDescent="0.25">
      <c r="B2389" s="120">
        <v>2386</v>
      </c>
      <c r="C2389" s="123">
        <v>10419124333</v>
      </c>
      <c r="D2389" s="126" t="s">
        <v>9250</v>
      </c>
      <c r="E2389" s="126" t="s">
        <v>9251</v>
      </c>
      <c r="F2389" s="123" t="s">
        <v>30</v>
      </c>
      <c r="G2389" s="123" t="s">
        <v>30</v>
      </c>
      <c r="H2389" s="123" t="s">
        <v>30</v>
      </c>
      <c r="I2389" s="126" t="s">
        <v>1365</v>
      </c>
      <c r="J2389" s="123" t="s">
        <v>9252</v>
      </c>
      <c r="K2389" s="123" t="s">
        <v>9250</v>
      </c>
      <c r="L2389" s="131" t="s">
        <v>100</v>
      </c>
      <c r="M2389" s="135" t="s">
        <v>845</v>
      </c>
      <c r="N2389" s="123" t="s">
        <v>845</v>
      </c>
    </row>
    <row r="2390" spans="2:14" hidden="1" x14ac:dyDescent="0.25">
      <c r="B2390" s="120">
        <v>2387</v>
      </c>
      <c r="C2390" s="123">
        <v>10077962226</v>
      </c>
      <c r="D2390" s="126" t="s">
        <v>9253</v>
      </c>
      <c r="E2390" s="126" t="s">
        <v>9254</v>
      </c>
      <c r="F2390" s="123" t="s">
        <v>30</v>
      </c>
      <c r="G2390" s="123" t="s">
        <v>30</v>
      </c>
      <c r="H2390" s="123" t="s">
        <v>38</v>
      </c>
      <c r="I2390" s="126" t="s">
        <v>1564</v>
      </c>
      <c r="J2390" s="123" t="s">
        <v>9255</v>
      </c>
      <c r="K2390" s="123" t="s">
        <v>9253</v>
      </c>
      <c r="L2390" s="131" t="s">
        <v>100</v>
      </c>
      <c r="M2390" s="135" t="s">
        <v>845</v>
      </c>
      <c r="N2390" s="123" t="s">
        <v>845</v>
      </c>
    </row>
    <row r="2391" spans="2:14" hidden="1" x14ac:dyDescent="0.25">
      <c r="B2391" s="120">
        <v>2388</v>
      </c>
      <c r="C2391" s="123">
        <v>10464182816</v>
      </c>
      <c r="D2391" s="126" t="s">
        <v>9256</v>
      </c>
      <c r="E2391" s="126" t="s">
        <v>9257</v>
      </c>
      <c r="F2391" s="123" t="s">
        <v>30</v>
      </c>
      <c r="G2391" s="123" t="s">
        <v>30</v>
      </c>
      <c r="H2391" s="123" t="s">
        <v>45</v>
      </c>
      <c r="I2391" s="126" t="s">
        <v>1930</v>
      </c>
      <c r="J2391" s="123" t="s">
        <v>9258</v>
      </c>
      <c r="K2391" s="123" t="s">
        <v>9259</v>
      </c>
      <c r="L2391" s="131" t="s">
        <v>100</v>
      </c>
      <c r="M2391" s="135" t="s">
        <v>845</v>
      </c>
      <c r="N2391" s="123" t="s">
        <v>845</v>
      </c>
    </row>
    <row r="2392" spans="2:14" hidden="1" x14ac:dyDescent="0.25">
      <c r="B2392" s="120">
        <v>2389</v>
      </c>
      <c r="C2392" s="123">
        <v>10438232961</v>
      </c>
      <c r="D2392" s="126" t="s">
        <v>9260</v>
      </c>
      <c r="E2392" s="126" t="s">
        <v>9261</v>
      </c>
      <c r="F2392" s="123" t="s">
        <v>30</v>
      </c>
      <c r="G2392" s="123" t="s">
        <v>30</v>
      </c>
      <c r="H2392" s="123" t="s">
        <v>75</v>
      </c>
      <c r="I2392" s="126" t="s">
        <v>1424</v>
      </c>
      <c r="J2392" s="123" t="s">
        <v>9262</v>
      </c>
      <c r="K2392" s="123" t="s">
        <v>9260</v>
      </c>
      <c r="L2392" s="131" t="s">
        <v>100</v>
      </c>
      <c r="M2392" s="135" t="s">
        <v>845</v>
      </c>
      <c r="N2392" s="123" t="s">
        <v>845</v>
      </c>
    </row>
    <row r="2393" spans="2:14" hidden="1" x14ac:dyDescent="0.25">
      <c r="B2393" s="120">
        <v>2390</v>
      </c>
      <c r="C2393" s="123">
        <v>10157248869</v>
      </c>
      <c r="D2393" s="126" t="s">
        <v>9263</v>
      </c>
      <c r="E2393" s="126" t="s">
        <v>9264</v>
      </c>
      <c r="F2393" s="123" t="s">
        <v>30</v>
      </c>
      <c r="G2393" s="123" t="s">
        <v>170</v>
      </c>
      <c r="H2393" s="123" t="s">
        <v>171</v>
      </c>
      <c r="I2393" s="126" t="s">
        <v>1701</v>
      </c>
      <c r="J2393" s="123" t="s">
        <v>9265</v>
      </c>
      <c r="K2393" s="123" t="s">
        <v>9263</v>
      </c>
      <c r="L2393" s="131" t="s">
        <v>100</v>
      </c>
      <c r="M2393" s="135" t="s">
        <v>845</v>
      </c>
      <c r="N2393" s="123" t="s">
        <v>845</v>
      </c>
    </row>
    <row r="2394" spans="2:14" hidden="1" x14ac:dyDescent="0.25">
      <c r="B2394" s="120">
        <v>2391</v>
      </c>
      <c r="C2394" s="123">
        <v>10401586305</v>
      </c>
      <c r="D2394" s="126" t="s">
        <v>9266</v>
      </c>
      <c r="E2394" s="126" t="s">
        <v>9267</v>
      </c>
      <c r="F2394" s="123" t="s">
        <v>30</v>
      </c>
      <c r="G2394" s="123" t="s">
        <v>30</v>
      </c>
      <c r="H2394" s="123" t="s">
        <v>75</v>
      </c>
      <c r="I2394" s="126" t="s">
        <v>1930</v>
      </c>
      <c r="J2394" s="123" t="s">
        <v>9268</v>
      </c>
      <c r="K2394" s="123" t="s">
        <v>9266</v>
      </c>
      <c r="L2394" s="131" t="s">
        <v>100</v>
      </c>
      <c r="M2394" s="135" t="s">
        <v>845</v>
      </c>
      <c r="N2394" s="123" t="s">
        <v>845</v>
      </c>
    </row>
    <row r="2395" spans="2:14" hidden="1" x14ac:dyDescent="0.25">
      <c r="B2395" s="120">
        <v>2392</v>
      </c>
      <c r="C2395" s="123">
        <v>10068700171</v>
      </c>
      <c r="D2395" s="126" t="s">
        <v>9269</v>
      </c>
      <c r="E2395" s="126" t="s">
        <v>9270</v>
      </c>
      <c r="F2395" s="123" t="s">
        <v>30</v>
      </c>
      <c r="G2395" s="123" t="s">
        <v>30</v>
      </c>
      <c r="H2395" s="123" t="s">
        <v>72</v>
      </c>
      <c r="I2395" s="126" t="s">
        <v>1727</v>
      </c>
      <c r="J2395" s="123" t="s">
        <v>9271</v>
      </c>
      <c r="K2395" s="123" t="s">
        <v>9272</v>
      </c>
      <c r="L2395" s="131" t="s">
        <v>100</v>
      </c>
      <c r="M2395" s="135" t="s">
        <v>845</v>
      </c>
      <c r="N2395" s="123" t="s">
        <v>845</v>
      </c>
    </row>
    <row r="2396" spans="2:14" hidden="1" x14ac:dyDescent="0.25">
      <c r="B2396" s="120">
        <v>2393</v>
      </c>
      <c r="C2396" s="123">
        <v>10429725661</v>
      </c>
      <c r="D2396" s="126" t="s">
        <v>9273</v>
      </c>
      <c r="E2396" s="126" t="s">
        <v>9274</v>
      </c>
      <c r="F2396" s="123" t="s">
        <v>30</v>
      </c>
      <c r="G2396" s="123" t="s">
        <v>30</v>
      </c>
      <c r="H2396" s="123" t="s">
        <v>88</v>
      </c>
      <c r="I2396" s="126" t="s">
        <v>1365</v>
      </c>
      <c r="J2396" s="123" t="s">
        <v>9275</v>
      </c>
      <c r="K2396" s="123" t="s">
        <v>9273</v>
      </c>
      <c r="L2396" s="131" t="s">
        <v>100</v>
      </c>
      <c r="M2396" s="135" t="s">
        <v>845</v>
      </c>
      <c r="N2396" s="123" t="s">
        <v>845</v>
      </c>
    </row>
    <row r="2397" spans="2:14" hidden="1" x14ac:dyDescent="0.25">
      <c r="B2397" s="120">
        <v>2394</v>
      </c>
      <c r="C2397" s="123">
        <v>10157617384</v>
      </c>
      <c r="D2397" s="126" t="s">
        <v>9276</v>
      </c>
      <c r="E2397" s="126" t="s">
        <v>9277</v>
      </c>
      <c r="F2397" s="123" t="s">
        <v>30</v>
      </c>
      <c r="G2397" s="123" t="s">
        <v>170</v>
      </c>
      <c r="H2397" s="123" t="s">
        <v>175</v>
      </c>
      <c r="I2397" s="126" t="s">
        <v>1805</v>
      </c>
      <c r="J2397" s="123" t="s">
        <v>9278</v>
      </c>
      <c r="K2397" s="123" t="s">
        <v>9276</v>
      </c>
      <c r="L2397" s="131" t="s">
        <v>100</v>
      </c>
      <c r="M2397" s="135" t="s">
        <v>845</v>
      </c>
      <c r="N2397" s="123" t="s">
        <v>845</v>
      </c>
    </row>
    <row r="2398" spans="2:14" hidden="1" x14ac:dyDescent="0.25">
      <c r="B2398" s="120">
        <v>2395</v>
      </c>
      <c r="C2398" s="123">
        <v>10447950770</v>
      </c>
      <c r="D2398" s="126" t="s">
        <v>9279</v>
      </c>
      <c r="E2398" s="126" t="s">
        <v>9280</v>
      </c>
      <c r="F2398" s="123" t="s">
        <v>30</v>
      </c>
      <c r="G2398" s="123" t="s">
        <v>30</v>
      </c>
      <c r="H2398" s="123" t="s">
        <v>51</v>
      </c>
      <c r="I2398" s="126" t="s">
        <v>1701</v>
      </c>
      <c r="J2398" s="123" t="s">
        <v>9281</v>
      </c>
      <c r="K2398" s="123" t="s">
        <v>9279</v>
      </c>
      <c r="L2398" s="131" t="s">
        <v>100</v>
      </c>
      <c r="M2398" s="135" t="s">
        <v>845</v>
      </c>
      <c r="N2398" s="123" t="s">
        <v>845</v>
      </c>
    </row>
    <row r="2399" spans="2:14" hidden="1" x14ac:dyDescent="0.25">
      <c r="B2399" s="120">
        <v>2396</v>
      </c>
      <c r="C2399" s="123">
        <v>10097884965</v>
      </c>
      <c r="D2399" s="126" t="s">
        <v>9282</v>
      </c>
      <c r="E2399" s="126" t="s">
        <v>9283</v>
      </c>
      <c r="F2399" s="123" t="s">
        <v>30</v>
      </c>
      <c r="G2399" s="123" t="s">
        <v>30</v>
      </c>
      <c r="H2399" s="123" t="s">
        <v>58</v>
      </c>
      <c r="I2399" s="126" t="s">
        <v>1950</v>
      </c>
      <c r="J2399" s="123" t="s">
        <v>9284</v>
      </c>
      <c r="K2399" s="123" t="s">
        <v>9282</v>
      </c>
      <c r="L2399" s="131" t="s">
        <v>100</v>
      </c>
      <c r="M2399" s="135" t="s">
        <v>845</v>
      </c>
      <c r="N2399" s="123" t="s">
        <v>845</v>
      </c>
    </row>
    <row r="2400" spans="2:14" hidden="1" x14ac:dyDescent="0.25">
      <c r="B2400" s="120">
        <v>2397</v>
      </c>
      <c r="C2400" s="123">
        <v>10400674081</v>
      </c>
      <c r="D2400" s="126" t="s">
        <v>9285</v>
      </c>
      <c r="E2400" s="126" t="s">
        <v>9286</v>
      </c>
      <c r="F2400" s="123" t="s">
        <v>30</v>
      </c>
      <c r="G2400" s="123" t="s">
        <v>30</v>
      </c>
      <c r="H2400" s="123" t="s">
        <v>41</v>
      </c>
      <c r="I2400" s="126" t="s">
        <v>1484</v>
      </c>
      <c r="J2400" s="123" t="s">
        <v>9287</v>
      </c>
      <c r="K2400" s="123" t="s">
        <v>9288</v>
      </c>
      <c r="L2400" s="131" t="s">
        <v>100</v>
      </c>
      <c r="M2400" s="135" t="s">
        <v>845</v>
      </c>
      <c r="N2400" s="123" t="s">
        <v>845</v>
      </c>
    </row>
    <row r="2401" spans="2:14" hidden="1" x14ac:dyDescent="0.25">
      <c r="B2401" s="120">
        <v>2398</v>
      </c>
      <c r="C2401" s="123">
        <v>10449366731</v>
      </c>
      <c r="D2401" s="126" t="s">
        <v>9289</v>
      </c>
      <c r="E2401" s="126" t="s">
        <v>9290</v>
      </c>
      <c r="F2401" s="123" t="s">
        <v>30</v>
      </c>
      <c r="G2401" s="123" t="s">
        <v>30</v>
      </c>
      <c r="H2401" s="123" t="s">
        <v>51</v>
      </c>
      <c r="I2401" s="126" t="s">
        <v>1701</v>
      </c>
      <c r="J2401" s="123" t="s">
        <v>9291</v>
      </c>
      <c r="K2401" s="123" t="s">
        <v>9289</v>
      </c>
      <c r="L2401" s="131" t="s">
        <v>100</v>
      </c>
      <c r="M2401" s="135" t="s">
        <v>845</v>
      </c>
      <c r="N2401" s="123" t="s">
        <v>845</v>
      </c>
    </row>
    <row r="2402" spans="2:14" hidden="1" x14ac:dyDescent="0.25">
      <c r="B2402" s="120">
        <v>2399</v>
      </c>
      <c r="C2402" s="123">
        <v>10001056269</v>
      </c>
      <c r="D2402" s="126" t="s">
        <v>9292</v>
      </c>
      <c r="E2402" s="126" t="s">
        <v>9293</v>
      </c>
      <c r="F2402" s="123" t="s">
        <v>30</v>
      </c>
      <c r="G2402" s="123" t="s">
        <v>30</v>
      </c>
      <c r="H2402" s="123" t="s">
        <v>58</v>
      </c>
      <c r="I2402" s="126" t="s">
        <v>1551</v>
      </c>
      <c r="J2402" s="123" t="s">
        <v>9294</v>
      </c>
      <c r="K2402" s="123" t="s">
        <v>9292</v>
      </c>
      <c r="L2402" s="131" t="s">
        <v>100</v>
      </c>
      <c r="M2402" s="135" t="s">
        <v>845</v>
      </c>
      <c r="N2402" s="123" t="s">
        <v>845</v>
      </c>
    </row>
    <row r="2403" spans="2:14" hidden="1" x14ac:dyDescent="0.25">
      <c r="B2403" s="120">
        <v>2400</v>
      </c>
      <c r="C2403" s="123">
        <v>10408065467</v>
      </c>
      <c r="D2403" s="126" t="s">
        <v>9295</v>
      </c>
      <c r="E2403" s="126" t="s">
        <v>9296</v>
      </c>
      <c r="F2403" s="123" t="s">
        <v>30</v>
      </c>
      <c r="G2403" s="123" t="s">
        <v>30</v>
      </c>
      <c r="H2403" s="123" t="s">
        <v>35</v>
      </c>
      <c r="I2403" s="126" t="s">
        <v>1947</v>
      </c>
      <c r="J2403" s="123" t="s">
        <v>9297</v>
      </c>
      <c r="K2403" s="123" t="s">
        <v>9295</v>
      </c>
      <c r="L2403" s="131" t="s">
        <v>100</v>
      </c>
      <c r="M2403" s="135" t="s">
        <v>845</v>
      </c>
      <c r="N2403" s="123" t="s">
        <v>845</v>
      </c>
    </row>
    <row r="2404" spans="2:14" hidden="1" x14ac:dyDescent="0.25">
      <c r="B2404" s="120">
        <v>2401</v>
      </c>
      <c r="C2404" s="123">
        <v>10456161605</v>
      </c>
      <c r="D2404" s="126" t="s">
        <v>9298</v>
      </c>
      <c r="E2404" s="126" t="s">
        <v>9299</v>
      </c>
      <c r="F2404" s="123" t="s">
        <v>30</v>
      </c>
      <c r="G2404" s="123" t="s">
        <v>30</v>
      </c>
      <c r="H2404" s="123" t="s">
        <v>86</v>
      </c>
      <c r="I2404" s="126" t="s">
        <v>1595</v>
      </c>
      <c r="J2404" s="123" t="s">
        <v>9300</v>
      </c>
      <c r="K2404" s="123" t="s">
        <v>9301</v>
      </c>
      <c r="L2404" s="131" t="s">
        <v>100</v>
      </c>
      <c r="M2404" s="135" t="s">
        <v>845</v>
      </c>
      <c r="N2404" s="123" t="s">
        <v>845</v>
      </c>
    </row>
    <row r="2405" spans="2:14" hidden="1" x14ac:dyDescent="0.25">
      <c r="B2405" s="120">
        <v>2402</v>
      </c>
      <c r="C2405" s="123">
        <v>10457534375</v>
      </c>
      <c r="D2405" s="126" t="s">
        <v>9302</v>
      </c>
      <c r="E2405" s="126" t="s">
        <v>9303</v>
      </c>
      <c r="F2405" s="123" t="s">
        <v>30</v>
      </c>
      <c r="G2405" s="123" t="s">
        <v>30</v>
      </c>
      <c r="H2405" s="123" t="s">
        <v>50</v>
      </c>
      <c r="I2405" s="126" t="s">
        <v>1701</v>
      </c>
      <c r="J2405" s="123" t="s">
        <v>9304</v>
      </c>
      <c r="K2405" s="123" t="s">
        <v>9302</v>
      </c>
      <c r="L2405" s="131" t="s">
        <v>100</v>
      </c>
      <c r="M2405" s="135" t="s">
        <v>845</v>
      </c>
      <c r="N2405" s="123" t="s">
        <v>845</v>
      </c>
    </row>
    <row r="2406" spans="2:14" hidden="1" x14ac:dyDescent="0.25">
      <c r="B2406" s="120">
        <v>2403</v>
      </c>
      <c r="C2406" s="123">
        <v>10712874878</v>
      </c>
      <c r="D2406" s="126" t="s">
        <v>9305</v>
      </c>
      <c r="E2406" s="126" t="s">
        <v>9306</v>
      </c>
      <c r="F2406" s="123" t="s">
        <v>30</v>
      </c>
      <c r="G2406" s="123" t="s">
        <v>30</v>
      </c>
      <c r="H2406" s="123" t="s">
        <v>38</v>
      </c>
      <c r="I2406" s="126" t="s">
        <v>1809</v>
      </c>
      <c r="J2406" s="123" t="s">
        <v>9307</v>
      </c>
      <c r="K2406" s="123" t="s">
        <v>9305</v>
      </c>
      <c r="L2406" s="131" t="s">
        <v>100</v>
      </c>
      <c r="M2406" s="135" t="s">
        <v>845</v>
      </c>
      <c r="N2406" s="123" t="s">
        <v>845</v>
      </c>
    </row>
    <row r="2407" spans="2:14" hidden="1" x14ac:dyDescent="0.25">
      <c r="B2407" s="120">
        <v>2404</v>
      </c>
      <c r="C2407" s="123">
        <v>10099112846</v>
      </c>
      <c r="D2407" s="126" t="s">
        <v>9308</v>
      </c>
      <c r="E2407" s="126" t="s">
        <v>9309</v>
      </c>
      <c r="F2407" s="123" t="s">
        <v>30</v>
      </c>
      <c r="G2407" s="123" t="s">
        <v>30</v>
      </c>
      <c r="H2407" s="123" t="s">
        <v>72</v>
      </c>
      <c r="I2407" s="126" t="s">
        <v>1701</v>
      </c>
      <c r="J2407" s="123" t="s">
        <v>9310</v>
      </c>
      <c r="K2407" s="123" t="s">
        <v>9308</v>
      </c>
      <c r="L2407" s="131" t="s">
        <v>100</v>
      </c>
      <c r="M2407" s="135" t="s">
        <v>845</v>
      </c>
      <c r="N2407" s="123" t="s">
        <v>845</v>
      </c>
    </row>
    <row r="2408" spans="2:14" hidden="1" x14ac:dyDescent="0.25">
      <c r="B2408" s="120">
        <v>2405</v>
      </c>
      <c r="C2408" s="123">
        <v>10720357386</v>
      </c>
      <c r="D2408" s="126" t="s">
        <v>9311</v>
      </c>
      <c r="E2408" s="126" t="s">
        <v>9312</v>
      </c>
      <c r="F2408" s="123" t="s">
        <v>30</v>
      </c>
      <c r="G2408" s="123" t="s">
        <v>30</v>
      </c>
      <c r="H2408" s="123" t="s">
        <v>45</v>
      </c>
      <c r="I2408" s="126" t="s">
        <v>1954</v>
      </c>
      <c r="J2408" s="123" t="s">
        <v>9313</v>
      </c>
      <c r="K2408" s="123" t="s">
        <v>9311</v>
      </c>
      <c r="L2408" s="131" t="s">
        <v>100</v>
      </c>
      <c r="M2408" s="135" t="s">
        <v>845</v>
      </c>
      <c r="N2408" s="123" t="s">
        <v>845</v>
      </c>
    </row>
    <row r="2409" spans="2:14" hidden="1" x14ac:dyDescent="0.25">
      <c r="B2409" s="120">
        <v>2406</v>
      </c>
      <c r="C2409" s="123">
        <v>10100780157</v>
      </c>
      <c r="D2409" s="126" t="s">
        <v>9314</v>
      </c>
      <c r="E2409" s="126" t="s">
        <v>9315</v>
      </c>
      <c r="F2409" s="123" t="s">
        <v>30</v>
      </c>
      <c r="G2409" s="123" t="s">
        <v>30</v>
      </c>
      <c r="H2409" s="123" t="s">
        <v>68</v>
      </c>
      <c r="I2409" s="126" t="s">
        <v>1944</v>
      </c>
      <c r="J2409" s="123" t="s">
        <v>9316</v>
      </c>
      <c r="K2409" s="123" t="s">
        <v>9317</v>
      </c>
      <c r="L2409" s="131" t="s">
        <v>100</v>
      </c>
      <c r="M2409" s="135" t="s">
        <v>845</v>
      </c>
      <c r="N2409" s="123" t="s">
        <v>845</v>
      </c>
    </row>
    <row r="2410" spans="2:14" hidden="1" x14ac:dyDescent="0.25">
      <c r="B2410" s="120">
        <v>2407</v>
      </c>
      <c r="C2410" s="123">
        <v>10098660203</v>
      </c>
      <c r="D2410" s="126" t="s">
        <v>9318</v>
      </c>
      <c r="E2410" s="126" t="s">
        <v>9319</v>
      </c>
      <c r="F2410" s="123" t="s">
        <v>30</v>
      </c>
      <c r="G2410" s="123" t="s">
        <v>30</v>
      </c>
      <c r="H2410" s="123" t="s">
        <v>39</v>
      </c>
      <c r="I2410" s="126" t="s">
        <v>1931</v>
      </c>
      <c r="J2410" s="123" t="s">
        <v>9320</v>
      </c>
      <c r="K2410" s="123" t="s">
        <v>9318</v>
      </c>
      <c r="L2410" s="131" t="s">
        <v>100</v>
      </c>
      <c r="M2410" s="135" t="s">
        <v>845</v>
      </c>
      <c r="N2410" s="123" t="s">
        <v>845</v>
      </c>
    </row>
    <row r="2411" spans="2:14" hidden="1" x14ac:dyDescent="0.25">
      <c r="B2411" s="120">
        <v>2408</v>
      </c>
      <c r="C2411" s="123">
        <v>10404829675</v>
      </c>
      <c r="D2411" s="126" t="s">
        <v>9321</v>
      </c>
      <c r="E2411" s="126" t="s">
        <v>9322</v>
      </c>
      <c r="F2411" s="123" t="s">
        <v>30</v>
      </c>
      <c r="G2411" s="123" t="s">
        <v>30</v>
      </c>
      <c r="H2411" s="123" t="s">
        <v>30</v>
      </c>
      <c r="I2411" s="126" t="s">
        <v>1706</v>
      </c>
      <c r="J2411" s="123" t="s">
        <v>9323</v>
      </c>
      <c r="K2411" s="123" t="s">
        <v>9324</v>
      </c>
      <c r="L2411" s="131" t="s">
        <v>100</v>
      </c>
      <c r="M2411" s="135" t="s">
        <v>845</v>
      </c>
      <c r="N2411" s="123" t="s">
        <v>845</v>
      </c>
    </row>
    <row r="2412" spans="2:14" hidden="1" x14ac:dyDescent="0.25">
      <c r="B2412" s="120">
        <v>2409</v>
      </c>
      <c r="C2412" s="123">
        <v>10099574068</v>
      </c>
      <c r="D2412" s="126" t="s">
        <v>9325</v>
      </c>
      <c r="E2412" s="126" t="s">
        <v>9326</v>
      </c>
      <c r="F2412" s="123" t="s">
        <v>30</v>
      </c>
      <c r="G2412" s="123" t="s">
        <v>30</v>
      </c>
      <c r="H2412" s="123" t="s">
        <v>30</v>
      </c>
      <c r="I2412" s="126" t="s">
        <v>9327</v>
      </c>
      <c r="J2412" s="123" t="s">
        <v>9328</v>
      </c>
      <c r="K2412" s="123" t="s">
        <v>9325</v>
      </c>
      <c r="L2412" s="131" t="s">
        <v>100</v>
      </c>
      <c r="M2412" s="135" t="s">
        <v>845</v>
      </c>
      <c r="N2412" s="123" t="s">
        <v>845</v>
      </c>
    </row>
    <row r="2413" spans="2:14" hidden="1" x14ac:dyDescent="0.25">
      <c r="B2413" s="120">
        <v>2410</v>
      </c>
      <c r="C2413" s="123">
        <v>10430191123</v>
      </c>
      <c r="D2413" s="126" t="s">
        <v>9329</v>
      </c>
      <c r="E2413" s="126" t="s">
        <v>9330</v>
      </c>
      <c r="F2413" s="123" t="s">
        <v>30</v>
      </c>
      <c r="G2413" s="123" t="s">
        <v>30</v>
      </c>
      <c r="H2413" s="123" t="s">
        <v>75</v>
      </c>
      <c r="I2413" s="126" t="s">
        <v>1701</v>
      </c>
      <c r="J2413" s="123" t="s">
        <v>9331</v>
      </c>
      <c r="K2413" s="123" t="s">
        <v>9329</v>
      </c>
      <c r="L2413" s="131" t="s">
        <v>100</v>
      </c>
      <c r="M2413" s="135" t="s">
        <v>845</v>
      </c>
      <c r="N2413" s="123" t="s">
        <v>845</v>
      </c>
    </row>
    <row r="2414" spans="2:14" hidden="1" x14ac:dyDescent="0.25">
      <c r="B2414" s="120">
        <v>2411</v>
      </c>
      <c r="C2414" s="123">
        <v>10157000930</v>
      </c>
      <c r="D2414" s="126" t="s">
        <v>9332</v>
      </c>
      <c r="E2414" s="126" t="s">
        <v>9333</v>
      </c>
      <c r="F2414" s="123" t="s">
        <v>30</v>
      </c>
      <c r="G2414" s="123" t="s">
        <v>30</v>
      </c>
      <c r="H2414" s="123" t="s">
        <v>80</v>
      </c>
      <c r="I2414" s="126" t="s">
        <v>1701</v>
      </c>
      <c r="J2414" s="123" t="s">
        <v>9334</v>
      </c>
      <c r="K2414" s="123" t="s">
        <v>9332</v>
      </c>
      <c r="L2414" s="131" t="s">
        <v>100</v>
      </c>
      <c r="M2414" s="135" t="s">
        <v>845</v>
      </c>
      <c r="N2414" s="123" t="s">
        <v>845</v>
      </c>
    </row>
    <row r="2415" spans="2:14" hidden="1" x14ac:dyDescent="0.25">
      <c r="B2415" s="120">
        <v>2412</v>
      </c>
      <c r="C2415" s="123">
        <v>10477454980</v>
      </c>
      <c r="D2415" s="126" t="s">
        <v>9335</v>
      </c>
      <c r="E2415" s="126" t="s">
        <v>9336</v>
      </c>
      <c r="F2415" s="123" t="s">
        <v>67</v>
      </c>
      <c r="G2415" s="123" t="s">
        <v>67</v>
      </c>
      <c r="H2415" s="123" t="s">
        <v>94</v>
      </c>
      <c r="I2415" s="126" t="s">
        <v>1737</v>
      </c>
      <c r="J2415" s="123" t="s">
        <v>9337</v>
      </c>
      <c r="K2415" s="123" t="s">
        <v>9335</v>
      </c>
      <c r="L2415" s="131" t="s">
        <v>100</v>
      </c>
      <c r="M2415" s="135" t="s">
        <v>845</v>
      </c>
      <c r="N2415" s="123" t="s">
        <v>845</v>
      </c>
    </row>
    <row r="2416" spans="2:14" hidden="1" x14ac:dyDescent="0.25">
      <c r="B2416" s="120">
        <v>2413</v>
      </c>
      <c r="C2416" s="123">
        <v>10404379742</v>
      </c>
      <c r="D2416" s="126" t="s">
        <v>9338</v>
      </c>
      <c r="E2416" s="126" t="s">
        <v>9339</v>
      </c>
      <c r="F2416" s="123" t="s">
        <v>30</v>
      </c>
      <c r="G2416" s="123" t="s">
        <v>30</v>
      </c>
      <c r="H2416" s="123" t="s">
        <v>41</v>
      </c>
      <c r="I2416" s="126" t="s">
        <v>9340</v>
      </c>
      <c r="J2416" s="123" t="s">
        <v>9341</v>
      </c>
      <c r="K2416" s="123" t="s">
        <v>9338</v>
      </c>
      <c r="L2416" s="131" t="s">
        <v>100</v>
      </c>
      <c r="M2416" s="135" t="s">
        <v>845</v>
      </c>
      <c r="N2416" s="123" t="s">
        <v>845</v>
      </c>
    </row>
    <row r="2417" spans="2:14" hidden="1" x14ac:dyDescent="0.25">
      <c r="B2417" s="120">
        <v>2414</v>
      </c>
      <c r="C2417" s="123">
        <v>10419194234</v>
      </c>
      <c r="D2417" s="126" t="s">
        <v>9342</v>
      </c>
      <c r="E2417" s="126" t="s">
        <v>9343</v>
      </c>
      <c r="F2417" s="123" t="s">
        <v>30</v>
      </c>
      <c r="G2417" s="123" t="s">
        <v>30</v>
      </c>
      <c r="H2417" s="123" t="s">
        <v>41</v>
      </c>
      <c r="I2417" s="126" t="s">
        <v>1931</v>
      </c>
      <c r="J2417" s="123" t="s">
        <v>9344</v>
      </c>
      <c r="K2417" s="123" t="s">
        <v>9345</v>
      </c>
      <c r="L2417" s="131" t="s">
        <v>100</v>
      </c>
      <c r="M2417" s="135" t="s">
        <v>845</v>
      </c>
      <c r="N2417" s="123" t="s">
        <v>845</v>
      </c>
    </row>
    <row r="2418" spans="2:14" hidden="1" x14ac:dyDescent="0.25">
      <c r="B2418" s="120">
        <v>2415</v>
      </c>
      <c r="C2418" s="123">
        <v>10081339711</v>
      </c>
      <c r="D2418" s="126" t="s">
        <v>9346</v>
      </c>
      <c r="E2418" s="126" t="s">
        <v>9347</v>
      </c>
      <c r="F2418" s="123" t="s">
        <v>30</v>
      </c>
      <c r="G2418" s="123" t="s">
        <v>30</v>
      </c>
      <c r="H2418" s="123" t="s">
        <v>50</v>
      </c>
      <c r="I2418" s="126" t="s">
        <v>1931</v>
      </c>
      <c r="J2418" s="123" t="s">
        <v>9348</v>
      </c>
      <c r="K2418" s="123" t="s">
        <v>9346</v>
      </c>
      <c r="L2418" s="131" t="s">
        <v>100</v>
      </c>
      <c r="M2418" s="135" t="s">
        <v>845</v>
      </c>
      <c r="N2418" s="123" t="s">
        <v>845</v>
      </c>
    </row>
    <row r="2419" spans="2:14" hidden="1" x14ac:dyDescent="0.25">
      <c r="B2419" s="120">
        <v>2416</v>
      </c>
      <c r="C2419" s="123">
        <v>10408024418</v>
      </c>
      <c r="D2419" s="126" t="s">
        <v>9349</v>
      </c>
      <c r="E2419" s="126" t="s">
        <v>9350</v>
      </c>
      <c r="F2419" s="123" t="s">
        <v>30</v>
      </c>
      <c r="G2419" s="123" t="s">
        <v>30</v>
      </c>
      <c r="H2419" s="123" t="s">
        <v>41</v>
      </c>
      <c r="I2419" s="126" t="s">
        <v>8659</v>
      </c>
      <c r="J2419" s="123" t="s">
        <v>9351</v>
      </c>
      <c r="K2419" s="123" t="s">
        <v>9349</v>
      </c>
      <c r="L2419" s="131" t="s">
        <v>100</v>
      </c>
      <c r="M2419" s="135" t="s">
        <v>845</v>
      </c>
      <c r="N2419" s="123" t="s">
        <v>845</v>
      </c>
    </row>
    <row r="2420" spans="2:14" hidden="1" x14ac:dyDescent="0.25">
      <c r="B2420" s="120">
        <v>2417</v>
      </c>
      <c r="C2420" s="123">
        <v>10092942967</v>
      </c>
      <c r="D2420" s="126" t="s">
        <v>9352</v>
      </c>
      <c r="E2420" s="126" t="s">
        <v>9353</v>
      </c>
      <c r="F2420" s="123" t="s">
        <v>30</v>
      </c>
      <c r="G2420" s="123" t="s">
        <v>30</v>
      </c>
      <c r="H2420" s="123" t="s">
        <v>60</v>
      </c>
      <c r="I2420" s="126" t="s">
        <v>1956</v>
      </c>
      <c r="J2420" s="123" t="s">
        <v>9354</v>
      </c>
      <c r="K2420" s="123" t="s">
        <v>9352</v>
      </c>
      <c r="L2420" s="131" t="s">
        <v>100</v>
      </c>
      <c r="M2420" s="135" t="s">
        <v>845</v>
      </c>
      <c r="N2420" s="123" t="s">
        <v>845</v>
      </c>
    </row>
    <row r="2421" spans="2:14" hidden="1" x14ac:dyDescent="0.25">
      <c r="B2421" s="120">
        <v>2418</v>
      </c>
      <c r="C2421" s="123">
        <v>10106236564</v>
      </c>
      <c r="D2421" s="126" t="s">
        <v>9355</v>
      </c>
      <c r="E2421" s="126" t="s">
        <v>9356</v>
      </c>
      <c r="F2421" s="123" t="s">
        <v>30</v>
      </c>
      <c r="G2421" s="123" t="s">
        <v>30</v>
      </c>
      <c r="H2421" s="123" t="s">
        <v>72</v>
      </c>
      <c r="I2421" s="126" t="s">
        <v>1737</v>
      </c>
      <c r="J2421" s="123" t="s">
        <v>9357</v>
      </c>
      <c r="K2421" s="123" t="s">
        <v>9355</v>
      </c>
      <c r="L2421" s="131" t="s">
        <v>100</v>
      </c>
      <c r="M2421" s="135" t="s">
        <v>845</v>
      </c>
      <c r="N2421" s="123" t="s">
        <v>845</v>
      </c>
    </row>
    <row r="2422" spans="2:14" hidden="1" x14ac:dyDescent="0.25">
      <c r="B2422" s="120">
        <v>2419</v>
      </c>
      <c r="C2422" s="123">
        <v>10413002058</v>
      </c>
      <c r="D2422" s="126" t="s">
        <v>9358</v>
      </c>
      <c r="E2422" s="126" t="s">
        <v>9359</v>
      </c>
      <c r="F2422" s="123" t="s">
        <v>30</v>
      </c>
      <c r="G2422" s="123" t="s">
        <v>30</v>
      </c>
      <c r="H2422" s="123" t="s">
        <v>75</v>
      </c>
      <c r="I2422" s="126" t="s">
        <v>1931</v>
      </c>
      <c r="J2422" s="123" t="s">
        <v>9360</v>
      </c>
      <c r="K2422" s="123" t="s">
        <v>9358</v>
      </c>
      <c r="L2422" s="131" t="s">
        <v>100</v>
      </c>
      <c r="M2422" s="135" t="s">
        <v>845</v>
      </c>
      <c r="N2422" s="123" t="s">
        <v>845</v>
      </c>
    </row>
    <row r="2423" spans="2:14" hidden="1" x14ac:dyDescent="0.25">
      <c r="B2423" s="120">
        <v>2420</v>
      </c>
      <c r="C2423" s="123">
        <v>10730904989</v>
      </c>
      <c r="D2423" s="126" t="s">
        <v>9361</v>
      </c>
      <c r="E2423" s="126" t="s">
        <v>9362</v>
      </c>
      <c r="F2423" s="123" t="s">
        <v>30</v>
      </c>
      <c r="G2423" s="123" t="s">
        <v>30</v>
      </c>
      <c r="H2423" s="123" t="s">
        <v>72</v>
      </c>
      <c r="I2423" s="126" t="s">
        <v>1950</v>
      </c>
      <c r="J2423" s="123" t="s">
        <v>9363</v>
      </c>
      <c r="K2423" s="123" t="s">
        <v>9361</v>
      </c>
      <c r="L2423" s="131" t="s">
        <v>100</v>
      </c>
      <c r="M2423" s="135" t="s">
        <v>845</v>
      </c>
      <c r="N2423" s="123" t="s">
        <v>845</v>
      </c>
    </row>
    <row r="2424" spans="2:14" hidden="1" x14ac:dyDescent="0.25">
      <c r="B2424" s="120">
        <v>2421</v>
      </c>
      <c r="C2424" s="123">
        <v>10075469271</v>
      </c>
      <c r="D2424" s="126" t="s">
        <v>9364</v>
      </c>
      <c r="E2424" s="126" t="s">
        <v>9365</v>
      </c>
      <c r="F2424" s="123" t="s">
        <v>30</v>
      </c>
      <c r="G2424" s="123" t="s">
        <v>30</v>
      </c>
      <c r="H2424" s="123" t="s">
        <v>80</v>
      </c>
      <c r="I2424" s="126" t="s">
        <v>1945</v>
      </c>
      <c r="J2424" s="123" t="s">
        <v>9366</v>
      </c>
      <c r="K2424" s="123" t="s">
        <v>9364</v>
      </c>
      <c r="L2424" s="131" t="s">
        <v>100</v>
      </c>
      <c r="M2424" s="135" t="s">
        <v>845</v>
      </c>
      <c r="N2424" s="123" t="s">
        <v>845</v>
      </c>
    </row>
    <row r="2425" spans="2:14" hidden="1" x14ac:dyDescent="0.25">
      <c r="B2425" s="120">
        <v>2422</v>
      </c>
      <c r="C2425" s="123">
        <v>10157443289</v>
      </c>
      <c r="D2425" s="126" t="s">
        <v>9367</v>
      </c>
      <c r="E2425" s="126" t="s">
        <v>9368</v>
      </c>
      <c r="F2425" s="123" t="s">
        <v>30</v>
      </c>
      <c r="G2425" s="123" t="s">
        <v>170</v>
      </c>
      <c r="H2425" s="123" t="s">
        <v>171</v>
      </c>
      <c r="I2425" s="126" t="s">
        <v>1942</v>
      </c>
      <c r="J2425" s="123" t="s">
        <v>9369</v>
      </c>
      <c r="K2425" s="123" t="s">
        <v>9367</v>
      </c>
      <c r="L2425" s="131" t="s">
        <v>100</v>
      </c>
      <c r="M2425" s="135" t="s">
        <v>845</v>
      </c>
      <c r="N2425" s="123" t="s">
        <v>845</v>
      </c>
    </row>
    <row r="2426" spans="2:14" hidden="1" x14ac:dyDescent="0.25">
      <c r="B2426" s="120">
        <v>2423</v>
      </c>
      <c r="C2426" s="123">
        <v>10481471988</v>
      </c>
      <c r="D2426" s="126" t="s">
        <v>9370</v>
      </c>
      <c r="E2426" s="126" t="s">
        <v>9371</v>
      </c>
      <c r="F2426" s="123" t="s">
        <v>30</v>
      </c>
      <c r="G2426" s="123" t="s">
        <v>170</v>
      </c>
      <c r="H2426" s="123" t="s">
        <v>174</v>
      </c>
      <c r="I2426" s="126" t="s">
        <v>9372</v>
      </c>
      <c r="J2426" s="123" t="s">
        <v>9373</v>
      </c>
      <c r="K2426" s="123" t="s">
        <v>9370</v>
      </c>
      <c r="L2426" s="131" t="s">
        <v>100</v>
      </c>
      <c r="M2426" s="135" t="s">
        <v>845</v>
      </c>
      <c r="N2426" s="123" t="s">
        <v>845</v>
      </c>
    </row>
    <row r="2427" spans="2:14" hidden="1" x14ac:dyDescent="0.25">
      <c r="B2427" s="120">
        <v>2424</v>
      </c>
      <c r="C2427" s="123">
        <v>10437206193</v>
      </c>
      <c r="D2427" s="126" t="s">
        <v>9374</v>
      </c>
      <c r="E2427" s="126" t="s">
        <v>9375</v>
      </c>
      <c r="F2427" s="123" t="s">
        <v>30</v>
      </c>
      <c r="G2427" s="123" t="s">
        <v>30</v>
      </c>
      <c r="H2427" s="123" t="s">
        <v>72</v>
      </c>
      <c r="I2427" s="126" t="s">
        <v>1701</v>
      </c>
      <c r="J2427" s="123" t="s">
        <v>6152</v>
      </c>
      <c r="K2427" s="123" t="s">
        <v>9374</v>
      </c>
      <c r="L2427" s="131" t="s">
        <v>100</v>
      </c>
      <c r="M2427" s="135" t="s">
        <v>845</v>
      </c>
      <c r="N2427" s="123" t="s">
        <v>845</v>
      </c>
    </row>
    <row r="2428" spans="2:14" hidden="1" x14ac:dyDescent="0.25">
      <c r="B2428" s="120">
        <v>2425</v>
      </c>
      <c r="C2428" s="123">
        <v>10083300049</v>
      </c>
      <c r="D2428" s="126" t="s">
        <v>9376</v>
      </c>
      <c r="E2428" s="126" t="s">
        <v>9377</v>
      </c>
      <c r="F2428" s="123" t="s">
        <v>30</v>
      </c>
      <c r="G2428" s="123" t="s">
        <v>30</v>
      </c>
      <c r="H2428" s="123" t="s">
        <v>79</v>
      </c>
      <c r="I2428" s="126" t="s">
        <v>1931</v>
      </c>
      <c r="J2428" s="123" t="s">
        <v>9378</v>
      </c>
      <c r="K2428" s="123" t="s">
        <v>9376</v>
      </c>
      <c r="L2428" s="131" t="s">
        <v>100</v>
      </c>
      <c r="M2428" s="135" t="s">
        <v>845</v>
      </c>
      <c r="N2428" s="123" t="s">
        <v>845</v>
      </c>
    </row>
    <row r="2429" spans="2:14" hidden="1" x14ac:dyDescent="0.25">
      <c r="B2429" s="120">
        <v>2426</v>
      </c>
      <c r="C2429" s="123">
        <v>10153576179</v>
      </c>
      <c r="D2429" s="126" t="s">
        <v>9379</v>
      </c>
      <c r="E2429" s="126" t="s">
        <v>9380</v>
      </c>
      <c r="F2429" s="123" t="s">
        <v>30</v>
      </c>
      <c r="G2429" s="123" t="s">
        <v>31</v>
      </c>
      <c r="H2429" s="123" t="s">
        <v>9381</v>
      </c>
      <c r="I2429" s="126" t="s">
        <v>8743</v>
      </c>
      <c r="J2429" s="123" t="s">
        <v>9382</v>
      </c>
      <c r="K2429" s="123" t="s">
        <v>9379</v>
      </c>
      <c r="L2429" s="131" t="s">
        <v>100</v>
      </c>
      <c r="M2429" s="135" t="s">
        <v>845</v>
      </c>
      <c r="N2429" s="123" t="s">
        <v>845</v>
      </c>
    </row>
    <row r="2430" spans="2:14" hidden="1" x14ac:dyDescent="0.25">
      <c r="B2430" s="120">
        <v>2427</v>
      </c>
      <c r="C2430" s="123">
        <v>10069763524</v>
      </c>
      <c r="D2430" s="126" t="s">
        <v>9383</v>
      </c>
      <c r="E2430" s="126" t="s">
        <v>9384</v>
      </c>
      <c r="F2430" s="123" t="s">
        <v>30</v>
      </c>
      <c r="G2430" s="123" t="s">
        <v>30</v>
      </c>
      <c r="H2430" s="123" t="s">
        <v>50</v>
      </c>
      <c r="I2430" s="126" t="s">
        <v>9385</v>
      </c>
      <c r="J2430" s="123" t="s">
        <v>9386</v>
      </c>
      <c r="K2430" s="123" t="s">
        <v>9387</v>
      </c>
      <c r="L2430" s="131" t="s">
        <v>100</v>
      </c>
      <c r="M2430" s="135" t="s">
        <v>845</v>
      </c>
      <c r="N2430" s="123" t="s">
        <v>845</v>
      </c>
    </row>
    <row r="2431" spans="2:14" hidden="1" x14ac:dyDescent="0.25">
      <c r="B2431" s="120">
        <v>2428</v>
      </c>
      <c r="C2431" s="123">
        <v>10103537202</v>
      </c>
      <c r="D2431" s="126" t="s">
        <v>9388</v>
      </c>
      <c r="E2431" s="126" t="s">
        <v>9389</v>
      </c>
      <c r="F2431" s="123" t="s">
        <v>30</v>
      </c>
      <c r="G2431" s="123" t="s">
        <v>30</v>
      </c>
      <c r="H2431" s="123" t="s">
        <v>43</v>
      </c>
      <c r="I2431" s="126" t="s">
        <v>8825</v>
      </c>
      <c r="J2431" s="123" t="s">
        <v>9390</v>
      </c>
      <c r="K2431" s="123" t="s">
        <v>9388</v>
      </c>
      <c r="L2431" s="131" t="s">
        <v>100</v>
      </c>
      <c r="M2431" s="135" t="s">
        <v>845</v>
      </c>
      <c r="N2431" s="123" t="s">
        <v>845</v>
      </c>
    </row>
    <row r="2432" spans="2:14" hidden="1" x14ac:dyDescent="0.25">
      <c r="B2432" s="120">
        <v>2429</v>
      </c>
      <c r="C2432" s="123">
        <v>10473699082</v>
      </c>
      <c r="D2432" s="126" t="s">
        <v>9391</v>
      </c>
      <c r="E2432" s="126" t="s">
        <v>9392</v>
      </c>
      <c r="F2432" s="123" t="s">
        <v>30</v>
      </c>
      <c r="G2432" s="123" t="s">
        <v>30</v>
      </c>
      <c r="H2432" s="123" t="s">
        <v>75</v>
      </c>
      <c r="I2432" s="126" t="s">
        <v>1701</v>
      </c>
      <c r="J2432" s="123" t="s">
        <v>9393</v>
      </c>
      <c r="K2432" s="123" t="s">
        <v>9391</v>
      </c>
      <c r="L2432" s="131" t="s">
        <v>100</v>
      </c>
      <c r="M2432" s="135" t="s">
        <v>845</v>
      </c>
      <c r="N2432" s="123" t="s">
        <v>845</v>
      </c>
    </row>
    <row r="2433" spans="2:14" hidden="1" x14ac:dyDescent="0.25">
      <c r="B2433" s="120">
        <v>2430</v>
      </c>
      <c r="C2433" s="123">
        <v>10431123091</v>
      </c>
      <c r="D2433" s="126" t="s">
        <v>9394</v>
      </c>
      <c r="E2433" s="126" t="s">
        <v>9395</v>
      </c>
      <c r="F2433" s="123" t="s">
        <v>30</v>
      </c>
      <c r="G2433" s="123" t="s">
        <v>30</v>
      </c>
      <c r="H2433" s="123" t="s">
        <v>85</v>
      </c>
      <c r="I2433" s="126" t="s">
        <v>8897</v>
      </c>
      <c r="J2433" s="123" t="s">
        <v>9396</v>
      </c>
      <c r="K2433" s="123" t="s">
        <v>9394</v>
      </c>
      <c r="L2433" s="131" t="s">
        <v>100</v>
      </c>
      <c r="M2433" s="135" t="s">
        <v>845</v>
      </c>
      <c r="N2433" s="123" t="s">
        <v>845</v>
      </c>
    </row>
    <row r="2434" spans="2:14" hidden="1" x14ac:dyDescent="0.25">
      <c r="B2434" s="120">
        <v>2431</v>
      </c>
      <c r="C2434" s="123">
        <v>10462394174</v>
      </c>
      <c r="D2434" s="126" t="s">
        <v>9397</v>
      </c>
      <c r="E2434" s="126" t="s">
        <v>9398</v>
      </c>
      <c r="F2434" s="123" t="s">
        <v>30</v>
      </c>
      <c r="G2434" s="123" t="s">
        <v>30</v>
      </c>
      <c r="H2434" s="123" t="s">
        <v>51</v>
      </c>
      <c r="I2434" s="126" t="s">
        <v>1737</v>
      </c>
      <c r="J2434" s="123" t="s">
        <v>9399</v>
      </c>
      <c r="K2434" s="123" t="s">
        <v>9397</v>
      </c>
      <c r="L2434" s="131" t="s">
        <v>100</v>
      </c>
      <c r="M2434" s="135" t="s">
        <v>845</v>
      </c>
      <c r="N2434" s="123" t="s">
        <v>845</v>
      </c>
    </row>
    <row r="2435" spans="2:14" hidden="1" x14ac:dyDescent="0.25">
      <c r="B2435" s="120">
        <v>2432</v>
      </c>
      <c r="C2435" s="123">
        <v>10748704740</v>
      </c>
      <c r="D2435" s="126" t="s">
        <v>9400</v>
      </c>
      <c r="E2435" s="126" t="s">
        <v>9401</v>
      </c>
      <c r="F2435" s="123" t="s">
        <v>30</v>
      </c>
      <c r="G2435" s="123" t="s">
        <v>30</v>
      </c>
      <c r="H2435" s="123" t="s">
        <v>30</v>
      </c>
      <c r="I2435" s="126" t="s">
        <v>9402</v>
      </c>
      <c r="J2435" s="123" t="s">
        <v>9403</v>
      </c>
      <c r="K2435" s="123" t="s">
        <v>9404</v>
      </c>
      <c r="L2435" s="131" t="s">
        <v>100</v>
      </c>
      <c r="M2435" s="135" t="s">
        <v>845</v>
      </c>
      <c r="N2435" s="123" t="s">
        <v>845</v>
      </c>
    </row>
    <row r="2436" spans="2:14" hidden="1" x14ac:dyDescent="0.25">
      <c r="B2436" s="120">
        <v>2433</v>
      </c>
      <c r="C2436" s="123">
        <v>10424511884</v>
      </c>
      <c r="D2436" s="126" t="s">
        <v>9405</v>
      </c>
      <c r="E2436" s="126" t="s">
        <v>9406</v>
      </c>
      <c r="F2436" s="123" t="s">
        <v>67</v>
      </c>
      <c r="G2436" s="123" t="s">
        <v>67</v>
      </c>
      <c r="H2436" s="123" t="s">
        <v>67</v>
      </c>
      <c r="I2436" s="126" t="s">
        <v>1551</v>
      </c>
      <c r="J2436" s="123" t="s">
        <v>9407</v>
      </c>
      <c r="K2436" s="123" t="s">
        <v>9405</v>
      </c>
      <c r="L2436" s="131" t="s">
        <v>100</v>
      </c>
      <c r="M2436" s="135" t="s">
        <v>845</v>
      </c>
      <c r="N2436" s="123" t="s">
        <v>845</v>
      </c>
    </row>
    <row r="2437" spans="2:14" hidden="1" x14ac:dyDescent="0.25">
      <c r="B2437" s="120">
        <v>2434</v>
      </c>
      <c r="C2437" s="123">
        <v>15601538650</v>
      </c>
      <c r="D2437" s="126" t="s">
        <v>9408</v>
      </c>
      <c r="E2437" s="126" t="s">
        <v>9409</v>
      </c>
      <c r="F2437" s="123" t="s">
        <v>30</v>
      </c>
      <c r="G2437" s="123" t="s">
        <v>30</v>
      </c>
      <c r="H2437" s="123" t="s">
        <v>72</v>
      </c>
      <c r="I2437" s="126" t="s">
        <v>1424</v>
      </c>
      <c r="J2437" s="123" t="s">
        <v>9410</v>
      </c>
      <c r="K2437" s="123" t="s">
        <v>9408</v>
      </c>
      <c r="L2437" s="131" t="s">
        <v>100</v>
      </c>
      <c r="M2437" s="135" t="s">
        <v>845</v>
      </c>
      <c r="N2437" s="123" t="s">
        <v>845</v>
      </c>
    </row>
    <row r="2438" spans="2:14" hidden="1" x14ac:dyDescent="0.25">
      <c r="B2438" s="120">
        <v>2435</v>
      </c>
      <c r="C2438" s="123">
        <v>10473919457</v>
      </c>
      <c r="D2438" s="126" t="s">
        <v>9411</v>
      </c>
      <c r="E2438" s="126" t="s">
        <v>9412</v>
      </c>
      <c r="F2438" s="123" t="s">
        <v>30</v>
      </c>
      <c r="G2438" s="123" t="s">
        <v>30</v>
      </c>
      <c r="H2438" s="123" t="s">
        <v>43</v>
      </c>
      <c r="I2438" s="126" t="s">
        <v>1424</v>
      </c>
      <c r="J2438" s="123" t="s">
        <v>9413</v>
      </c>
      <c r="K2438" s="123" t="s">
        <v>9411</v>
      </c>
      <c r="L2438" s="131" t="s">
        <v>100</v>
      </c>
      <c r="M2438" s="135" t="s">
        <v>845</v>
      </c>
      <c r="N2438" s="123" t="s">
        <v>845</v>
      </c>
    </row>
    <row r="2439" spans="2:14" hidden="1" x14ac:dyDescent="0.25">
      <c r="B2439" s="120">
        <v>2436</v>
      </c>
      <c r="C2439" s="123">
        <v>10441297217</v>
      </c>
      <c r="D2439" s="126" t="s">
        <v>9414</v>
      </c>
      <c r="E2439" s="126" t="s">
        <v>9415</v>
      </c>
      <c r="F2439" s="123" t="s">
        <v>30</v>
      </c>
      <c r="G2439" s="123" t="s">
        <v>30</v>
      </c>
      <c r="H2439" s="123" t="s">
        <v>45</v>
      </c>
      <c r="I2439" s="126" t="s">
        <v>1963</v>
      </c>
      <c r="J2439" s="123">
        <v>44129721</v>
      </c>
      <c r="K2439" s="123" t="s">
        <v>9414</v>
      </c>
      <c r="L2439" s="131" t="s">
        <v>100</v>
      </c>
      <c r="M2439" s="135" t="s">
        <v>845</v>
      </c>
      <c r="N2439" s="123" t="s">
        <v>845</v>
      </c>
    </row>
    <row r="2440" spans="2:14" hidden="1" x14ac:dyDescent="0.25">
      <c r="B2440" s="120">
        <v>2437</v>
      </c>
      <c r="C2440" s="123">
        <v>10710335139</v>
      </c>
      <c r="D2440" s="126" t="s">
        <v>9416</v>
      </c>
      <c r="E2440" s="126" t="s">
        <v>9417</v>
      </c>
      <c r="F2440" s="123" t="s">
        <v>30</v>
      </c>
      <c r="G2440" s="123" t="s">
        <v>30</v>
      </c>
      <c r="H2440" s="123" t="s">
        <v>51</v>
      </c>
      <c r="I2440" s="126" t="s">
        <v>1701</v>
      </c>
      <c r="J2440" s="123" t="s">
        <v>9418</v>
      </c>
      <c r="K2440" s="123" t="s">
        <v>9419</v>
      </c>
      <c r="L2440" s="131" t="s">
        <v>100</v>
      </c>
      <c r="M2440" s="135" t="s">
        <v>845</v>
      </c>
      <c r="N2440" s="123" t="s">
        <v>845</v>
      </c>
    </row>
    <row r="2441" spans="2:14" hidden="1" x14ac:dyDescent="0.25">
      <c r="B2441" s="120">
        <v>2438</v>
      </c>
      <c r="C2441" s="123">
        <v>10739804791</v>
      </c>
      <c r="D2441" s="126" t="s">
        <v>9420</v>
      </c>
      <c r="E2441" s="126" t="s">
        <v>9421</v>
      </c>
      <c r="F2441" s="123" t="s">
        <v>30</v>
      </c>
      <c r="G2441" s="123" t="s">
        <v>31</v>
      </c>
      <c r="H2441" s="123" t="s">
        <v>155</v>
      </c>
      <c r="I2441" s="126" t="s">
        <v>1439</v>
      </c>
      <c r="J2441" s="123" t="s">
        <v>9422</v>
      </c>
      <c r="K2441" s="123" t="s">
        <v>9420</v>
      </c>
      <c r="L2441" s="131" t="s">
        <v>100</v>
      </c>
      <c r="M2441" s="135" t="s">
        <v>845</v>
      </c>
      <c r="N2441" s="123" t="s">
        <v>845</v>
      </c>
    </row>
    <row r="2442" spans="2:14" hidden="1" x14ac:dyDescent="0.25">
      <c r="B2442" s="120">
        <v>2439</v>
      </c>
      <c r="C2442" s="123">
        <v>10725531431</v>
      </c>
      <c r="D2442" s="126" t="s">
        <v>9423</v>
      </c>
      <c r="E2442" s="126" t="s">
        <v>9424</v>
      </c>
      <c r="F2442" s="123" t="s">
        <v>30</v>
      </c>
      <c r="G2442" s="123" t="s">
        <v>30</v>
      </c>
      <c r="H2442" s="123" t="s">
        <v>51</v>
      </c>
      <c r="I2442" s="126" t="s">
        <v>1737</v>
      </c>
      <c r="J2442" s="123" t="s">
        <v>9425</v>
      </c>
      <c r="K2442" s="123" t="s">
        <v>9423</v>
      </c>
      <c r="L2442" s="131" t="s">
        <v>100</v>
      </c>
      <c r="M2442" s="135" t="s">
        <v>845</v>
      </c>
      <c r="N2442" s="123" t="s">
        <v>845</v>
      </c>
    </row>
    <row r="2443" spans="2:14" hidden="1" x14ac:dyDescent="0.25">
      <c r="B2443" s="120">
        <v>2440</v>
      </c>
      <c r="C2443" s="123">
        <v>10078895395</v>
      </c>
      <c r="D2443" s="126" t="s">
        <v>9426</v>
      </c>
      <c r="E2443" s="126" t="s">
        <v>9427</v>
      </c>
      <c r="F2443" s="123" t="s">
        <v>30</v>
      </c>
      <c r="G2443" s="123" t="s">
        <v>30</v>
      </c>
      <c r="H2443" s="123" t="s">
        <v>85</v>
      </c>
      <c r="I2443" s="126" t="s">
        <v>1942</v>
      </c>
      <c r="J2443" s="123" t="s">
        <v>9428</v>
      </c>
      <c r="K2443" s="123" t="s">
        <v>9429</v>
      </c>
      <c r="L2443" s="131" t="s">
        <v>100</v>
      </c>
      <c r="M2443" s="135" t="s">
        <v>845</v>
      </c>
      <c r="N2443" s="123" t="s">
        <v>845</v>
      </c>
    </row>
    <row r="2444" spans="2:14" hidden="1" x14ac:dyDescent="0.25">
      <c r="B2444" s="120">
        <v>2441</v>
      </c>
      <c r="C2444" s="123">
        <v>10400839536</v>
      </c>
      <c r="D2444" s="126" t="s">
        <v>9430</v>
      </c>
      <c r="E2444" s="126" t="s">
        <v>9431</v>
      </c>
      <c r="F2444" s="123" t="s">
        <v>30</v>
      </c>
      <c r="G2444" s="123" t="s">
        <v>30</v>
      </c>
      <c r="H2444" s="123" t="s">
        <v>38</v>
      </c>
      <c r="I2444" s="126" t="s">
        <v>1701</v>
      </c>
      <c r="J2444" s="123" t="s">
        <v>9432</v>
      </c>
      <c r="K2444" s="123" t="s">
        <v>9430</v>
      </c>
      <c r="L2444" s="131" t="s">
        <v>100</v>
      </c>
      <c r="M2444" s="135" t="s">
        <v>845</v>
      </c>
      <c r="N2444" s="123" t="s">
        <v>845</v>
      </c>
    </row>
    <row r="2445" spans="2:14" hidden="1" x14ac:dyDescent="0.25">
      <c r="B2445" s="120">
        <v>2442</v>
      </c>
      <c r="C2445" s="123">
        <v>10702008528</v>
      </c>
      <c r="D2445" s="126" t="s">
        <v>9433</v>
      </c>
      <c r="E2445" s="126" t="s">
        <v>9434</v>
      </c>
      <c r="F2445" s="123" t="s">
        <v>30</v>
      </c>
      <c r="G2445" s="123" t="s">
        <v>31</v>
      </c>
      <c r="H2445" s="123" t="s">
        <v>32</v>
      </c>
      <c r="I2445" s="126" t="s">
        <v>1701</v>
      </c>
      <c r="J2445" s="123" t="s">
        <v>9435</v>
      </c>
      <c r="K2445" s="123" t="s">
        <v>9433</v>
      </c>
      <c r="L2445" s="131" t="s">
        <v>100</v>
      </c>
      <c r="M2445" s="135" t="s">
        <v>845</v>
      </c>
      <c r="N2445" s="123" t="s">
        <v>845</v>
      </c>
    </row>
    <row r="2446" spans="2:14" hidden="1" x14ac:dyDescent="0.25">
      <c r="B2446" s="120">
        <v>2443</v>
      </c>
      <c r="C2446" s="123">
        <v>10487436009</v>
      </c>
      <c r="D2446" s="126" t="s">
        <v>9436</v>
      </c>
      <c r="E2446" s="126" t="s">
        <v>9437</v>
      </c>
      <c r="F2446" s="123" t="s">
        <v>30</v>
      </c>
      <c r="G2446" s="123" t="s">
        <v>30</v>
      </c>
      <c r="H2446" s="123" t="s">
        <v>35</v>
      </c>
      <c r="I2446" s="126" t="s">
        <v>1978</v>
      </c>
      <c r="J2446" s="123" t="s">
        <v>9438</v>
      </c>
      <c r="K2446" s="123" t="s">
        <v>9436</v>
      </c>
      <c r="L2446" s="131" t="s">
        <v>100</v>
      </c>
      <c r="M2446" s="135" t="s">
        <v>845</v>
      </c>
      <c r="N2446" s="123" t="s">
        <v>845</v>
      </c>
    </row>
    <row r="2447" spans="2:14" hidden="1" x14ac:dyDescent="0.25">
      <c r="B2447" s="120">
        <v>2444</v>
      </c>
      <c r="C2447" s="123">
        <v>10732624428</v>
      </c>
      <c r="D2447" s="126" t="s">
        <v>9439</v>
      </c>
      <c r="E2447" s="126" t="s">
        <v>9440</v>
      </c>
      <c r="F2447" s="123" t="s">
        <v>30</v>
      </c>
      <c r="G2447" s="123" t="s">
        <v>30</v>
      </c>
      <c r="H2447" s="123" t="s">
        <v>64</v>
      </c>
      <c r="I2447" s="126" t="s">
        <v>1948</v>
      </c>
      <c r="J2447" s="123" t="s">
        <v>9441</v>
      </c>
      <c r="K2447" s="123" t="s">
        <v>9442</v>
      </c>
      <c r="L2447" s="131" t="s">
        <v>100</v>
      </c>
      <c r="M2447" s="135" t="s">
        <v>845</v>
      </c>
      <c r="N2447" s="123" t="s">
        <v>845</v>
      </c>
    </row>
    <row r="2448" spans="2:14" hidden="1" x14ac:dyDescent="0.25">
      <c r="B2448" s="120">
        <v>2445</v>
      </c>
      <c r="C2448" s="123">
        <v>10065502416</v>
      </c>
      <c r="D2448" s="126" t="s">
        <v>9443</v>
      </c>
      <c r="E2448" s="126" t="s">
        <v>9444</v>
      </c>
      <c r="F2448" s="123" t="s">
        <v>30</v>
      </c>
      <c r="G2448" s="123" t="s">
        <v>30</v>
      </c>
      <c r="H2448" s="123" t="s">
        <v>51</v>
      </c>
      <c r="I2448" s="126" t="s">
        <v>9445</v>
      </c>
      <c r="J2448" s="123" t="s">
        <v>9446</v>
      </c>
      <c r="K2448" s="123" t="s">
        <v>9447</v>
      </c>
      <c r="L2448" s="131" t="s">
        <v>100</v>
      </c>
      <c r="M2448" s="135" t="s">
        <v>845</v>
      </c>
      <c r="N2448" s="123" t="s">
        <v>845</v>
      </c>
    </row>
    <row r="2449" spans="2:14" hidden="1" x14ac:dyDescent="0.25">
      <c r="B2449" s="120">
        <v>2446</v>
      </c>
      <c r="C2449" s="123">
        <v>10732322341</v>
      </c>
      <c r="D2449" s="126" t="s">
        <v>9448</v>
      </c>
      <c r="E2449" s="126" t="s">
        <v>9449</v>
      </c>
      <c r="F2449" s="123" t="s">
        <v>30</v>
      </c>
      <c r="G2449" s="123" t="s">
        <v>30</v>
      </c>
      <c r="H2449" s="123" t="s">
        <v>75</v>
      </c>
      <c r="I2449" s="126" t="s">
        <v>1701</v>
      </c>
      <c r="J2449" s="123" t="s">
        <v>9450</v>
      </c>
      <c r="K2449" s="123" t="s">
        <v>9448</v>
      </c>
      <c r="L2449" s="131" t="s">
        <v>100</v>
      </c>
      <c r="M2449" s="135" t="s">
        <v>845</v>
      </c>
      <c r="N2449" s="123" t="s">
        <v>845</v>
      </c>
    </row>
    <row r="2450" spans="2:14" hidden="1" x14ac:dyDescent="0.25">
      <c r="B2450" s="120">
        <v>2447</v>
      </c>
      <c r="C2450" s="123">
        <v>10479512791</v>
      </c>
      <c r="D2450" s="126" t="s">
        <v>9451</v>
      </c>
      <c r="E2450" s="126" t="s">
        <v>9452</v>
      </c>
      <c r="F2450" s="123" t="s">
        <v>30</v>
      </c>
      <c r="G2450" s="123" t="s">
        <v>30</v>
      </c>
      <c r="H2450" s="123" t="s">
        <v>30</v>
      </c>
      <c r="I2450" s="126" t="s">
        <v>1706</v>
      </c>
      <c r="J2450" s="123" t="s">
        <v>9453</v>
      </c>
      <c r="K2450" s="123" t="s">
        <v>9451</v>
      </c>
      <c r="L2450" s="131" t="s">
        <v>100</v>
      </c>
      <c r="M2450" s="135" t="s">
        <v>845</v>
      </c>
      <c r="N2450" s="123" t="s">
        <v>845</v>
      </c>
    </row>
    <row r="2451" spans="2:14" hidden="1" x14ac:dyDescent="0.25">
      <c r="B2451" s="120">
        <v>2448</v>
      </c>
      <c r="C2451" s="123">
        <v>10104891051</v>
      </c>
      <c r="D2451" s="126" t="s">
        <v>9454</v>
      </c>
      <c r="E2451" s="126" t="s">
        <v>9455</v>
      </c>
      <c r="F2451" s="123" t="s">
        <v>30</v>
      </c>
      <c r="G2451" s="123" t="s">
        <v>30</v>
      </c>
      <c r="H2451" s="123" t="s">
        <v>38</v>
      </c>
      <c r="I2451" s="126" t="s">
        <v>8743</v>
      </c>
      <c r="J2451" s="123" t="s">
        <v>9456</v>
      </c>
      <c r="K2451" s="123" t="s">
        <v>9454</v>
      </c>
      <c r="L2451" s="131" t="s">
        <v>100</v>
      </c>
      <c r="M2451" s="135" t="s">
        <v>845</v>
      </c>
      <c r="N2451" s="123" t="s">
        <v>845</v>
      </c>
    </row>
    <row r="2452" spans="2:14" hidden="1" x14ac:dyDescent="0.25">
      <c r="B2452" s="120">
        <v>2449</v>
      </c>
      <c r="C2452" s="123">
        <v>10441211100</v>
      </c>
      <c r="D2452" s="126" t="s">
        <v>9457</v>
      </c>
      <c r="E2452" s="126" t="s">
        <v>9458</v>
      </c>
      <c r="F2452" s="123" t="s">
        <v>67</v>
      </c>
      <c r="G2452" s="123" t="s">
        <v>67</v>
      </c>
      <c r="H2452" s="123" t="s">
        <v>94</v>
      </c>
      <c r="I2452" s="126" t="s">
        <v>1424</v>
      </c>
      <c r="J2452" s="123" t="s">
        <v>9459</v>
      </c>
      <c r="K2452" s="123" t="s">
        <v>9457</v>
      </c>
      <c r="L2452" s="131" t="s">
        <v>100</v>
      </c>
      <c r="M2452" s="135" t="s">
        <v>845</v>
      </c>
      <c r="N2452" s="123" t="s">
        <v>845</v>
      </c>
    </row>
    <row r="2453" spans="2:14" hidden="1" x14ac:dyDescent="0.25">
      <c r="B2453" s="120">
        <v>2450</v>
      </c>
      <c r="C2453" s="123">
        <v>10467306095</v>
      </c>
      <c r="D2453" s="126" t="s">
        <v>9460</v>
      </c>
      <c r="E2453" s="126" t="s">
        <v>9461</v>
      </c>
      <c r="F2453" s="123" t="s">
        <v>30</v>
      </c>
      <c r="G2453" s="123" t="s">
        <v>30</v>
      </c>
      <c r="H2453" s="123" t="s">
        <v>50</v>
      </c>
      <c r="I2453" s="126" t="s">
        <v>1930</v>
      </c>
      <c r="J2453" s="123" t="s">
        <v>9462</v>
      </c>
      <c r="K2453" s="123" t="s">
        <v>9460</v>
      </c>
      <c r="L2453" s="131" t="s">
        <v>100</v>
      </c>
      <c r="M2453" s="135" t="s">
        <v>845</v>
      </c>
      <c r="N2453" s="123" t="s">
        <v>845</v>
      </c>
    </row>
    <row r="2454" spans="2:14" hidden="1" x14ac:dyDescent="0.25">
      <c r="B2454" s="120">
        <v>2451</v>
      </c>
      <c r="C2454" s="123">
        <v>10438467250</v>
      </c>
      <c r="D2454" s="126" t="s">
        <v>9463</v>
      </c>
      <c r="E2454" s="126" t="s">
        <v>9464</v>
      </c>
      <c r="F2454" s="123" t="s">
        <v>30</v>
      </c>
      <c r="G2454" s="123" t="s">
        <v>30</v>
      </c>
      <c r="H2454" s="123" t="s">
        <v>58</v>
      </c>
      <c r="I2454" s="126" t="s">
        <v>1931</v>
      </c>
      <c r="J2454" s="123" t="s">
        <v>9465</v>
      </c>
      <c r="K2454" s="123" t="s">
        <v>9463</v>
      </c>
      <c r="L2454" s="131" t="s">
        <v>100</v>
      </c>
      <c r="M2454" s="135" t="s">
        <v>845</v>
      </c>
      <c r="N2454" s="123" t="s">
        <v>845</v>
      </c>
    </row>
    <row r="2455" spans="2:14" hidden="1" x14ac:dyDescent="0.25">
      <c r="B2455" s="120">
        <v>2452</v>
      </c>
      <c r="C2455" s="123">
        <v>10089572521</v>
      </c>
      <c r="D2455" s="126" t="s">
        <v>9466</v>
      </c>
      <c r="E2455" s="126" t="s">
        <v>9467</v>
      </c>
      <c r="F2455" s="123" t="s">
        <v>30</v>
      </c>
      <c r="G2455" s="123" t="s">
        <v>30</v>
      </c>
      <c r="H2455" s="123" t="s">
        <v>68</v>
      </c>
      <c r="I2455" s="126" t="s">
        <v>1424</v>
      </c>
      <c r="J2455" s="123" t="s">
        <v>9468</v>
      </c>
      <c r="K2455" s="123" t="s">
        <v>9466</v>
      </c>
      <c r="L2455" s="131" t="s">
        <v>100</v>
      </c>
      <c r="M2455" s="135" t="s">
        <v>845</v>
      </c>
      <c r="N2455" s="123" t="s">
        <v>845</v>
      </c>
    </row>
    <row r="2456" spans="2:14" hidden="1" x14ac:dyDescent="0.25">
      <c r="B2456" s="120">
        <v>2453</v>
      </c>
      <c r="C2456" s="123">
        <v>10095955890</v>
      </c>
      <c r="D2456" s="126" t="s">
        <v>9469</v>
      </c>
      <c r="E2456" s="126" t="s">
        <v>9470</v>
      </c>
      <c r="F2456" s="123" t="s">
        <v>30</v>
      </c>
      <c r="G2456" s="123" t="s">
        <v>30</v>
      </c>
      <c r="H2456" s="123" t="s">
        <v>51</v>
      </c>
      <c r="I2456" s="126" t="s">
        <v>1484</v>
      </c>
      <c r="J2456" s="123" t="s">
        <v>9471</v>
      </c>
      <c r="K2456" s="123" t="s">
        <v>9469</v>
      </c>
      <c r="L2456" s="131" t="s">
        <v>100</v>
      </c>
      <c r="M2456" s="135" t="s">
        <v>845</v>
      </c>
      <c r="N2456" s="123" t="s">
        <v>845</v>
      </c>
    </row>
    <row r="2457" spans="2:14" hidden="1" x14ac:dyDescent="0.25">
      <c r="B2457" s="120">
        <v>2454</v>
      </c>
      <c r="C2457" s="123">
        <v>10075149901</v>
      </c>
      <c r="D2457" s="126" t="s">
        <v>9472</v>
      </c>
      <c r="E2457" s="126" t="s">
        <v>9473</v>
      </c>
      <c r="F2457" s="123" t="s">
        <v>30</v>
      </c>
      <c r="G2457" s="123" t="s">
        <v>30</v>
      </c>
      <c r="H2457" s="123" t="s">
        <v>41</v>
      </c>
      <c r="I2457" s="126" t="s">
        <v>9474</v>
      </c>
      <c r="J2457" s="123" t="s">
        <v>9475</v>
      </c>
      <c r="K2457" s="123" t="s">
        <v>9472</v>
      </c>
      <c r="L2457" s="131" t="s">
        <v>100</v>
      </c>
      <c r="M2457" s="135" t="s">
        <v>845</v>
      </c>
      <c r="N2457" s="123" t="s">
        <v>845</v>
      </c>
    </row>
    <row r="2458" spans="2:14" hidden="1" x14ac:dyDescent="0.25">
      <c r="B2458" s="120">
        <v>2455</v>
      </c>
      <c r="C2458" s="123">
        <v>10456666359</v>
      </c>
      <c r="D2458" s="126" t="s">
        <v>9476</v>
      </c>
      <c r="E2458" s="126" t="s">
        <v>9477</v>
      </c>
      <c r="F2458" s="123" t="s">
        <v>30</v>
      </c>
      <c r="G2458" s="123" t="s">
        <v>30</v>
      </c>
      <c r="H2458" s="123" t="s">
        <v>51</v>
      </c>
      <c r="I2458" s="126" t="s">
        <v>1701</v>
      </c>
      <c r="J2458" s="123" t="s">
        <v>9478</v>
      </c>
      <c r="K2458" s="123" t="s">
        <v>9476</v>
      </c>
      <c r="L2458" s="131" t="s">
        <v>100</v>
      </c>
      <c r="M2458" s="135" t="s">
        <v>845</v>
      </c>
      <c r="N2458" s="123" t="s">
        <v>845</v>
      </c>
    </row>
    <row r="2459" spans="2:14" hidden="1" x14ac:dyDescent="0.25">
      <c r="B2459" s="120">
        <v>2456</v>
      </c>
      <c r="C2459" s="123">
        <v>10478020053</v>
      </c>
      <c r="D2459" s="126" t="s">
        <v>9479</v>
      </c>
      <c r="E2459" s="126" t="s">
        <v>9480</v>
      </c>
      <c r="F2459" s="123" t="s">
        <v>30</v>
      </c>
      <c r="G2459" s="123" t="s">
        <v>30</v>
      </c>
      <c r="H2459" s="123" t="s">
        <v>68</v>
      </c>
      <c r="I2459" s="126" t="s">
        <v>9481</v>
      </c>
      <c r="J2459" s="123" t="s">
        <v>9482</v>
      </c>
      <c r="K2459" s="123" t="s">
        <v>9479</v>
      </c>
      <c r="L2459" s="131" t="s">
        <v>100</v>
      </c>
      <c r="M2459" s="135" t="s">
        <v>845</v>
      </c>
      <c r="N2459" s="123" t="s">
        <v>845</v>
      </c>
    </row>
    <row r="2460" spans="2:14" hidden="1" x14ac:dyDescent="0.25">
      <c r="B2460" s="120">
        <v>2457</v>
      </c>
      <c r="C2460" s="123">
        <v>10430419701</v>
      </c>
      <c r="D2460" s="126" t="s">
        <v>9483</v>
      </c>
      <c r="E2460" s="126" t="s">
        <v>9484</v>
      </c>
      <c r="F2460" s="123" t="s">
        <v>30</v>
      </c>
      <c r="G2460" s="123" t="s">
        <v>30</v>
      </c>
      <c r="H2460" s="123" t="s">
        <v>51</v>
      </c>
      <c r="I2460" s="126" t="s">
        <v>8743</v>
      </c>
      <c r="J2460" s="123" t="s">
        <v>9485</v>
      </c>
      <c r="K2460" s="123" t="s">
        <v>9483</v>
      </c>
      <c r="L2460" s="131" t="s">
        <v>100</v>
      </c>
      <c r="M2460" s="135" t="s">
        <v>845</v>
      </c>
      <c r="N2460" s="123" t="s">
        <v>845</v>
      </c>
    </row>
    <row r="2461" spans="2:14" hidden="1" x14ac:dyDescent="0.25">
      <c r="B2461" s="120">
        <v>2458</v>
      </c>
      <c r="C2461" s="123">
        <v>10470032991</v>
      </c>
      <c r="D2461" s="126" t="s">
        <v>9486</v>
      </c>
      <c r="E2461" s="126" t="s">
        <v>9487</v>
      </c>
      <c r="F2461" s="123" t="s">
        <v>30</v>
      </c>
      <c r="G2461" s="123" t="s">
        <v>54</v>
      </c>
      <c r="H2461" s="123" t="s">
        <v>54</v>
      </c>
      <c r="I2461" s="126" t="s">
        <v>1701</v>
      </c>
      <c r="J2461" s="123" t="s">
        <v>9488</v>
      </c>
      <c r="K2461" s="123" t="s">
        <v>9486</v>
      </c>
      <c r="L2461" s="131" t="s">
        <v>100</v>
      </c>
      <c r="M2461" s="135" t="s">
        <v>845</v>
      </c>
      <c r="N2461" s="123" t="s">
        <v>845</v>
      </c>
    </row>
    <row r="2462" spans="2:14" hidden="1" x14ac:dyDescent="0.25">
      <c r="B2462" s="120">
        <v>2459</v>
      </c>
      <c r="C2462" s="123">
        <v>15604382049</v>
      </c>
      <c r="D2462" s="126" t="s">
        <v>9489</v>
      </c>
      <c r="E2462" s="126" t="s">
        <v>9490</v>
      </c>
      <c r="F2462" s="123" t="s">
        <v>30</v>
      </c>
      <c r="G2462" s="123" t="s">
        <v>30</v>
      </c>
      <c r="H2462" s="123" t="s">
        <v>30</v>
      </c>
      <c r="I2462" s="126" t="s">
        <v>1941</v>
      </c>
      <c r="J2462" s="123" t="s">
        <v>9491</v>
      </c>
      <c r="K2462" s="123" t="s">
        <v>9489</v>
      </c>
      <c r="L2462" s="131" t="s">
        <v>100</v>
      </c>
      <c r="M2462" s="135" t="s">
        <v>845</v>
      </c>
      <c r="N2462" s="123" t="s">
        <v>845</v>
      </c>
    </row>
    <row r="2463" spans="2:14" hidden="1" x14ac:dyDescent="0.25">
      <c r="B2463" s="120">
        <v>2460</v>
      </c>
      <c r="C2463" s="123">
        <v>10481457675</v>
      </c>
      <c r="D2463" s="126" t="s">
        <v>9492</v>
      </c>
      <c r="E2463" s="126" t="s">
        <v>9493</v>
      </c>
      <c r="F2463" s="123" t="s">
        <v>30</v>
      </c>
      <c r="G2463" s="123" t="s">
        <v>30</v>
      </c>
      <c r="H2463" s="123" t="s">
        <v>40</v>
      </c>
      <c r="I2463" s="126" t="s">
        <v>1737</v>
      </c>
      <c r="J2463" s="123" t="s">
        <v>9494</v>
      </c>
      <c r="K2463" s="123" t="s">
        <v>9495</v>
      </c>
      <c r="L2463" s="131" t="s">
        <v>100</v>
      </c>
      <c r="M2463" s="135" t="s">
        <v>845</v>
      </c>
      <c r="N2463" s="123" t="s">
        <v>845</v>
      </c>
    </row>
    <row r="2464" spans="2:14" hidden="1" x14ac:dyDescent="0.25">
      <c r="B2464" s="120">
        <v>2461</v>
      </c>
      <c r="C2464" s="123">
        <v>17320478316</v>
      </c>
      <c r="D2464" s="126" t="s">
        <v>9496</v>
      </c>
      <c r="E2464" s="126" t="s">
        <v>9497</v>
      </c>
      <c r="F2464" s="123" t="s">
        <v>30</v>
      </c>
      <c r="G2464" s="123" t="s">
        <v>54</v>
      </c>
      <c r="H2464" s="123" t="s">
        <v>54</v>
      </c>
      <c r="I2464" s="126" t="s">
        <v>1957</v>
      </c>
      <c r="J2464" s="123" t="s">
        <v>9498</v>
      </c>
      <c r="K2464" s="123" t="s">
        <v>9496</v>
      </c>
      <c r="L2464" s="131" t="s">
        <v>100</v>
      </c>
      <c r="M2464" s="135" t="s">
        <v>845</v>
      </c>
      <c r="N2464" s="123" t="s">
        <v>845</v>
      </c>
    </row>
    <row r="2465" spans="2:14" hidden="1" x14ac:dyDescent="0.25">
      <c r="B2465" s="120">
        <v>2462</v>
      </c>
      <c r="C2465" s="123">
        <v>10082763665</v>
      </c>
      <c r="D2465" s="126" t="s">
        <v>9499</v>
      </c>
      <c r="E2465" s="126" t="s">
        <v>9500</v>
      </c>
      <c r="F2465" s="123" t="s">
        <v>30</v>
      </c>
      <c r="G2465" s="123" t="s">
        <v>30</v>
      </c>
      <c r="H2465" s="123" t="s">
        <v>52</v>
      </c>
      <c r="I2465" s="126" t="s">
        <v>8743</v>
      </c>
      <c r="J2465" s="123">
        <v>40485116</v>
      </c>
      <c r="K2465" s="123" t="s">
        <v>9499</v>
      </c>
      <c r="L2465" s="131" t="s">
        <v>100</v>
      </c>
      <c r="M2465" s="135" t="s">
        <v>845</v>
      </c>
      <c r="N2465" s="123" t="s">
        <v>845</v>
      </c>
    </row>
    <row r="2466" spans="2:14" hidden="1" x14ac:dyDescent="0.25">
      <c r="B2466" s="120">
        <v>2463</v>
      </c>
      <c r="C2466" s="123">
        <v>10745328313</v>
      </c>
      <c r="D2466" s="126" t="s">
        <v>9501</v>
      </c>
      <c r="E2466" s="126" t="s">
        <v>9502</v>
      </c>
      <c r="F2466" s="123" t="s">
        <v>30</v>
      </c>
      <c r="G2466" s="123" t="s">
        <v>30</v>
      </c>
      <c r="H2466" s="123" t="s">
        <v>75</v>
      </c>
      <c r="I2466" s="126" t="s">
        <v>1737</v>
      </c>
      <c r="J2466" s="123" t="s">
        <v>9503</v>
      </c>
      <c r="K2466" s="123" t="s">
        <v>9501</v>
      </c>
      <c r="L2466" s="131" t="s">
        <v>100</v>
      </c>
      <c r="M2466" s="135" t="s">
        <v>845</v>
      </c>
      <c r="N2466" s="123" t="s">
        <v>845</v>
      </c>
    </row>
    <row r="2467" spans="2:14" hidden="1" x14ac:dyDescent="0.25">
      <c r="B2467" s="120">
        <v>2464</v>
      </c>
      <c r="C2467" s="123">
        <v>10450024274</v>
      </c>
      <c r="D2467" s="126" t="s">
        <v>9504</v>
      </c>
      <c r="E2467" s="126" t="s">
        <v>9505</v>
      </c>
      <c r="F2467" s="123" t="s">
        <v>30</v>
      </c>
      <c r="G2467" s="123" t="s">
        <v>30</v>
      </c>
      <c r="H2467" s="123" t="s">
        <v>37</v>
      </c>
      <c r="I2467" s="126" t="s">
        <v>1701</v>
      </c>
      <c r="J2467" s="123" t="s">
        <v>9506</v>
      </c>
      <c r="K2467" s="123" t="s">
        <v>9504</v>
      </c>
      <c r="L2467" s="131" t="s">
        <v>100</v>
      </c>
      <c r="M2467" s="135" t="s">
        <v>845</v>
      </c>
      <c r="N2467" s="123" t="s">
        <v>845</v>
      </c>
    </row>
    <row r="2468" spans="2:14" hidden="1" x14ac:dyDescent="0.25">
      <c r="B2468" s="120">
        <v>2465</v>
      </c>
      <c r="C2468" s="123">
        <v>10257550333</v>
      </c>
      <c r="D2468" s="126" t="s">
        <v>9507</v>
      </c>
      <c r="E2468" s="126" t="s">
        <v>9508</v>
      </c>
      <c r="F2468" s="123" t="s">
        <v>30</v>
      </c>
      <c r="G2468" s="123" t="s">
        <v>30</v>
      </c>
      <c r="H2468" s="123" t="s">
        <v>103</v>
      </c>
      <c r="I2468" s="126" t="s">
        <v>1949</v>
      </c>
      <c r="J2468" s="123" t="s">
        <v>9509</v>
      </c>
      <c r="K2468" s="123" t="s">
        <v>9510</v>
      </c>
      <c r="L2468" s="131" t="s">
        <v>100</v>
      </c>
      <c r="M2468" s="135" t="s">
        <v>845</v>
      </c>
      <c r="N2468" s="123" t="s">
        <v>845</v>
      </c>
    </row>
    <row r="2469" spans="2:14" hidden="1" x14ac:dyDescent="0.25">
      <c r="B2469" s="120">
        <v>2466</v>
      </c>
      <c r="C2469" s="123">
        <v>10467471665</v>
      </c>
      <c r="D2469" s="126" t="s">
        <v>9511</v>
      </c>
      <c r="E2469" s="126" t="s">
        <v>9512</v>
      </c>
      <c r="F2469" s="123" t="s">
        <v>30</v>
      </c>
      <c r="G2469" s="123" t="s">
        <v>30</v>
      </c>
      <c r="H2469" s="123" t="s">
        <v>75</v>
      </c>
      <c r="I2469" s="126" t="s">
        <v>1930</v>
      </c>
      <c r="J2469" s="123" t="s">
        <v>9513</v>
      </c>
      <c r="K2469" s="123" t="s">
        <v>9511</v>
      </c>
      <c r="L2469" s="131" t="s">
        <v>100</v>
      </c>
      <c r="M2469" s="135" t="s">
        <v>845</v>
      </c>
      <c r="N2469" s="123" t="s">
        <v>845</v>
      </c>
    </row>
    <row r="2470" spans="2:14" hidden="1" x14ac:dyDescent="0.25">
      <c r="B2470" s="120">
        <v>2467</v>
      </c>
      <c r="C2470" s="123">
        <v>10466145268</v>
      </c>
      <c r="D2470" s="126" t="s">
        <v>9514</v>
      </c>
      <c r="E2470" s="126" t="s">
        <v>9515</v>
      </c>
      <c r="F2470" s="123" t="s">
        <v>67</v>
      </c>
      <c r="G2470" s="123" t="s">
        <v>67</v>
      </c>
      <c r="H2470" s="123" t="s">
        <v>94</v>
      </c>
      <c r="I2470" s="126" t="s">
        <v>9516</v>
      </c>
      <c r="J2470" s="123" t="s">
        <v>9517</v>
      </c>
      <c r="K2470" s="123" t="s">
        <v>9514</v>
      </c>
      <c r="L2470" s="131" t="s">
        <v>100</v>
      </c>
      <c r="M2470" s="135" t="s">
        <v>845</v>
      </c>
      <c r="N2470" s="123" t="s">
        <v>845</v>
      </c>
    </row>
    <row r="2471" spans="2:14" hidden="1" x14ac:dyDescent="0.25">
      <c r="B2471" s="120">
        <v>2468</v>
      </c>
      <c r="C2471" s="123">
        <v>10436276759</v>
      </c>
      <c r="D2471" s="126" t="s">
        <v>9518</v>
      </c>
      <c r="E2471" s="126" t="s">
        <v>9519</v>
      </c>
      <c r="F2471" s="123" t="s">
        <v>30</v>
      </c>
      <c r="G2471" s="123" t="s">
        <v>30</v>
      </c>
      <c r="H2471" s="123" t="s">
        <v>51</v>
      </c>
      <c r="I2471" s="126" t="s">
        <v>1701</v>
      </c>
      <c r="J2471" s="123" t="s">
        <v>9520</v>
      </c>
      <c r="K2471" s="123" t="s">
        <v>9518</v>
      </c>
      <c r="L2471" s="131" t="s">
        <v>100</v>
      </c>
      <c r="M2471" s="135" t="s">
        <v>845</v>
      </c>
      <c r="N2471" s="123" t="s">
        <v>845</v>
      </c>
    </row>
    <row r="2472" spans="2:14" hidden="1" x14ac:dyDescent="0.25">
      <c r="B2472" s="120">
        <v>2469</v>
      </c>
      <c r="C2472" s="123">
        <v>10452367624</v>
      </c>
      <c r="D2472" s="126" t="s">
        <v>9521</v>
      </c>
      <c r="E2472" s="126" t="s">
        <v>9522</v>
      </c>
      <c r="F2472" s="123" t="s">
        <v>30</v>
      </c>
      <c r="G2472" s="123" t="s">
        <v>30</v>
      </c>
      <c r="H2472" s="123" t="s">
        <v>75</v>
      </c>
      <c r="I2472" s="126" t="s">
        <v>1643</v>
      </c>
      <c r="J2472" s="123" t="s">
        <v>9523</v>
      </c>
      <c r="K2472" s="123" t="s">
        <v>9521</v>
      </c>
      <c r="L2472" s="131" t="s">
        <v>100</v>
      </c>
      <c r="M2472" s="135" t="s">
        <v>845</v>
      </c>
      <c r="N2472" s="123" t="s">
        <v>845</v>
      </c>
    </row>
    <row r="2473" spans="2:14" hidden="1" x14ac:dyDescent="0.25">
      <c r="B2473" s="120">
        <v>2470</v>
      </c>
      <c r="C2473" s="123">
        <v>10408724126</v>
      </c>
      <c r="D2473" s="126" t="s">
        <v>9524</v>
      </c>
      <c r="E2473" s="126" t="s">
        <v>9525</v>
      </c>
      <c r="F2473" s="123" t="s">
        <v>30</v>
      </c>
      <c r="G2473" s="123" t="s">
        <v>30</v>
      </c>
      <c r="H2473" s="123" t="s">
        <v>43</v>
      </c>
      <c r="I2473" s="126" t="s">
        <v>1931</v>
      </c>
      <c r="J2473" s="123" t="s">
        <v>9526</v>
      </c>
      <c r="K2473" s="123" t="s">
        <v>9524</v>
      </c>
      <c r="L2473" s="131" t="s">
        <v>100</v>
      </c>
      <c r="M2473" s="135" t="s">
        <v>845</v>
      </c>
      <c r="N2473" s="123" t="s">
        <v>845</v>
      </c>
    </row>
    <row r="2474" spans="2:14" hidden="1" x14ac:dyDescent="0.25">
      <c r="B2474" s="120">
        <v>2471</v>
      </c>
      <c r="C2474" s="123">
        <v>10707518575</v>
      </c>
      <c r="D2474" s="126" t="s">
        <v>9527</v>
      </c>
      <c r="E2474" s="126" t="s">
        <v>9528</v>
      </c>
      <c r="F2474" s="123" t="s">
        <v>30</v>
      </c>
      <c r="G2474" s="123" t="s">
        <v>30</v>
      </c>
      <c r="H2474" s="123" t="s">
        <v>75</v>
      </c>
      <c r="I2474" s="126" t="s">
        <v>1986</v>
      </c>
      <c r="J2474" s="123" t="s">
        <v>9529</v>
      </c>
      <c r="K2474" s="123" t="s">
        <v>9527</v>
      </c>
      <c r="L2474" s="131" t="s">
        <v>100</v>
      </c>
      <c r="M2474" s="135" t="s">
        <v>845</v>
      </c>
      <c r="N2474" s="123" t="s">
        <v>845</v>
      </c>
    </row>
    <row r="2475" spans="2:14" hidden="1" x14ac:dyDescent="0.25">
      <c r="B2475" s="120">
        <v>2472</v>
      </c>
      <c r="C2475" s="123">
        <v>10438146925</v>
      </c>
      <c r="D2475" s="126" t="s">
        <v>9530</v>
      </c>
      <c r="E2475" s="126" t="s">
        <v>9531</v>
      </c>
      <c r="F2475" s="123" t="s">
        <v>30</v>
      </c>
      <c r="G2475" s="123" t="s">
        <v>30</v>
      </c>
      <c r="H2475" s="123" t="s">
        <v>38</v>
      </c>
      <c r="I2475" s="126" t="s">
        <v>2294</v>
      </c>
      <c r="J2475" s="123" t="s">
        <v>9532</v>
      </c>
      <c r="K2475" s="123" t="s">
        <v>9530</v>
      </c>
      <c r="L2475" s="131" t="s">
        <v>100</v>
      </c>
      <c r="M2475" s="135" t="s">
        <v>845</v>
      </c>
      <c r="N2475" s="123" t="s">
        <v>845</v>
      </c>
    </row>
    <row r="2476" spans="2:14" hidden="1" x14ac:dyDescent="0.25">
      <c r="B2476" s="120">
        <v>2473</v>
      </c>
      <c r="C2476" s="123">
        <v>10439069878</v>
      </c>
      <c r="D2476" s="126" t="s">
        <v>9533</v>
      </c>
      <c r="E2476" s="126" t="s">
        <v>9534</v>
      </c>
      <c r="F2476" s="123" t="s">
        <v>30</v>
      </c>
      <c r="G2476" s="123" t="s">
        <v>30</v>
      </c>
      <c r="H2476" s="123" t="s">
        <v>88</v>
      </c>
      <c r="I2476" s="126" t="s">
        <v>1701</v>
      </c>
      <c r="J2476" s="123" t="s">
        <v>9535</v>
      </c>
      <c r="K2476" s="123" t="s">
        <v>9533</v>
      </c>
      <c r="L2476" s="131" t="s">
        <v>100</v>
      </c>
      <c r="M2476" s="135" t="s">
        <v>845</v>
      </c>
      <c r="N2476" s="123" t="s">
        <v>845</v>
      </c>
    </row>
    <row r="2477" spans="2:14" hidden="1" x14ac:dyDescent="0.25">
      <c r="B2477" s="120">
        <v>2474</v>
      </c>
      <c r="C2477" s="123">
        <v>10404851166</v>
      </c>
      <c r="D2477" s="126" t="s">
        <v>9536</v>
      </c>
      <c r="E2477" s="126" t="s">
        <v>9537</v>
      </c>
      <c r="F2477" s="123" t="s">
        <v>30</v>
      </c>
      <c r="G2477" s="123" t="s">
        <v>31</v>
      </c>
      <c r="H2477" s="123" t="s">
        <v>32</v>
      </c>
      <c r="I2477" s="126" t="s">
        <v>1931</v>
      </c>
      <c r="J2477" s="123" t="s">
        <v>9538</v>
      </c>
      <c r="K2477" s="123" t="s">
        <v>9536</v>
      </c>
      <c r="L2477" s="131" t="s">
        <v>100</v>
      </c>
      <c r="M2477" s="135" t="s">
        <v>845</v>
      </c>
      <c r="N2477" s="123" t="s">
        <v>845</v>
      </c>
    </row>
    <row r="2478" spans="2:14" hidden="1" x14ac:dyDescent="0.25">
      <c r="B2478" s="120">
        <v>2475</v>
      </c>
      <c r="C2478" s="123">
        <v>10090122512</v>
      </c>
      <c r="D2478" s="126" t="s">
        <v>9539</v>
      </c>
      <c r="E2478" s="126" t="s">
        <v>9540</v>
      </c>
      <c r="F2478" s="123" t="s">
        <v>30</v>
      </c>
      <c r="G2478" s="123" t="s">
        <v>30</v>
      </c>
      <c r="H2478" s="123" t="s">
        <v>75</v>
      </c>
      <c r="I2478" s="126" t="s">
        <v>8743</v>
      </c>
      <c r="J2478" s="123" t="s">
        <v>9541</v>
      </c>
      <c r="K2478" s="123" t="s">
        <v>9539</v>
      </c>
      <c r="L2478" s="131" t="s">
        <v>100</v>
      </c>
      <c r="M2478" s="135" t="s">
        <v>845</v>
      </c>
      <c r="N2478" s="123" t="s">
        <v>845</v>
      </c>
    </row>
    <row r="2479" spans="2:14" hidden="1" x14ac:dyDescent="0.25">
      <c r="B2479" s="120">
        <v>2476</v>
      </c>
      <c r="C2479" s="123">
        <v>10099623387</v>
      </c>
      <c r="D2479" s="126" t="s">
        <v>9542</v>
      </c>
      <c r="E2479" s="126" t="s">
        <v>9543</v>
      </c>
      <c r="F2479" s="123" t="s">
        <v>30</v>
      </c>
      <c r="G2479" s="123" t="s">
        <v>30</v>
      </c>
      <c r="H2479" s="123" t="s">
        <v>50</v>
      </c>
      <c r="I2479" s="126" t="s">
        <v>59</v>
      </c>
      <c r="J2479" s="123" t="s">
        <v>9544</v>
      </c>
      <c r="K2479" s="123" t="s">
        <v>9545</v>
      </c>
      <c r="L2479" s="131" t="s">
        <v>100</v>
      </c>
      <c r="M2479" s="135" t="s">
        <v>845</v>
      </c>
      <c r="N2479" s="123" t="s">
        <v>845</v>
      </c>
    </row>
    <row r="2480" spans="2:14" hidden="1" x14ac:dyDescent="0.25">
      <c r="B2480" s="120">
        <v>2477</v>
      </c>
      <c r="C2480" s="123">
        <v>10105959589</v>
      </c>
      <c r="D2480" s="126" t="s">
        <v>9546</v>
      </c>
      <c r="E2480" s="126" t="s">
        <v>9547</v>
      </c>
      <c r="F2480" s="123" t="s">
        <v>30</v>
      </c>
      <c r="G2480" s="123" t="s">
        <v>30</v>
      </c>
      <c r="H2480" s="123" t="s">
        <v>47</v>
      </c>
      <c r="I2480" s="126" t="s">
        <v>1499</v>
      </c>
      <c r="J2480" s="123" t="s">
        <v>9548</v>
      </c>
      <c r="K2480" s="123" t="s">
        <v>9546</v>
      </c>
      <c r="L2480" s="131" t="s">
        <v>100</v>
      </c>
      <c r="M2480" s="135" t="s">
        <v>845</v>
      </c>
      <c r="N2480" s="123" t="s">
        <v>845</v>
      </c>
    </row>
    <row r="2481" spans="2:14" hidden="1" x14ac:dyDescent="0.25">
      <c r="B2481" s="120">
        <v>2478</v>
      </c>
      <c r="C2481" s="123">
        <v>10401403987</v>
      </c>
      <c r="D2481" s="126" t="s">
        <v>9549</v>
      </c>
      <c r="E2481" s="126" t="s">
        <v>9550</v>
      </c>
      <c r="F2481" s="123" t="s">
        <v>30</v>
      </c>
      <c r="G2481" s="123" t="s">
        <v>30</v>
      </c>
      <c r="H2481" s="123" t="s">
        <v>58</v>
      </c>
      <c r="I2481" s="126" t="s">
        <v>1737</v>
      </c>
      <c r="J2481" s="123" t="s">
        <v>9551</v>
      </c>
      <c r="K2481" s="123" t="s">
        <v>9552</v>
      </c>
      <c r="L2481" s="131" t="s">
        <v>100</v>
      </c>
      <c r="M2481" s="135" t="s">
        <v>845</v>
      </c>
      <c r="N2481" s="123" t="s">
        <v>845</v>
      </c>
    </row>
    <row r="2482" spans="2:14" hidden="1" x14ac:dyDescent="0.25">
      <c r="B2482" s="120">
        <v>2479</v>
      </c>
      <c r="C2482" s="123">
        <v>10729357915</v>
      </c>
      <c r="D2482" s="126" t="s">
        <v>9553</v>
      </c>
      <c r="E2482" s="126" t="s">
        <v>9554</v>
      </c>
      <c r="F2482" s="123" t="s">
        <v>30</v>
      </c>
      <c r="G2482" s="123" t="s">
        <v>30</v>
      </c>
      <c r="H2482" s="123" t="s">
        <v>43</v>
      </c>
      <c r="I2482" s="126" t="s">
        <v>1983</v>
      </c>
      <c r="J2482" s="123" t="s">
        <v>9555</v>
      </c>
      <c r="K2482" s="123" t="s">
        <v>9553</v>
      </c>
      <c r="L2482" s="131" t="s">
        <v>100</v>
      </c>
      <c r="M2482" s="135" t="s">
        <v>845</v>
      </c>
      <c r="N2482" s="123" t="s">
        <v>845</v>
      </c>
    </row>
    <row r="2483" spans="2:14" hidden="1" x14ac:dyDescent="0.25">
      <c r="B2483" s="120">
        <v>2480</v>
      </c>
      <c r="C2483" s="123">
        <v>10096956075</v>
      </c>
      <c r="D2483" s="126" t="s">
        <v>9556</v>
      </c>
      <c r="E2483" s="126" t="s">
        <v>9557</v>
      </c>
      <c r="F2483" s="123" t="s">
        <v>30</v>
      </c>
      <c r="G2483" s="123" t="s">
        <v>30</v>
      </c>
      <c r="H2483" s="123" t="s">
        <v>60</v>
      </c>
      <c r="I2483" s="126" t="s">
        <v>1936</v>
      </c>
      <c r="J2483" s="123" t="s">
        <v>9558</v>
      </c>
      <c r="K2483" s="123" t="s">
        <v>9556</v>
      </c>
      <c r="L2483" s="131" t="s">
        <v>100</v>
      </c>
      <c r="M2483" s="135" t="s">
        <v>845</v>
      </c>
      <c r="N2483" s="123" t="s">
        <v>845</v>
      </c>
    </row>
    <row r="2484" spans="2:14" hidden="1" x14ac:dyDescent="0.25">
      <c r="B2484" s="120">
        <v>2481</v>
      </c>
      <c r="C2484" s="123">
        <v>10257009136</v>
      </c>
      <c r="D2484" s="126" t="s">
        <v>9559</v>
      </c>
      <c r="E2484" s="126" t="s">
        <v>9560</v>
      </c>
      <c r="F2484" s="123" t="s">
        <v>30</v>
      </c>
      <c r="G2484" s="123" t="s">
        <v>30</v>
      </c>
      <c r="H2484" s="123" t="s">
        <v>397</v>
      </c>
      <c r="I2484" s="126" t="s">
        <v>9561</v>
      </c>
      <c r="J2484" s="123" t="s">
        <v>9562</v>
      </c>
      <c r="K2484" s="123" t="s">
        <v>9559</v>
      </c>
      <c r="L2484" s="131" t="s">
        <v>100</v>
      </c>
      <c r="M2484" s="135" t="s">
        <v>845</v>
      </c>
      <c r="N2484" s="123" t="s">
        <v>845</v>
      </c>
    </row>
    <row r="2485" spans="2:14" hidden="1" x14ac:dyDescent="0.25">
      <c r="B2485" s="120">
        <v>2482</v>
      </c>
      <c r="C2485" s="123">
        <v>10412436488</v>
      </c>
      <c r="D2485" s="126" t="s">
        <v>9563</v>
      </c>
      <c r="E2485" s="126" t="s">
        <v>9564</v>
      </c>
      <c r="F2485" s="123" t="s">
        <v>30</v>
      </c>
      <c r="G2485" s="123" t="s">
        <v>30</v>
      </c>
      <c r="H2485" s="123" t="s">
        <v>45</v>
      </c>
      <c r="I2485" s="126" t="s">
        <v>1737</v>
      </c>
      <c r="J2485" s="123" t="s">
        <v>9565</v>
      </c>
      <c r="K2485" s="123" t="s">
        <v>9563</v>
      </c>
      <c r="L2485" s="131" t="s">
        <v>100</v>
      </c>
      <c r="M2485" s="135" t="s">
        <v>845</v>
      </c>
      <c r="N2485" s="123" t="s">
        <v>845</v>
      </c>
    </row>
    <row r="2486" spans="2:14" hidden="1" x14ac:dyDescent="0.25">
      <c r="B2486" s="120">
        <v>2483</v>
      </c>
      <c r="C2486" s="123">
        <v>10445291132</v>
      </c>
      <c r="D2486" s="126" t="s">
        <v>9566</v>
      </c>
      <c r="E2486" s="126" t="s">
        <v>9567</v>
      </c>
      <c r="F2486" s="123" t="s">
        <v>30</v>
      </c>
      <c r="G2486" s="123" t="s">
        <v>30</v>
      </c>
      <c r="H2486" s="123" t="s">
        <v>58</v>
      </c>
      <c r="I2486" s="126" t="s">
        <v>1701</v>
      </c>
      <c r="J2486" s="123" t="s">
        <v>9568</v>
      </c>
      <c r="K2486" s="123" t="s">
        <v>9566</v>
      </c>
      <c r="L2486" s="131" t="s">
        <v>100</v>
      </c>
      <c r="M2486" s="135" t="s">
        <v>845</v>
      </c>
      <c r="N2486" s="123" t="s">
        <v>845</v>
      </c>
    </row>
    <row r="2487" spans="2:14" hidden="1" x14ac:dyDescent="0.25">
      <c r="B2487" s="120">
        <v>2484</v>
      </c>
      <c r="C2487" s="123">
        <v>10801806240</v>
      </c>
      <c r="D2487" s="126" t="s">
        <v>9569</v>
      </c>
      <c r="E2487" s="126" t="s">
        <v>9570</v>
      </c>
      <c r="F2487" s="123" t="s">
        <v>30</v>
      </c>
      <c r="G2487" s="123" t="s">
        <v>30</v>
      </c>
      <c r="H2487" s="123" t="s">
        <v>74</v>
      </c>
      <c r="I2487" s="126" t="s">
        <v>1936</v>
      </c>
      <c r="J2487" s="123" t="s">
        <v>9571</v>
      </c>
      <c r="K2487" s="123" t="s">
        <v>9572</v>
      </c>
      <c r="L2487" s="131" t="s">
        <v>100</v>
      </c>
      <c r="M2487" s="135" t="s">
        <v>845</v>
      </c>
      <c r="N2487" s="123" t="s">
        <v>845</v>
      </c>
    </row>
    <row r="2488" spans="2:14" hidden="1" x14ac:dyDescent="0.25">
      <c r="B2488" s="120">
        <v>2485</v>
      </c>
      <c r="C2488" s="123">
        <v>10700335955</v>
      </c>
      <c r="D2488" s="126" t="s">
        <v>9573</v>
      </c>
      <c r="E2488" s="126" t="s">
        <v>9574</v>
      </c>
      <c r="F2488" s="123" t="s">
        <v>30</v>
      </c>
      <c r="G2488" s="123" t="s">
        <v>30</v>
      </c>
      <c r="H2488" s="123" t="s">
        <v>45</v>
      </c>
      <c r="I2488" s="126" t="s">
        <v>9575</v>
      </c>
      <c r="J2488" s="123" t="s">
        <v>9576</v>
      </c>
      <c r="K2488" s="123" t="s">
        <v>9577</v>
      </c>
      <c r="L2488" s="131" t="s">
        <v>100</v>
      </c>
      <c r="M2488" s="135" t="s">
        <v>845</v>
      </c>
      <c r="N2488" s="123" t="s">
        <v>845</v>
      </c>
    </row>
    <row r="2489" spans="2:14" hidden="1" x14ac:dyDescent="0.25">
      <c r="B2489" s="120">
        <v>2486</v>
      </c>
      <c r="C2489" s="123">
        <v>10411061227</v>
      </c>
      <c r="D2489" s="126" t="s">
        <v>9578</v>
      </c>
      <c r="E2489" s="126" t="s">
        <v>9579</v>
      </c>
      <c r="F2489" s="123" t="s">
        <v>30</v>
      </c>
      <c r="G2489" s="123" t="s">
        <v>30</v>
      </c>
      <c r="H2489" s="123" t="s">
        <v>30</v>
      </c>
      <c r="I2489" s="126" t="s">
        <v>1507</v>
      </c>
      <c r="J2489" s="123" t="s">
        <v>9580</v>
      </c>
      <c r="K2489" s="123" t="s">
        <v>9578</v>
      </c>
      <c r="L2489" s="131" t="s">
        <v>100</v>
      </c>
      <c r="M2489" s="135" t="s">
        <v>845</v>
      </c>
      <c r="N2489" s="123" t="s">
        <v>845</v>
      </c>
    </row>
    <row r="2490" spans="2:14" hidden="1" x14ac:dyDescent="0.25">
      <c r="B2490" s="120">
        <v>2487</v>
      </c>
      <c r="C2490" s="123">
        <v>10412521647</v>
      </c>
      <c r="D2490" s="126" t="s">
        <v>9581</v>
      </c>
      <c r="E2490" s="126" t="s">
        <v>9582</v>
      </c>
      <c r="F2490" s="123" t="s">
        <v>30</v>
      </c>
      <c r="G2490" s="123" t="s">
        <v>30</v>
      </c>
      <c r="H2490" s="123" t="s">
        <v>40</v>
      </c>
      <c r="I2490" s="126" t="s">
        <v>1424</v>
      </c>
      <c r="J2490" s="123" t="s">
        <v>9583</v>
      </c>
      <c r="K2490" s="123" t="s">
        <v>9581</v>
      </c>
      <c r="L2490" s="131" t="s">
        <v>100</v>
      </c>
      <c r="M2490" s="135" t="s">
        <v>845</v>
      </c>
      <c r="N2490" s="123" t="s">
        <v>845</v>
      </c>
    </row>
    <row r="2491" spans="2:14" hidden="1" x14ac:dyDescent="0.25">
      <c r="B2491" s="120">
        <v>2488</v>
      </c>
      <c r="C2491" s="123">
        <v>10076963954</v>
      </c>
      <c r="D2491" s="126" t="s">
        <v>9584</v>
      </c>
      <c r="E2491" s="126" t="s">
        <v>9585</v>
      </c>
      <c r="F2491" s="123" t="s">
        <v>30</v>
      </c>
      <c r="G2491" s="123" t="s">
        <v>30</v>
      </c>
      <c r="H2491" s="123" t="s">
        <v>85</v>
      </c>
      <c r="I2491" s="126" t="s">
        <v>8884</v>
      </c>
      <c r="J2491" s="123" t="s">
        <v>9586</v>
      </c>
      <c r="K2491" s="123" t="s">
        <v>9584</v>
      </c>
      <c r="L2491" s="131" t="s">
        <v>100</v>
      </c>
      <c r="M2491" s="135" t="s">
        <v>845</v>
      </c>
      <c r="N2491" s="123" t="s">
        <v>845</v>
      </c>
    </row>
    <row r="2492" spans="2:14" hidden="1" x14ac:dyDescent="0.25">
      <c r="B2492" s="120">
        <v>2489</v>
      </c>
      <c r="C2492" s="123">
        <v>10411049944</v>
      </c>
      <c r="D2492" s="126" t="s">
        <v>9587</v>
      </c>
      <c r="E2492" s="126" t="s">
        <v>9588</v>
      </c>
      <c r="F2492" s="123" t="s">
        <v>30</v>
      </c>
      <c r="G2492" s="123" t="s">
        <v>30</v>
      </c>
      <c r="H2492" s="123" t="s">
        <v>43</v>
      </c>
      <c r="I2492" s="126" t="s">
        <v>1805</v>
      </c>
      <c r="J2492" s="123" t="s">
        <v>9589</v>
      </c>
      <c r="K2492" s="123" t="s">
        <v>9587</v>
      </c>
      <c r="L2492" s="131" t="s">
        <v>100</v>
      </c>
      <c r="M2492" s="135" t="s">
        <v>845</v>
      </c>
      <c r="N2492" s="123" t="s">
        <v>845</v>
      </c>
    </row>
    <row r="2493" spans="2:14" hidden="1" x14ac:dyDescent="0.25">
      <c r="B2493" s="120">
        <v>2490</v>
      </c>
      <c r="C2493" s="123">
        <v>10076900243</v>
      </c>
      <c r="D2493" s="126" t="s">
        <v>9590</v>
      </c>
      <c r="E2493" s="126" t="s">
        <v>9591</v>
      </c>
      <c r="F2493" s="123" t="s">
        <v>30</v>
      </c>
      <c r="G2493" s="123" t="s">
        <v>30</v>
      </c>
      <c r="H2493" s="123" t="s">
        <v>34</v>
      </c>
      <c r="I2493" s="126" t="s">
        <v>1701</v>
      </c>
      <c r="J2493" s="123" t="s">
        <v>9592</v>
      </c>
      <c r="K2493" s="123" t="s">
        <v>9590</v>
      </c>
      <c r="L2493" s="131" t="s">
        <v>100</v>
      </c>
      <c r="M2493" s="135" t="s">
        <v>845</v>
      </c>
      <c r="N2493" s="123" t="s">
        <v>845</v>
      </c>
    </row>
    <row r="2494" spans="2:14" hidden="1" x14ac:dyDescent="0.25">
      <c r="B2494" s="120">
        <v>2491</v>
      </c>
      <c r="C2494" s="123">
        <v>10447758372</v>
      </c>
      <c r="D2494" s="126" t="s">
        <v>9593</v>
      </c>
      <c r="E2494" s="126" t="s">
        <v>9594</v>
      </c>
      <c r="F2494" s="123" t="s">
        <v>30</v>
      </c>
      <c r="G2494" s="123" t="s">
        <v>30</v>
      </c>
      <c r="H2494" s="123" t="s">
        <v>34</v>
      </c>
      <c r="I2494" s="126" t="s">
        <v>1387</v>
      </c>
      <c r="J2494" s="123" t="s">
        <v>9595</v>
      </c>
      <c r="K2494" s="123" t="s">
        <v>9593</v>
      </c>
      <c r="L2494" s="131" t="s">
        <v>100</v>
      </c>
      <c r="M2494" s="135" t="s">
        <v>845</v>
      </c>
      <c r="N2494" s="123" t="s">
        <v>845</v>
      </c>
    </row>
    <row r="2495" spans="2:14" hidden="1" x14ac:dyDescent="0.25">
      <c r="B2495" s="120">
        <v>2492</v>
      </c>
      <c r="C2495" s="123">
        <v>10160220274</v>
      </c>
      <c r="D2495" s="126" t="s">
        <v>9596</v>
      </c>
      <c r="E2495" s="126" t="s">
        <v>9597</v>
      </c>
      <c r="F2495" s="123" t="s">
        <v>30</v>
      </c>
      <c r="G2495" s="123" t="s">
        <v>30</v>
      </c>
      <c r="H2495" s="123" t="s">
        <v>30</v>
      </c>
      <c r="I2495" s="126" t="s">
        <v>1932</v>
      </c>
      <c r="J2495" s="123" t="s">
        <v>9598</v>
      </c>
      <c r="K2495" s="123" t="s">
        <v>9599</v>
      </c>
      <c r="L2495" s="131" t="s">
        <v>100</v>
      </c>
      <c r="M2495" s="135" t="s">
        <v>845</v>
      </c>
      <c r="N2495" s="123" t="s">
        <v>845</v>
      </c>
    </row>
    <row r="2496" spans="2:14" hidden="1" x14ac:dyDescent="0.25">
      <c r="B2496" s="120">
        <v>2493</v>
      </c>
      <c r="C2496" s="123">
        <v>10451290423</v>
      </c>
      <c r="D2496" s="126" t="s">
        <v>9600</v>
      </c>
      <c r="E2496" s="126" t="s">
        <v>9601</v>
      </c>
      <c r="F2496" s="123" t="s">
        <v>30</v>
      </c>
      <c r="G2496" s="123" t="s">
        <v>30</v>
      </c>
      <c r="H2496" s="123" t="s">
        <v>75</v>
      </c>
      <c r="I2496" s="126" t="s">
        <v>1424</v>
      </c>
      <c r="J2496" s="123" t="s">
        <v>9602</v>
      </c>
      <c r="K2496" s="123" t="s">
        <v>9600</v>
      </c>
      <c r="L2496" s="131" t="s">
        <v>100</v>
      </c>
      <c r="M2496" s="135" t="s">
        <v>845</v>
      </c>
      <c r="N2496" s="123" t="s">
        <v>845</v>
      </c>
    </row>
    <row r="2497" spans="2:14" hidden="1" x14ac:dyDescent="0.25">
      <c r="B2497" s="120">
        <v>2494</v>
      </c>
      <c r="C2497" s="123">
        <v>10442825179</v>
      </c>
      <c r="D2497" s="126" t="s">
        <v>9603</v>
      </c>
      <c r="E2497" s="126" t="s">
        <v>9604</v>
      </c>
      <c r="F2497" s="123" t="s">
        <v>30</v>
      </c>
      <c r="G2497" s="123" t="s">
        <v>30</v>
      </c>
      <c r="H2497" s="123" t="s">
        <v>45</v>
      </c>
      <c r="I2497" s="126" t="s">
        <v>1701</v>
      </c>
      <c r="J2497" s="123" t="s">
        <v>9605</v>
      </c>
      <c r="K2497" s="123" t="s">
        <v>9603</v>
      </c>
      <c r="L2497" s="131" t="s">
        <v>100</v>
      </c>
      <c r="M2497" s="135" t="s">
        <v>845</v>
      </c>
      <c r="N2497" s="123" t="s">
        <v>845</v>
      </c>
    </row>
    <row r="2498" spans="2:14" hidden="1" x14ac:dyDescent="0.25">
      <c r="B2498" s="120">
        <v>2495</v>
      </c>
      <c r="C2498" s="123">
        <v>10254290951</v>
      </c>
      <c r="D2498" s="126" t="s">
        <v>9606</v>
      </c>
      <c r="E2498" s="126" t="s">
        <v>9607</v>
      </c>
      <c r="F2498" s="123" t="s">
        <v>67</v>
      </c>
      <c r="G2498" s="123" t="s">
        <v>67</v>
      </c>
      <c r="H2498" s="123" t="s">
        <v>67</v>
      </c>
      <c r="I2498" s="126" t="s">
        <v>1962</v>
      </c>
      <c r="J2498" s="123" t="s">
        <v>9608</v>
      </c>
      <c r="K2498" s="123" t="s">
        <v>9606</v>
      </c>
      <c r="L2498" s="131" t="s">
        <v>100</v>
      </c>
      <c r="M2498" s="135" t="s">
        <v>845</v>
      </c>
      <c r="N2498" s="123" t="s">
        <v>845</v>
      </c>
    </row>
    <row r="2499" spans="2:14" hidden="1" x14ac:dyDescent="0.25">
      <c r="B2499" s="120">
        <v>2496</v>
      </c>
      <c r="C2499" s="123">
        <v>10095631326</v>
      </c>
      <c r="D2499" s="126" t="s">
        <v>9609</v>
      </c>
      <c r="E2499" s="126" t="s">
        <v>9610</v>
      </c>
      <c r="F2499" s="123" t="s">
        <v>30</v>
      </c>
      <c r="G2499" s="123" t="s">
        <v>30</v>
      </c>
      <c r="H2499" s="123" t="s">
        <v>43</v>
      </c>
      <c r="I2499" s="126" t="s">
        <v>1980</v>
      </c>
      <c r="J2499" s="123" t="s">
        <v>9611</v>
      </c>
      <c r="K2499" s="123" t="s">
        <v>9609</v>
      </c>
      <c r="L2499" s="131" t="s">
        <v>100</v>
      </c>
      <c r="M2499" s="135" t="s">
        <v>845</v>
      </c>
      <c r="N2499" s="123" t="s">
        <v>845</v>
      </c>
    </row>
    <row r="2500" spans="2:14" hidden="1" x14ac:dyDescent="0.25">
      <c r="B2500" s="120">
        <v>2497</v>
      </c>
      <c r="C2500" s="123">
        <v>10100653147</v>
      </c>
      <c r="D2500" s="126" t="s">
        <v>9612</v>
      </c>
      <c r="E2500" s="126" t="s">
        <v>9613</v>
      </c>
      <c r="F2500" s="123" t="s">
        <v>30</v>
      </c>
      <c r="G2500" s="123" t="s">
        <v>30</v>
      </c>
      <c r="H2500" s="123" t="s">
        <v>74</v>
      </c>
      <c r="I2500" s="126" t="s">
        <v>1701</v>
      </c>
      <c r="J2500" s="123" t="s">
        <v>9614</v>
      </c>
      <c r="K2500" s="123" t="s">
        <v>9612</v>
      </c>
      <c r="L2500" s="131" t="s">
        <v>100</v>
      </c>
      <c r="M2500" s="135" t="s">
        <v>845</v>
      </c>
      <c r="N2500" s="123" t="s">
        <v>845</v>
      </c>
    </row>
    <row r="2501" spans="2:14" hidden="1" x14ac:dyDescent="0.25">
      <c r="B2501" s="120">
        <v>2498</v>
      </c>
      <c r="C2501" s="123">
        <v>10753747911</v>
      </c>
      <c r="D2501" s="126" t="s">
        <v>9615</v>
      </c>
      <c r="E2501" s="126" t="s">
        <v>9616</v>
      </c>
      <c r="F2501" s="123" t="s">
        <v>30</v>
      </c>
      <c r="G2501" s="123" t="s">
        <v>30</v>
      </c>
      <c r="H2501" s="123" t="s">
        <v>45</v>
      </c>
      <c r="I2501" s="126" t="s">
        <v>1950</v>
      </c>
      <c r="J2501" s="123" t="s">
        <v>9617</v>
      </c>
      <c r="K2501" s="123" t="s">
        <v>9618</v>
      </c>
      <c r="L2501" s="131" t="s">
        <v>100</v>
      </c>
      <c r="M2501" s="135" t="s">
        <v>845</v>
      </c>
      <c r="N2501" s="123" t="s">
        <v>845</v>
      </c>
    </row>
    <row r="2502" spans="2:14" hidden="1" x14ac:dyDescent="0.25">
      <c r="B2502" s="120">
        <v>2499</v>
      </c>
      <c r="C2502" s="123">
        <v>10418683312</v>
      </c>
      <c r="D2502" s="126" t="s">
        <v>9619</v>
      </c>
      <c r="E2502" s="126" t="s">
        <v>9620</v>
      </c>
      <c r="F2502" s="123" t="s">
        <v>30</v>
      </c>
      <c r="G2502" s="123" t="s">
        <v>30</v>
      </c>
      <c r="H2502" s="123" t="s">
        <v>30</v>
      </c>
      <c r="I2502" s="126" t="s">
        <v>1706</v>
      </c>
      <c r="J2502" s="123" t="s">
        <v>9621</v>
      </c>
      <c r="K2502" s="123" t="s">
        <v>9622</v>
      </c>
      <c r="L2502" s="131" t="s">
        <v>100</v>
      </c>
      <c r="M2502" s="135" t="s">
        <v>845</v>
      </c>
      <c r="N2502" s="123" t="s">
        <v>845</v>
      </c>
    </row>
    <row r="2503" spans="2:14" hidden="1" x14ac:dyDescent="0.25">
      <c r="B2503" s="120">
        <v>2500</v>
      </c>
      <c r="C2503" s="123">
        <v>10432032049</v>
      </c>
      <c r="D2503" s="126" t="s">
        <v>9623</v>
      </c>
      <c r="E2503" s="126" t="s">
        <v>9624</v>
      </c>
      <c r="F2503" s="123" t="s">
        <v>30</v>
      </c>
      <c r="G2503" s="123" t="s">
        <v>30</v>
      </c>
      <c r="H2503" s="123" t="s">
        <v>147</v>
      </c>
      <c r="I2503" s="126" t="s">
        <v>9625</v>
      </c>
      <c r="J2503" s="123" t="s">
        <v>9626</v>
      </c>
      <c r="K2503" s="123" t="s">
        <v>9623</v>
      </c>
      <c r="L2503" s="131" t="s">
        <v>100</v>
      </c>
      <c r="M2503" s="135" t="s">
        <v>845</v>
      </c>
      <c r="N2503" s="123" t="s">
        <v>845</v>
      </c>
    </row>
    <row r="2504" spans="2:14" hidden="1" x14ac:dyDescent="0.25">
      <c r="B2504" s="120">
        <v>2501</v>
      </c>
      <c r="C2504" s="123">
        <v>10428507440</v>
      </c>
      <c r="D2504" s="126" t="s">
        <v>9627</v>
      </c>
      <c r="E2504" s="126" t="s">
        <v>9628</v>
      </c>
      <c r="F2504" s="123" t="s">
        <v>30</v>
      </c>
      <c r="G2504" s="123" t="s">
        <v>30</v>
      </c>
      <c r="H2504" s="123" t="s">
        <v>58</v>
      </c>
      <c r="I2504" s="126" t="s">
        <v>1737</v>
      </c>
      <c r="J2504" s="123" t="s">
        <v>9629</v>
      </c>
      <c r="K2504" s="123" t="s">
        <v>9627</v>
      </c>
      <c r="L2504" s="131" t="s">
        <v>100</v>
      </c>
      <c r="M2504" s="135" t="s">
        <v>845</v>
      </c>
      <c r="N2504" s="123" t="s">
        <v>845</v>
      </c>
    </row>
    <row r="2505" spans="2:14" hidden="1" x14ac:dyDescent="0.25">
      <c r="B2505" s="120">
        <v>2502</v>
      </c>
      <c r="C2505" s="123">
        <v>10097242165</v>
      </c>
      <c r="D2505" s="126" t="s">
        <v>9630</v>
      </c>
      <c r="E2505" s="126" t="s">
        <v>9631</v>
      </c>
      <c r="F2505" s="123" t="s">
        <v>30</v>
      </c>
      <c r="G2505" s="123" t="s">
        <v>30</v>
      </c>
      <c r="H2505" s="123" t="s">
        <v>68</v>
      </c>
      <c r="I2505" s="126" t="s">
        <v>8743</v>
      </c>
      <c r="J2505" s="123" t="s">
        <v>9632</v>
      </c>
      <c r="K2505" s="123" t="s">
        <v>9630</v>
      </c>
      <c r="L2505" s="131" t="s">
        <v>100</v>
      </c>
      <c r="M2505" s="135" t="s">
        <v>845</v>
      </c>
      <c r="N2505" s="123" t="s">
        <v>845</v>
      </c>
    </row>
    <row r="2506" spans="2:14" hidden="1" x14ac:dyDescent="0.25">
      <c r="B2506" s="120">
        <v>2503</v>
      </c>
      <c r="C2506" s="123">
        <v>10258320528</v>
      </c>
      <c r="D2506" s="126" t="s">
        <v>9633</v>
      </c>
      <c r="E2506" s="126" t="s">
        <v>9634</v>
      </c>
      <c r="F2506" s="123" t="s">
        <v>30</v>
      </c>
      <c r="G2506" s="123" t="s">
        <v>30</v>
      </c>
      <c r="H2506" s="123" t="s">
        <v>45</v>
      </c>
      <c r="I2506" s="126" t="s">
        <v>3447</v>
      </c>
      <c r="J2506" s="123" t="s">
        <v>9635</v>
      </c>
      <c r="K2506" s="123" t="s">
        <v>9633</v>
      </c>
      <c r="L2506" s="131" t="s">
        <v>100</v>
      </c>
      <c r="M2506" s="135" t="s">
        <v>845</v>
      </c>
      <c r="N2506" s="123" t="s">
        <v>845</v>
      </c>
    </row>
    <row r="2507" spans="2:14" hidden="1" x14ac:dyDescent="0.25">
      <c r="B2507" s="120">
        <v>2504</v>
      </c>
      <c r="C2507" s="123">
        <v>10403482884</v>
      </c>
      <c r="D2507" s="126" t="s">
        <v>9636</v>
      </c>
      <c r="E2507" s="126" t="s">
        <v>9637</v>
      </c>
      <c r="F2507" s="123" t="s">
        <v>30</v>
      </c>
      <c r="G2507" s="123" t="s">
        <v>31</v>
      </c>
      <c r="H2507" s="123" t="s">
        <v>139</v>
      </c>
      <c r="I2507" s="126" t="s">
        <v>1701</v>
      </c>
      <c r="J2507" s="123" t="s">
        <v>9638</v>
      </c>
      <c r="K2507" s="123" t="s">
        <v>9636</v>
      </c>
      <c r="L2507" s="131" t="s">
        <v>100</v>
      </c>
      <c r="M2507" s="135" t="s">
        <v>845</v>
      </c>
      <c r="N2507" s="123" t="s">
        <v>845</v>
      </c>
    </row>
    <row r="2508" spans="2:14" hidden="1" x14ac:dyDescent="0.25">
      <c r="B2508" s="120">
        <v>2505</v>
      </c>
      <c r="C2508" s="123">
        <v>10093499480</v>
      </c>
      <c r="D2508" s="126" t="s">
        <v>9639</v>
      </c>
      <c r="E2508" s="126" t="s">
        <v>9640</v>
      </c>
      <c r="F2508" s="123" t="s">
        <v>30</v>
      </c>
      <c r="G2508" s="123" t="s">
        <v>54</v>
      </c>
      <c r="H2508" s="123" t="s">
        <v>54</v>
      </c>
      <c r="I2508" s="126" t="s">
        <v>1931</v>
      </c>
      <c r="J2508" s="123" t="s">
        <v>9641</v>
      </c>
      <c r="K2508" s="123" t="s">
        <v>9639</v>
      </c>
      <c r="L2508" s="131" t="s">
        <v>100</v>
      </c>
      <c r="M2508" s="135" t="s">
        <v>845</v>
      </c>
      <c r="N2508" s="123" t="s">
        <v>845</v>
      </c>
    </row>
    <row r="2509" spans="2:14" hidden="1" x14ac:dyDescent="0.25">
      <c r="B2509" s="120">
        <v>2506</v>
      </c>
      <c r="C2509" s="123">
        <v>10101822562</v>
      </c>
      <c r="D2509" s="126" t="s">
        <v>9642</v>
      </c>
      <c r="E2509" s="126" t="s">
        <v>9643</v>
      </c>
      <c r="F2509" s="123" t="s">
        <v>30</v>
      </c>
      <c r="G2509" s="123" t="s">
        <v>30</v>
      </c>
      <c r="H2509" s="123" t="s">
        <v>34</v>
      </c>
      <c r="I2509" s="126" t="s">
        <v>9644</v>
      </c>
      <c r="J2509" s="123" t="s">
        <v>9645</v>
      </c>
      <c r="K2509" s="123" t="s">
        <v>9642</v>
      </c>
      <c r="L2509" s="131" t="s">
        <v>100</v>
      </c>
      <c r="M2509" s="135" t="s">
        <v>845</v>
      </c>
      <c r="N2509" s="123" t="s">
        <v>845</v>
      </c>
    </row>
    <row r="2510" spans="2:14" hidden="1" x14ac:dyDescent="0.25">
      <c r="B2510" s="120">
        <v>2507</v>
      </c>
      <c r="C2510" s="123">
        <v>10416896602</v>
      </c>
      <c r="D2510" s="126" t="s">
        <v>9646</v>
      </c>
      <c r="E2510" s="126" t="s">
        <v>9647</v>
      </c>
      <c r="F2510" s="123" t="s">
        <v>30</v>
      </c>
      <c r="G2510" s="123" t="s">
        <v>30</v>
      </c>
      <c r="H2510" s="123" t="s">
        <v>51</v>
      </c>
      <c r="I2510" s="126" t="s">
        <v>1564</v>
      </c>
      <c r="J2510" s="123" t="s">
        <v>9648</v>
      </c>
      <c r="K2510" s="123" t="s">
        <v>9646</v>
      </c>
      <c r="L2510" s="131" t="s">
        <v>100</v>
      </c>
      <c r="M2510" s="135" t="s">
        <v>845</v>
      </c>
      <c r="N2510" s="123" t="s">
        <v>845</v>
      </c>
    </row>
    <row r="2511" spans="2:14" hidden="1" x14ac:dyDescent="0.25">
      <c r="B2511" s="120">
        <v>2508</v>
      </c>
      <c r="C2511" s="123">
        <v>10075004767</v>
      </c>
      <c r="D2511" s="126" t="s">
        <v>9649</v>
      </c>
      <c r="E2511" s="126" t="s">
        <v>9650</v>
      </c>
      <c r="F2511" s="123" t="s">
        <v>30</v>
      </c>
      <c r="G2511" s="123" t="s">
        <v>30</v>
      </c>
      <c r="H2511" s="123" t="s">
        <v>41</v>
      </c>
      <c r="I2511" s="126" t="s">
        <v>1209</v>
      </c>
      <c r="J2511" s="123" t="s">
        <v>9651</v>
      </c>
      <c r="K2511" s="123" t="s">
        <v>9649</v>
      </c>
      <c r="L2511" s="131" t="s">
        <v>100</v>
      </c>
      <c r="M2511" s="135" t="s">
        <v>845</v>
      </c>
      <c r="N2511" s="123" t="s">
        <v>845</v>
      </c>
    </row>
    <row r="2512" spans="2:14" hidden="1" x14ac:dyDescent="0.25">
      <c r="B2512" s="120">
        <v>2509</v>
      </c>
      <c r="C2512" s="123">
        <v>10753767814</v>
      </c>
      <c r="D2512" s="126" t="s">
        <v>9652</v>
      </c>
      <c r="E2512" s="126" t="s">
        <v>9653</v>
      </c>
      <c r="F2512" s="123" t="s">
        <v>30</v>
      </c>
      <c r="G2512" s="123" t="s">
        <v>30</v>
      </c>
      <c r="H2512" s="123" t="s">
        <v>41</v>
      </c>
      <c r="I2512" s="126" t="s">
        <v>1701</v>
      </c>
      <c r="J2512" s="123" t="s">
        <v>9654</v>
      </c>
      <c r="K2512" s="123" t="s">
        <v>9652</v>
      </c>
      <c r="L2512" s="131" t="s">
        <v>100</v>
      </c>
      <c r="M2512" s="135" t="s">
        <v>845</v>
      </c>
      <c r="N2512" s="123" t="s">
        <v>845</v>
      </c>
    </row>
    <row r="2513" spans="2:14" hidden="1" x14ac:dyDescent="0.25">
      <c r="B2513" s="120">
        <v>2510</v>
      </c>
      <c r="C2513" s="123">
        <v>10165595535</v>
      </c>
      <c r="D2513" s="126" t="s">
        <v>9655</v>
      </c>
      <c r="E2513" s="126" t="s">
        <v>9656</v>
      </c>
      <c r="F2513" s="123" t="s">
        <v>67</v>
      </c>
      <c r="G2513" s="123" t="s">
        <v>67</v>
      </c>
      <c r="H2513" s="123" t="s">
        <v>94</v>
      </c>
      <c r="I2513" s="126" t="s">
        <v>1931</v>
      </c>
      <c r="J2513" s="123" t="s">
        <v>9657</v>
      </c>
      <c r="K2513" s="123" t="s">
        <v>9655</v>
      </c>
      <c r="L2513" s="131" t="s">
        <v>100</v>
      </c>
      <c r="M2513" s="135" t="s">
        <v>845</v>
      </c>
      <c r="N2513" s="123" t="s">
        <v>845</v>
      </c>
    </row>
    <row r="2514" spans="2:14" hidden="1" x14ac:dyDescent="0.25">
      <c r="B2514" s="120">
        <v>2511</v>
      </c>
      <c r="C2514" s="123">
        <v>10257932830</v>
      </c>
      <c r="D2514" s="126" t="s">
        <v>9658</v>
      </c>
      <c r="E2514" s="126" t="s">
        <v>9659</v>
      </c>
      <c r="F2514" s="123" t="s">
        <v>67</v>
      </c>
      <c r="G2514" s="123" t="s">
        <v>67</v>
      </c>
      <c r="H2514" s="123" t="s">
        <v>67</v>
      </c>
      <c r="I2514" s="126" t="s">
        <v>1936</v>
      </c>
      <c r="J2514" s="123" t="s">
        <v>9660</v>
      </c>
      <c r="K2514" s="123" t="s">
        <v>9658</v>
      </c>
      <c r="L2514" s="131" t="s">
        <v>100</v>
      </c>
      <c r="M2514" s="135" t="s">
        <v>845</v>
      </c>
      <c r="N2514" s="123" t="s">
        <v>845</v>
      </c>
    </row>
    <row r="2515" spans="2:14" hidden="1" x14ac:dyDescent="0.25">
      <c r="B2515" s="120">
        <v>2512</v>
      </c>
      <c r="C2515" s="123">
        <v>10471110316</v>
      </c>
      <c r="D2515" s="126" t="s">
        <v>9661</v>
      </c>
      <c r="E2515" s="126" t="s">
        <v>9662</v>
      </c>
      <c r="F2515" s="123" t="s">
        <v>30</v>
      </c>
      <c r="G2515" s="123" t="s">
        <v>30</v>
      </c>
      <c r="H2515" s="123" t="s">
        <v>127</v>
      </c>
      <c r="I2515" s="126" t="s">
        <v>1942</v>
      </c>
      <c r="J2515" s="123" t="s">
        <v>9663</v>
      </c>
      <c r="K2515" s="123" t="s">
        <v>9664</v>
      </c>
      <c r="L2515" s="131" t="s">
        <v>100</v>
      </c>
      <c r="M2515" s="135" t="s">
        <v>845</v>
      </c>
      <c r="N2515" s="123" t="s">
        <v>845</v>
      </c>
    </row>
    <row r="2516" spans="2:14" hidden="1" x14ac:dyDescent="0.25">
      <c r="B2516" s="120">
        <v>2513</v>
      </c>
      <c r="C2516" s="123">
        <v>10406445432</v>
      </c>
      <c r="D2516" s="126" t="s">
        <v>9665</v>
      </c>
      <c r="E2516" s="126" t="s">
        <v>9666</v>
      </c>
      <c r="F2516" s="123" t="s">
        <v>30</v>
      </c>
      <c r="G2516" s="123" t="s">
        <v>30</v>
      </c>
      <c r="H2516" s="123" t="s">
        <v>34</v>
      </c>
      <c r="I2516" s="126" t="s">
        <v>1952</v>
      </c>
      <c r="J2516" s="123" t="s">
        <v>9667</v>
      </c>
      <c r="K2516" s="123" t="s">
        <v>9665</v>
      </c>
      <c r="L2516" s="131" t="s">
        <v>100</v>
      </c>
      <c r="M2516" s="135" t="s">
        <v>845</v>
      </c>
      <c r="N2516" s="123" t="s">
        <v>845</v>
      </c>
    </row>
    <row r="2517" spans="2:14" hidden="1" x14ac:dyDescent="0.25">
      <c r="B2517" s="120">
        <v>2514</v>
      </c>
      <c r="C2517" s="123">
        <v>10754916597</v>
      </c>
      <c r="D2517" s="126" t="s">
        <v>9668</v>
      </c>
      <c r="E2517" s="126" t="s">
        <v>9669</v>
      </c>
      <c r="F2517" s="123" t="s">
        <v>30</v>
      </c>
      <c r="G2517" s="123" t="s">
        <v>30</v>
      </c>
      <c r="H2517" s="123" t="s">
        <v>37</v>
      </c>
      <c r="I2517" s="126" t="s">
        <v>1701</v>
      </c>
      <c r="J2517" s="123" t="s">
        <v>9670</v>
      </c>
      <c r="K2517" s="123" t="s">
        <v>9671</v>
      </c>
      <c r="L2517" s="131" t="s">
        <v>100</v>
      </c>
      <c r="M2517" s="135" t="s">
        <v>845</v>
      </c>
      <c r="N2517" s="123" t="s">
        <v>845</v>
      </c>
    </row>
    <row r="2518" spans="2:14" hidden="1" x14ac:dyDescent="0.25">
      <c r="B2518" s="120">
        <v>2515</v>
      </c>
      <c r="C2518" s="123">
        <v>10407535931</v>
      </c>
      <c r="D2518" s="126" t="s">
        <v>9672</v>
      </c>
      <c r="E2518" s="126" t="s">
        <v>9673</v>
      </c>
      <c r="F2518" s="123" t="s">
        <v>30</v>
      </c>
      <c r="G2518" s="123" t="s">
        <v>31</v>
      </c>
      <c r="H2518" s="123" t="s">
        <v>9381</v>
      </c>
      <c r="I2518" s="126" t="s">
        <v>1551</v>
      </c>
      <c r="J2518" s="123" t="s">
        <v>9674</v>
      </c>
      <c r="K2518" s="123" t="s">
        <v>9672</v>
      </c>
      <c r="L2518" s="131" t="s">
        <v>100</v>
      </c>
      <c r="M2518" s="135" t="s">
        <v>845</v>
      </c>
      <c r="N2518" s="123" t="s">
        <v>845</v>
      </c>
    </row>
    <row r="2519" spans="2:14" hidden="1" x14ac:dyDescent="0.25">
      <c r="B2519" s="120">
        <v>2516</v>
      </c>
      <c r="C2519" s="123">
        <v>10068171658</v>
      </c>
      <c r="D2519" s="126" t="s">
        <v>9675</v>
      </c>
      <c r="E2519" s="126" t="s">
        <v>9676</v>
      </c>
      <c r="F2519" s="123" t="s">
        <v>30</v>
      </c>
      <c r="G2519" s="123" t="s">
        <v>30</v>
      </c>
      <c r="H2519" s="123" t="s">
        <v>58</v>
      </c>
      <c r="I2519" s="126" t="s">
        <v>1655</v>
      </c>
      <c r="J2519" s="123" t="s">
        <v>9677</v>
      </c>
      <c r="K2519" s="123" t="s">
        <v>9675</v>
      </c>
      <c r="L2519" s="131" t="s">
        <v>100</v>
      </c>
      <c r="M2519" s="135" t="s">
        <v>845</v>
      </c>
      <c r="N2519" s="123" t="s">
        <v>845</v>
      </c>
    </row>
    <row r="2520" spans="2:14" hidden="1" x14ac:dyDescent="0.25">
      <c r="B2520" s="120">
        <v>2517</v>
      </c>
      <c r="C2520" s="123">
        <v>10406392151</v>
      </c>
      <c r="D2520" s="126" t="s">
        <v>9678</v>
      </c>
      <c r="E2520" s="126" t="s">
        <v>9679</v>
      </c>
      <c r="F2520" s="123" t="s">
        <v>30</v>
      </c>
      <c r="G2520" s="123" t="s">
        <v>30</v>
      </c>
      <c r="H2520" s="123" t="s">
        <v>72</v>
      </c>
      <c r="I2520" s="126" t="s">
        <v>1701</v>
      </c>
      <c r="J2520" s="123" t="s">
        <v>9680</v>
      </c>
      <c r="K2520" s="123" t="s">
        <v>9678</v>
      </c>
      <c r="L2520" s="131" t="s">
        <v>100</v>
      </c>
      <c r="M2520" s="135" t="s">
        <v>845</v>
      </c>
      <c r="N2520" s="123" t="s">
        <v>845</v>
      </c>
    </row>
    <row r="2521" spans="2:14" hidden="1" x14ac:dyDescent="0.25">
      <c r="B2521" s="120">
        <v>2518</v>
      </c>
      <c r="C2521" s="123">
        <v>10026386794</v>
      </c>
      <c r="D2521" s="126" t="s">
        <v>9681</v>
      </c>
      <c r="E2521" s="126" t="s">
        <v>9682</v>
      </c>
      <c r="F2521" s="123" t="s">
        <v>30</v>
      </c>
      <c r="G2521" s="123" t="s">
        <v>30</v>
      </c>
      <c r="H2521" s="123" t="s">
        <v>30</v>
      </c>
      <c r="I2521" s="126" t="s">
        <v>1930</v>
      </c>
      <c r="J2521" s="123" t="s">
        <v>9683</v>
      </c>
      <c r="K2521" s="123" t="s">
        <v>9684</v>
      </c>
      <c r="L2521" s="131" t="s">
        <v>100</v>
      </c>
      <c r="M2521" s="135" t="s">
        <v>845</v>
      </c>
      <c r="N2521" s="123" t="s">
        <v>845</v>
      </c>
    </row>
    <row r="2522" spans="2:14" hidden="1" x14ac:dyDescent="0.25">
      <c r="B2522" s="120">
        <v>2519</v>
      </c>
      <c r="C2522" s="123">
        <v>10097668189</v>
      </c>
      <c r="D2522" s="126" t="s">
        <v>9685</v>
      </c>
      <c r="E2522" s="126" t="s">
        <v>9686</v>
      </c>
      <c r="F2522" s="123" t="s">
        <v>30</v>
      </c>
      <c r="G2522" s="123" t="s">
        <v>30</v>
      </c>
      <c r="H2522" s="123" t="s">
        <v>65</v>
      </c>
      <c r="I2522" s="126" t="s">
        <v>1931</v>
      </c>
      <c r="J2522" s="123" t="s">
        <v>9687</v>
      </c>
      <c r="K2522" s="123" t="s">
        <v>9685</v>
      </c>
      <c r="L2522" s="131" t="s">
        <v>100</v>
      </c>
      <c r="M2522" s="135" t="s">
        <v>845</v>
      </c>
      <c r="N2522" s="123" t="s">
        <v>845</v>
      </c>
    </row>
    <row r="2523" spans="2:14" hidden="1" x14ac:dyDescent="0.25">
      <c r="B2523" s="120">
        <v>2520</v>
      </c>
      <c r="C2523" s="123">
        <v>10713293836</v>
      </c>
      <c r="D2523" s="126" t="s">
        <v>9688</v>
      </c>
      <c r="E2523" s="126" t="s">
        <v>9689</v>
      </c>
      <c r="F2523" s="123" t="s">
        <v>30</v>
      </c>
      <c r="G2523" s="123" t="s">
        <v>30</v>
      </c>
      <c r="H2523" s="123" t="s">
        <v>58</v>
      </c>
      <c r="I2523" s="126" t="s">
        <v>1737</v>
      </c>
      <c r="J2523" s="123" t="s">
        <v>9690</v>
      </c>
      <c r="K2523" s="123" t="s">
        <v>9688</v>
      </c>
      <c r="L2523" s="131" t="s">
        <v>100</v>
      </c>
      <c r="M2523" s="135" t="s">
        <v>845</v>
      </c>
      <c r="N2523" s="123" t="s">
        <v>845</v>
      </c>
    </row>
    <row r="2524" spans="2:14" hidden="1" x14ac:dyDescent="0.25">
      <c r="B2524" s="120">
        <v>2521</v>
      </c>
      <c r="C2524" s="123">
        <v>10408142356</v>
      </c>
      <c r="D2524" s="126" t="s">
        <v>9691</v>
      </c>
      <c r="E2524" s="126" t="s">
        <v>9692</v>
      </c>
      <c r="F2524" s="123" t="s">
        <v>30</v>
      </c>
      <c r="G2524" s="123" t="s">
        <v>48</v>
      </c>
      <c r="H2524" s="123" t="s">
        <v>900</v>
      </c>
      <c r="I2524" s="126" t="s">
        <v>1507</v>
      </c>
      <c r="J2524" s="123" t="s">
        <v>9693</v>
      </c>
      <c r="K2524" s="123" t="s">
        <v>9694</v>
      </c>
      <c r="L2524" s="131" t="s">
        <v>100</v>
      </c>
      <c r="M2524" s="135" t="s">
        <v>845</v>
      </c>
      <c r="N2524" s="123" t="s">
        <v>845</v>
      </c>
    </row>
    <row r="2525" spans="2:14" hidden="1" x14ac:dyDescent="0.25">
      <c r="B2525" s="120">
        <v>2522</v>
      </c>
      <c r="C2525" s="123">
        <v>10416429541</v>
      </c>
      <c r="D2525" s="126" t="s">
        <v>9695</v>
      </c>
      <c r="E2525" s="126" t="s">
        <v>9696</v>
      </c>
      <c r="F2525" s="123" t="s">
        <v>30</v>
      </c>
      <c r="G2525" s="123" t="s">
        <v>30</v>
      </c>
      <c r="H2525" s="123" t="s">
        <v>75</v>
      </c>
      <c r="I2525" s="126" t="s">
        <v>1737</v>
      </c>
      <c r="J2525" s="123" t="s">
        <v>9697</v>
      </c>
      <c r="K2525" s="123" t="s">
        <v>9698</v>
      </c>
      <c r="L2525" s="131" t="s">
        <v>100</v>
      </c>
      <c r="M2525" s="135" t="s">
        <v>845</v>
      </c>
      <c r="N2525" s="123" t="s">
        <v>845</v>
      </c>
    </row>
    <row r="2526" spans="2:14" hidden="1" x14ac:dyDescent="0.25">
      <c r="B2526" s="120">
        <v>2523</v>
      </c>
      <c r="C2526" s="123">
        <v>10090195978</v>
      </c>
      <c r="D2526" s="126" t="s">
        <v>9699</v>
      </c>
      <c r="E2526" s="126" t="s">
        <v>9700</v>
      </c>
      <c r="F2526" s="123" t="s">
        <v>30</v>
      </c>
      <c r="G2526" s="123" t="s">
        <v>30</v>
      </c>
      <c r="H2526" s="123" t="s">
        <v>58</v>
      </c>
      <c r="I2526" s="126" t="s">
        <v>9701</v>
      </c>
      <c r="J2526" s="123" t="s">
        <v>9702</v>
      </c>
      <c r="K2526" s="123" t="s">
        <v>9699</v>
      </c>
      <c r="L2526" s="131" t="s">
        <v>100</v>
      </c>
      <c r="M2526" s="135" t="s">
        <v>845</v>
      </c>
      <c r="N2526" s="123" t="s">
        <v>845</v>
      </c>
    </row>
    <row r="2527" spans="2:14" hidden="1" x14ac:dyDescent="0.25">
      <c r="B2527" s="120">
        <v>2524</v>
      </c>
      <c r="C2527" s="123">
        <v>10099133517</v>
      </c>
      <c r="D2527" s="126" t="s">
        <v>9703</v>
      </c>
      <c r="E2527" s="126" t="s">
        <v>9704</v>
      </c>
      <c r="F2527" s="123" t="s">
        <v>30</v>
      </c>
      <c r="G2527" s="123" t="s">
        <v>30</v>
      </c>
      <c r="H2527" s="123" t="s">
        <v>72</v>
      </c>
      <c r="I2527" s="126" t="s">
        <v>1701</v>
      </c>
      <c r="J2527" s="123" t="s">
        <v>9705</v>
      </c>
      <c r="K2527" s="123" t="s">
        <v>9703</v>
      </c>
      <c r="L2527" s="131" t="s">
        <v>100</v>
      </c>
      <c r="M2527" s="135" t="s">
        <v>845</v>
      </c>
      <c r="N2527" s="123" t="s">
        <v>845</v>
      </c>
    </row>
    <row r="2528" spans="2:14" hidden="1" x14ac:dyDescent="0.25">
      <c r="B2528" s="120">
        <v>2525</v>
      </c>
      <c r="C2528" s="123">
        <v>10479656261</v>
      </c>
      <c r="D2528" s="126" t="s">
        <v>9706</v>
      </c>
      <c r="E2528" s="126" t="s">
        <v>9707</v>
      </c>
      <c r="F2528" s="123" t="s">
        <v>30</v>
      </c>
      <c r="G2528" s="123" t="s">
        <v>30</v>
      </c>
      <c r="H2528" s="123" t="s">
        <v>30</v>
      </c>
      <c r="I2528" s="126" t="s">
        <v>8825</v>
      </c>
      <c r="J2528" s="123" t="s">
        <v>9708</v>
      </c>
      <c r="K2528" s="123" t="s">
        <v>9706</v>
      </c>
      <c r="L2528" s="131" t="s">
        <v>100</v>
      </c>
      <c r="M2528" s="135" t="s">
        <v>845</v>
      </c>
      <c r="N2528" s="123" t="s">
        <v>845</v>
      </c>
    </row>
    <row r="2529" spans="2:14" hidden="1" x14ac:dyDescent="0.25">
      <c r="B2529" s="120">
        <v>2526</v>
      </c>
      <c r="C2529" s="123">
        <v>10748949963</v>
      </c>
      <c r="D2529" s="126" t="s">
        <v>9709</v>
      </c>
      <c r="E2529" s="126" t="s">
        <v>9710</v>
      </c>
      <c r="F2529" s="123" t="s">
        <v>9711</v>
      </c>
      <c r="G2529" s="123" t="s">
        <v>9712</v>
      </c>
      <c r="H2529" s="123" t="s">
        <v>9713</v>
      </c>
      <c r="I2529" s="126" t="s">
        <v>9714</v>
      </c>
      <c r="J2529" s="123" t="s">
        <v>9715</v>
      </c>
      <c r="K2529" s="123" t="s">
        <v>9709</v>
      </c>
      <c r="L2529" s="131" t="s">
        <v>100</v>
      </c>
      <c r="M2529" s="135" t="s">
        <v>845</v>
      </c>
      <c r="N2529" s="123" t="s">
        <v>845</v>
      </c>
    </row>
    <row r="2530" spans="2:14" hidden="1" x14ac:dyDescent="0.25">
      <c r="B2530" s="120">
        <v>2527</v>
      </c>
      <c r="C2530" s="123">
        <v>10417047650</v>
      </c>
      <c r="D2530" s="126" t="s">
        <v>9716</v>
      </c>
      <c r="E2530" s="126" t="s">
        <v>9717</v>
      </c>
      <c r="F2530" s="123" t="s">
        <v>30</v>
      </c>
      <c r="G2530" s="123" t="s">
        <v>30</v>
      </c>
      <c r="H2530" s="123" t="s">
        <v>113</v>
      </c>
      <c r="I2530" s="126" t="s">
        <v>1701</v>
      </c>
      <c r="J2530" s="123" t="s">
        <v>9718</v>
      </c>
      <c r="K2530" s="123" t="s">
        <v>9716</v>
      </c>
      <c r="L2530" s="131" t="s">
        <v>100</v>
      </c>
      <c r="M2530" s="135" t="s">
        <v>845</v>
      </c>
      <c r="N2530" s="123" t="s">
        <v>845</v>
      </c>
    </row>
    <row r="2531" spans="2:14" hidden="1" x14ac:dyDescent="0.25">
      <c r="B2531" s="120">
        <v>2528</v>
      </c>
      <c r="C2531" s="123">
        <v>10158599398</v>
      </c>
      <c r="D2531" s="126" t="s">
        <v>9719</v>
      </c>
      <c r="E2531" s="126" t="s">
        <v>9720</v>
      </c>
      <c r="F2531" s="123" t="s">
        <v>30</v>
      </c>
      <c r="G2531" s="123" t="s">
        <v>170</v>
      </c>
      <c r="H2531" s="123" t="s">
        <v>170</v>
      </c>
      <c r="I2531" s="126" t="s">
        <v>1441</v>
      </c>
      <c r="J2531" s="123" t="s">
        <v>9721</v>
      </c>
      <c r="K2531" s="123" t="s">
        <v>9719</v>
      </c>
      <c r="L2531" s="131" t="s">
        <v>100</v>
      </c>
      <c r="M2531" s="135" t="s">
        <v>845</v>
      </c>
      <c r="N2531" s="123" t="s">
        <v>845</v>
      </c>
    </row>
    <row r="2532" spans="2:14" hidden="1" x14ac:dyDescent="0.25">
      <c r="B2532" s="120">
        <v>2529</v>
      </c>
      <c r="C2532" s="123">
        <v>10402512836</v>
      </c>
      <c r="D2532" s="126" t="s">
        <v>9722</v>
      </c>
      <c r="E2532" s="126" t="s">
        <v>9723</v>
      </c>
      <c r="F2532" s="123" t="s">
        <v>30</v>
      </c>
      <c r="G2532" s="123" t="s">
        <v>30</v>
      </c>
      <c r="H2532" s="123" t="s">
        <v>147</v>
      </c>
      <c r="I2532" s="126" t="s">
        <v>1564</v>
      </c>
      <c r="J2532" s="123" t="s">
        <v>9724</v>
      </c>
      <c r="K2532" s="123" t="s">
        <v>9722</v>
      </c>
      <c r="L2532" s="131" t="s">
        <v>100</v>
      </c>
      <c r="M2532" s="135" t="s">
        <v>845</v>
      </c>
      <c r="N2532" s="123" t="s">
        <v>845</v>
      </c>
    </row>
    <row r="2533" spans="2:14" hidden="1" x14ac:dyDescent="0.25">
      <c r="B2533" s="120">
        <v>2530</v>
      </c>
      <c r="C2533" s="123">
        <v>10471044542</v>
      </c>
      <c r="D2533" s="126" t="s">
        <v>9725</v>
      </c>
      <c r="E2533" s="126" t="s">
        <v>9726</v>
      </c>
      <c r="F2533" s="123" t="s">
        <v>30</v>
      </c>
      <c r="G2533" s="123" t="s">
        <v>30</v>
      </c>
      <c r="H2533" s="123" t="s">
        <v>50</v>
      </c>
      <c r="I2533" s="126" t="s">
        <v>1950</v>
      </c>
      <c r="J2533" s="123" t="s">
        <v>9727</v>
      </c>
      <c r="K2533" s="123" t="s">
        <v>9725</v>
      </c>
      <c r="L2533" s="131" t="s">
        <v>100</v>
      </c>
      <c r="M2533" s="135" t="s">
        <v>845</v>
      </c>
      <c r="N2533" s="123" t="s">
        <v>845</v>
      </c>
    </row>
    <row r="2534" spans="2:14" hidden="1" x14ac:dyDescent="0.25">
      <c r="B2534" s="120">
        <v>2531</v>
      </c>
      <c r="C2534" s="123">
        <v>10054153452</v>
      </c>
      <c r="D2534" s="126" t="s">
        <v>9728</v>
      </c>
      <c r="E2534" s="126" t="s">
        <v>9729</v>
      </c>
      <c r="F2534" s="123" t="s">
        <v>67</v>
      </c>
      <c r="G2534" s="123" t="s">
        <v>67</v>
      </c>
      <c r="H2534" s="123" t="s">
        <v>81</v>
      </c>
      <c r="I2534" s="126" t="s">
        <v>1643</v>
      </c>
      <c r="J2534" s="123" t="s">
        <v>9730</v>
      </c>
      <c r="K2534" s="123" t="s">
        <v>9728</v>
      </c>
      <c r="L2534" s="131" t="s">
        <v>100</v>
      </c>
      <c r="M2534" s="135" t="s">
        <v>845</v>
      </c>
      <c r="N2534" s="123" t="s">
        <v>845</v>
      </c>
    </row>
    <row r="2535" spans="2:14" hidden="1" x14ac:dyDescent="0.25">
      <c r="B2535" s="120">
        <v>2532</v>
      </c>
      <c r="C2535" s="123">
        <v>10460734024</v>
      </c>
      <c r="D2535" s="126" t="s">
        <v>9731</v>
      </c>
      <c r="E2535" s="126" t="s">
        <v>9732</v>
      </c>
      <c r="F2535" s="123" t="s">
        <v>30</v>
      </c>
      <c r="G2535" s="123" t="s">
        <v>30</v>
      </c>
      <c r="H2535" s="123" t="s">
        <v>72</v>
      </c>
      <c r="I2535" s="126" t="s">
        <v>1701</v>
      </c>
      <c r="J2535" s="123" t="s">
        <v>9733</v>
      </c>
      <c r="K2535" s="123" t="s">
        <v>9731</v>
      </c>
      <c r="L2535" s="131" t="s">
        <v>100</v>
      </c>
      <c r="M2535" s="135" t="s">
        <v>845</v>
      </c>
      <c r="N2535" s="123" t="s">
        <v>845</v>
      </c>
    </row>
    <row r="2536" spans="2:14" hidden="1" x14ac:dyDescent="0.25">
      <c r="B2536" s="120">
        <v>2533</v>
      </c>
      <c r="C2536" s="123">
        <v>10153592182</v>
      </c>
      <c r="D2536" s="126" t="s">
        <v>9734</v>
      </c>
      <c r="E2536" s="126" t="s">
        <v>9735</v>
      </c>
      <c r="F2536" s="123" t="s">
        <v>30</v>
      </c>
      <c r="G2536" s="123" t="s">
        <v>31</v>
      </c>
      <c r="H2536" s="123" t="s">
        <v>9381</v>
      </c>
      <c r="I2536" s="126" t="s">
        <v>1942</v>
      </c>
      <c r="J2536" s="123" t="s">
        <v>9736</v>
      </c>
      <c r="K2536" s="123" t="s">
        <v>9734</v>
      </c>
      <c r="L2536" s="131" t="s">
        <v>100</v>
      </c>
      <c r="M2536" s="135" t="s">
        <v>845</v>
      </c>
      <c r="N2536" s="123" t="s">
        <v>845</v>
      </c>
    </row>
    <row r="2537" spans="2:14" hidden="1" x14ac:dyDescent="0.25">
      <c r="B2537" s="120">
        <v>2534</v>
      </c>
      <c r="C2537" s="123">
        <v>15604000154</v>
      </c>
      <c r="D2537" s="126" t="s">
        <v>9737</v>
      </c>
      <c r="E2537" s="126" t="s">
        <v>9738</v>
      </c>
      <c r="F2537" s="123" t="s">
        <v>30</v>
      </c>
      <c r="G2537" s="123" t="s">
        <v>30</v>
      </c>
      <c r="H2537" s="123" t="s">
        <v>50</v>
      </c>
      <c r="I2537" s="126" t="s">
        <v>1424</v>
      </c>
      <c r="J2537" s="123" t="s">
        <v>9739</v>
      </c>
      <c r="K2537" s="123" t="s">
        <v>9737</v>
      </c>
      <c r="L2537" s="131" t="s">
        <v>100</v>
      </c>
      <c r="M2537" s="135" t="s">
        <v>845</v>
      </c>
      <c r="N2537" s="123" t="s">
        <v>845</v>
      </c>
    </row>
    <row r="2538" spans="2:14" hidden="1" x14ac:dyDescent="0.25">
      <c r="B2538" s="120">
        <v>2535</v>
      </c>
      <c r="C2538" s="123">
        <v>10463218973</v>
      </c>
      <c r="D2538" s="126" t="s">
        <v>9740</v>
      </c>
      <c r="E2538" s="126" t="s">
        <v>9741</v>
      </c>
      <c r="F2538" s="123" t="s">
        <v>30</v>
      </c>
      <c r="G2538" s="123" t="s">
        <v>30</v>
      </c>
      <c r="H2538" s="123" t="s">
        <v>50</v>
      </c>
      <c r="I2538" s="126" t="s">
        <v>1931</v>
      </c>
      <c r="J2538" s="123" t="s">
        <v>9742</v>
      </c>
      <c r="K2538" s="123" t="s">
        <v>9740</v>
      </c>
      <c r="L2538" s="131" t="s">
        <v>100</v>
      </c>
      <c r="M2538" s="135" t="s">
        <v>845</v>
      </c>
      <c r="N2538" s="123" t="s">
        <v>845</v>
      </c>
    </row>
    <row r="2539" spans="2:14" hidden="1" x14ac:dyDescent="0.25">
      <c r="B2539" s="120">
        <v>2536</v>
      </c>
      <c r="C2539" s="123">
        <v>10482194066</v>
      </c>
      <c r="D2539" s="126" t="s">
        <v>9743</v>
      </c>
      <c r="E2539" s="126" t="s">
        <v>9744</v>
      </c>
      <c r="F2539" s="123" t="s">
        <v>30</v>
      </c>
      <c r="G2539" s="123" t="s">
        <v>30</v>
      </c>
      <c r="H2539" s="123" t="s">
        <v>39</v>
      </c>
      <c r="I2539" s="126" t="s">
        <v>1424</v>
      </c>
      <c r="J2539" s="123" t="s">
        <v>9745</v>
      </c>
      <c r="K2539" s="123" t="s">
        <v>9743</v>
      </c>
      <c r="L2539" s="131" t="s">
        <v>100</v>
      </c>
      <c r="M2539" s="135" t="s">
        <v>845</v>
      </c>
      <c r="N2539" s="123" t="s">
        <v>845</v>
      </c>
    </row>
    <row r="2540" spans="2:14" hidden="1" x14ac:dyDescent="0.25">
      <c r="B2540" s="120">
        <v>2537</v>
      </c>
      <c r="C2540" s="123">
        <v>10156162341</v>
      </c>
      <c r="D2540" s="126" t="s">
        <v>9746</v>
      </c>
      <c r="E2540" s="126" t="s">
        <v>9747</v>
      </c>
      <c r="F2540" s="123" t="s">
        <v>30</v>
      </c>
      <c r="G2540" s="123" t="s">
        <v>170</v>
      </c>
      <c r="H2540" s="123" t="s">
        <v>171</v>
      </c>
      <c r="I2540" s="126" t="s">
        <v>9748</v>
      </c>
      <c r="J2540" s="123" t="s">
        <v>9749</v>
      </c>
      <c r="K2540" s="123" t="s">
        <v>9746</v>
      </c>
      <c r="L2540" s="131" t="s">
        <v>100</v>
      </c>
      <c r="M2540" s="135" t="s">
        <v>845</v>
      </c>
      <c r="N2540" s="123" t="s">
        <v>845</v>
      </c>
    </row>
    <row r="2541" spans="2:14" hidden="1" x14ac:dyDescent="0.25">
      <c r="B2541" s="120">
        <v>2538</v>
      </c>
      <c r="C2541" s="123">
        <v>10465039243</v>
      </c>
      <c r="D2541" s="126" t="s">
        <v>9750</v>
      </c>
      <c r="E2541" s="126" t="s">
        <v>9751</v>
      </c>
      <c r="F2541" s="123" t="s">
        <v>30</v>
      </c>
      <c r="G2541" s="123" t="s">
        <v>30</v>
      </c>
      <c r="H2541" s="123" t="s">
        <v>51</v>
      </c>
      <c r="I2541" s="126" t="s">
        <v>1701</v>
      </c>
      <c r="J2541" s="123" t="s">
        <v>9752</v>
      </c>
      <c r="K2541" s="123" t="s">
        <v>9750</v>
      </c>
      <c r="L2541" s="131" t="s">
        <v>100</v>
      </c>
      <c r="M2541" s="135" t="s">
        <v>845</v>
      </c>
      <c r="N2541" s="123" t="s">
        <v>845</v>
      </c>
    </row>
    <row r="2542" spans="2:14" hidden="1" x14ac:dyDescent="0.25">
      <c r="B2542" s="120">
        <v>2539</v>
      </c>
      <c r="C2542" s="123">
        <v>10433526479</v>
      </c>
      <c r="D2542" s="126" t="s">
        <v>9753</v>
      </c>
      <c r="E2542" s="126" t="s">
        <v>9754</v>
      </c>
      <c r="F2542" s="123" t="s">
        <v>30</v>
      </c>
      <c r="G2542" s="123" t="s">
        <v>170</v>
      </c>
      <c r="H2542" s="123" t="s">
        <v>174</v>
      </c>
      <c r="I2542" s="126" t="s">
        <v>1701</v>
      </c>
      <c r="J2542" s="123" t="s">
        <v>9755</v>
      </c>
      <c r="K2542" s="123" t="s">
        <v>9753</v>
      </c>
      <c r="L2542" s="131" t="s">
        <v>100</v>
      </c>
      <c r="M2542" s="135" t="s">
        <v>845</v>
      </c>
      <c r="N2542" s="123" t="s">
        <v>845</v>
      </c>
    </row>
    <row r="2543" spans="2:14" hidden="1" x14ac:dyDescent="0.25">
      <c r="B2543" s="120">
        <v>2540</v>
      </c>
      <c r="C2543" s="123">
        <v>10458353633</v>
      </c>
      <c r="D2543" s="126" t="s">
        <v>9756</v>
      </c>
      <c r="E2543" s="126" t="s">
        <v>9757</v>
      </c>
      <c r="F2543" s="123" t="s">
        <v>30</v>
      </c>
      <c r="G2543" s="123" t="s">
        <v>30</v>
      </c>
      <c r="H2543" s="123" t="s">
        <v>51</v>
      </c>
      <c r="I2543" s="126" t="s">
        <v>1945</v>
      </c>
      <c r="J2543" s="123" t="s">
        <v>9758</v>
      </c>
      <c r="K2543" s="123" t="s">
        <v>9759</v>
      </c>
      <c r="L2543" s="131" t="s">
        <v>100</v>
      </c>
      <c r="M2543" s="135" t="s">
        <v>845</v>
      </c>
      <c r="N2543" s="123" t="s">
        <v>845</v>
      </c>
    </row>
    <row r="2544" spans="2:14" hidden="1" x14ac:dyDescent="0.25">
      <c r="B2544" s="120">
        <v>2541</v>
      </c>
      <c r="C2544" s="123">
        <v>10482250195</v>
      </c>
      <c r="D2544" s="126" t="s">
        <v>9760</v>
      </c>
      <c r="E2544" s="126" t="s">
        <v>9761</v>
      </c>
      <c r="F2544" s="123" t="s">
        <v>30</v>
      </c>
      <c r="G2544" s="123" t="s">
        <v>30</v>
      </c>
      <c r="H2544" s="123" t="s">
        <v>45</v>
      </c>
      <c r="I2544" s="126" t="s">
        <v>1424</v>
      </c>
      <c r="J2544" s="123" t="s">
        <v>9762</v>
      </c>
      <c r="K2544" s="123" t="s">
        <v>9760</v>
      </c>
      <c r="L2544" s="131" t="s">
        <v>100</v>
      </c>
      <c r="M2544" s="135" t="s">
        <v>845</v>
      </c>
      <c r="N2544" s="123" t="s">
        <v>845</v>
      </c>
    </row>
    <row r="2545" spans="2:14" hidden="1" x14ac:dyDescent="0.25">
      <c r="B2545" s="120">
        <v>2542</v>
      </c>
      <c r="C2545" s="123">
        <v>10432706422</v>
      </c>
      <c r="D2545" s="126" t="s">
        <v>9763</v>
      </c>
      <c r="E2545" s="126" t="s">
        <v>9764</v>
      </c>
      <c r="F2545" s="123" t="s">
        <v>30</v>
      </c>
      <c r="G2545" s="123" t="s">
        <v>30</v>
      </c>
      <c r="H2545" s="123" t="s">
        <v>51</v>
      </c>
      <c r="I2545" s="126" t="s">
        <v>1701</v>
      </c>
      <c r="J2545" s="123" t="s">
        <v>9765</v>
      </c>
      <c r="K2545" s="123" t="s">
        <v>9766</v>
      </c>
      <c r="L2545" s="131" t="s">
        <v>100</v>
      </c>
      <c r="M2545" s="135" t="s">
        <v>845</v>
      </c>
      <c r="N2545" s="123" t="s">
        <v>845</v>
      </c>
    </row>
    <row r="2546" spans="2:14" hidden="1" x14ac:dyDescent="0.25">
      <c r="B2546" s="120">
        <v>2543</v>
      </c>
      <c r="C2546" s="123">
        <v>10776693923</v>
      </c>
      <c r="D2546" s="126" t="s">
        <v>9767</v>
      </c>
      <c r="E2546" s="126" t="s">
        <v>9768</v>
      </c>
      <c r="F2546" s="123" t="s">
        <v>30</v>
      </c>
      <c r="G2546" s="123" t="s">
        <v>30</v>
      </c>
      <c r="H2546" s="123" t="s">
        <v>68</v>
      </c>
      <c r="I2546" s="126" t="s">
        <v>9769</v>
      </c>
      <c r="J2546" s="123" t="s">
        <v>9770</v>
      </c>
      <c r="K2546" s="123" t="s">
        <v>9767</v>
      </c>
      <c r="L2546" s="131" t="s">
        <v>100</v>
      </c>
      <c r="M2546" s="135" t="s">
        <v>845</v>
      </c>
      <c r="N2546" s="123" t="s">
        <v>845</v>
      </c>
    </row>
    <row r="2547" spans="2:14" hidden="1" x14ac:dyDescent="0.25">
      <c r="B2547" s="120">
        <v>2544</v>
      </c>
      <c r="C2547" s="123">
        <v>10423751075</v>
      </c>
      <c r="D2547" s="126" t="s">
        <v>9771</v>
      </c>
      <c r="E2547" s="126" t="s">
        <v>9772</v>
      </c>
      <c r="F2547" s="123" t="s">
        <v>30</v>
      </c>
      <c r="G2547" s="123" t="s">
        <v>30</v>
      </c>
      <c r="H2547" s="123" t="s">
        <v>30</v>
      </c>
      <c r="I2547" s="126" t="s">
        <v>1424</v>
      </c>
      <c r="J2547" s="123" t="s">
        <v>9773</v>
      </c>
      <c r="K2547" s="123" t="s">
        <v>9771</v>
      </c>
      <c r="L2547" s="131" t="s">
        <v>100</v>
      </c>
      <c r="M2547" s="135" t="s">
        <v>845</v>
      </c>
      <c r="N2547" s="123" t="s">
        <v>845</v>
      </c>
    </row>
    <row r="2548" spans="2:14" hidden="1" x14ac:dyDescent="0.25">
      <c r="B2548" s="120">
        <v>2545</v>
      </c>
      <c r="C2548" s="123">
        <v>10224613852</v>
      </c>
      <c r="D2548" s="126" t="s">
        <v>9774</v>
      </c>
      <c r="E2548" s="126" t="s">
        <v>9775</v>
      </c>
      <c r="F2548" s="123" t="s">
        <v>30</v>
      </c>
      <c r="G2548" s="123" t="s">
        <v>54</v>
      </c>
      <c r="H2548" s="123" t="s">
        <v>117</v>
      </c>
      <c r="I2548" s="126" t="s">
        <v>6623</v>
      </c>
      <c r="J2548" s="123" t="s">
        <v>9776</v>
      </c>
      <c r="K2548" s="123" t="s">
        <v>9777</v>
      </c>
      <c r="L2548" s="131" t="s">
        <v>100</v>
      </c>
      <c r="M2548" s="135" t="s">
        <v>845</v>
      </c>
      <c r="N2548" s="123" t="s">
        <v>845</v>
      </c>
    </row>
    <row r="2549" spans="2:14" hidden="1" x14ac:dyDescent="0.25">
      <c r="B2549" s="120">
        <v>2546</v>
      </c>
      <c r="C2549" s="123">
        <v>10742956208</v>
      </c>
      <c r="D2549" s="126" t="s">
        <v>9778</v>
      </c>
      <c r="E2549" s="126" t="s">
        <v>9779</v>
      </c>
      <c r="F2549" s="123" t="s">
        <v>30</v>
      </c>
      <c r="G2549" s="123" t="s">
        <v>170</v>
      </c>
      <c r="H2549" s="123" t="s">
        <v>174</v>
      </c>
      <c r="I2549" s="126" t="s">
        <v>1701</v>
      </c>
      <c r="J2549" s="123" t="s">
        <v>9780</v>
      </c>
      <c r="K2549" s="123" t="s">
        <v>9778</v>
      </c>
      <c r="L2549" s="131" t="s">
        <v>100</v>
      </c>
      <c r="M2549" s="135" t="s">
        <v>845</v>
      </c>
      <c r="N2549" s="123" t="s">
        <v>845</v>
      </c>
    </row>
    <row r="2550" spans="2:14" hidden="1" x14ac:dyDescent="0.25">
      <c r="B2550" s="120">
        <v>2547</v>
      </c>
      <c r="C2550" s="123">
        <v>10212855141</v>
      </c>
      <c r="D2550" s="126" t="s">
        <v>9781</v>
      </c>
      <c r="E2550" s="126" t="s">
        <v>9782</v>
      </c>
      <c r="F2550" s="123" t="s">
        <v>30</v>
      </c>
      <c r="G2550" s="123" t="s">
        <v>30</v>
      </c>
      <c r="H2550" s="123" t="s">
        <v>65</v>
      </c>
      <c r="I2550" s="126" t="s">
        <v>1701</v>
      </c>
      <c r="J2550" s="123" t="s">
        <v>9783</v>
      </c>
      <c r="K2550" s="123" t="s">
        <v>9781</v>
      </c>
      <c r="L2550" s="131" t="s">
        <v>100</v>
      </c>
      <c r="M2550" s="135" t="s">
        <v>845</v>
      </c>
      <c r="N2550" s="123" t="s">
        <v>845</v>
      </c>
    </row>
    <row r="2551" spans="2:14" hidden="1" x14ac:dyDescent="0.25">
      <c r="B2551" s="120">
        <v>2548</v>
      </c>
      <c r="C2551" s="123">
        <v>10455150651</v>
      </c>
      <c r="D2551" s="126" t="s">
        <v>9784</v>
      </c>
      <c r="E2551" s="126" t="s">
        <v>9785</v>
      </c>
      <c r="F2551" s="123" t="s">
        <v>30</v>
      </c>
      <c r="G2551" s="123" t="s">
        <v>30</v>
      </c>
      <c r="H2551" s="123" t="s">
        <v>30</v>
      </c>
      <c r="I2551" s="126" t="s">
        <v>9786</v>
      </c>
      <c r="J2551" s="123" t="s">
        <v>9787</v>
      </c>
      <c r="K2551" s="123" t="s">
        <v>9784</v>
      </c>
      <c r="L2551" s="131" t="s">
        <v>100</v>
      </c>
      <c r="M2551" s="135" t="s">
        <v>845</v>
      </c>
      <c r="N2551" s="123" t="s">
        <v>845</v>
      </c>
    </row>
    <row r="2552" spans="2:14" hidden="1" x14ac:dyDescent="0.25">
      <c r="B2552" s="120">
        <v>2549</v>
      </c>
      <c r="C2552" s="123">
        <v>10449226475</v>
      </c>
      <c r="D2552" s="126" t="s">
        <v>9788</v>
      </c>
      <c r="E2552" s="126" t="s">
        <v>9789</v>
      </c>
      <c r="F2552" s="123" t="s">
        <v>30</v>
      </c>
      <c r="G2552" s="123" t="s">
        <v>30</v>
      </c>
      <c r="H2552" s="123" t="s">
        <v>30</v>
      </c>
      <c r="I2552" s="126" t="s">
        <v>9790</v>
      </c>
      <c r="J2552" s="123" t="s">
        <v>9791</v>
      </c>
      <c r="K2552" s="123" t="s">
        <v>9788</v>
      </c>
      <c r="L2552" s="131" t="s">
        <v>100</v>
      </c>
      <c r="M2552" s="135" t="s">
        <v>845</v>
      </c>
      <c r="N2552" s="123" t="s">
        <v>845</v>
      </c>
    </row>
    <row r="2553" spans="2:14" hidden="1" x14ac:dyDescent="0.25">
      <c r="B2553" s="120">
        <v>2550</v>
      </c>
      <c r="C2553" s="123">
        <v>10482252163</v>
      </c>
      <c r="D2553" s="126" t="s">
        <v>9792</v>
      </c>
      <c r="E2553" s="126" t="s">
        <v>9793</v>
      </c>
      <c r="F2553" s="123" t="s">
        <v>30</v>
      </c>
      <c r="G2553" s="123" t="s">
        <v>30</v>
      </c>
      <c r="H2553" s="123" t="s">
        <v>30</v>
      </c>
      <c r="I2553" s="126" t="s">
        <v>1930</v>
      </c>
      <c r="J2553" s="123" t="s">
        <v>9794</v>
      </c>
      <c r="K2553" s="123" t="s">
        <v>9792</v>
      </c>
      <c r="L2553" s="131" t="s">
        <v>100</v>
      </c>
      <c r="M2553" s="135" t="s">
        <v>845</v>
      </c>
      <c r="N2553" s="123" t="s">
        <v>845</v>
      </c>
    </row>
    <row r="2554" spans="2:14" hidden="1" x14ac:dyDescent="0.25">
      <c r="B2554" s="120">
        <v>2551</v>
      </c>
      <c r="C2554" s="123">
        <v>10702311956</v>
      </c>
      <c r="D2554" s="126" t="s">
        <v>9795</v>
      </c>
      <c r="E2554" s="126" t="s">
        <v>9796</v>
      </c>
      <c r="F2554" s="123" t="s">
        <v>30</v>
      </c>
      <c r="G2554" s="123" t="s">
        <v>30</v>
      </c>
      <c r="H2554" s="123" t="s">
        <v>30</v>
      </c>
      <c r="I2554" s="126" t="s">
        <v>1561</v>
      </c>
      <c r="J2554" s="123" t="s">
        <v>9797</v>
      </c>
      <c r="K2554" s="123" t="s">
        <v>9795</v>
      </c>
      <c r="L2554" s="131" t="s">
        <v>100</v>
      </c>
      <c r="M2554" s="135" t="s">
        <v>845</v>
      </c>
      <c r="N2554" s="123" t="s">
        <v>845</v>
      </c>
    </row>
    <row r="2555" spans="2:14" hidden="1" x14ac:dyDescent="0.25">
      <c r="B2555" s="120">
        <v>2552</v>
      </c>
      <c r="C2555" s="123">
        <v>10156471785</v>
      </c>
      <c r="D2555" s="126" t="s">
        <v>9798</v>
      </c>
      <c r="E2555" s="126" t="s">
        <v>9799</v>
      </c>
      <c r="F2555" s="123" t="s">
        <v>30</v>
      </c>
      <c r="G2555" s="123" t="s">
        <v>170</v>
      </c>
      <c r="H2555" s="123" t="s">
        <v>179</v>
      </c>
      <c r="I2555" s="126" t="s">
        <v>1931</v>
      </c>
      <c r="J2555" s="123" t="s">
        <v>9800</v>
      </c>
      <c r="K2555" s="123" t="s">
        <v>9801</v>
      </c>
      <c r="L2555" s="131" t="s">
        <v>100</v>
      </c>
      <c r="M2555" s="135" t="s">
        <v>845</v>
      </c>
      <c r="N2555" s="123" t="s">
        <v>845</v>
      </c>
    </row>
    <row r="2556" spans="2:14" hidden="1" x14ac:dyDescent="0.25">
      <c r="B2556" s="120">
        <v>2553</v>
      </c>
      <c r="C2556" s="123">
        <v>10737617390</v>
      </c>
      <c r="D2556" s="126" t="s">
        <v>9802</v>
      </c>
      <c r="E2556" s="126" t="s">
        <v>9803</v>
      </c>
      <c r="F2556" s="123" t="s">
        <v>30</v>
      </c>
      <c r="G2556" s="123" t="s">
        <v>48</v>
      </c>
      <c r="H2556" s="123" t="s">
        <v>155</v>
      </c>
      <c r="I2556" s="126" t="s">
        <v>1450</v>
      </c>
      <c r="J2556" s="123" t="s">
        <v>9804</v>
      </c>
      <c r="K2556" s="123" t="s">
        <v>9802</v>
      </c>
      <c r="L2556" s="131" t="s">
        <v>100</v>
      </c>
      <c r="M2556" s="135" t="s">
        <v>845</v>
      </c>
      <c r="N2556" s="123" t="s">
        <v>845</v>
      </c>
    </row>
    <row r="2557" spans="2:14" hidden="1" x14ac:dyDescent="0.25">
      <c r="B2557" s="120">
        <v>2554</v>
      </c>
      <c r="C2557" s="123">
        <v>10413055194</v>
      </c>
      <c r="D2557" s="126" t="s">
        <v>9805</v>
      </c>
      <c r="E2557" s="126" t="s">
        <v>9806</v>
      </c>
      <c r="F2557" s="123" t="s">
        <v>30</v>
      </c>
      <c r="G2557" s="123" t="s">
        <v>30</v>
      </c>
      <c r="H2557" s="123" t="s">
        <v>30</v>
      </c>
      <c r="I2557" s="126" t="s">
        <v>1439</v>
      </c>
      <c r="J2557" s="123" t="s">
        <v>9807</v>
      </c>
      <c r="K2557" s="123" t="s">
        <v>9808</v>
      </c>
      <c r="L2557" s="131" t="s">
        <v>100</v>
      </c>
      <c r="M2557" s="135" t="s">
        <v>845</v>
      </c>
      <c r="N2557" s="123" t="s">
        <v>845</v>
      </c>
    </row>
    <row r="2558" spans="2:14" hidden="1" x14ac:dyDescent="0.25">
      <c r="B2558" s="120">
        <v>2555</v>
      </c>
      <c r="C2558" s="123">
        <v>10416591526</v>
      </c>
      <c r="D2558" s="126" t="s">
        <v>9809</v>
      </c>
      <c r="E2558" s="126" t="s">
        <v>9810</v>
      </c>
      <c r="F2558" s="123" t="s">
        <v>30</v>
      </c>
      <c r="G2558" s="123" t="s">
        <v>30</v>
      </c>
      <c r="H2558" s="123" t="s">
        <v>41</v>
      </c>
      <c r="I2558" s="126" t="s">
        <v>1960</v>
      </c>
      <c r="J2558" s="123" t="s">
        <v>9811</v>
      </c>
      <c r="K2558" s="123" t="s">
        <v>9809</v>
      </c>
      <c r="L2558" s="131" t="s">
        <v>100</v>
      </c>
      <c r="M2558" s="135" t="s">
        <v>845</v>
      </c>
      <c r="N2558" s="123" t="s">
        <v>845</v>
      </c>
    </row>
    <row r="2559" spans="2:14" hidden="1" x14ac:dyDescent="0.25">
      <c r="B2559" s="120">
        <v>2556</v>
      </c>
      <c r="C2559" s="123">
        <v>10096358747</v>
      </c>
      <c r="D2559" s="126" t="s">
        <v>9812</v>
      </c>
      <c r="E2559" s="126" t="s">
        <v>9813</v>
      </c>
      <c r="F2559" s="123" t="s">
        <v>30</v>
      </c>
      <c r="G2559" s="123" t="s">
        <v>30</v>
      </c>
      <c r="H2559" s="123" t="s">
        <v>45</v>
      </c>
      <c r="I2559" s="126" t="s">
        <v>1424</v>
      </c>
      <c r="J2559" s="123" t="s">
        <v>9814</v>
      </c>
      <c r="K2559" s="123" t="s">
        <v>9812</v>
      </c>
      <c r="L2559" s="131" t="s">
        <v>100</v>
      </c>
      <c r="M2559" s="135" t="s">
        <v>845</v>
      </c>
      <c r="N2559" s="123" t="s">
        <v>845</v>
      </c>
    </row>
    <row r="2560" spans="2:14" hidden="1" x14ac:dyDescent="0.25">
      <c r="B2560" s="120">
        <v>2557</v>
      </c>
      <c r="C2560" s="123">
        <v>10157649227</v>
      </c>
      <c r="D2560" s="126" t="s">
        <v>9815</v>
      </c>
      <c r="E2560" s="126" t="s">
        <v>9816</v>
      </c>
      <c r="F2560" s="123" t="s">
        <v>30</v>
      </c>
      <c r="G2560" s="123" t="s">
        <v>170</v>
      </c>
      <c r="H2560" s="123" t="s">
        <v>171</v>
      </c>
      <c r="I2560" s="126" t="s">
        <v>1428</v>
      </c>
      <c r="J2560" s="123" t="s">
        <v>9817</v>
      </c>
      <c r="K2560" s="123" t="s">
        <v>9815</v>
      </c>
      <c r="L2560" s="131" t="s">
        <v>100</v>
      </c>
      <c r="M2560" s="135" t="s">
        <v>845</v>
      </c>
      <c r="N2560" s="123" t="s">
        <v>845</v>
      </c>
    </row>
    <row r="2561" spans="2:14" hidden="1" x14ac:dyDescent="0.25">
      <c r="B2561" s="120">
        <v>2558</v>
      </c>
      <c r="C2561" s="123">
        <v>10703515601</v>
      </c>
      <c r="D2561" s="126" t="s">
        <v>9818</v>
      </c>
      <c r="E2561" s="126" t="s">
        <v>9819</v>
      </c>
      <c r="F2561" s="123" t="s">
        <v>30</v>
      </c>
      <c r="G2561" s="123" t="s">
        <v>54</v>
      </c>
      <c r="H2561" s="123" t="s">
        <v>54</v>
      </c>
      <c r="I2561" s="126" t="s">
        <v>9820</v>
      </c>
      <c r="J2561" s="123" t="s">
        <v>9821</v>
      </c>
      <c r="K2561" s="123" t="s">
        <v>9818</v>
      </c>
      <c r="L2561" s="131" t="s">
        <v>100</v>
      </c>
      <c r="M2561" s="135" t="s">
        <v>845</v>
      </c>
      <c r="N2561" s="123" t="s">
        <v>845</v>
      </c>
    </row>
    <row r="2562" spans="2:14" hidden="1" x14ac:dyDescent="0.25">
      <c r="B2562" s="120">
        <v>2559</v>
      </c>
      <c r="C2562" s="123">
        <v>10454856151</v>
      </c>
      <c r="D2562" s="126" t="s">
        <v>9822</v>
      </c>
      <c r="E2562" s="126" t="s">
        <v>9823</v>
      </c>
      <c r="F2562" s="123" t="s">
        <v>30</v>
      </c>
      <c r="G2562" s="123" t="s">
        <v>54</v>
      </c>
      <c r="H2562" s="123" t="s">
        <v>117</v>
      </c>
      <c r="I2562" s="126" t="s">
        <v>1478</v>
      </c>
      <c r="J2562" s="123" t="s">
        <v>9824</v>
      </c>
      <c r="K2562" s="123" t="s">
        <v>9822</v>
      </c>
      <c r="L2562" s="131" t="s">
        <v>100</v>
      </c>
      <c r="M2562" s="135" t="s">
        <v>845</v>
      </c>
      <c r="N2562" s="123" t="s">
        <v>845</v>
      </c>
    </row>
    <row r="2563" spans="2:14" hidden="1" x14ac:dyDescent="0.25">
      <c r="B2563" s="120">
        <v>2560</v>
      </c>
      <c r="C2563" s="123">
        <v>10733258590</v>
      </c>
      <c r="D2563" s="126" t="s">
        <v>9825</v>
      </c>
      <c r="E2563" s="126" t="s">
        <v>9826</v>
      </c>
      <c r="F2563" s="123" t="s">
        <v>30</v>
      </c>
      <c r="G2563" s="123" t="s">
        <v>170</v>
      </c>
      <c r="H2563" s="123" t="s">
        <v>175</v>
      </c>
      <c r="I2563" s="126" t="s">
        <v>1805</v>
      </c>
      <c r="J2563" s="123" t="s">
        <v>9827</v>
      </c>
      <c r="K2563" s="123" t="s">
        <v>9825</v>
      </c>
      <c r="L2563" s="131" t="s">
        <v>100</v>
      </c>
      <c r="M2563" s="135" t="s">
        <v>845</v>
      </c>
      <c r="N2563" s="123" t="s">
        <v>845</v>
      </c>
    </row>
    <row r="2564" spans="2:14" hidden="1" x14ac:dyDescent="0.25">
      <c r="B2564" s="120">
        <v>2561</v>
      </c>
      <c r="C2564" s="123">
        <v>10723611721</v>
      </c>
      <c r="D2564" s="126" t="s">
        <v>9828</v>
      </c>
      <c r="E2564" s="126" t="s">
        <v>9829</v>
      </c>
      <c r="F2564" s="123" t="s">
        <v>30</v>
      </c>
      <c r="G2564" s="123" t="s">
        <v>30</v>
      </c>
      <c r="H2564" s="123" t="s">
        <v>58</v>
      </c>
      <c r="I2564" s="126" t="s">
        <v>1478</v>
      </c>
      <c r="J2564" s="123" t="s">
        <v>9830</v>
      </c>
      <c r="K2564" s="123" t="s">
        <v>9831</v>
      </c>
      <c r="L2564" s="131" t="s">
        <v>100</v>
      </c>
      <c r="M2564" s="135" t="s">
        <v>845</v>
      </c>
      <c r="N2564" s="123" t="s">
        <v>845</v>
      </c>
    </row>
    <row r="2565" spans="2:14" hidden="1" x14ac:dyDescent="0.25">
      <c r="B2565" s="120">
        <v>2562</v>
      </c>
      <c r="C2565" s="123">
        <v>10158625186</v>
      </c>
      <c r="D2565" s="126" t="s">
        <v>9832</v>
      </c>
      <c r="E2565" s="126" t="s">
        <v>9833</v>
      </c>
      <c r="F2565" s="123" t="s">
        <v>30</v>
      </c>
      <c r="G2565" s="123" t="s">
        <v>168</v>
      </c>
      <c r="H2565" s="123" t="s">
        <v>168</v>
      </c>
      <c r="I2565" s="126" t="s">
        <v>1931</v>
      </c>
      <c r="J2565" s="123" t="s">
        <v>9834</v>
      </c>
      <c r="K2565" s="123" t="s">
        <v>9835</v>
      </c>
      <c r="L2565" s="131" t="s">
        <v>100</v>
      </c>
      <c r="M2565" s="135" t="s">
        <v>845</v>
      </c>
      <c r="N2565" s="123" t="s">
        <v>845</v>
      </c>
    </row>
    <row r="2566" spans="2:14" hidden="1" x14ac:dyDescent="0.25">
      <c r="B2566" s="120">
        <v>2563</v>
      </c>
      <c r="C2566" s="123">
        <v>10157286230</v>
      </c>
      <c r="D2566" s="126" t="s">
        <v>9836</v>
      </c>
      <c r="E2566" s="126" t="s">
        <v>9837</v>
      </c>
      <c r="F2566" s="123" t="s">
        <v>30</v>
      </c>
      <c r="G2566" s="123" t="s">
        <v>170</v>
      </c>
      <c r="H2566" s="123" t="s">
        <v>171</v>
      </c>
      <c r="I2566" s="126" t="s">
        <v>1936</v>
      </c>
      <c r="J2566" s="123" t="s">
        <v>9838</v>
      </c>
      <c r="K2566" s="123" t="s">
        <v>9836</v>
      </c>
      <c r="L2566" s="131" t="s">
        <v>100</v>
      </c>
      <c r="M2566" s="135" t="s">
        <v>845</v>
      </c>
      <c r="N2566" s="123" t="s">
        <v>845</v>
      </c>
    </row>
    <row r="2567" spans="2:14" hidden="1" x14ac:dyDescent="0.25">
      <c r="B2567" s="120">
        <v>2564</v>
      </c>
      <c r="C2567" s="123">
        <v>10457964388</v>
      </c>
      <c r="D2567" s="126" t="s">
        <v>9839</v>
      </c>
      <c r="E2567" s="126" t="s">
        <v>9840</v>
      </c>
      <c r="F2567" s="123" t="s">
        <v>30</v>
      </c>
      <c r="G2567" s="123" t="s">
        <v>30</v>
      </c>
      <c r="H2567" s="123" t="s">
        <v>51</v>
      </c>
      <c r="I2567" s="126" t="s">
        <v>1701</v>
      </c>
      <c r="J2567" s="123" t="s">
        <v>9841</v>
      </c>
      <c r="K2567" s="123" t="s">
        <v>9839</v>
      </c>
      <c r="L2567" s="131" t="s">
        <v>100</v>
      </c>
      <c r="M2567" s="135" t="s">
        <v>845</v>
      </c>
      <c r="N2567" s="123" t="s">
        <v>845</v>
      </c>
    </row>
    <row r="2568" spans="2:14" hidden="1" x14ac:dyDescent="0.25">
      <c r="B2568" s="120">
        <v>2565</v>
      </c>
      <c r="C2568" s="123">
        <v>10192607871</v>
      </c>
      <c r="D2568" s="126" t="s">
        <v>9842</v>
      </c>
      <c r="E2568" s="126" t="s">
        <v>9843</v>
      </c>
      <c r="F2568" s="123" t="s">
        <v>30</v>
      </c>
      <c r="G2568" s="123" t="s">
        <v>30</v>
      </c>
      <c r="H2568" s="123" t="s">
        <v>47</v>
      </c>
      <c r="I2568" s="126" t="s">
        <v>1377</v>
      </c>
      <c r="J2568" s="123" t="s">
        <v>9844</v>
      </c>
      <c r="K2568" s="123" t="s">
        <v>9842</v>
      </c>
      <c r="L2568" s="131" t="s">
        <v>100</v>
      </c>
      <c r="M2568" s="135" t="s">
        <v>845</v>
      </c>
      <c r="N2568" s="123" t="s">
        <v>845</v>
      </c>
    </row>
    <row r="2569" spans="2:14" hidden="1" x14ac:dyDescent="0.25">
      <c r="B2569" s="120">
        <v>2566</v>
      </c>
      <c r="C2569" s="123">
        <v>10100503439</v>
      </c>
      <c r="D2569" s="126" t="s">
        <v>9845</v>
      </c>
      <c r="E2569" s="126" t="s">
        <v>9846</v>
      </c>
      <c r="F2569" s="123" t="s">
        <v>30</v>
      </c>
      <c r="G2569" s="123" t="s">
        <v>30</v>
      </c>
      <c r="H2569" s="123" t="s">
        <v>45</v>
      </c>
      <c r="I2569" s="126" t="s">
        <v>1931</v>
      </c>
      <c r="J2569" s="123" t="s">
        <v>9847</v>
      </c>
      <c r="K2569" s="123" t="s">
        <v>9845</v>
      </c>
      <c r="L2569" s="131" t="s">
        <v>100</v>
      </c>
      <c r="M2569" s="135" t="s">
        <v>845</v>
      </c>
      <c r="N2569" s="123" t="s">
        <v>845</v>
      </c>
    </row>
    <row r="2570" spans="2:14" hidden="1" x14ac:dyDescent="0.25">
      <c r="B2570" s="120">
        <v>2567</v>
      </c>
      <c r="C2570" s="123">
        <v>10093689602</v>
      </c>
      <c r="D2570" s="126" t="s">
        <v>9848</v>
      </c>
      <c r="E2570" s="126" t="s">
        <v>9849</v>
      </c>
      <c r="F2570" s="123" t="s">
        <v>30</v>
      </c>
      <c r="G2570" s="123" t="s">
        <v>30</v>
      </c>
      <c r="H2570" s="123" t="s">
        <v>51</v>
      </c>
      <c r="I2570" s="126" t="s">
        <v>1938</v>
      </c>
      <c r="J2570" s="123" t="s">
        <v>9850</v>
      </c>
      <c r="K2570" s="123" t="s">
        <v>9851</v>
      </c>
      <c r="L2570" s="131" t="s">
        <v>100</v>
      </c>
      <c r="M2570" s="135" t="s">
        <v>845</v>
      </c>
      <c r="N2570" s="123" t="s">
        <v>845</v>
      </c>
    </row>
    <row r="2571" spans="2:14" hidden="1" x14ac:dyDescent="0.25">
      <c r="B2571" s="120">
        <v>2568</v>
      </c>
      <c r="C2571" s="123">
        <v>10096878279</v>
      </c>
      <c r="D2571" s="126" t="s">
        <v>9852</v>
      </c>
      <c r="E2571" s="126" t="s">
        <v>9853</v>
      </c>
      <c r="F2571" s="123" t="s">
        <v>30</v>
      </c>
      <c r="G2571" s="123" t="s">
        <v>30</v>
      </c>
      <c r="H2571" s="123" t="s">
        <v>39</v>
      </c>
      <c r="I2571" s="126" t="s">
        <v>9854</v>
      </c>
      <c r="J2571" s="123" t="s">
        <v>9855</v>
      </c>
      <c r="K2571" s="123" t="s">
        <v>9852</v>
      </c>
      <c r="L2571" s="131" t="s">
        <v>100</v>
      </c>
      <c r="M2571" s="135" t="s">
        <v>845</v>
      </c>
      <c r="N2571" s="123" t="s">
        <v>845</v>
      </c>
    </row>
    <row r="2572" spans="2:14" hidden="1" x14ac:dyDescent="0.25">
      <c r="B2572" s="120">
        <v>2569</v>
      </c>
      <c r="C2572" s="123">
        <v>10721282584</v>
      </c>
      <c r="D2572" s="126" t="s">
        <v>9856</v>
      </c>
      <c r="E2572" s="126" t="s">
        <v>9857</v>
      </c>
      <c r="F2572" s="123" t="s">
        <v>285</v>
      </c>
      <c r="G2572" s="123" t="s">
        <v>286</v>
      </c>
      <c r="H2572" s="123" t="s">
        <v>9858</v>
      </c>
      <c r="I2572" s="126" t="s">
        <v>1805</v>
      </c>
      <c r="J2572" s="123" t="s">
        <v>9859</v>
      </c>
      <c r="K2572" s="123" t="s">
        <v>9860</v>
      </c>
      <c r="L2572" s="131" t="s">
        <v>100</v>
      </c>
      <c r="M2572" s="135" t="s">
        <v>845</v>
      </c>
      <c r="N2572" s="123" t="s">
        <v>845</v>
      </c>
    </row>
    <row r="2573" spans="2:14" hidden="1" x14ac:dyDescent="0.25">
      <c r="B2573" s="120">
        <v>2570</v>
      </c>
      <c r="C2573" s="123">
        <v>10157637849</v>
      </c>
      <c r="D2573" s="126" t="s">
        <v>9861</v>
      </c>
      <c r="E2573" s="126" t="s">
        <v>9862</v>
      </c>
      <c r="F2573" s="123" t="s">
        <v>30</v>
      </c>
      <c r="G2573" s="123" t="s">
        <v>170</v>
      </c>
      <c r="H2573" s="123" t="s">
        <v>171</v>
      </c>
      <c r="I2573" s="126" t="s">
        <v>1643</v>
      </c>
      <c r="J2573" s="123" t="s">
        <v>9863</v>
      </c>
      <c r="K2573" s="123" t="s">
        <v>9861</v>
      </c>
      <c r="L2573" s="131" t="s">
        <v>100</v>
      </c>
      <c r="M2573" s="135" t="s">
        <v>845</v>
      </c>
      <c r="N2573" s="123" t="s">
        <v>845</v>
      </c>
    </row>
    <row r="2574" spans="2:14" hidden="1" x14ac:dyDescent="0.25">
      <c r="B2574" s="120">
        <v>2571</v>
      </c>
      <c r="C2574" s="123">
        <v>10439535542</v>
      </c>
      <c r="D2574" s="126" t="s">
        <v>9864</v>
      </c>
      <c r="E2574" s="126" t="s">
        <v>9865</v>
      </c>
      <c r="F2574" s="123" t="s">
        <v>30</v>
      </c>
      <c r="G2574" s="123" t="s">
        <v>30</v>
      </c>
      <c r="H2574" s="123" t="s">
        <v>103</v>
      </c>
      <c r="I2574" s="126" t="s">
        <v>1727</v>
      </c>
      <c r="J2574" s="123" t="s">
        <v>9866</v>
      </c>
      <c r="K2574" s="123" t="s">
        <v>9867</v>
      </c>
      <c r="L2574" s="131" t="s">
        <v>100</v>
      </c>
      <c r="M2574" s="135" t="s">
        <v>845</v>
      </c>
      <c r="N2574" s="123" t="s">
        <v>845</v>
      </c>
    </row>
    <row r="2575" spans="2:14" hidden="1" x14ac:dyDescent="0.25">
      <c r="B2575" s="120">
        <v>2572</v>
      </c>
      <c r="C2575" s="123">
        <v>10458639821</v>
      </c>
      <c r="D2575" s="126" t="s">
        <v>9868</v>
      </c>
      <c r="E2575" s="126" t="s">
        <v>9869</v>
      </c>
      <c r="F2575" s="123" t="s">
        <v>30</v>
      </c>
      <c r="G2575" s="123" t="s">
        <v>31</v>
      </c>
      <c r="H2575" s="123" t="s">
        <v>9381</v>
      </c>
      <c r="I2575" s="126" t="s">
        <v>1424</v>
      </c>
      <c r="J2575" s="123" t="s">
        <v>9870</v>
      </c>
      <c r="K2575" s="123" t="s">
        <v>9868</v>
      </c>
      <c r="L2575" s="131" t="s">
        <v>100</v>
      </c>
      <c r="M2575" s="135" t="s">
        <v>845</v>
      </c>
      <c r="N2575" s="123" t="s">
        <v>845</v>
      </c>
    </row>
    <row r="2576" spans="2:14" hidden="1" x14ac:dyDescent="0.25">
      <c r="B2576" s="120">
        <v>2573</v>
      </c>
      <c r="C2576" s="123">
        <v>10424834497</v>
      </c>
      <c r="D2576" s="126" t="s">
        <v>9871</v>
      </c>
      <c r="E2576" s="126" t="s">
        <v>9872</v>
      </c>
      <c r="F2576" s="123" t="s">
        <v>30</v>
      </c>
      <c r="G2576" s="123" t="s">
        <v>30</v>
      </c>
      <c r="H2576" s="123" t="s">
        <v>38</v>
      </c>
      <c r="I2576" s="126" t="s">
        <v>1551</v>
      </c>
      <c r="J2576" s="123" t="s">
        <v>9873</v>
      </c>
      <c r="K2576" s="123" t="s">
        <v>9871</v>
      </c>
      <c r="L2576" s="131" t="s">
        <v>100</v>
      </c>
      <c r="M2576" s="135" t="s">
        <v>845</v>
      </c>
      <c r="N2576" s="123" t="s">
        <v>845</v>
      </c>
    </row>
    <row r="2577" spans="2:14" hidden="1" x14ac:dyDescent="0.25">
      <c r="B2577" s="120">
        <v>2574</v>
      </c>
      <c r="C2577" s="123">
        <v>10159413255</v>
      </c>
      <c r="D2577" s="126" t="s">
        <v>9874</v>
      </c>
      <c r="E2577" s="126" t="s">
        <v>9875</v>
      </c>
      <c r="F2577" s="123" t="s">
        <v>30</v>
      </c>
      <c r="G2577" s="123" t="s">
        <v>54</v>
      </c>
      <c r="H2577" s="123" t="s">
        <v>54</v>
      </c>
      <c r="I2577" s="126" t="s">
        <v>1564</v>
      </c>
      <c r="J2577" s="123" t="s">
        <v>9876</v>
      </c>
      <c r="K2577" s="123" t="s">
        <v>9874</v>
      </c>
      <c r="L2577" s="131" t="s">
        <v>100</v>
      </c>
      <c r="M2577" s="135" t="s">
        <v>845</v>
      </c>
      <c r="N2577" s="123" t="s">
        <v>845</v>
      </c>
    </row>
    <row r="2578" spans="2:14" hidden="1" x14ac:dyDescent="0.25">
      <c r="B2578" s="120">
        <v>2575</v>
      </c>
      <c r="C2578" s="123">
        <v>10437292910</v>
      </c>
      <c r="D2578" s="126" t="s">
        <v>9877</v>
      </c>
      <c r="E2578" s="126" t="s">
        <v>9878</v>
      </c>
      <c r="F2578" s="123" t="s">
        <v>30</v>
      </c>
      <c r="G2578" s="123" t="s">
        <v>30</v>
      </c>
      <c r="H2578" s="123" t="s">
        <v>45</v>
      </c>
      <c r="I2578" s="126" t="s">
        <v>1950</v>
      </c>
      <c r="J2578" s="123" t="s">
        <v>9879</v>
      </c>
      <c r="K2578" s="123" t="s">
        <v>9877</v>
      </c>
      <c r="L2578" s="131" t="s">
        <v>100</v>
      </c>
      <c r="M2578" s="135" t="s">
        <v>845</v>
      </c>
      <c r="N2578" s="123" t="s">
        <v>845</v>
      </c>
    </row>
    <row r="2579" spans="2:14" hidden="1" x14ac:dyDescent="0.25">
      <c r="B2579" s="120">
        <v>2576</v>
      </c>
      <c r="C2579" s="123">
        <v>10156506040</v>
      </c>
      <c r="D2579" s="126" t="s">
        <v>9880</v>
      </c>
      <c r="E2579" s="126" t="s">
        <v>9881</v>
      </c>
      <c r="F2579" s="123" t="s">
        <v>30</v>
      </c>
      <c r="G2579" s="123" t="s">
        <v>170</v>
      </c>
      <c r="H2579" s="123" t="s">
        <v>170</v>
      </c>
      <c r="I2579" s="126" t="s">
        <v>1930</v>
      </c>
      <c r="J2579" s="123" t="s">
        <v>9882</v>
      </c>
      <c r="K2579" s="123" t="s">
        <v>9880</v>
      </c>
      <c r="L2579" s="131" t="s">
        <v>100</v>
      </c>
      <c r="M2579" s="135" t="s">
        <v>845</v>
      </c>
      <c r="N2579" s="123" t="s">
        <v>845</v>
      </c>
    </row>
    <row r="2580" spans="2:14" hidden="1" x14ac:dyDescent="0.25">
      <c r="B2580" s="120">
        <v>2577</v>
      </c>
      <c r="C2580" s="123">
        <v>10154288304</v>
      </c>
      <c r="D2580" s="126" t="s">
        <v>9883</v>
      </c>
      <c r="E2580" s="126" t="s">
        <v>9884</v>
      </c>
      <c r="F2580" s="123" t="s">
        <v>30</v>
      </c>
      <c r="G2580" s="123" t="s">
        <v>31</v>
      </c>
      <c r="H2580" s="123" t="s">
        <v>9381</v>
      </c>
      <c r="I2580" s="126" t="s">
        <v>1564</v>
      </c>
      <c r="J2580" s="123" t="s">
        <v>9885</v>
      </c>
      <c r="K2580" s="123" t="s">
        <v>9883</v>
      </c>
      <c r="L2580" s="131" t="s">
        <v>100</v>
      </c>
      <c r="M2580" s="135" t="s">
        <v>845</v>
      </c>
      <c r="N2580" s="123" t="s">
        <v>845</v>
      </c>
    </row>
    <row r="2581" spans="2:14" hidden="1" x14ac:dyDescent="0.25">
      <c r="B2581" s="120">
        <v>2578</v>
      </c>
      <c r="C2581" s="123">
        <v>10752381271</v>
      </c>
      <c r="D2581" s="126" t="s">
        <v>9886</v>
      </c>
      <c r="E2581" s="126" t="s">
        <v>9887</v>
      </c>
      <c r="F2581" s="123" t="s">
        <v>30</v>
      </c>
      <c r="G2581" s="123" t="s">
        <v>30</v>
      </c>
      <c r="H2581" s="123" t="s">
        <v>79</v>
      </c>
      <c r="I2581" s="126" t="s">
        <v>1805</v>
      </c>
      <c r="J2581" s="123" t="s">
        <v>9888</v>
      </c>
      <c r="K2581" s="123" t="s">
        <v>9886</v>
      </c>
      <c r="L2581" s="131" t="s">
        <v>100</v>
      </c>
      <c r="M2581" s="135" t="s">
        <v>845</v>
      </c>
      <c r="N2581" s="123" t="s">
        <v>845</v>
      </c>
    </row>
    <row r="2582" spans="2:14" hidden="1" x14ac:dyDescent="0.25">
      <c r="B2582" s="120">
        <v>2579</v>
      </c>
      <c r="C2582" s="123">
        <v>10107764378</v>
      </c>
      <c r="D2582" s="126" t="s">
        <v>9889</v>
      </c>
      <c r="E2582" s="126" t="s">
        <v>9890</v>
      </c>
      <c r="F2582" s="123" t="s">
        <v>30</v>
      </c>
      <c r="G2582" s="123" t="s">
        <v>30</v>
      </c>
      <c r="H2582" s="123" t="s">
        <v>72</v>
      </c>
      <c r="I2582" s="126" t="s">
        <v>1701</v>
      </c>
      <c r="J2582" s="123" t="s">
        <v>9891</v>
      </c>
      <c r="K2582" s="123" t="s">
        <v>9889</v>
      </c>
      <c r="L2582" s="131" t="s">
        <v>100</v>
      </c>
      <c r="M2582" s="135" t="s">
        <v>845</v>
      </c>
      <c r="N2582" s="123" t="s">
        <v>845</v>
      </c>
    </row>
    <row r="2583" spans="2:14" hidden="1" x14ac:dyDescent="0.25">
      <c r="B2583" s="120">
        <v>2580</v>
      </c>
      <c r="C2583" s="123">
        <v>10481082922</v>
      </c>
      <c r="D2583" s="126" t="s">
        <v>9892</v>
      </c>
      <c r="E2583" s="126" t="s">
        <v>9893</v>
      </c>
      <c r="F2583" s="123" t="s">
        <v>30</v>
      </c>
      <c r="G2583" s="123" t="s">
        <v>30</v>
      </c>
      <c r="H2583" s="123" t="s">
        <v>60</v>
      </c>
      <c r="I2583" s="126" t="s">
        <v>1809</v>
      </c>
      <c r="J2583" s="123" t="s">
        <v>9894</v>
      </c>
      <c r="K2583" s="123" t="s">
        <v>9892</v>
      </c>
      <c r="L2583" s="131" t="s">
        <v>100</v>
      </c>
      <c r="M2583" s="135" t="s">
        <v>845</v>
      </c>
      <c r="N2583" s="123" t="s">
        <v>845</v>
      </c>
    </row>
    <row r="2584" spans="2:14" hidden="1" x14ac:dyDescent="0.25">
      <c r="B2584" s="120">
        <v>2581</v>
      </c>
      <c r="C2584" s="123">
        <v>10069080192</v>
      </c>
      <c r="D2584" s="126" t="s">
        <v>9895</v>
      </c>
      <c r="E2584" s="126" t="s">
        <v>9896</v>
      </c>
      <c r="F2584" s="123" t="s">
        <v>30</v>
      </c>
      <c r="G2584" s="123" t="s">
        <v>30</v>
      </c>
      <c r="H2584" s="123" t="s">
        <v>75</v>
      </c>
      <c r="I2584" s="126" t="s">
        <v>2174</v>
      </c>
      <c r="J2584" s="123" t="s">
        <v>9897</v>
      </c>
      <c r="K2584" s="123" t="s">
        <v>9895</v>
      </c>
      <c r="L2584" s="131" t="s">
        <v>100</v>
      </c>
      <c r="M2584" s="135" t="s">
        <v>845</v>
      </c>
      <c r="N2584" s="123" t="s">
        <v>845</v>
      </c>
    </row>
    <row r="2585" spans="2:14" hidden="1" x14ac:dyDescent="0.25">
      <c r="B2585" s="120">
        <v>2582</v>
      </c>
      <c r="C2585" s="123">
        <v>10407892718</v>
      </c>
      <c r="D2585" s="126" t="s">
        <v>9898</v>
      </c>
      <c r="E2585" s="126" t="s">
        <v>9899</v>
      </c>
      <c r="F2585" s="123" t="s">
        <v>30</v>
      </c>
      <c r="G2585" s="123" t="s">
        <v>30</v>
      </c>
      <c r="H2585" s="123" t="s">
        <v>50</v>
      </c>
      <c r="I2585" s="126" t="s">
        <v>1701</v>
      </c>
      <c r="J2585" s="123" t="s">
        <v>9900</v>
      </c>
      <c r="K2585" s="123" t="s">
        <v>9898</v>
      </c>
      <c r="L2585" s="131" t="s">
        <v>100</v>
      </c>
      <c r="M2585" s="135" t="s">
        <v>845</v>
      </c>
      <c r="N2585" s="123" t="s">
        <v>845</v>
      </c>
    </row>
    <row r="2586" spans="2:14" hidden="1" x14ac:dyDescent="0.25">
      <c r="B2586" s="120">
        <v>2583</v>
      </c>
      <c r="C2586" s="123">
        <v>10415873765</v>
      </c>
      <c r="D2586" s="126" t="s">
        <v>9901</v>
      </c>
      <c r="E2586" s="126" t="s">
        <v>9902</v>
      </c>
      <c r="F2586" s="123" t="s">
        <v>30</v>
      </c>
      <c r="G2586" s="123" t="s">
        <v>30</v>
      </c>
      <c r="H2586" s="123" t="s">
        <v>43</v>
      </c>
      <c r="I2586" s="126" t="s">
        <v>9903</v>
      </c>
      <c r="J2586" s="123" t="s">
        <v>9904</v>
      </c>
      <c r="K2586" s="123" t="s">
        <v>9901</v>
      </c>
      <c r="L2586" s="131" t="s">
        <v>100</v>
      </c>
      <c r="M2586" s="135" t="s">
        <v>845</v>
      </c>
      <c r="N2586" s="123" t="s">
        <v>845</v>
      </c>
    </row>
    <row r="2587" spans="2:14" hidden="1" x14ac:dyDescent="0.25">
      <c r="B2587" s="120">
        <v>2584</v>
      </c>
      <c r="C2587" s="123">
        <v>10079854935</v>
      </c>
      <c r="D2587" s="126" t="s">
        <v>9905</v>
      </c>
      <c r="E2587" s="126" t="s">
        <v>9906</v>
      </c>
      <c r="F2587" s="123" t="s">
        <v>30</v>
      </c>
      <c r="G2587" s="123" t="s">
        <v>30</v>
      </c>
      <c r="H2587" s="123" t="s">
        <v>45</v>
      </c>
      <c r="I2587" s="126" t="s">
        <v>8884</v>
      </c>
      <c r="J2587" s="123" t="s">
        <v>9907</v>
      </c>
      <c r="K2587" s="123" t="s">
        <v>9908</v>
      </c>
      <c r="L2587" s="131" t="s">
        <v>100</v>
      </c>
      <c r="M2587" s="135" t="s">
        <v>845</v>
      </c>
      <c r="N2587" s="123" t="s">
        <v>845</v>
      </c>
    </row>
    <row r="2588" spans="2:14" hidden="1" x14ac:dyDescent="0.25">
      <c r="B2588" s="120">
        <v>2585</v>
      </c>
      <c r="C2588" s="123">
        <v>10093744280</v>
      </c>
      <c r="D2588" s="126" t="s">
        <v>9909</v>
      </c>
      <c r="E2588" s="126" t="s">
        <v>9910</v>
      </c>
      <c r="F2588" s="123" t="s">
        <v>30</v>
      </c>
      <c r="G2588" s="123" t="s">
        <v>30</v>
      </c>
      <c r="H2588" s="123" t="s">
        <v>51</v>
      </c>
      <c r="I2588" s="126" t="s">
        <v>9561</v>
      </c>
      <c r="J2588" s="123" t="s">
        <v>9911</v>
      </c>
      <c r="K2588" s="123" t="s">
        <v>9909</v>
      </c>
      <c r="L2588" s="131" t="s">
        <v>100</v>
      </c>
      <c r="M2588" s="135" t="s">
        <v>845</v>
      </c>
      <c r="N2588" s="123" t="s">
        <v>845</v>
      </c>
    </row>
    <row r="2589" spans="2:14" hidden="1" x14ac:dyDescent="0.25">
      <c r="B2589" s="120">
        <v>2586</v>
      </c>
      <c r="C2589" s="123">
        <v>10103831011</v>
      </c>
      <c r="D2589" s="126" t="s">
        <v>9912</v>
      </c>
      <c r="E2589" s="126" t="s">
        <v>9913</v>
      </c>
      <c r="F2589" s="123" t="s">
        <v>30</v>
      </c>
      <c r="G2589" s="123" t="s">
        <v>30</v>
      </c>
      <c r="H2589" s="123" t="s">
        <v>41</v>
      </c>
      <c r="I2589" s="126" t="s">
        <v>9914</v>
      </c>
      <c r="J2589" s="123" t="s">
        <v>9915</v>
      </c>
      <c r="K2589" s="123" t="s">
        <v>9912</v>
      </c>
      <c r="L2589" s="131" t="s">
        <v>100</v>
      </c>
      <c r="M2589" s="135" t="s">
        <v>845</v>
      </c>
      <c r="N2589" s="123" t="s">
        <v>845</v>
      </c>
    </row>
    <row r="2590" spans="2:14" hidden="1" x14ac:dyDescent="0.25">
      <c r="B2590" s="120">
        <v>2587</v>
      </c>
      <c r="C2590" s="123">
        <v>10802943852</v>
      </c>
      <c r="D2590" s="126" t="s">
        <v>9916</v>
      </c>
      <c r="E2590" s="126" t="s">
        <v>9917</v>
      </c>
      <c r="F2590" s="123" t="s">
        <v>30</v>
      </c>
      <c r="G2590" s="123" t="s">
        <v>30</v>
      </c>
      <c r="H2590" s="123" t="s">
        <v>58</v>
      </c>
      <c r="I2590" s="126" t="s">
        <v>1805</v>
      </c>
      <c r="J2590" s="123" t="s">
        <v>9918</v>
      </c>
      <c r="K2590" s="123" t="s">
        <v>9916</v>
      </c>
      <c r="L2590" s="131" t="s">
        <v>100</v>
      </c>
      <c r="M2590" s="135" t="s">
        <v>845</v>
      </c>
      <c r="N2590" s="123" t="s">
        <v>845</v>
      </c>
    </row>
    <row r="2591" spans="2:14" hidden="1" x14ac:dyDescent="0.25">
      <c r="B2591" s="120">
        <v>2588</v>
      </c>
      <c r="C2591" s="123">
        <v>10402642501</v>
      </c>
      <c r="D2591" s="126" t="s">
        <v>9919</v>
      </c>
      <c r="E2591" s="126" t="s">
        <v>9920</v>
      </c>
      <c r="F2591" s="123" t="s">
        <v>30</v>
      </c>
      <c r="G2591" s="123" t="s">
        <v>30</v>
      </c>
      <c r="H2591" s="123" t="s">
        <v>75</v>
      </c>
      <c r="I2591" s="126" t="s">
        <v>8884</v>
      </c>
      <c r="J2591" s="123" t="s">
        <v>9921</v>
      </c>
      <c r="K2591" s="123" t="s">
        <v>9919</v>
      </c>
      <c r="L2591" s="131" t="s">
        <v>100</v>
      </c>
      <c r="M2591" s="135" t="s">
        <v>845</v>
      </c>
      <c r="N2591" s="123" t="s">
        <v>845</v>
      </c>
    </row>
    <row r="2592" spans="2:14" hidden="1" x14ac:dyDescent="0.25">
      <c r="B2592" s="120">
        <v>2589</v>
      </c>
      <c r="C2592" s="123">
        <v>10106826655</v>
      </c>
      <c r="D2592" s="126" t="s">
        <v>9922</v>
      </c>
      <c r="E2592" s="126" t="s">
        <v>9923</v>
      </c>
      <c r="F2592" s="123" t="s">
        <v>30</v>
      </c>
      <c r="G2592" s="123" t="s">
        <v>30</v>
      </c>
      <c r="H2592" s="123" t="s">
        <v>45</v>
      </c>
      <c r="I2592" s="126" t="s">
        <v>1655</v>
      </c>
      <c r="J2592" s="123" t="s">
        <v>9924</v>
      </c>
      <c r="K2592" s="123" t="s">
        <v>9922</v>
      </c>
      <c r="L2592" s="131" t="s">
        <v>100</v>
      </c>
      <c r="M2592" s="135" t="s">
        <v>845</v>
      </c>
      <c r="N2592" s="123" t="s">
        <v>845</v>
      </c>
    </row>
    <row r="2593" spans="2:14" hidden="1" x14ac:dyDescent="0.25">
      <c r="B2593" s="120">
        <v>2590</v>
      </c>
      <c r="C2593" s="123">
        <v>10432769441</v>
      </c>
      <c r="D2593" s="126" t="s">
        <v>9925</v>
      </c>
      <c r="E2593" s="126" t="s">
        <v>9926</v>
      </c>
      <c r="F2593" s="123" t="s">
        <v>30</v>
      </c>
      <c r="G2593" s="123" t="s">
        <v>30</v>
      </c>
      <c r="H2593" s="123" t="s">
        <v>72</v>
      </c>
      <c r="I2593" s="126" t="s">
        <v>1424</v>
      </c>
      <c r="J2593" s="123" t="s">
        <v>9927</v>
      </c>
      <c r="K2593" s="123" t="s">
        <v>9928</v>
      </c>
      <c r="L2593" s="131" t="s">
        <v>100</v>
      </c>
      <c r="M2593" s="135" t="s">
        <v>845</v>
      </c>
      <c r="N2593" s="123" t="s">
        <v>845</v>
      </c>
    </row>
    <row r="2594" spans="2:14" hidden="1" x14ac:dyDescent="0.25">
      <c r="B2594" s="120">
        <v>2591</v>
      </c>
      <c r="C2594" s="123">
        <v>10735757160</v>
      </c>
      <c r="D2594" s="126" t="s">
        <v>9929</v>
      </c>
      <c r="E2594" s="126" t="s">
        <v>9930</v>
      </c>
      <c r="F2594" s="123" t="s">
        <v>30</v>
      </c>
      <c r="G2594" s="123" t="s">
        <v>170</v>
      </c>
      <c r="H2594" s="123" t="s">
        <v>171</v>
      </c>
      <c r="I2594" s="126" t="s">
        <v>1441</v>
      </c>
      <c r="J2594" s="123" t="s">
        <v>9931</v>
      </c>
      <c r="K2594" s="123" t="s">
        <v>9929</v>
      </c>
      <c r="L2594" s="131" t="s">
        <v>100</v>
      </c>
      <c r="M2594" s="135" t="s">
        <v>845</v>
      </c>
      <c r="N2594" s="123" t="s">
        <v>845</v>
      </c>
    </row>
    <row r="2595" spans="2:14" hidden="1" x14ac:dyDescent="0.25">
      <c r="B2595" s="120">
        <v>2592</v>
      </c>
      <c r="C2595" s="123">
        <v>10459108039</v>
      </c>
      <c r="D2595" s="126" t="s">
        <v>9932</v>
      </c>
      <c r="E2595" s="126" t="s">
        <v>9933</v>
      </c>
      <c r="F2595" s="123" t="s">
        <v>30</v>
      </c>
      <c r="G2595" s="123" t="s">
        <v>30</v>
      </c>
      <c r="H2595" s="123" t="s">
        <v>72</v>
      </c>
      <c r="I2595" s="126" t="s">
        <v>9934</v>
      </c>
      <c r="J2595" s="123" t="s">
        <v>9935</v>
      </c>
      <c r="K2595" s="123" t="s">
        <v>9936</v>
      </c>
      <c r="L2595" s="131" t="s">
        <v>100</v>
      </c>
      <c r="M2595" s="135" t="s">
        <v>845</v>
      </c>
      <c r="N2595" s="123" t="s">
        <v>845</v>
      </c>
    </row>
    <row r="2596" spans="2:14" hidden="1" x14ac:dyDescent="0.25">
      <c r="B2596" s="120">
        <v>2593</v>
      </c>
      <c r="C2596" s="123">
        <v>10068348591</v>
      </c>
      <c r="D2596" s="126" t="s">
        <v>9937</v>
      </c>
      <c r="E2596" s="126" t="s">
        <v>9938</v>
      </c>
      <c r="F2596" s="123" t="s">
        <v>30</v>
      </c>
      <c r="G2596" s="123" t="s">
        <v>30</v>
      </c>
      <c r="H2596" s="123" t="s">
        <v>58</v>
      </c>
      <c r="I2596" s="126" t="s">
        <v>1931</v>
      </c>
      <c r="J2596" s="123" t="s">
        <v>9939</v>
      </c>
      <c r="K2596" s="123" t="s">
        <v>9937</v>
      </c>
      <c r="L2596" s="131" t="s">
        <v>100</v>
      </c>
      <c r="M2596" s="135" t="s">
        <v>845</v>
      </c>
      <c r="N2596" s="123" t="s">
        <v>845</v>
      </c>
    </row>
    <row r="2597" spans="2:14" hidden="1" x14ac:dyDescent="0.25">
      <c r="B2597" s="120">
        <v>2594</v>
      </c>
      <c r="C2597" s="123">
        <v>10475660892</v>
      </c>
      <c r="D2597" s="126" t="s">
        <v>9940</v>
      </c>
      <c r="E2597" s="126" t="s">
        <v>9941</v>
      </c>
      <c r="F2597" s="123" t="s">
        <v>30</v>
      </c>
      <c r="G2597" s="123" t="s">
        <v>30</v>
      </c>
      <c r="H2597" s="123" t="s">
        <v>50</v>
      </c>
      <c r="I2597" s="126" t="s">
        <v>1398</v>
      </c>
      <c r="J2597" s="123" t="s">
        <v>9942</v>
      </c>
      <c r="K2597" s="123" t="s">
        <v>9940</v>
      </c>
      <c r="L2597" s="131" t="s">
        <v>100</v>
      </c>
      <c r="M2597" s="135" t="s">
        <v>845</v>
      </c>
      <c r="N2597" s="123" t="s">
        <v>845</v>
      </c>
    </row>
    <row r="2598" spans="2:14" hidden="1" x14ac:dyDescent="0.25">
      <c r="B2598" s="120">
        <v>2595</v>
      </c>
      <c r="C2598" s="123">
        <v>10462655792</v>
      </c>
      <c r="D2598" s="126" t="s">
        <v>9943</v>
      </c>
      <c r="E2598" s="126" t="s">
        <v>9944</v>
      </c>
      <c r="F2598" s="123" t="s">
        <v>30</v>
      </c>
      <c r="G2598" s="123" t="s">
        <v>30</v>
      </c>
      <c r="H2598" s="123" t="s">
        <v>30</v>
      </c>
      <c r="I2598" s="126" t="s">
        <v>1499</v>
      </c>
      <c r="J2598" s="123" t="s">
        <v>9945</v>
      </c>
      <c r="K2598" s="123" t="s">
        <v>9943</v>
      </c>
      <c r="L2598" s="131" t="s">
        <v>100</v>
      </c>
      <c r="M2598" s="135" t="s">
        <v>845</v>
      </c>
      <c r="N2598" s="123" t="s">
        <v>845</v>
      </c>
    </row>
    <row r="2599" spans="2:14" hidden="1" x14ac:dyDescent="0.25">
      <c r="B2599" s="120">
        <v>2596</v>
      </c>
      <c r="C2599" s="123">
        <v>10711967295</v>
      </c>
      <c r="D2599" s="126" t="s">
        <v>9946</v>
      </c>
      <c r="E2599" s="126" t="s">
        <v>9947</v>
      </c>
      <c r="F2599" s="123" t="s">
        <v>30</v>
      </c>
      <c r="G2599" s="123" t="s">
        <v>168</v>
      </c>
      <c r="H2599" s="123" t="s">
        <v>168</v>
      </c>
      <c r="I2599" s="126" t="s">
        <v>1942</v>
      </c>
      <c r="J2599" s="123" t="s">
        <v>9948</v>
      </c>
      <c r="K2599" s="123" t="s">
        <v>9946</v>
      </c>
      <c r="L2599" s="131" t="s">
        <v>100</v>
      </c>
      <c r="M2599" s="135" t="s">
        <v>845</v>
      </c>
      <c r="N2599" s="123" t="s">
        <v>845</v>
      </c>
    </row>
    <row r="2600" spans="2:14" hidden="1" x14ac:dyDescent="0.25">
      <c r="B2600" s="120">
        <v>2597</v>
      </c>
      <c r="C2600" s="123">
        <v>10711967317</v>
      </c>
      <c r="D2600" s="126" t="s">
        <v>9949</v>
      </c>
      <c r="E2600" s="126" t="s">
        <v>9950</v>
      </c>
      <c r="F2600" s="123" t="s">
        <v>30</v>
      </c>
      <c r="G2600" s="123" t="s">
        <v>168</v>
      </c>
      <c r="H2600" s="123" t="s">
        <v>168</v>
      </c>
      <c r="I2600" s="126" t="s">
        <v>1942</v>
      </c>
      <c r="J2600" s="123" t="s">
        <v>9951</v>
      </c>
      <c r="K2600" s="123" t="s">
        <v>9949</v>
      </c>
      <c r="L2600" s="131" t="s">
        <v>100</v>
      </c>
      <c r="M2600" s="135" t="s">
        <v>845</v>
      </c>
      <c r="N2600" s="123" t="s">
        <v>845</v>
      </c>
    </row>
    <row r="2601" spans="2:14" hidden="1" x14ac:dyDescent="0.25">
      <c r="B2601" s="120">
        <v>2598</v>
      </c>
      <c r="C2601" s="123">
        <v>10430103526</v>
      </c>
      <c r="D2601" s="126" t="s">
        <v>9952</v>
      </c>
      <c r="E2601" s="126" t="s">
        <v>9953</v>
      </c>
      <c r="F2601" s="123" t="s">
        <v>30</v>
      </c>
      <c r="G2601" s="123" t="s">
        <v>30</v>
      </c>
      <c r="H2601" s="123" t="s">
        <v>45</v>
      </c>
      <c r="I2601" s="126" t="s">
        <v>1935</v>
      </c>
      <c r="J2601" s="123" t="s">
        <v>9954</v>
      </c>
      <c r="K2601" s="123" t="s">
        <v>9952</v>
      </c>
      <c r="L2601" s="131" t="s">
        <v>100</v>
      </c>
      <c r="M2601" s="135" t="s">
        <v>845</v>
      </c>
      <c r="N2601" s="123" t="s">
        <v>845</v>
      </c>
    </row>
    <row r="2602" spans="2:14" hidden="1" x14ac:dyDescent="0.25">
      <c r="B2602" s="120">
        <v>2599</v>
      </c>
      <c r="C2602" s="123">
        <v>10074293901</v>
      </c>
      <c r="D2602" s="126" t="s">
        <v>9955</v>
      </c>
      <c r="E2602" s="126" t="s">
        <v>9956</v>
      </c>
      <c r="F2602" s="123" t="s">
        <v>30</v>
      </c>
      <c r="G2602" s="123" t="s">
        <v>30</v>
      </c>
      <c r="H2602" s="123" t="s">
        <v>41</v>
      </c>
      <c r="I2602" s="126" t="s">
        <v>1701</v>
      </c>
      <c r="J2602" s="123" t="s">
        <v>9957</v>
      </c>
      <c r="K2602" s="123" t="s">
        <v>9955</v>
      </c>
      <c r="L2602" s="131" t="s">
        <v>100</v>
      </c>
      <c r="M2602" s="135" t="s">
        <v>845</v>
      </c>
      <c r="N2602" s="123" t="s">
        <v>845</v>
      </c>
    </row>
    <row r="2603" spans="2:14" hidden="1" x14ac:dyDescent="0.25">
      <c r="B2603" s="120">
        <v>2600</v>
      </c>
      <c r="C2603" s="123">
        <v>10751090345</v>
      </c>
      <c r="D2603" s="126" t="s">
        <v>9958</v>
      </c>
      <c r="E2603" s="126" t="s">
        <v>9959</v>
      </c>
      <c r="F2603" s="123" t="s">
        <v>30</v>
      </c>
      <c r="G2603" s="123" t="s">
        <v>54</v>
      </c>
      <c r="H2603" s="123" t="s">
        <v>54</v>
      </c>
      <c r="I2603" s="126" t="s">
        <v>9960</v>
      </c>
      <c r="J2603" s="123" t="s">
        <v>9961</v>
      </c>
      <c r="K2603" s="123" t="s">
        <v>9958</v>
      </c>
      <c r="L2603" s="131" t="s">
        <v>100</v>
      </c>
      <c r="M2603" s="135" t="s">
        <v>845</v>
      </c>
      <c r="N2603" s="123" t="s">
        <v>845</v>
      </c>
    </row>
    <row r="2604" spans="2:14" hidden="1" x14ac:dyDescent="0.25">
      <c r="B2604" s="120">
        <v>2601</v>
      </c>
      <c r="C2604" s="123">
        <v>10407573388</v>
      </c>
      <c r="D2604" s="126" t="s">
        <v>9962</v>
      </c>
      <c r="E2604" s="126" t="s">
        <v>9963</v>
      </c>
      <c r="F2604" s="123" t="s">
        <v>30</v>
      </c>
      <c r="G2604" s="123" t="s">
        <v>170</v>
      </c>
      <c r="H2604" s="123" t="s">
        <v>170</v>
      </c>
      <c r="I2604" s="126" t="s">
        <v>1944</v>
      </c>
      <c r="J2604" s="123" t="s">
        <v>9964</v>
      </c>
      <c r="K2604" s="123" t="s">
        <v>9962</v>
      </c>
      <c r="L2604" s="131" t="s">
        <v>100</v>
      </c>
      <c r="M2604" s="135" t="s">
        <v>845</v>
      </c>
      <c r="N2604" s="123" t="s">
        <v>845</v>
      </c>
    </row>
    <row r="2605" spans="2:14" hidden="1" x14ac:dyDescent="0.25">
      <c r="B2605" s="120">
        <v>2602</v>
      </c>
      <c r="C2605" s="123">
        <v>10738326542</v>
      </c>
      <c r="D2605" s="126" t="s">
        <v>9965</v>
      </c>
      <c r="E2605" s="126" t="s">
        <v>9966</v>
      </c>
      <c r="F2605" s="123" t="s">
        <v>30</v>
      </c>
      <c r="G2605" s="123" t="s">
        <v>30</v>
      </c>
      <c r="H2605" s="123" t="s">
        <v>43</v>
      </c>
      <c r="I2605" s="126" t="s">
        <v>1701</v>
      </c>
      <c r="J2605" s="123" t="s">
        <v>9967</v>
      </c>
      <c r="K2605" s="123" t="s">
        <v>9965</v>
      </c>
      <c r="L2605" s="131" t="s">
        <v>100</v>
      </c>
      <c r="M2605" s="135" t="s">
        <v>845</v>
      </c>
      <c r="N2605" s="123" t="s">
        <v>845</v>
      </c>
    </row>
    <row r="2606" spans="2:14" hidden="1" x14ac:dyDescent="0.25">
      <c r="B2606" s="120">
        <v>2603</v>
      </c>
      <c r="C2606" s="123">
        <v>10405267328</v>
      </c>
      <c r="D2606" s="126" t="s">
        <v>9968</v>
      </c>
      <c r="E2606" s="126" t="s">
        <v>9969</v>
      </c>
      <c r="F2606" s="123" t="s">
        <v>30</v>
      </c>
      <c r="G2606" s="123" t="s">
        <v>30</v>
      </c>
      <c r="H2606" s="123" t="s">
        <v>34</v>
      </c>
      <c r="I2606" s="126" t="s">
        <v>9970</v>
      </c>
      <c r="J2606" s="123" t="s">
        <v>9971</v>
      </c>
      <c r="K2606" s="123" t="s">
        <v>9972</v>
      </c>
      <c r="L2606" s="131" t="s">
        <v>100</v>
      </c>
      <c r="M2606" s="135" t="s">
        <v>845</v>
      </c>
      <c r="N2606" s="123" t="s">
        <v>845</v>
      </c>
    </row>
    <row r="2607" spans="2:14" hidden="1" x14ac:dyDescent="0.25">
      <c r="B2607" s="120">
        <v>2604</v>
      </c>
      <c r="C2607" s="123">
        <v>10453504374</v>
      </c>
      <c r="D2607" s="126" t="s">
        <v>9973</v>
      </c>
      <c r="E2607" s="126" t="s">
        <v>9974</v>
      </c>
      <c r="F2607" s="123" t="s">
        <v>30</v>
      </c>
      <c r="G2607" s="123" t="s">
        <v>30</v>
      </c>
      <c r="H2607" s="123" t="s">
        <v>35</v>
      </c>
      <c r="I2607" s="126" t="s">
        <v>1706</v>
      </c>
      <c r="J2607" s="123" t="s">
        <v>9975</v>
      </c>
      <c r="K2607" s="123" t="s">
        <v>9976</v>
      </c>
      <c r="L2607" s="131" t="s">
        <v>100</v>
      </c>
      <c r="M2607" s="135" t="s">
        <v>845</v>
      </c>
      <c r="N2607" s="123" t="s">
        <v>845</v>
      </c>
    </row>
    <row r="2608" spans="2:14" hidden="1" x14ac:dyDescent="0.25">
      <c r="B2608" s="120">
        <v>2605</v>
      </c>
      <c r="C2608" s="123">
        <v>10440765551</v>
      </c>
      <c r="D2608" s="126" t="s">
        <v>9977</v>
      </c>
      <c r="E2608" s="126" t="s">
        <v>9978</v>
      </c>
      <c r="F2608" s="123" t="s">
        <v>67</v>
      </c>
      <c r="G2608" s="123" t="s">
        <v>67</v>
      </c>
      <c r="H2608" s="123" t="s">
        <v>67</v>
      </c>
      <c r="I2608" s="126" t="s">
        <v>1935</v>
      </c>
      <c r="J2608" s="123" t="s">
        <v>9979</v>
      </c>
      <c r="K2608" s="123" t="s">
        <v>9980</v>
      </c>
      <c r="L2608" s="131" t="s">
        <v>100</v>
      </c>
      <c r="M2608" s="135" t="s">
        <v>845</v>
      </c>
      <c r="N2608" s="123" t="s">
        <v>845</v>
      </c>
    </row>
    <row r="2609" spans="2:14" hidden="1" x14ac:dyDescent="0.25">
      <c r="B2609" s="120">
        <v>2606</v>
      </c>
      <c r="C2609" s="123">
        <v>10409836165</v>
      </c>
      <c r="D2609" s="126" t="s">
        <v>9981</v>
      </c>
      <c r="E2609" s="126" t="s">
        <v>9982</v>
      </c>
      <c r="F2609" s="123" t="s">
        <v>30</v>
      </c>
      <c r="G2609" s="123" t="s">
        <v>30</v>
      </c>
      <c r="H2609" s="123" t="s">
        <v>43</v>
      </c>
      <c r="I2609" s="126" t="s">
        <v>9983</v>
      </c>
      <c r="J2609" s="123" t="s">
        <v>9984</v>
      </c>
      <c r="K2609" s="123" t="s">
        <v>9981</v>
      </c>
      <c r="L2609" s="131" t="s">
        <v>100</v>
      </c>
      <c r="M2609" s="135" t="s">
        <v>845</v>
      </c>
      <c r="N2609" s="123" t="s">
        <v>845</v>
      </c>
    </row>
    <row r="2610" spans="2:14" hidden="1" x14ac:dyDescent="0.25">
      <c r="B2610" s="120">
        <v>2607</v>
      </c>
      <c r="C2610" s="123">
        <v>10474414758</v>
      </c>
      <c r="D2610" s="126" t="s">
        <v>9985</v>
      </c>
      <c r="E2610" s="126" t="s">
        <v>9986</v>
      </c>
      <c r="F2610" s="123" t="s">
        <v>30</v>
      </c>
      <c r="G2610" s="123" t="s">
        <v>30</v>
      </c>
      <c r="H2610" s="123" t="s">
        <v>50</v>
      </c>
      <c r="I2610" s="126" t="s">
        <v>1932</v>
      </c>
      <c r="J2610" s="123" t="s">
        <v>9987</v>
      </c>
      <c r="K2610" s="123" t="s">
        <v>9985</v>
      </c>
      <c r="L2610" s="131" t="s">
        <v>100</v>
      </c>
      <c r="M2610" s="135" t="s">
        <v>845</v>
      </c>
      <c r="N2610" s="123" t="s">
        <v>845</v>
      </c>
    </row>
    <row r="2611" spans="2:14" hidden="1" x14ac:dyDescent="0.25">
      <c r="B2611" s="120">
        <v>2608</v>
      </c>
      <c r="C2611" s="123">
        <v>10463441435</v>
      </c>
      <c r="D2611" s="126" t="s">
        <v>9988</v>
      </c>
      <c r="E2611" s="126" t="s">
        <v>9989</v>
      </c>
      <c r="F2611" s="123" t="s">
        <v>30</v>
      </c>
      <c r="G2611" s="123" t="s">
        <v>30</v>
      </c>
      <c r="H2611" s="123" t="s">
        <v>72</v>
      </c>
      <c r="I2611" s="126" t="s">
        <v>9990</v>
      </c>
      <c r="J2611" s="123" t="s">
        <v>9991</v>
      </c>
      <c r="K2611" s="123" t="s">
        <v>9988</v>
      </c>
      <c r="L2611" s="131" t="s">
        <v>100</v>
      </c>
      <c r="M2611" s="135" t="s">
        <v>845</v>
      </c>
      <c r="N2611" s="123" t="s">
        <v>845</v>
      </c>
    </row>
    <row r="2612" spans="2:14" hidden="1" x14ac:dyDescent="0.25">
      <c r="B2612" s="120">
        <v>2609</v>
      </c>
      <c r="C2612" s="123">
        <v>10068299085</v>
      </c>
      <c r="D2612" s="126" t="s">
        <v>9992</v>
      </c>
      <c r="E2612" s="126" t="s">
        <v>9993</v>
      </c>
      <c r="F2612" s="123" t="s">
        <v>30</v>
      </c>
      <c r="G2612" s="123" t="s">
        <v>30</v>
      </c>
      <c r="H2612" s="123" t="s">
        <v>58</v>
      </c>
      <c r="I2612" s="126" t="s">
        <v>9994</v>
      </c>
      <c r="J2612" s="123" t="s">
        <v>9995</v>
      </c>
      <c r="K2612" s="123" t="s">
        <v>9992</v>
      </c>
      <c r="L2612" s="131" t="s">
        <v>100</v>
      </c>
      <c r="M2612" s="135" t="s">
        <v>845</v>
      </c>
      <c r="N2612" s="123" t="s">
        <v>845</v>
      </c>
    </row>
    <row r="2613" spans="2:14" hidden="1" x14ac:dyDescent="0.25">
      <c r="B2613" s="120">
        <v>2610</v>
      </c>
      <c r="C2613" s="123">
        <v>10069897423</v>
      </c>
      <c r="D2613" s="126" t="s">
        <v>9996</v>
      </c>
      <c r="E2613" s="126" t="s">
        <v>9997</v>
      </c>
      <c r="F2613" s="123" t="s">
        <v>30</v>
      </c>
      <c r="G2613" s="123" t="s">
        <v>30</v>
      </c>
      <c r="H2613" s="123" t="s">
        <v>38</v>
      </c>
      <c r="I2613" s="126" t="s">
        <v>1387</v>
      </c>
      <c r="J2613" s="123" t="s">
        <v>9998</v>
      </c>
      <c r="K2613" s="123" t="s">
        <v>9996</v>
      </c>
      <c r="L2613" s="131" t="s">
        <v>100</v>
      </c>
      <c r="M2613" s="135" t="s">
        <v>845</v>
      </c>
      <c r="N2613" s="123" t="s">
        <v>845</v>
      </c>
    </row>
    <row r="2614" spans="2:14" hidden="1" x14ac:dyDescent="0.25">
      <c r="B2614" s="120">
        <v>2611</v>
      </c>
      <c r="C2614" s="123">
        <v>10099501982</v>
      </c>
      <c r="D2614" s="126" t="s">
        <v>9999</v>
      </c>
      <c r="E2614" s="126" t="s">
        <v>10000</v>
      </c>
      <c r="F2614" s="123" t="s">
        <v>30</v>
      </c>
      <c r="G2614" s="123" t="s">
        <v>30</v>
      </c>
      <c r="H2614" s="123" t="s">
        <v>30</v>
      </c>
      <c r="I2614" s="126" t="s">
        <v>1706</v>
      </c>
      <c r="J2614" s="123" t="s">
        <v>10001</v>
      </c>
      <c r="K2614" s="123" t="s">
        <v>10002</v>
      </c>
      <c r="L2614" s="131" t="s">
        <v>100</v>
      </c>
      <c r="M2614" s="135" t="s">
        <v>845</v>
      </c>
      <c r="N2614" s="123" t="s">
        <v>845</v>
      </c>
    </row>
    <row r="2615" spans="2:14" hidden="1" x14ac:dyDescent="0.25">
      <c r="B2615" s="120">
        <v>2612</v>
      </c>
      <c r="C2615" s="123">
        <v>10480961680</v>
      </c>
      <c r="D2615" s="126" t="s">
        <v>10003</v>
      </c>
      <c r="E2615" s="126" t="s">
        <v>10004</v>
      </c>
      <c r="F2615" s="123" t="s">
        <v>30</v>
      </c>
      <c r="G2615" s="123" t="s">
        <v>30</v>
      </c>
      <c r="H2615" s="123" t="s">
        <v>64</v>
      </c>
      <c r="I2615" s="126" t="s">
        <v>1701</v>
      </c>
      <c r="J2615" s="123" t="s">
        <v>10005</v>
      </c>
      <c r="K2615" s="123" t="s">
        <v>10006</v>
      </c>
      <c r="L2615" s="131" t="s">
        <v>100</v>
      </c>
      <c r="M2615" s="135" t="s">
        <v>845</v>
      </c>
      <c r="N2615" s="123" t="s">
        <v>845</v>
      </c>
    </row>
    <row r="2616" spans="2:14" hidden="1" x14ac:dyDescent="0.25">
      <c r="B2616" s="120">
        <v>2613</v>
      </c>
      <c r="C2616" s="123">
        <v>10806545126</v>
      </c>
      <c r="D2616" s="126" t="s">
        <v>10007</v>
      </c>
      <c r="E2616" s="126" t="s">
        <v>10008</v>
      </c>
      <c r="F2616" s="123" t="s">
        <v>30</v>
      </c>
      <c r="G2616" s="123" t="s">
        <v>30</v>
      </c>
      <c r="H2616" s="123" t="s">
        <v>35</v>
      </c>
      <c r="I2616" s="126" t="s">
        <v>1643</v>
      </c>
      <c r="J2616" s="123" t="s">
        <v>10009</v>
      </c>
      <c r="K2616" s="123" t="s">
        <v>10010</v>
      </c>
      <c r="L2616" s="131" t="s">
        <v>100</v>
      </c>
      <c r="M2616" s="135" t="s">
        <v>845</v>
      </c>
      <c r="N2616" s="123" t="s">
        <v>845</v>
      </c>
    </row>
    <row r="2617" spans="2:14" hidden="1" x14ac:dyDescent="0.25">
      <c r="B2617" s="120">
        <v>2614</v>
      </c>
      <c r="C2617" s="123">
        <v>10419692331</v>
      </c>
      <c r="D2617" s="126" t="s">
        <v>10011</v>
      </c>
      <c r="E2617" s="126" t="s">
        <v>10012</v>
      </c>
      <c r="F2617" s="123" t="s">
        <v>30</v>
      </c>
      <c r="G2617" s="123" t="s">
        <v>30</v>
      </c>
      <c r="H2617" s="123" t="s">
        <v>43</v>
      </c>
      <c r="I2617" s="126" t="s">
        <v>1701</v>
      </c>
      <c r="J2617" s="123" t="s">
        <v>10013</v>
      </c>
      <c r="K2617" s="123" t="s">
        <v>10011</v>
      </c>
      <c r="L2617" s="131" t="s">
        <v>100</v>
      </c>
      <c r="M2617" s="135" t="s">
        <v>845</v>
      </c>
      <c r="N2617" s="123" t="s">
        <v>845</v>
      </c>
    </row>
    <row r="2618" spans="2:14" hidden="1" x14ac:dyDescent="0.25">
      <c r="B2618" s="120">
        <v>2615</v>
      </c>
      <c r="C2618" s="123">
        <v>10440496593</v>
      </c>
      <c r="D2618" s="126" t="s">
        <v>10014</v>
      </c>
      <c r="E2618" s="126" t="s">
        <v>10015</v>
      </c>
      <c r="F2618" s="123" t="s">
        <v>30</v>
      </c>
      <c r="G2618" s="123" t="s">
        <v>30</v>
      </c>
      <c r="H2618" s="123" t="s">
        <v>34</v>
      </c>
      <c r="I2618" s="126" t="s">
        <v>1701</v>
      </c>
      <c r="J2618" s="123" t="s">
        <v>10016</v>
      </c>
      <c r="K2618" s="123" t="s">
        <v>10014</v>
      </c>
      <c r="L2618" s="131" t="s">
        <v>100</v>
      </c>
      <c r="M2618" s="135" t="s">
        <v>845</v>
      </c>
      <c r="N2618" s="123" t="s">
        <v>845</v>
      </c>
    </row>
    <row r="2619" spans="2:14" hidden="1" x14ac:dyDescent="0.25">
      <c r="B2619" s="120">
        <v>2616</v>
      </c>
      <c r="C2619" s="123">
        <v>10256193880</v>
      </c>
      <c r="D2619" s="126" t="s">
        <v>10017</v>
      </c>
      <c r="E2619" s="126" t="s">
        <v>10018</v>
      </c>
      <c r="F2619" s="123" t="s">
        <v>30</v>
      </c>
      <c r="G2619" s="123" t="s">
        <v>30</v>
      </c>
      <c r="H2619" s="123" t="s">
        <v>30</v>
      </c>
      <c r="I2619" s="126" t="s">
        <v>1936</v>
      </c>
      <c r="J2619" s="123" t="s">
        <v>10019</v>
      </c>
      <c r="K2619" s="123" t="s">
        <v>10017</v>
      </c>
      <c r="L2619" s="131" t="s">
        <v>100</v>
      </c>
      <c r="M2619" s="135" t="s">
        <v>845</v>
      </c>
      <c r="N2619" s="123" t="s">
        <v>845</v>
      </c>
    </row>
    <row r="2620" spans="2:14" hidden="1" x14ac:dyDescent="0.25">
      <c r="B2620" s="120">
        <v>2617</v>
      </c>
      <c r="C2620" s="123">
        <v>10721321890</v>
      </c>
      <c r="D2620" s="126" t="s">
        <v>10020</v>
      </c>
      <c r="E2620" s="126" t="s">
        <v>10021</v>
      </c>
      <c r="F2620" s="123" t="s">
        <v>30</v>
      </c>
      <c r="G2620" s="123" t="s">
        <v>54</v>
      </c>
      <c r="H2620" s="123" t="s">
        <v>54</v>
      </c>
      <c r="I2620" s="126" t="s">
        <v>1805</v>
      </c>
      <c r="J2620" s="123" t="s">
        <v>10022</v>
      </c>
      <c r="K2620" s="123" t="s">
        <v>10020</v>
      </c>
      <c r="L2620" s="131" t="s">
        <v>100</v>
      </c>
      <c r="M2620" s="135" t="s">
        <v>845</v>
      </c>
      <c r="N2620" s="123" t="s">
        <v>845</v>
      </c>
    </row>
    <row r="2621" spans="2:14" hidden="1" x14ac:dyDescent="0.25">
      <c r="B2621" s="120">
        <v>2618</v>
      </c>
      <c r="C2621" s="123">
        <v>10429895559</v>
      </c>
      <c r="D2621" s="126" t="s">
        <v>10023</v>
      </c>
      <c r="E2621" s="126" t="s">
        <v>10024</v>
      </c>
      <c r="F2621" s="123" t="s">
        <v>30</v>
      </c>
      <c r="G2621" s="123" t="s">
        <v>54</v>
      </c>
      <c r="H2621" s="123" t="s">
        <v>54</v>
      </c>
      <c r="I2621" s="126" t="s">
        <v>10025</v>
      </c>
      <c r="J2621" s="123" t="s">
        <v>10026</v>
      </c>
      <c r="K2621" s="123" t="s">
        <v>10023</v>
      </c>
      <c r="L2621" s="131" t="s">
        <v>100</v>
      </c>
      <c r="M2621" s="135" t="s">
        <v>845</v>
      </c>
      <c r="N2621" s="123" t="s">
        <v>845</v>
      </c>
    </row>
    <row r="2622" spans="2:14" hidden="1" x14ac:dyDescent="0.25">
      <c r="B2622" s="120">
        <v>2619</v>
      </c>
      <c r="C2622" s="123">
        <v>10075001652</v>
      </c>
      <c r="D2622" s="126" t="s">
        <v>10027</v>
      </c>
      <c r="E2622" s="126" t="s">
        <v>10028</v>
      </c>
      <c r="F2622" s="123" t="s">
        <v>30</v>
      </c>
      <c r="G2622" s="123" t="s">
        <v>30</v>
      </c>
      <c r="H2622" s="123" t="s">
        <v>30</v>
      </c>
      <c r="I2622" s="126" t="s">
        <v>1944</v>
      </c>
      <c r="J2622" s="123" t="s">
        <v>10029</v>
      </c>
      <c r="K2622" s="123" t="s">
        <v>10030</v>
      </c>
      <c r="L2622" s="131" t="s">
        <v>100</v>
      </c>
      <c r="M2622" s="135" t="s">
        <v>845</v>
      </c>
      <c r="N2622" s="123" t="s">
        <v>845</v>
      </c>
    </row>
    <row r="2623" spans="2:14" hidden="1" x14ac:dyDescent="0.25">
      <c r="B2623" s="120">
        <v>2620</v>
      </c>
      <c r="C2623" s="123">
        <v>10713232241</v>
      </c>
      <c r="D2623" s="126" t="s">
        <v>10031</v>
      </c>
      <c r="E2623" s="126" t="s">
        <v>10032</v>
      </c>
      <c r="F2623" s="123" t="s">
        <v>30</v>
      </c>
      <c r="G2623" s="123" t="s">
        <v>168</v>
      </c>
      <c r="H2623" s="123" t="s">
        <v>180</v>
      </c>
      <c r="I2623" s="126" t="s">
        <v>10033</v>
      </c>
      <c r="J2623" s="123" t="s">
        <v>10034</v>
      </c>
      <c r="K2623" s="123" t="s">
        <v>10031</v>
      </c>
      <c r="L2623" s="131" t="s">
        <v>100</v>
      </c>
      <c r="M2623" s="135" t="s">
        <v>845</v>
      </c>
      <c r="N2623" s="123" t="s">
        <v>845</v>
      </c>
    </row>
    <row r="2624" spans="2:14" hidden="1" x14ac:dyDescent="0.25">
      <c r="B2624" s="120">
        <v>2621</v>
      </c>
      <c r="C2624" s="123">
        <v>10806532318</v>
      </c>
      <c r="D2624" s="126" t="s">
        <v>10035</v>
      </c>
      <c r="E2624" s="126" t="s">
        <v>10036</v>
      </c>
      <c r="F2624" s="123" t="s">
        <v>30</v>
      </c>
      <c r="G2624" s="123" t="s">
        <v>30</v>
      </c>
      <c r="H2624" s="123" t="s">
        <v>30</v>
      </c>
      <c r="I2624" s="126" t="s">
        <v>1499</v>
      </c>
      <c r="J2624" s="123" t="s">
        <v>10037</v>
      </c>
      <c r="K2624" s="123" t="s">
        <v>10038</v>
      </c>
      <c r="L2624" s="131" t="s">
        <v>100</v>
      </c>
      <c r="M2624" s="135" t="s">
        <v>845</v>
      </c>
      <c r="N2624" s="123" t="s">
        <v>845</v>
      </c>
    </row>
    <row r="2625" spans="2:14" hidden="1" x14ac:dyDescent="0.25">
      <c r="B2625" s="120">
        <v>2622</v>
      </c>
      <c r="C2625" s="123">
        <v>10101753315</v>
      </c>
      <c r="D2625" s="126" t="s">
        <v>10039</v>
      </c>
      <c r="E2625" s="126" t="s">
        <v>10040</v>
      </c>
      <c r="F2625" s="123" t="s">
        <v>30</v>
      </c>
      <c r="G2625" s="123" t="s">
        <v>30</v>
      </c>
      <c r="H2625" s="123" t="s">
        <v>40</v>
      </c>
      <c r="I2625" s="126" t="s">
        <v>1478</v>
      </c>
      <c r="J2625" s="123" t="s">
        <v>10041</v>
      </c>
      <c r="K2625" s="123" t="s">
        <v>10039</v>
      </c>
      <c r="L2625" s="131" t="s">
        <v>100</v>
      </c>
      <c r="M2625" s="135" t="s">
        <v>845</v>
      </c>
      <c r="N2625" s="123" t="s">
        <v>845</v>
      </c>
    </row>
    <row r="2626" spans="2:14" hidden="1" x14ac:dyDescent="0.25">
      <c r="B2626" s="120">
        <v>2623</v>
      </c>
      <c r="C2626" s="123">
        <v>10402100163</v>
      </c>
      <c r="D2626" s="126" t="s">
        <v>10042</v>
      </c>
      <c r="E2626" s="126" t="s">
        <v>10043</v>
      </c>
      <c r="F2626" s="123" t="s">
        <v>30</v>
      </c>
      <c r="G2626" s="123" t="s">
        <v>30</v>
      </c>
      <c r="H2626" s="123" t="s">
        <v>30</v>
      </c>
      <c r="I2626" s="126" t="s">
        <v>1930</v>
      </c>
      <c r="J2626" s="123" t="s">
        <v>10044</v>
      </c>
      <c r="K2626" s="123" t="s">
        <v>10042</v>
      </c>
      <c r="L2626" s="131" t="s">
        <v>100</v>
      </c>
      <c r="M2626" s="135" t="s">
        <v>845</v>
      </c>
      <c r="N2626" s="123" t="s">
        <v>845</v>
      </c>
    </row>
    <row r="2627" spans="2:14" hidden="1" x14ac:dyDescent="0.25">
      <c r="B2627" s="120">
        <v>2624</v>
      </c>
      <c r="C2627" s="123">
        <v>10167228831</v>
      </c>
      <c r="D2627" s="126" t="s">
        <v>10045</v>
      </c>
      <c r="E2627" s="126" t="s">
        <v>10046</v>
      </c>
      <c r="F2627" s="123" t="s">
        <v>30</v>
      </c>
      <c r="G2627" s="123" t="s">
        <v>30</v>
      </c>
      <c r="H2627" s="123" t="s">
        <v>72</v>
      </c>
      <c r="I2627" s="126" t="s">
        <v>1424</v>
      </c>
      <c r="J2627" s="123" t="s">
        <v>10047</v>
      </c>
      <c r="K2627" s="123" t="s">
        <v>10045</v>
      </c>
      <c r="L2627" s="131" t="s">
        <v>100</v>
      </c>
      <c r="M2627" s="135" t="s">
        <v>845</v>
      </c>
      <c r="N2627" s="123" t="s">
        <v>845</v>
      </c>
    </row>
    <row r="2628" spans="2:14" hidden="1" x14ac:dyDescent="0.25">
      <c r="B2628" s="120">
        <v>2625</v>
      </c>
      <c r="C2628" s="123">
        <v>10468725814</v>
      </c>
      <c r="D2628" s="126" t="s">
        <v>10048</v>
      </c>
      <c r="E2628" s="126" t="s">
        <v>10049</v>
      </c>
      <c r="F2628" s="123" t="s">
        <v>30</v>
      </c>
      <c r="G2628" s="123" t="s">
        <v>30</v>
      </c>
      <c r="H2628" s="123" t="s">
        <v>280</v>
      </c>
      <c r="I2628" s="126" t="s">
        <v>10050</v>
      </c>
      <c r="J2628" s="123" t="s">
        <v>10051</v>
      </c>
      <c r="K2628" s="123" t="s">
        <v>10052</v>
      </c>
      <c r="L2628" s="131" t="s">
        <v>100</v>
      </c>
      <c r="M2628" s="135" t="s">
        <v>845</v>
      </c>
      <c r="N2628" s="123" t="s">
        <v>845</v>
      </c>
    </row>
    <row r="2629" spans="2:14" hidden="1" x14ac:dyDescent="0.25">
      <c r="B2629" s="120">
        <v>2626</v>
      </c>
      <c r="C2629" s="123">
        <v>10069736471</v>
      </c>
      <c r="D2629" s="126" t="s">
        <v>10053</v>
      </c>
      <c r="E2629" s="126" t="s">
        <v>10054</v>
      </c>
      <c r="F2629" s="123" t="s">
        <v>30</v>
      </c>
      <c r="G2629" s="123" t="s">
        <v>30</v>
      </c>
      <c r="H2629" s="123" t="s">
        <v>280</v>
      </c>
      <c r="I2629" s="126" t="s">
        <v>1706</v>
      </c>
      <c r="J2629" s="123" t="s">
        <v>10055</v>
      </c>
      <c r="K2629" s="123" t="s">
        <v>10053</v>
      </c>
      <c r="L2629" s="131" t="s">
        <v>100</v>
      </c>
      <c r="M2629" s="135" t="s">
        <v>845</v>
      </c>
      <c r="N2629" s="123" t="s">
        <v>845</v>
      </c>
    </row>
    <row r="2630" spans="2:14" hidden="1" x14ac:dyDescent="0.25">
      <c r="B2630" s="120">
        <v>2627</v>
      </c>
      <c r="C2630" s="123">
        <v>10727406234</v>
      </c>
      <c r="D2630" s="126" t="s">
        <v>10056</v>
      </c>
      <c r="E2630" s="126" t="s">
        <v>10057</v>
      </c>
      <c r="F2630" s="123" t="s">
        <v>30</v>
      </c>
      <c r="G2630" s="123" t="s">
        <v>30</v>
      </c>
      <c r="H2630" s="123" t="s">
        <v>43</v>
      </c>
      <c r="I2630" s="126" t="s">
        <v>1931</v>
      </c>
      <c r="J2630" s="123" t="s">
        <v>10058</v>
      </c>
      <c r="K2630" s="123" t="s">
        <v>10056</v>
      </c>
      <c r="L2630" s="131" t="s">
        <v>100</v>
      </c>
      <c r="M2630" s="135" t="s">
        <v>845</v>
      </c>
      <c r="N2630" s="123" t="s">
        <v>845</v>
      </c>
    </row>
    <row r="2631" spans="2:14" hidden="1" x14ac:dyDescent="0.25">
      <c r="B2631" s="120">
        <v>2628</v>
      </c>
      <c r="C2631" s="123">
        <v>10314795216</v>
      </c>
      <c r="D2631" s="126" t="s">
        <v>10059</v>
      </c>
      <c r="E2631" s="126" t="s">
        <v>10060</v>
      </c>
      <c r="F2631" s="123" t="s">
        <v>30</v>
      </c>
      <c r="G2631" s="123" t="s">
        <v>30</v>
      </c>
      <c r="H2631" s="123" t="s">
        <v>85</v>
      </c>
      <c r="I2631" s="126" t="s">
        <v>1701</v>
      </c>
      <c r="J2631" s="123" t="s">
        <v>10061</v>
      </c>
      <c r="K2631" s="123" t="s">
        <v>10062</v>
      </c>
      <c r="L2631" s="131" t="s">
        <v>100</v>
      </c>
      <c r="M2631" s="135" t="s">
        <v>845</v>
      </c>
      <c r="N2631" s="123" t="s">
        <v>845</v>
      </c>
    </row>
    <row r="2632" spans="2:14" hidden="1" x14ac:dyDescent="0.25">
      <c r="B2632" s="120">
        <v>2629</v>
      </c>
      <c r="C2632" s="123">
        <v>10086061916</v>
      </c>
      <c r="D2632" s="126" t="s">
        <v>10063</v>
      </c>
      <c r="E2632" s="126" t="s">
        <v>10064</v>
      </c>
      <c r="F2632" s="123" t="s">
        <v>30</v>
      </c>
      <c r="G2632" s="123" t="s">
        <v>30</v>
      </c>
      <c r="H2632" s="123" t="s">
        <v>45</v>
      </c>
      <c r="I2632" s="126" t="s">
        <v>10025</v>
      </c>
      <c r="J2632" s="123" t="s">
        <v>10065</v>
      </c>
      <c r="K2632" s="123" t="s">
        <v>10063</v>
      </c>
      <c r="L2632" s="131" t="s">
        <v>100</v>
      </c>
      <c r="M2632" s="135" t="s">
        <v>845</v>
      </c>
      <c r="N2632" s="123" t="s">
        <v>845</v>
      </c>
    </row>
    <row r="2633" spans="2:14" hidden="1" x14ac:dyDescent="0.25">
      <c r="B2633" s="120">
        <v>2630</v>
      </c>
      <c r="C2633" s="123">
        <v>10103403028</v>
      </c>
      <c r="D2633" s="126" t="s">
        <v>10066</v>
      </c>
      <c r="E2633" s="126" t="s">
        <v>10067</v>
      </c>
      <c r="F2633" s="123" t="s">
        <v>30</v>
      </c>
      <c r="G2633" s="123" t="s">
        <v>30</v>
      </c>
      <c r="H2633" s="123" t="s">
        <v>86</v>
      </c>
      <c r="I2633" s="126" t="s">
        <v>1564</v>
      </c>
      <c r="J2633" s="123" t="s">
        <v>10068</v>
      </c>
      <c r="K2633" s="123" t="s">
        <v>10069</v>
      </c>
      <c r="L2633" s="131" t="s">
        <v>100</v>
      </c>
      <c r="M2633" s="135" t="s">
        <v>845</v>
      </c>
      <c r="N2633" s="123" t="s">
        <v>845</v>
      </c>
    </row>
    <row r="2634" spans="2:14" hidden="1" x14ac:dyDescent="0.25">
      <c r="B2634" s="120">
        <v>2631</v>
      </c>
      <c r="C2634" s="123">
        <v>10406237309</v>
      </c>
      <c r="D2634" s="126" t="s">
        <v>10070</v>
      </c>
      <c r="E2634" s="126" t="s">
        <v>10071</v>
      </c>
      <c r="F2634" s="123" t="s">
        <v>30</v>
      </c>
      <c r="G2634" s="123" t="s">
        <v>170</v>
      </c>
      <c r="H2634" s="123" t="s">
        <v>176</v>
      </c>
      <c r="I2634" s="126" t="s">
        <v>1951</v>
      </c>
      <c r="J2634" s="123" t="s">
        <v>10072</v>
      </c>
      <c r="K2634" s="123" t="s">
        <v>10070</v>
      </c>
      <c r="L2634" s="131" t="s">
        <v>100</v>
      </c>
      <c r="M2634" s="135" t="s">
        <v>845</v>
      </c>
      <c r="N2634" s="123" t="s">
        <v>845</v>
      </c>
    </row>
    <row r="2635" spans="2:14" hidden="1" x14ac:dyDescent="0.25">
      <c r="B2635" s="120">
        <v>2632</v>
      </c>
      <c r="C2635" s="123">
        <v>10155914373</v>
      </c>
      <c r="D2635" s="126" t="s">
        <v>10073</v>
      </c>
      <c r="E2635" s="126" t="s">
        <v>10074</v>
      </c>
      <c r="F2635" s="123" t="s">
        <v>30</v>
      </c>
      <c r="G2635" s="123" t="s">
        <v>170</v>
      </c>
      <c r="H2635" s="123" t="s">
        <v>171</v>
      </c>
      <c r="I2635" s="126" t="s">
        <v>9044</v>
      </c>
      <c r="J2635" s="123" t="s">
        <v>10075</v>
      </c>
      <c r="K2635" s="123" t="s">
        <v>10073</v>
      </c>
      <c r="L2635" s="131" t="s">
        <v>100</v>
      </c>
      <c r="M2635" s="135" t="s">
        <v>845</v>
      </c>
      <c r="N2635" s="123" t="s">
        <v>845</v>
      </c>
    </row>
    <row r="2636" spans="2:14" hidden="1" x14ac:dyDescent="0.25">
      <c r="B2636" s="120">
        <v>2633</v>
      </c>
      <c r="C2636" s="123">
        <v>10486388949</v>
      </c>
      <c r="D2636" s="126" t="s">
        <v>10076</v>
      </c>
      <c r="E2636" s="126" t="s">
        <v>10077</v>
      </c>
      <c r="F2636" s="123" t="s">
        <v>30</v>
      </c>
      <c r="G2636" s="123" t="s">
        <v>30</v>
      </c>
      <c r="H2636" s="123" t="s">
        <v>51</v>
      </c>
      <c r="I2636" s="126" t="s">
        <v>1564</v>
      </c>
      <c r="J2636" s="123" t="s">
        <v>10078</v>
      </c>
      <c r="K2636" s="123" t="s">
        <v>10076</v>
      </c>
      <c r="L2636" s="131" t="s">
        <v>100</v>
      </c>
      <c r="M2636" s="135" t="s">
        <v>845</v>
      </c>
      <c r="N2636" s="123" t="s">
        <v>845</v>
      </c>
    </row>
    <row r="2637" spans="2:14" hidden="1" x14ac:dyDescent="0.25">
      <c r="B2637" s="120">
        <v>2634</v>
      </c>
      <c r="C2637" s="123">
        <v>10481371177</v>
      </c>
      <c r="D2637" s="126" t="s">
        <v>10079</v>
      </c>
      <c r="E2637" s="126" t="s">
        <v>10080</v>
      </c>
      <c r="F2637" s="123" t="s">
        <v>30</v>
      </c>
      <c r="G2637" s="123" t="s">
        <v>170</v>
      </c>
      <c r="H2637" s="123" t="s">
        <v>170</v>
      </c>
      <c r="I2637" s="126" t="s">
        <v>8725</v>
      </c>
      <c r="J2637" s="123" t="s">
        <v>10081</v>
      </c>
      <c r="K2637" s="123" t="s">
        <v>10079</v>
      </c>
      <c r="L2637" s="131" t="s">
        <v>100</v>
      </c>
      <c r="M2637" s="135" t="s">
        <v>845</v>
      </c>
      <c r="N2637" s="123" t="s">
        <v>845</v>
      </c>
    </row>
    <row r="2638" spans="2:14" hidden="1" x14ac:dyDescent="0.25">
      <c r="B2638" s="120">
        <v>2635</v>
      </c>
      <c r="C2638" s="123">
        <v>10766389240</v>
      </c>
      <c r="D2638" s="126" t="s">
        <v>10082</v>
      </c>
      <c r="E2638" s="126" t="s">
        <v>10083</v>
      </c>
      <c r="F2638" s="123" t="s">
        <v>30</v>
      </c>
      <c r="G2638" s="123" t="s">
        <v>170</v>
      </c>
      <c r="H2638" s="123" t="s">
        <v>170</v>
      </c>
      <c r="I2638" s="126" t="s">
        <v>8725</v>
      </c>
      <c r="J2638" s="123" t="s">
        <v>10084</v>
      </c>
      <c r="K2638" s="123" t="s">
        <v>10082</v>
      </c>
      <c r="L2638" s="131" t="s">
        <v>100</v>
      </c>
      <c r="M2638" s="135" t="s">
        <v>845</v>
      </c>
      <c r="N2638" s="123" t="s">
        <v>845</v>
      </c>
    </row>
    <row r="2639" spans="2:14" hidden="1" x14ac:dyDescent="0.25">
      <c r="B2639" s="120">
        <v>2636</v>
      </c>
      <c r="C2639" s="123">
        <v>10762203621</v>
      </c>
      <c r="D2639" s="126" t="s">
        <v>10085</v>
      </c>
      <c r="E2639" s="126" t="s">
        <v>10086</v>
      </c>
      <c r="F2639" s="123" t="s">
        <v>67</v>
      </c>
      <c r="G2639" s="123" t="s">
        <v>67</v>
      </c>
      <c r="H2639" s="123" t="s">
        <v>67</v>
      </c>
      <c r="I2639" s="126" t="s">
        <v>8659</v>
      </c>
      <c r="J2639" s="123" t="s">
        <v>10087</v>
      </c>
      <c r="K2639" s="123" t="s">
        <v>10088</v>
      </c>
      <c r="L2639" s="131" t="s">
        <v>100</v>
      </c>
      <c r="M2639" s="135" t="s">
        <v>845</v>
      </c>
      <c r="N2639" s="123" t="s">
        <v>845</v>
      </c>
    </row>
    <row r="2640" spans="2:14" hidden="1" x14ac:dyDescent="0.25">
      <c r="B2640" s="120">
        <v>2637</v>
      </c>
      <c r="C2640" s="123">
        <v>10462154033</v>
      </c>
      <c r="D2640" s="126" t="s">
        <v>10089</v>
      </c>
      <c r="E2640" s="126" t="s">
        <v>10090</v>
      </c>
      <c r="F2640" s="123" t="s">
        <v>30</v>
      </c>
      <c r="G2640" s="123" t="s">
        <v>30</v>
      </c>
      <c r="H2640" s="123" t="s">
        <v>30</v>
      </c>
      <c r="I2640" s="126" t="s">
        <v>6746</v>
      </c>
      <c r="J2640" s="123" t="s">
        <v>10091</v>
      </c>
      <c r="K2640" s="123" t="s">
        <v>10089</v>
      </c>
      <c r="L2640" s="131" t="s">
        <v>100</v>
      </c>
      <c r="M2640" s="135" t="s">
        <v>845</v>
      </c>
      <c r="N2640" s="123" t="s">
        <v>845</v>
      </c>
    </row>
    <row r="2641" spans="2:14" hidden="1" x14ac:dyDescent="0.25">
      <c r="B2641" s="120">
        <v>2638</v>
      </c>
      <c r="C2641" s="123">
        <v>10104117622</v>
      </c>
      <c r="D2641" s="126" t="s">
        <v>10092</v>
      </c>
      <c r="E2641" s="126" t="s">
        <v>10093</v>
      </c>
      <c r="F2641" s="123" t="s">
        <v>30</v>
      </c>
      <c r="G2641" s="123" t="s">
        <v>30</v>
      </c>
      <c r="H2641" s="123" t="s">
        <v>72</v>
      </c>
      <c r="I2641" s="126" t="s">
        <v>1949</v>
      </c>
      <c r="J2641" s="123" t="s">
        <v>10094</v>
      </c>
      <c r="K2641" s="123" t="s">
        <v>10092</v>
      </c>
      <c r="L2641" s="131" t="s">
        <v>100</v>
      </c>
      <c r="M2641" s="135" t="s">
        <v>845</v>
      </c>
      <c r="N2641" s="123" t="s">
        <v>845</v>
      </c>
    </row>
    <row r="2642" spans="2:14" hidden="1" x14ac:dyDescent="0.25">
      <c r="B2642" s="120">
        <v>2639</v>
      </c>
      <c r="C2642" s="123">
        <v>10482069512</v>
      </c>
      <c r="D2642" s="126" t="s">
        <v>10095</v>
      </c>
      <c r="E2642" s="126" t="s">
        <v>10096</v>
      </c>
      <c r="F2642" s="123" t="s">
        <v>30</v>
      </c>
      <c r="G2642" s="123" t="s">
        <v>30</v>
      </c>
      <c r="H2642" s="123" t="s">
        <v>50</v>
      </c>
      <c r="I2642" s="126" t="s">
        <v>8659</v>
      </c>
      <c r="J2642" s="123" t="s">
        <v>10097</v>
      </c>
      <c r="K2642" s="123" t="s">
        <v>10095</v>
      </c>
      <c r="L2642" s="131" t="s">
        <v>100</v>
      </c>
      <c r="M2642" s="135" t="s">
        <v>845</v>
      </c>
      <c r="N2642" s="123" t="s">
        <v>845</v>
      </c>
    </row>
    <row r="2643" spans="2:14" hidden="1" x14ac:dyDescent="0.25">
      <c r="B2643" s="120">
        <v>2640</v>
      </c>
      <c r="C2643" s="123">
        <v>10762090941</v>
      </c>
      <c r="D2643" s="126" t="s">
        <v>10098</v>
      </c>
      <c r="E2643" s="126" t="s">
        <v>10099</v>
      </c>
      <c r="F2643" s="123" t="s">
        <v>30</v>
      </c>
      <c r="G2643" s="123" t="s">
        <v>30</v>
      </c>
      <c r="H2643" s="123" t="s">
        <v>72</v>
      </c>
      <c r="I2643" s="126" t="s">
        <v>1931</v>
      </c>
      <c r="J2643" s="123" t="s">
        <v>10100</v>
      </c>
      <c r="K2643" s="123" t="s">
        <v>10098</v>
      </c>
      <c r="L2643" s="131" t="s">
        <v>100</v>
      </c>
      <c r="M2643" s="135" t="s">
        <v>845</v>
      </c>
      <c r="N2643" s="123" t="s">
        <v>845</v>
      </c>
    </row>
    <row r="2644" spans="2:14" hidden="1" x14ac:dyDescent="0.25">
      <c r="B2644" s="120">
        <v>2641</v>
      </c>
      <c r="C2644" s="123">
        <v>10468165444</v>
      </c>
      <c r="D2644" s="126" t="s">
        <v>10101</v>
      </c>
      <c r="E2644" s="126" t="s">
        <v>10102</v>
      </c>
      <c r="F2644" s="123" t="s">
        <v>30</v>
      </c>
      <c r="G2644" s="123" t="s">
        <v>30</v>
      </c>
      <c r="H2644" s="123" t="s">
        <v>34</v>
      </c>
      <c r="I2644" s="126" t="s">
        <v>1156</v>
      </c>
      <c r="J2644" s="123" t="s">
        <v>10103</v>
      </c>
      <c r="K2644" s="123" t="s">
        <v>10101</v>
      </c>
      <c r="L2644" s="131" t="s">
        <v>100</v>
      </c>
      <c r="M2644" s="135" t="s">
        <v>845</v>
      </c>
      <c r="N2644" s="123" t="s">
        <v>845</v>
      </c>
    </row>
    <row r="2645" spans="2:14" hidden="1" x14ac:dyDescent="0.25">
      <c r="B2645" s="120">
        <v>2642</v>
      </c>
      <c r="C2645" s="123">
        <v>10747698193</v>
      </c>
      <c r="D2645" s="126" t="s">
        <v>10104</v>
      </c>
      <c r="E2645" s="126" t="s">
        <v>10105</v>
      </c>
      <c r="F2645" s="123" t="s">
        <v>30</v>
      </c>
      <c r="G2645" s="123" t="s">
        <v>30</v>
      </c>
      <c r="H2645" s="123" t="s">
        <v>88</v>
      </c>
      <c r="I2645" s="126" t="s">
        <v>1931</v>
      </c>
      <c r="J2645" s="123" t="s">
        <v>10106</v>
      </c>
      <c r="K2645" s="123" t="s">
        <v>10104</v>
      </c>
      <c r="L2645" s="131" t="s">
        <v>100</v>
      </c>
      <c r="M2645" s="135" t="s">
        <v>845</v>
      </c>
      <c r="N2645" s="123" t="s">
        <v>845</v>
      </c>
    </row>
    <row r="2646" spans="2:14" hidden="1" x14ac:dyDescent="0.25">
      <c r="B2646" s="120">
        <v>2643</v>
      </c>
      <c r="C2646" s="123">
        <v>10762718214</v>
      </c>
      <c r="D2646" s="126" t="s">
        <v>10107</v>
      </c>
      <c r="E2646" s="126" t="s">
        <v>10108</v>
      </c>
      <c r="F2646" s="123" t="s">
        <v>30</v>
      </c>
      <c r="G2646" s="123" t="s">
        <v>170</v>
      </c>
      <c r="H2646" s="123" t="s">
        <v>171</v>
      </c>
      <c r="I2646" s="126" t="s">
        <v>1950</v>
      </c>
      <c r="J2646" s="123" t="s">
        <v>10109</v>
      </c>
      <c r="K2646" s="123" t="s">
        <v>10107</v>
      </c>
      <c r="L2646" s="131" t="s">
        <v>100</v>
      </c>
      <c r="M2646" s="135" t="s">
        <v>845</v>
      </c>
      <c r="N2646" s="123" t="s">
        <v>845</v>
      </c>
    </row>
    <row r="2647" spans="2:14" hidden="1" x14ac:dyDescent="0.25">
      <c r="B2647" s="120">
        <v>2644</v>
      </c>
      <c r="C2647" s="123">
        <v>10401045215</v>
      </c>
      <c r="D2647" s="126" t="s">
        <v>10110</v>
      </c>
      <c r="E2647" s="126" t="s">
        <v>10111</v>
      </c>
      <c r="F2647" s="123" t="s">
        <v>30</v>
      </c>
      <c r="G2647" s="123" t="s">
        <v>30</v>
      </c>
      <c r="H2647" s="123" t="s">
        <v>51</v>
      </c>
      <c r="I2647" s="126" t="s">
        <v>1564</v>
      </c>
      <c r="J2647" s="123" t="s">
        <v>10112</v>
      </c>
      <c r="K2647" s="123" t="s">
        <v>10110</v>
      </c>
      <c r="L2647" s="131" t="s">
        <v>100</v>
      </c>
      <c r="M2647" s="135" t="s">
        <v>845</v>
      </c>
      <c r="N2647" s="123" t="s">
        <v>845</v>
      </c>
    </row>
    <row r="2648" spans="2:14" hidden="1" x14ac:dyDescent="0.25">
      <c r="B2648" s="120">
        <v>2645</v>
      </c>
      <c r="C2648" s="123">
        <v>10436438856</v>
      </c>
      <c r="D2648" s="126" t="s">
        <v>10113</v>
      </c>
      <c r="E2648" s="126" t="s">
        <v>10114</v>
      </c>
      <c r="F2648" s="123" t="s">
        <v>30</v>
      </c>
      <c r="G2648" s="123" t="s">
        <v>30</v>
      </c>
      <c r="H2648" s="123" t="s">
        <v>30</v>
      </c>
      <c r="I2648" s="126" t="s">
        <v>10115</v>
      </c>
      <c r="J2648" s="123" t="s">
        <v>10116</v>
      </c>
      <c r="K2648" s="123" t="s">
        <v>10113</v>
      </c>
      <c r="L2648" s="131" t="s">
        <v>100</v>
      </c>
      <c r="M2648" s="135" t="s">
        <v>845</v>
      </c>
      <c r="N2648" s="123" t="s">
        <v>845</v>
      </c>
    </row>
    <row r="2649" spans="2:14" hidden="1" x14ac:dyDescent="0.25">
      <c r="B2649" s="120">
        <v>2646</v>
      </c>
      <c r="C2649" s="123">
        <v>10457482669</v>
      </c>
      <c r="D2649" s="126" t="s">
        <v>10117</v>
      </c>
      <c r="E2649" s="126" t="s">
        <v>10118</v>
      </c>
      <c r="F2649" s="123" t="s">
        <v>30</v>
      </c>
      <c r="G2649" s="123" t="s">
        <v>30</v>
      </c>
      <c r="H2649" s="123" t="s">
        <v>60</v>
      </c>
      <c r="I2649" s="126" t="s">
        <v>1701</v>
      </c>
      <c r="J2649" s="123" t="s">
        <v>10119</v>
      </c>
      <c r="K2649" s="123" t="s">
        <v>10117</v>
      </c>
      <c r="L2649" s="131" t="s">
        <v>100</v>
      </c>
      <c r="M2649" s="135" t="s">
        <v>845</v>
      </c>
      <c r="N2649" s="123" t="s">
        <v>845</v>
      </c>
    </row>
    <row r="2650" spans="2:14" hidden="1" x14ac:dyDescent="0.25">
      <c r="B2650" s="120">
        <v>2647</v>
      </c>
      <c r="C2650" s="123">
        <v>10454236870</v>
      </c>
      <c r="D2650" s="126" t="s">
        <v>10120</v>
      </c>
      <c r="E2650" s="126" t="s">
        <v>10121</v>
      </c>
      <c r="F2650" s="123" t="s">
        <v>30</v>
      </c>
      <c r="G2650" s="123" t="s">
        <v>30</v>
      </c>
      <c r="H2650" s="123" t="s">
        <v>41</v>
      </c>
      <c r="I2650" s="126" t="s">
        <v>1932</v>
      </c>
      <c r="J2650" s="123" t="s">
        <v>10122</v>
      </c>
      <c r="K2650" s="123" t="s">
        <v>10120</v>
      </c>
      <c r="L2650" s="131" t="s">
        <v>100</v>
      </c>
      <c r="M2650" s="135" t="s">
        <v>845</v>
      </c>
      <c r="N2650" s="123" t="s">
        <v>845</v>
      </c>
    </row>
    <row r="2651" spans="2:14" hidden="1" x14ac:dyDescent="0.25">
      <c r="B2651" s="120">
        <v>2648</v>
      </c>
      <c r="C2651" s="123">
        <v>10403833491</v>
      </c>
      <c r="D2651" s="126" t="s">
        <v>10123</v>
      </c>
      <c r="E2651" s="126" t="s">
        <v>10124</v>
      </c>
      <c r="F2651" s="123" t="s">
        <v>61</v>
      </c>
      <c r="G2651" s="123" t="s">
        <v>61</v>
      </c>
      <c r="H2651" s="123" t="s">
        <v>61</v>
      </c>
      <c r="I2651" s="126" t="s">
        <v>1564</v>
      </c>
      <c r="J2651" s="123" t="s">
        <v>10125</v>
      </c>
      <c r="K2651" s="123" t="s">
        <v>10123</v>
      </c>
      <c r="L2651" s="131" t="s">
        <v>100</v>
      </c>
      <c r="M2651" s="135" t="s">
        <v>845</v>
      </c>
      <c r="N2651" s="123" t="s">
        <v>845</v>
      </c>
    </row>
    <row r="2652" spans="2:14" hidden="1" x14ac:dyDescent="0.25">
      <c r="B2652" s="120">
        <v>2649</v>
      </c>
      <c r="C2652" s="123">
        <v>10447340921</v>
      </c>
      <c r="D2652" s="126" t="s">
        <v>10126</v>
      </c>
      <c r="E2652" s="126" t="s">
        <v>10127</v>
      </c>
      <c r="F2652" s="123" t="s">
        <v>30</v>
      </c>
      <c r="G2652" s="123" t="s">
        <v>30</v>
      </c>
      <c r="H2652" s="123" t="s">
        <v>58</v>
      </c>
      <c r="I2652" s="126" t="s">
        <v>1561</v>
      </c>
      <c r="J2652" s="123" t="s">
        <v>10128</v>
      </c>
      <c r="K2652" s="123" t="s">
        <v>10126</v>
      </c>
      <c r="L2652" s="131" t="s">
        <v>100</v>
      </c>
      <c r="M2652" s="135" t="s">
        <v>845</v>
      </c>
      <c r="N2652" s="123" t="s">
        <v>845</v>
      </c>
    </row>
    <row r="2653" spans="2:14" hidden="1" x14ac:dyDescent="0.25">
      <c r="B2653" s="120">
        <v>2650</v>
      </c>
      <c r="C2653" s="123">
        <v>10804567173</v>
      </c>
      <c r="D2653" s="126" t="s">
        <v>10129</v>
      </c>
      <c r="E2653" s="126" t="s">
        <v>10130</v>
      </c>
      <c r="F2653" s="123" t="s">
        <v>30</v>
      </c>
      <c r="G2653" s="123" t="s">
        <v>30</v>
      </c>
      <c r="H2653" s="123" t="s">
        <v>68</v>
      </c>
      <c r="I2653" s="126" t="s">
        <v>1737</v>
      </c>
      <c r="J2653" s="123" t="s">
        <v>10131</v>
      </c>
      <c r="K2653" s="123" t="s">
        <v>10129</v>
      </c>
      <c r="L2653" s="131" t="s">
        <v>100</v>
      </c>
      <c r="M2653" s="135" t="s">
        <v>845</v>
      </c>
      <c r="N2653" s="123" t="s">
        <v>845</v>
      </c>
    </row>
    <row r="2654" spans="2:14" hidden="1" x14ac:dyDescent="0.25">
      <c r="B2654" s="120">
        <v>2651</v>
      </c>
      <c r="C2654" s="123">
        <v>10067942138</v>
      </c>
      <c r="D2654" s="126" t="s">
        <v>10132</v>
      </c>
      <c r="E2654" s="126" t="s">
        <v>10133</v>
      </c>
      <c r="F2654" s="123" t="s">
        <v>30</v>
      </c>
      <c r="G2654" s="123" t="s">
        <v>30</v>
      </c>
      <c r="H2654" s="123" t="s">
        <v>110</v>
      </c>
      <c r="I2654" s="126" t="s">
        <v>1424</v>
      </c>
      <c r="J2654" s="123" t="s">
        <v>10134</v>
      </c>
      <c r="K2654" s="123" t="s">
        <v>10132</v>
      </c>
      <c r="L2654" s="131" t="s">
        <v>100</v>
      </c>
      <c r="M2654" s="135" t="s">
        <v>845</v>
      </c>
      <c r="N2654" s="123" t="s">
        <v>845</v>
      </c>
    </row>
    <row r="2655" spans="2:14" hidden="1" x14ac:dyDescent="0.25">
      <c r="B2655" s="120">
        <v>2652</v>
      </c>
      <c r="C2655" s="123">
        <v>10067921289</v>
      </c>
      <c r="D2655" s="126" t="s">
        <v>10135</v>
      </c>
      <c r="E2655" s="126" t="s">
        <v>10136</v>
      </c>
      <c r="F2655" s="123" t="s">
        <v>30</v>
      </c>
      <c r="G2655" s="123" t="s">
        <v>30</v>
      </c>
      <c r="H2655" s="123" t="s">
        <v>38</v>
      </c>
      <c r="I2655" s="126" t="s">
        <v>10025</v>
      </c>
      <c r="J2655" s="123" t="s">
        <v>10137</v>
      </c>
      <c r="K2655" s="123" t="s">
        <v>10135</v>
      </c>
      <c r="L2655" s="131" t="s">
        <v>100</v>
      </c>
      <c r="M2655" s="135" t="s">
        <v>845</v>
      </c>
      <c r="N2655" s="123" t="s">
        <v>845</v>
      </c>
    </row>
    <row r="2656" spans="2:14" hidden="1" x14ac:dyDescent="0.25">
      <c r="B2656" s="120">
        <v>2653</v>
      </c>
      <c r="C2656" s="123">
        <v>10416591798</v>
      </c>
      <c r="D2656" s="126" t="s">
        <v>10138</v>
      </c>
      <c r="E2656" s="126" t="s">
        <v>10139</v>
      </c>
      <c r="F2656" s="123" t="s">
        <v>30</v>
      </c>
      <c r="G2656" s="123" t="s">
        <v>30</v>
      </c>
      <c r="H2656" s="123" t="s">
        <v>88</v>
      </c>
      <c r="I2656" s="126" t="s">
        <v>1564</v>
      </c>
      <c r="J2656" s="123" t="s">
        <v>10140</v>
      </c>
      <c r="K2656" s="123" t="s">
        <v>10141</v>
      </c>
      <c r="L2656" s="131" t="s">
        <v>100</v>
      </c>
      <c r="M2656" s="135" t="s">
        <v>845</v>
      </c>
      <c r="N2656" s="123" t="s">
        <v>845</v>
      </c>
    </row>
    <row r="2657" spans="2:14" hidden="1" x14ac:dyDescent="0.25">
      <c r="B2657" s="120">
        <v>2654</v>
      </c>
      <c r="C2657" s="123">
        <v>10094637339</v>
      </c>
      <c r="D2657" s="126" t="s">
        <v>10142</v>
      </c>
      <c r="E2657" s="126" t="s">
        <v>10143</v>
      </c>
      <c r="F2657" s="123" t="s">
        <v>30</v>
      </c>
      <c r="G2657" s="123" t="s">
        <v>30</v>
      </c>
      <c r="H2657" s="123" t="s">
        <v>72</v>
      </c>
      <c r="I2657" s="126" t="s">
        <v>1942</v>
      </c>
      <c r="J2657" s="123" t="s">
        <v>10144</v>
      </c>
      <c r="K2657" s="123" t="s">
        <v>10142</v>
      </c>
      <c r="L2657" s="131" t="s">
        <v>100</v>
      </c>
      <c r="M2657" s="135" t="s">
        <v>845</v>
      </c>
      <c r="N2657" s="123" t="s">
        <v>845</v>
      </c>
    </row>
    <row r="2658" spans="2:14" hidden="1" x14ac:dyDescent="0.25">
      <c r="B2658" s="120">
        <v>2655</v>
      </c>
      <c r="C2658" s="123">
        <v>10086115072</v>
      </c>
      <c r="D2658" s="126" t="s">
        <v>10145</v>
      </c>
      <c r="E2658" s="126" t="s">
        <v>10146</v>
      </c>
      <c r="F2658" s="123" t="s">
        <v>30</v>
      </c>
      <c r="G2658" s="123" t="s">
        <v>30</v>
      </c>
      <c r="H2658" s="123" t="s">
        <v>88</v>
      </c>
      <c r="I2658" s="126" t="s">
        <v>1701</v>
      </c>
      <c r="J2658" s="123" t="s">
        <v>10147</v>
      </c>
      <c r="K2658" s="123" t="s">
        <v>10145</v>
      </c>
      <c r="L2658" s="131" t="s">
        <v>100</v>
      </c>
      <c r="M2658" s="135" t="s">
        <v>845</v>
      </c>
      <c r="N2658" s="123" t="s">
        <v>845</v>
      </c>
    </row>
    <row r="2659" spans="2:14" hidden="1" x14ac:dyDescent="0.25">
      <c r="B2659" s="120">
        <v>2656</v>
      </c>
      <c r="C2659" s="123">
        <v>10718026488</v>
      </c>
      <c r="D2659" s="126" t="s">
        <v>10148</v>
      </c>
      <c r="E2659" s="126" t="s">
        <v>10149</v>
      </c>
      <c r="F2659" s="123" t="s">
        <v>30</v>
      </c>
      <c r="G2659" s="123" t="s">
        <v>30</v>
      </c>
      <c r="H2659" s="123" t="s">
        <v>50</v>
      </c>
      <c r="I2659" s="126" t="s">
        <v>101</v>
      </c>
      <c r="J2659" s="123" t="s">
        <v>10150</v>
      </c>
      <c r="K2659" s="123" t="s">
        <v>10148</v>
      </c>
      <c r="L2659" s="131" t="s">
        <v>100</v>
      </c>
      <c r="M2659" s="135" t="s">
        <v>845</v>
      </c>
      <c r="N2659" s="123" t="s">
        <v>845</v>
      </c>
    </row>
    <row r="2660" spans="2:14" hidden="1" x14ac:dyDescent="0.25">
      <c r="B2660" s="120">
        <v>2657</v>
      </c>
      <c r="C2660" s="123">
        <v>10090364613</v>
      </c>
      <c r="D2660" s="126" t="s">
        <v>10151</v>
      </c>
      <c r="E2660" s="126" t="s">
        <v>10152</v>
      </c>
      <c r="F2660" s="123" t="s">
        <v>30</v>
      </c>
      <c r="G2660" s="123" t="s">
        <v>30</v>
      </c>
      <c r="H2660" s="123" t="s">
        <v>45</v>
      </c>
      <c r="I2660" s="126" t="s">
        <v>8743</v>
      </c>
      <c r="J2660" s="123" t="s">
        <v>10153</v>
      </c>
      <c r="K2660" s="123" t="s">
        <v>10151</v>
      </c>
      <c r="L2660" s="131" t="s">
        <v>100</v>
      </c>
      <c r="M2660" s="135" t="s">
        <v>845</v>
      </c>
      <c r="N2660" s="123" t="s">
        <v>845</v>
      </c>
    </row>
    <row r="2661" spans="2:14" hidden="1" x14ac:dyDescent="0.25">
      <c r="B2661" s="120">
        <v>2658</v>
      </c>
      <c r="C2661" s="123">
        <v>10480272591</v>
      </c>
      <c r="D2661" s="126" t="s">
        <v>10154</v>
      </c>
      <c r="E2661" s="126" t="s">
        <v>10155</v>
      </c>
      <c r="F2661" s="123" t="s">
        <v>30</v>
      </c>
      <c r="G2661" s="123" t="s">
        <v>30</v>
      </c>
      <c r="H2661" s="123" t="s">
        <v>41</v>
      </c>
      <c r="I2661" s="126" t="s">
        <v>1737</v>
      </c>
      <c r="J2661" s="123" t="s">
        <v>10156</v>
      </c>
      <c r="K2661" s="123" t="s">
        <v>10154</v>
      </c>
      <c r="L2661" s="131" t="s">
        <v>100</v>
      </c>
      <c r="M2661" s="135" t="s">
        <v>845</v>
      </c>
      <c r="N2661" s="123" t="s">
        <v>845</v>
      </c>
    </row>
    <row r="2662" spans="2:14" hidden="1" x14ac:dyDescent="0.25">
      <c r="B2662" s="120">
        <v>2659</v>
      </c>
      <c r="C2662" s="123">
        <v>10435056712</v>
      </c>
      <c r="D2662" s="126" t="s">
        <v>10157</v>
      </c>
      <c r="E2662" s="126" t="s">
        <v>10158</v>
      </c>
      <c r="F2662" s="123" t="s">
        <v>30</v>
      </c>
      <c r="G2662" s="123" t="s">
        <v>30</v>
      </c>
      <c r="H2662" s="123" t="s">
        <v>51</v>
      </c>
      <c r="I2662" s="126" t="s">
        <v>10159</v>
      </c>
      <c r="J2662" s="123" t="s">
        <v>10160</v>
      </c>
      <c r="K2662" s="123" t="s">
        <v>10161</v>
      </c>
      <c r="L2662" s="131" t="s">
        <v>100</v>
      </c>
      <c r="M2662" s="135" t="s">
        <v>845</v>
      </c>
      <c r="N2662" s="123" t="s">
        <v>845</v>
      </c>
    </row>
    <row r="2663" spans="2:14" hidden="1" x14ac:dyDescent="0.25">
      <c r="B2663" s="120">
        <v>2660</v>
      </c>
      <c r="C2663" s="123">
        <v>10484364783</v>
      </c>
      <c r="D2663" s="126" t="s">
        <v>10162</v>
      </c>
      <c r="E2663" s="126" t="s">
        <v>10163</v>
      </c>
      <c r="F2663" s="123" t="s">
        <v>30</v>
      </c>
      <c r="G2663" s="123" t="s">
        <v>30</v>
      </c>
      <c r="H2663" s="123" t="s">
        <v>64</v>
      </c>
      <c r="I2663" s="126" t="s">
        <v>1950</v>
      </c>
      <c r="J2663" s="123" t="s">
        <v>10164</v>
      </c>
      <c r="K2663" s="123" t="s">
        <v>10162</v>
      </c>
      <c r="L2663" s="131" t="s">
        <v>100</v>
      </c>
      <c r="M2663" s="135" t="s">
        <v>845</v>
      </c>
      <c r="N2663" s="123" t="s">
        <v>845</v>
      </c>
    </row>
    <row r="2664" spans="2:14" hidden="1" x14ac:dyDescent="0.25">
      <c r="B2664" s="120">
        <v>2661</v>
      </c>
      <c r="C2664" s="123">
        <v>10068624369</v>
      </c>
      <c r="D2664" s="126" t="s">
        <v>10165</v>
      </c>
      <c r="E2664" s="126" t="s">
        <v>10166</v>
      </c>
      <c r="F2664" s="123" t="s">
        <v>30</v>
      </c>
      <c r="G2664" s="123" t="s">
        <v>30</v>
      </c>
      <c r="H2664" s="123" t="s">
        <v>127</v>
      </c>
      <c r="I2664" s="126" t="s">
        <v>1706</v>
      </c>
      <c r="J2664" s="123" t="s">
        <v>10167</v>
      </c>
      <c r="K2664" s="123" t="s">
        <v>10165</v>
      </c>
      <c r="L2664" s="131" t="s">
        <v>100</v>
      </c>
      <c r="M2664" s="135" t="s">
        <v>845</v>
      </c>
      <c r="N2664" s="123" t="s">
        <v>845</v>
      </c>
    </row>
    <row r="2665" spans="2:14" hidden="1" x14ac:dyDescent="0.25">
      <c r="B2665" s="120">
        <v>2662</v>
      </c>
      <c r="C2665" s="123">
        <v>10455628178</v>
      </c>
      <c r="D2665" s="126" t="s">
        <v>10168</v>
      </c>
      <c r="E2665" s="126" t="s">
        <v>10169</v>
      </c>
      <c r="F2665" s="123" t="s">
        <v>30</v>
      </c>
      <c r="G2665" s="123" t="s">
        <v>30</v>
      </c>
      <c r="H2665" s="123" t="s">
        <v>75</v>
      </c>
      <c r="I2665" s="126" t="s">
        <v>1398</v>
      </c>
      <c r="J2665" s="123" t="s">
        <v>10170</v>
      </c>
      <c r="K2665" s="123" t="s">
        <v>10171</v>
      </c>
      <c r="L2665" s="131" t="s">
        <v>100</v>
      </c>
      <c r="M2665" s="135" t="s">
        <v>845</v>
      </c>
      <c r="N2665" s="123" t="s">
        <v>845</v>
      </c>
    </row>
    <row r="2666" spans="2:14" hidden="1" x14ac:dyDescent="0.25">
      <c r="B2666" s="120">
        <v>2663</v>
      </c>
      <c r="C2666" s="123">
        <v>10414519801</v>
      </c>
      <c r="D2666" s="126" t="s">
        <v>10172</v>
      </c>
      <c r="E2666" s="126" t="s">
        <v>10173</v>
      </c>
      <c r="F2666" s="123" t="s">
        <v>30</v>
      </c>
      <c r="G2666" s="123" t="s">
        <v>30</v>
      </c>
      <c r="H2666" s="123" t="s">
        <v>58</v>
      </c>
      <c r="I2666" s="126" t="s">
        <v>1564</v>
      </c>
      <c r="J2666" s="123" t="s">
        <v>10174</v>
      </c>
      <c r="K2666" s="123" t="s">
        <v>10172</v>
      </c>
      <c r="L2666" s="131" t="s">
        <v>100</v>
      </c>
      <c r="M2666" s="135" t="s">
        <v>845</v>
      </c>
      <c r="N2666" s="123" t="s">
        <v>845</v>
      </c>
    </row>
    <row r="2667" spans="2:14" hidden="1" x14ac:dyDescent="0.25">
      <c r="B2667" s="120">
        <v>2664</v>
      </c>
      <c r="C2667" s="123">
        <v>10071574593</v>
      </c>
      <c r="D2667" s="126" t="s">
        <v>10175</v>
      </c>
      <c r="E2667" s="126" t="s">
        <v>10176</v>
      </c>
      <c r="F2667" s="123" t="s">
        <v>30</v>
      </c>
      <c r="G2667" s="123" t="s">
        <v>30</v>
      </c>
      <c r="H2667" s="123" t="s">
        <v>72</v>
      </c>
      <c r="I2667" s="126" t="s">
        <v>1424</v>
      </c>
      <c r="J2667" s="123" t="s">
        <v>10177</v>
      </c>
      <c r="K2667" s="123" t="s">
        <v>10175</v>
      </c>
      <c r="L2667" s="131" t="s">
        <v>100</v>
      </c>
      <c r="M2667" s="135" t="s">
        <v>845</v>
      </c>
      <c r="N2667" s="123" t="s">
        <v>845</v>
      </c>
    </row>
    <row r="2668" spans="2:14" hidden="1" x14ac:dyDescent="0.25">
      <c r="B2668" s="120">
        <v>2665</v>
      </c>
      <c r="C2668" s="123">
        <v>10454767999</v>
      </c>
      <c r="D2668" s="126" t="s">
        <v>10178</v>
      </c>
      <c r="E2668" s="126" t="s">
        <v>10179</v>
      </c>
      <c r="F2668" s="123" t="s">
        <v>30</v>
      </c>
      <c r="G2668" s="123" t="s">
        <v>30</v>
      </c>
      <c r="H2668" s="123" t="s">
        <v>75</v>
      </c>
      <c r="I2668" s="126" t="s">
        <v>1930</v>
      </c>
      <c r="J2668" s="123" t="s">
        <v>10180</v>
      </c>
      <c r="K2668" s="123" t="s">
        <v>10181</v>
      </c>
      <c r="L2668" s="131" t="s">
        <v>100</v>
      </c>
      <c r="M2668" s="135" t="s">
        <v>845</v>
      </c>
      <c r="N2668" s="123" t="s">
        <v>845</v>
      </c>
    </row>
    <row r="2669" spans="2:14" hidden="1" x14ac:dyDescent="0.25">
      <c r="B2669" s="120">
        <v>2666</v>
      </c>
      <c r="C2669" s="123">
        <v>10258314633</v>
      </c>
      <c r="D2669" s="126" t="s">
        <v>10182</v>
      </c>
      <c r="E2669" s="126" t="s">
        <v>10183</v>
      </c>
      <c r="F2669" s="123" t="s">
        <v>30</v>
      </c>
      <c r="G2669" s="123" t="s">
        <v>30</v>
      </c>
      <c r="H2669" s="123" t="s">
        <v>64</v>
      </c>
      <c r="I2669" s="126" t="s">
        <v>10184</v>
      </c>
      <c r="J2669" s="123" t="s">
        <v>10185</v>
      </c>
      <c r="K2669" s="123" t="s">
        <v>10182</v>
      </c>
      <c r="L2669" s="131" t="s">
        <v>100</v>
      </c>
      <c r="M2669" s="135" t="s">
        <v>845</v>
      </c>
      <c r="N2669" s="123" t="s">
        <v>845</v>
      </c>
    </row>
    <row r="2670" spans="2:14" hidden="1" x14ac:dyDescent="0.25">
      <c r="B2670" s="120">
        <v>2667</v>
      </c>
      <c r="C2670" s="123">
        <v>10458293801</v>
      </c>
      <c r="D2670" s="126" t="s">
        <v>10186</v>
      </c>
      <c r="E2670" s="126" t="s">
        <v>10187</v>
      </c>
      <c r="F2670" s="123" t="s">
        <v>30</v>
      </c>
      <c r="G2670" s="123" t="s">
        <v>54</v>
      </c>
      <c r="H2670" s="123" t="s">
        <v>54</v>
      </c>
      <c r="I2670" s="126" t="s">
        <v>1441</v>
      </c>
      <c r="J2670" s="123" t="s">
        <v>10188</v>
      </c>
      <c r="K2670" s="123" t="s">
        <v>10186</v>
      </c>
      <c r="L2670" s="131" t="s">
        <v>100</v>
      </c>
      <c r="M2670" s="135" t="s">
        <v>845</v>
      </c>
      <c r="N2670" s="123" t="s">
        <v>845</v>
      </c>
    </row>
    <row r="2671" spans="2:14" hidden="1" x14ac:dyDescent="0.25">
      <c r="B2671" s="120">
        <v>2668</v>
      </c>
      <c r="C2671" s="123">
        <v>10434953389</v>
      </c>
      <c r="D2671" s="126" t="s">
        <v>10189</v>
      </c>
      <c r="E2671" s="126" t="s">
        <v>10190</v>
      </c>
      <c r="F2671" s="123" t="s">
        <v>30</v>
      </c>
      <c r="G2671" s="123" t="s">
        <v>30</v>
      </c>
      <c r="H2671" s="123" t="s">
        <v>51</v>
      </c>
      <c r="I2671" s="126" t="s">
        <v>1701</v>
      </c>
      <c r="J2671" s="123" t="s">
        <v>10191</v>
      </c>
      <c r="K2671" s="123" t="s">
        <v>10189</v>
      </c>
      <c r="L2671" s="131" t="s">
        <v>100</v>
      </c>
      <c r="M2671" s="135" t="s">
        <v>845</v>
      </c>
      <c r="N2671" s="123" t="s">
        <v>845</v>
      </c>
    </row>
    <row r="2672" spans="2:14" hidden="1" x14ac:dyDescent="0.25">
      <c r="B2672" s="120">
        <v>2669</v>
      </c>
      <c r="C2672" s="123">
        <v>10415003256</v>
      </c>
      <c r="D2672" s="126" t="s">
        <v>10192</v>
      </c>
      <c r="E2672" s="126" t="s">
        <v>10193</v>
      </c>
      <c r="F2672" s="123" t="s">
        <v>30</v>
      </c>
      <c r="G2672" s="123" t="s">
        <v>30</v>
      </c>
      <c r="H2672" s="123" t="s">
        <v>86</v>
      </c>
      <c r="I2672" s="126" t="s">
        <v>1574</v>
      </c>
      <c r="J2672" s="123" t="s">
        <v>10194</v>
      </c>
      <c r="K2672" s="123" t="s">
        <v>10192</v>
      </c>
      <c r="L2672" s="131" t="s">
        <v>100</v>
      </c>
      <c r="M2672" s="135" t="s">
        <v>845</v>
      </c>
      <c r="N2672" s="123" t="s">
        <v>845</v>
      </c>
    </row>
    <row r="2673" spans="2:14" hidden="1" x14ac:dyDescent="0.25">
      <c r="B2673" s="120">
        <v>2670</v>
      </c>
      <c r="C2673" s="123">
        <v>10431539972</v>
      </c>
      <c r="D2673" s="126" t="s">
        <v>10195</v>
      </c>
      <c r="E2673" s="126" t="s">
        <v>10196</v>
      </c>
      <c r="F2673" s="123" t="s">
        <v>30</v>
      </c>
      <c r="G2673" s="123" t="s">
        <v>30</v>
      </c>
      <c r="H2673" s="123" t="s">
        <v>75</v>
      </c>
      <c r="I2673" s="126" t="s">
        <v>1737</v>
      </c>
      <c r="J2673" s="123" t="s">
        <v>10197</v>
      </c>
      <c r="K2673" s="123" t="s">
        <v>10195</v>
      </c>
      <c r="L2673" s="131" t="s">
        <v>100</v>
      </c>
      <c r="M2673" s="135" t="s">
        <v>845</v>
      </c>
      <c r="N2673" s="123" t="s">
        <v>845</v>
      </c>
    </row>
    <row r="2674" spans="2:14" hidden="1" x14ac:dyDescent="0.25">
      <c r="B2674" s="120">
        <v>2671</v>
      </c>
      <c r="C2674" s="123">
        <v>10091453580</v>
      </c>
      <c r="D2674" s="126" t="s">
        <v>10198</v>
      </c>
      <c r="E2674" s="126" t="s">
        <v>10199</v>
      </c>
      <c r="F2674" s="123" t="s">
        <v>30</v>
      </c>
      <c r="G2674" s="123" t="s">
        <v>31</v>
      </c>
      <c r="H2674" s="123" t="s">
        <v>139</v>
      </c>
      <c r="I2674" s="126" t="s">
        <v>1424</v>
      </c>
      <c r="J2674" s="123" t="s">
        <v>10200</v>
      </c>
      <c r="K2674" s="123" t="s">
        <v>10198</v>
      </c>
      <c r="L2674" s="131" t="s">
        <v>100</v>
      </c>
      <c r="M2674" s="135" t="s">
        <v>845</v>
      </c>
      <c r="N2674" s="123" t="s">
        <v>845</v>
      </c>
    </row>
    <row r="2675" spans="2:14" hidden="1" x14ac:dyDescent="0.25">
      <c r="B2675" s="120">
        <v>2672</v>
      </c>
      <c r="C2675" s="123">
        <v>10474558911</v>
      </c>
      <c r="D2675" s="126" t="s">
        <v>10201</v>
      </c>
      <c r="E2675" s="126" t="s">
        <v>10202</v>
      </c>
      <c r="F2675" s="123" t="s">
        <v>67</v>
      </c>
      <c r="G2675" s="123" t="s">
        <v>67</v>
      </c>
      <c r="H2675" s="123" t="s">
        <v>94</v>
      </c>
      <c r="I2675" s="126" t="s">
        <v>1931</v>
      </c>
      <c r="J2675" s="123" t="s">
        <v>10203</v>
      </c>
      <c r="K2675" s="123" t="s">
        <v>10201</v>
      </c>
      <c r="L2675" s="131" t="s">
        <v>100</v>
      </c>
      <c r="M2675" s="135" t="s">
        <v>845</v>
      </c>
      <c r="N2675" s="123" t="s">
        <v>845</v>
      </c>
    </row>
    <row r="2676" spans="2:14" hidden="1" x14ac:dyDescent="0.25">
      <c r="B2676" s="120">
        <v>2673</v>
      </c>
      <c r="C2676" s="123">
        <v>10420228649</v>
      </c>
      <c r="D2676" s="126" t="s">
        <v>10204</v>
      </c>
      <c r="E2676" s="126" t="s">
        <v>10205</v>
      </c>
      <c r="F2676" s="123" t="s">
        <v>30</v>
      </c>
      <c r="G2676" s="123" t="s">
        <v>30</v>
      </c>
      <c r="H2676" s="123" t="s">
        <v>60</v>
      </c>
      <c r="I2676" s="126" t="s">
        <v>1701</v>
      </c>
      <c r="J2676" s="123" t="s">
        <v>10206</v>
      </c>
      <c r="K2676" s="123" t="s">
        <v>10204</v>
      </c>
      <c r="L2676" s="131" t="s">
        <v>100</v>
      </c>
      <c r="M2676" s="135" t="s">
        <v>845</v>
      </c>
      <c r="N2676" s="123" t="s">
        <v>845</v>
      </c>
    </row>
    <row r="2677" spans="2:14" hidden="1" x14ac:dyDescent="0.25">
      <c r="B2677" s="120">
        <v>2674</v>
      </c>
      <c r="C2677" s="123">
        <v>10411852623</v>
      </c>
      <c r="D2677" s="126" t="s">
        <v>10207</v>
      </c>
      <c r="E2677" s="126" t="s">
        <v>10208</v>
      </c>
      <c r="F2677" s="123" t="s">
        <v>30</v>
      </c>
      <c r="G2677" s="123" t="s">
        <v>30</v>
      </c>
      <c r="H2677" s="123" t="s">
        <v>45</v>
      </c>
      <c r="I2677" s="126" t="s">
        <v>8659</v>
      </c>
      <c r="J2677" s="123" t="s">
        <v>10209</v>
      </c>
      <c r="K2677" s="123" t="s">
        <v>10207</v>
      </c>
      <c r="L2677" s="131" t="s">
        <v>100</v>
      </c>
      <c r="M2677" s="135" t="s">
        <v>845</v>
      </c>
      <c r="N2677" s="123" t="s">
        <v>845</v>
      </c>
    </row>
    <row r="2678" spans="2:14" hidden="1" x14ac:dyDescent="0.25">
      <c r="B2678" s="120">
        <v>2675</v>
      </c>
      <c r="C2678" s="123">
        <v>10400418573</v>
      </c>
      <c r="D2678" s="126" t="s">
        <v>10210</v>
      </c>
      <c r="E2678" s="126" t="s">
        <v>10211</v>
      </c>
      <c r="F2678" s="123" t="s">
        <v>30</v>
      </c>
      <c r="G2678" s="123" t="s">
        <v>30</v>
      </c>
      <c r="H2678" s="123" t="s">
        <v>60</v>
      </c>
      <c r="I2678" s="126" t="s">
        <v>1204</v>
      </c>
      <c r="J2678" s="123" t="s">
        <v>10212</v>
      </c>
      <c r="K2678" s="123" t="s">
        <v>10213</v>
      </c>
      <c r="L2678" s="131" t="s">
        <v>100</v>
      </c>
      <c r="M2678" s="135" t="s">
        <v>845</v>
      </c>
      <c r="N2678" s="123" t="s">
        <v>845</v>
      </c>
    </row>
    <row r="2679" spans="2:14" hidden="1" x14ac:dyDescent="0.25">
      <c r="B2679" s="120">
        <v>2676</v>
      </c>
      <c r="C2679" s="123">
        <v>10061032903</v>
      </c>
      <c r="D2679" s="126" t="s">
        <v>10214</v>
      </c>
      <c r="E2679" s="126" t="s">
        <v>10215</v>
      </c>
      <c r="F2679" s="123" t="s">
        <v>67</v>
      </c>
      <c r="G2679" s="123" t="s">
        <v>67</v>
      </c>
      <c r="H2679" s="123" t="s">
        <v>67</v>
      </c>
      <c r="I2679" s="126" t="s">
        <v>1944</v>
      </c>
      <c r="J2679" s="123" t="s">
        <v>10216</v>
      </c>
      <c r="K2679" s="123" t="s">
        <v>10214</v>
      </c>
      <c r="L2679" s="131" t="s">
        <v>100</v>
      </c>
      <c r="M2679" s="135" t="s">
        <v>845</v>
      </c>
      <c r="N2679" s="123" t="s">
        <v>845</v>
      </c>
    </row>
    <row r="2680" spans="2:14" hidden="1" x14ac:dyDescent="0.25">
      <c r="B2680" s="120">
        <v>2677</v>
      </c>
      <c r="C2680" s="123">
        <v>10044388109</v>
      </c>
      <c r="D2680" s="126" t="s">
        <v>10217</v>
      </c>
      <c r="E2680" s="126" t="s">
        <v>10218</v>
      </c>
      <c r="F2680" s="123" t="s">
        <v>30</v>
      </c>
      <c r="G2680" s="123" t="s">
        <v>30</v>
      </c>
      <c r="H2680" s="123" t="s">
        <v>60</v>
      </c>
      <c r="I2680" s="126" t="s">
        <v>8743</v>
      </c>
      <c r="J2680" s="123" t="s">
        <v>10219</v>
      </c>
      <c r="K2680" s="123" t="s">
        <v>10217</v>
      </c>
      <c r="L2680" s="131" t="s">
        <v>100</v>
      </c>
      <c r="M2680" s="135" t="s">
        <v>845</v>
      </c>
      <c r="N2680" s="123" t="s">
        <v>845</v>
      </c>
    </row>
    <row r="2681" spans="2:14" hidden="1" x14ac:dyDescent="0.25">
      <c r="B2681" s="120">
        <v>2678</v>
      </c>
      <c r="C2681" s="123">
        <v>10762289500</v>
      </c>
      <c r="D2681" s="126" t="s">
        <v>10220</v>
      </c>
      <c r="E2681" s="126" t="s">
        <v>10221</v>
      </c>
      <c r="F2681" s="123" t="s">
        <v>30</v>
      </c>
      <c r="G2681" s="123" t="s">
        <v>30</v>
      </c>
      <c r="H2681" s="123" t="s">
        <v>68</v>
      </c>
      <c r="I2681" s="126" t="s">
        <v>8659</v>
      </c>
      <c r="J2681" s="123" t="s">
        <v>10222</v>
      </c>
      <c r="K2681" s="123" t="s">
        <v>10220</v>
      </c>
      <c r="L2681" s="131" t="s">
        <v>100</v>
      </c>
      <c r="M2681" s="135" t="s">
        <v>845</v>
      </c>
      <c r="N2681" s="123" t="s">
        <v>845</v>
      </c>
    </row>
    <row r="2682" spans="2:14" hidden="1" x14ac:dyDescent="0.25">
      <c r="B2682" s="120">
        <v>2679</v>
      </c>
      <c r="C2682" s="123">
        <v>10776827369</v>
      </c>
      <c r="D2682" s="126" t="s">
        <v>10223</v>
      </c>
      <c r="E2682" s="126" t="s">
        <v>10224</v>
      </c>
      <c r="F2682" s="123" t="s">
        <v>30</v>
      </c>
      <c r="G2682" s="123" t="s">
        <v>168</v>
      </c>
      <c r="H2682" s="123" t="s">
        <v>180</v>
      </c>
      <c r="I2682" s="126" t="s">
        <v>1701</v>
      </c>
      <c r="J2682" s="123" t="s">
        <v>10225</v>
      </c>
      <c r="K2682" s="123" t="s">
        <v>10223</v>
      </c>
      <c r="L2682" s="131" t="s">
        <v>100</v>
      </c>
      <c r="M2682" s="135" t="s">
        <v>845</v>
      </c>
      <c r="N2682" s="123" t="s">
        <v>845</v>
      </c>
    </row>
    <row r="2683" spans="2:14" hidden="1" x14ac:dyDescent="0.25">
      <c r="B2683" s="120">
        <v>2680</v>
      </c>
      <c r="C2683" s="123">
        <v>10460027832</v>
      </c>
      <c r="D2683" s="126" t="s">
        <v>10226</v>
      </c>
      <c r="E2683" s="126" t="s">
        <v>10227</v>
      </c>
      <c r="F2683" s="123" t="s">
        <v>30</v>
      </c>
      <c r="G2683" s="123" t="s">
        <v>30</v>
      </c>
      <c r="H2683" s="123" t="s">
        <v>37</v>
      </c>
      <c r="I2683" s="126" t="s">
        <v>1727</v>
      </c>
      <c r="J2683" s="123" t="s">
        <v>10228</v>
      </c>
      <c r="K2683" s="123" t="s">
        <v>10229</v>
      </c>
      <c r="L2683" s="131" t="s">
        <v>100</v>
      </c>
      <c r="M2683" s="135" t="s">
        <v>845</v>
      </c>
      <c r="N2683" s="123" t="s">
        <v>845</v>
      </c>
    </row>
    <row r="2684" spans="2:14" hidden="1" x14ac:dyDescent="0.25">
      <c r="B2684" s="120">
        <v>2681</v>
      </c>
      <c r="C2684" s="123">
        <v>10700556889</v>
      </c>
      <c r="D2684" s="126" t="s">
        <v>10230</v>
      </c>
      <c r="E2684" s="126" t="s">
        <v>10231</v>
      </c>
      <c r="F2684" s="123" t="s">
        <v>30</v>
      </c>
      <c r="G2684" s="123" t="s">
        <v>30</v>
      </c>
      <c r="H2684" s="123" t="s">
        <v>60</v>
      </c>
      <c r="I2684" s="126" t="s">
        <v>1931</v>
      </c>
      <c r="J2684" s="123" t="s">
        <v>10232</v>
      </c>
      <c r="K2684" s="123" t="s">
        <v>10230</v>
      </c>
      <c r="L2684" s="131" t="s">
        <v>100</v>
      </c>
      <c r="M2684" s="135" t="s">
        <v>845</v>
      </c>
      <c r="N2684" s="123" t="s">
        <v>845</v>
      </c>
    </row>
    <row r="2685" spans="2:14" hidden="1" x14ac:dyDescent="0.25">
      <c r="B2685" s="120">
        <v>2682</v>
      </c>
      <c r="C2685" s="123">
        <v>10422121418</v>
      </c>
      <c r="D2685" s="126" t="s">
        <v>10233</v>
      </c>
      <c r="E2685" s="126" t="s">
        <v>10234</v>
      </c>
      <c r="F2685" s="123" t="s">
        <v>30</v>
      </c>
      <c r="G2685" s="123" t="s">
        <v>30</v>
      </c>
      <c r="H2685" s="123" t="s">
        <v>30</v>
      </c>
      <c r="I2685" s="126" t="s">
        <v>1706</v>
      </c>
      <c r="J2685" s="123" t="s">
        <v>10235</v>
      </c>
      <c r="K2685" s="123" t="s">
        <v>10233</v>
      </c>
      <c r="L2685" s="131" t="s">
        <v>100</v>
      </c>
      <c r="M2685" s="135" t="s">
        <v>845</v>
      </c>
      <c r="N2685" s="123" t="s">
        <v>845</v>
      </c>
    </row>
    <row r="2686" spans="2:14" hidden="1" x14ac:dyDescent="0.25">
      <c r="B2686" s="120">
        <v>2683</v>
      </c>
      <c r="C2686" s="123">
        <v>10100139788</v>
      </c>
      <c r="D2686" s="126" t="s">
        <v>10236</v>
      </c>
      <c r="E2686" s="126" t="s">
        <v>10237</v>
      </c>
      <c r="F2686" s="123" t="s">
        <v>30</v>
      </c>
      <c r="G2686" s="123" t="s">
        <v>30</v>
      </c>
      <c r="H2686" s="123" t="s">
        <v>38</v>
      </c>
      <c r="I2686" s="126" t="s">
        <v>9970</v>
      </c>
      <c r="J2686" s="123" t="s">
        <v>10238</v>
      </c>
      <c r="K2686" s="123" t="s">
        <v>10236</v>
      </c>
      <c r="L2686" s="131" t="s">
        <v>100</v>
      </c>
      <c r="M2686" s="135" t="s">
        <v>845</v>
      </c>
      <c r="N2686" s="123" t="s">
        <v>845</v>
      </c>
    </row>
    <row r="2687" spans="2:14" hidden="1" x14ac:dyDescent="0.25">
      <c r="B2687" s="120">
        <v>2684</v>
      </c>
      <c r="C2687" s="123">
        <v>10416777646</v>
      </c>
      <c r="D2687" s="126" t="s">
        <v>10239</v>
      </c>
      <c r="E2687" s="126" t="s">
        <v>10240</v>
      </c>
      <c r="F2687" s="123" t="s">
        <v>30</v>
      </c>
      <c r="G2687" s="123" t="s">
        <v>170</v>
      </c>
      <c r="H2687" s="123" t="s">
        <v>179</v>
      </c>
      <c r="I2687" s="126" t="s">
        <v>1701</v>
      </c>
      <c r="J2687" s="123" t="s">
        <v>10241</v>
      </c>
      <c r="K2687" s="123" t="s">
        <v>10239</v>
      </c>
      <c r="L2687" s="131" t="s">
        <v>100</v>
      </c>
      <c r="M2687" s="135" t="s">
        <v>845</v>
      </c>
      <c r="N2687" s="123" t="s">
        <v>845</v>
      </c>
    </row>
    <row r="2688" spans="2:14" hidden="1" x14ac:dyDescent="0.25">
      <c r="B2688" s="120">
        <v>2685</v>
      </c>
      <c r="C2688" s="123">
        <v>10767702413</v>
      </c>
      <c r="D2688" s="126" t="s">
        <v>10242</v>
      </c>
      <c r="E2688" s="126" t="s">
        <v>10243</v>
      </c>
      <c r="F2688" s="123" t="s">
        <v>30</v>
      </c>
      <c r="G2688" s="123" t="s">
        <v>54</v>
      </c>
      <c r="H2688" s="123" t="s">
        <v>55</v>
      </c>
      <c r="I2688" s="126" t="s">
        <v>10244</v>
      </c>
      <c r="J2688" s="123" t="s">
        <v>10245</v>
      </c>
      <c r="K2688" s="123" t="s">
        <v>10246</v>
      </c>
      <c r="L2688" s="131" t="s">
        <v>100</v>
      </c>
      <c r="M2688" s="135" t="s">
        <v>845</v>
      </c>
      <c r="N2688" s="123" t="s">
        <v>845</v>
      </c>
    </row>
    <row r="2689" spans="2:14" hidden="1" x14ac:dyDescent="0.25">
      <c r="B2689" s="120">
        <v>2686</v>
      </c>
      <c r="C2689" s="123">
        <v>10106153740</v>
      </c>
      <c r="D2689" s="126" t="s">
        <v>10247</v>
      </c>
      <c r="E2689" s="126" t="s">
        <v>10248</v>
      </c>
      <c r="F2689" s="123" t="s">
        <v>67</v>
      </c>
      <c r="G2689" s="123" t="s">
        <v>67</v>
      </c>
      <c r="H2689" s="123" t="s">
        <v>67</v>
      </c>
      <c r="I2689" s="126" t="s">
        <v>1701</v>
      </c>
      <c r="J2689" s="123" t="s">
        <v>10249</v>
      </c>
      <c r="K2689" s="123" t="s">
        <v>10247</v>
      </c>
      <c r="L2689" s="131" t="s">
        <v>100</v>
      </c>
      <c r="M2689" s="135" t="s">
        <v>845</v>
      </c>
      <c r="N2689" s="123" t="s">
        <v>845</v>
      </c>
    </row>
    <row r="2690" spans="2:14" hidden="1" x14ac:dyDescent="0.25">
      <c r="B2690" s="120">
        <v>2687</v>
      </c>
      <c r="C2690" s="123">
        <v>10402004628</v>
      </c>
      <c r="D2690" s="126" t="s">
        <v>10250</v>
      </c>
      <c r="E2690" s="126" t="s">
        <v>10251</v>
      </c>
      <c r="F2690" s="123" t="s">
        <v>67</v>
      </c>
      <c r="G2690" s="123" t="s">
        <v>67</v>
      </c>
      <c r="H2690" s="123" t="s">
        <v>94</v>
      </c>
      <c r="I2690" s="126" t="s">
        <v>1950</v>
      </c>
      <c r="J2690" s="123" t="s">
        <v>10252</v>
      </c>
      <c r="K2690" s="123" t="s">
        <v>10250</v>
      </c>
      <c r="L2690" s="131" t="s">
        <v>100</v>
      </c>
      <c r="M2690" s="135" t="s">
        <v>845</v>
      </c>
      <c r="N2690" s="123" t="s">
        <v>845</v>
      </c>
    </row>
    <row r="2691" spans="2:14" hidden="1" x14ac:dyDescent="0.25">
      <c r="B2691" s="120">
        <v>2688</v>
      </c>
      <c r="C2691" s="123">
        <v>10407915475</v>
      </c>
      <c r="D2691" s="126" t="s">
        <v>10253</v>
      </c>
      <c r="E2691" s="126" t="s">
        <v>10254</v>
      </c>
      <c r="F2691" s="123" t="s">
        <v>30</v>
      </c>
      <c r="G2691" s="123" t="s">
        <v>31</v>
      </c>
      <c r="H2691" s="123" t="s">
        <v>139</v>
      </c>
      <c r="I2691" s="126" t="s">
        <v>1936</v>
      </c>
      <c r="J2691" s="123" t="s">
        <v>10255</v>
      </c>
      <c r="K2691" s="123" t="s">
        <v>10253</v>
      </c>
      <c r="L2691" s="131" t="s">
        <v>100</v>
      </c>
      <c r="M2691" s="135" t="s">
        <v>845</v>
      </c>
      <c r="N2691" s="123" t="s">
        <v>845</v>
      </c>
    </row>
    <row r="2692" spans="2:14" hidden="1" x14ac:dyDescent="0.25">
      <c r="B2692" s="120">
        <v>2689</v>
      </c>
      <c r="C2692" s="123">
        <v>10154237262</v>
      </c>
      <c r="D2692" s="126" t="s">
        <v>10256</v>
      </c>
      <c r="E2692" s="126" t="s">
        <v>10257</v>
      </c>
      <c r="F2692" s="123" t="s">
        <v>30</v>
      </c>
      <c r="G2692" s="123" t="s">
        <v>31</v>
      </c>
      <c r="H2692" s="123" t="s">
        <v>139</v>
      </c>
      <c r="I2692" s="126" t="s">
        <v>1930</v>
      </c>
      <c r="J2692" s="123" t="s">
        <v>10258</v>
      </c>
      <c r="K2692" s="123" t="s">
        <v>10256</v>
      </c>
      <c r="L2692" s="131" t="s">
        <v>100</v>
      </c>
      <c r="M2692" s="135" t="s">
        <v>845</v>
      </c>
      <c r="N2692" s="123" t="s">
        <v>845</v>
      </c>
    </row>
    <row r="2693" spans="2:14" hidden="1" x14ac:dyDescent="0.25">
      <c r="B2693" s="120">
        <v>2690</v>
      </c>
      <c r="C2693" s="123">
        <v>10104129353</v>
      </c>
      <c r="D2693" s="126" t="s">
        <v>10259</v>
      </c>
      <c r="E2693" s="126" t="s">
        <v>10260</v>
      </c>
      <c r="F2693" s="123" t="s">
        <v>30</v>
      </c>
      <c r="G2693" s="123" t="s">
        <v>30</v>
      </c>
      <c r="H2693" s="123" t="s">
        <v>72</v>
      </c>
      <c r="I2693" s="126" t="s">
        <v>1936</v>
      </c>
      <c r="J2693" s="123" t="s">
        <v>10261</v>
      </c>
      <c r="K2693" s="123" t="s">
        <v>10259</v>
      </c>
      <c r="L2693" s="131" t="s">
        <v>100</v>
      </c>
      <c r="M2693" s="135" t="s">
        <v>845</v>
      </c>
      <c r="N2693" s="123" t="s">
        <v>845</v>
      </c>
    </row>
    <row r="2694" spans="2:14" hidden="1" x14ac:dyDescent="0.25">
      <c r="B2694" s="120">
        <v>2691</v>
      </c>
      <c r="C2694" s="123">
        <v>10708837062</v>
      </c>
      <c r="D2694" s="126" t="s">
        <v>10262</v>
      </c>
      <c r="E2694" s="126" t="s">
        <v>10263</v>
      </c>
      <c r="F2694" s="123" t="s">
        <v>30</v>
      </c>
      <c r="G2694" s="123" t="s">
        <v>30</v>
      </c>
      <c r="H2694" s="123" t="s">
        <v>60</v>
      </c>
      <c r="I2694" s="126" t="s">
        <v>1516</v>
      </c>
      <c r="J2694" s="123" t="s">
        <v>10264</v>
      </c>
      <c r="K2694" s="123" t="s">
        <v>10265</v>
      </c>
      <c r="L2694" s="131" t="s">
        <v>100</v>
      </c>
      <c r="M2694" s="135" t="s">
        <v>845</v>
      </c>
      <c r="N2694" s="123" t="s">
        <v>845</v>
      </c>
    </row>
    <row r="2695" spans="2:14" hidden="1" x14ac:dyDescent="0.25">
      <c r="B2695" s="120">
        <v>2692</v>
      </c>
      <c r="C2695" s="123">
        <v>10429388771</v>
      </c>
      <c r="D2695" s="126" t="s">
        <v>10266</v>
      </c>
      <c r="E2695" s="126" t="s">
        <v>10267</v>
      </c>
      <c r="F2695" s="123" t="s">
        <v>30</v>
      </c>
      <c r="G2695" s="123" t="s">
        <v>30</v>
      </c>
      <c r="H2695" s="123" t="s">
        <v>58</v>
      </c>
      <c r="I2695" s="126" t="s">
        <v>10268</v>
      </c>
      <c r="J2695" s="123" t="s">
        <v>10269</v>
      </c>
      <c r="K2695" s="123" t="s">
        <v>10266</v>
      </c>
      <c r="L2695" s="131" t="s">
        <v>100</v>
      </c>
      <c r="M2695" s="135" t="s">
        <v>845</v>
      </c>
      <c r="N2695" s="123" t="s">
        <v>845</v>
      </c>
    </row>
    <row r="2696" spans="2:14" hidden="1" x14ac:dyDescent="0.25">
      <c r="B2696" s="120">
        <v>2693</v>
      </c>
      <c r="C2696" s="123">
        <v>10466095341</v>
      </c>
      <c r="D2696" s="126" t="s">
        <v>10270</v>
      </c>
      <c r="E2696" s="126" t="s">
        <v>10271</v>
      </c>
      <c r="F2696" s="123" t="s">
        <v>30</v>
      </c>
      <c r="G2696" s="123" t="s">
        <v>30</v>
      </c>
      <c r="H2696" s="123" t="s">
        <v>75</v>
      </c>
      <c r="I2696" s="126" t="s">
        <v>1564</v>
      </c>
      <c r="J2696" s="123" t="s">
        <v>10272</v>
      </c>
      <c r="K2696" s="123" t="s">
        <v>10270</v>
      </c>
      <c r="L2696" s="131" t="s">
        <v>100</v>
      </c>
      <c r="M2696" s="135" t="s">
        <v>845</v>
      </c>
      <c r="N2696" s="123" t="s">
        <v>845</v>
      </c>
    </row>
    <row r="2697" spans="2:14" hidden="1" x14ac:dyDescent="0.25">
      <c r="B2697" s="120">
        <v>2694</v>
      </c>
      <c r="C2697" s="123">
        <v>10443160723</v>
      </c>
      <c r="D2697" s="126" t="s">
        <v>10273</v>
      </c>
      <c r="E2697" s="126" t="s">
        <v>10274</v>
      </c>
      <c r="F2697" s="123" t="s">
        <v>67</v>
      </c>
      <c r="G2697" s="123" t="s">
        <v>67</v>
      </c>
      <c r="H2697" s="123" t="s">
        <v>94</v>
      </c>
      <c r="I2697" s="126" t="s">
        <v>1424</v>
      </c>
      <c r="J2697" s="123" t="s">
        <v>10275</v>
      </c>
      <c r="K2697" s="123" t="s">
        <v>10273</v>
      </c>
      <c r="L2697" s="131" t="s">
        <v>100</v>
      </c>
      <c r="M2697" s="135" t="s">
        <v>845</v>
      </c>
      <c r="N2697" s="123" t="s">
        <v>845</v>
      </c>
    </row>
    <row r="2698" spans="2:14" hidden="1" x14ac:dyDescent="0.25">
      <c r="B2698" s="120">
        <v>2695</v>
      </c>
      <c r="C2698" s="123">
        <v>10157434948</v>
      </c>
      <c r="D2698" s="126" t="s">
        <v>10276</v>
      </c>
      <c r="E2698" s="126" t="s">
        <v>10277</v>
      </c>
      <c r="F2698" s="123" t="s">
        <v>30</v>
      </c>
      <c r="G2698" s="123" t="s">
        <v>170</v>
      </c>
      <c r="H2698" s="123" t="s">
        <v>170</v>
      </c>
      <c r="I2698" s="126" t="s">
        <v>1936</v>
      </c>
      <c r="J2698" s="123" t="s">
        <v>10278</v>
      </c>
      <c r="K2698" s="123" t="s">
        <v>10276</v>
      </c>
      <c r="L2698" s="131" t="s">
        <v>100</v>
      </c>
      <c r="M2698" s="135" t="s">
        <v>845</v>
      </c>
      <c r="N2698" s="123" t="s">
        <v>845</v>
      </c>
    </row>
    <row r="2699" spans="2:14" hidden="1" x14ac:dyDescent="0.25">
      <c r="B2699" s="120">
        <v>2696</v>
      </c>
      <c r="C2699" s="123">
        <v>10079920865</v>
      </c>
      <c r="D2699" s="126" t="s">
        <v>10279</v>
      </c>
      <c r="E2699" s="126" t="s">
        <v>10280</v>
      </c>
      <c r="F2699" s="123" t="s">
        <v>30</v>
      </c>
      <c r="G2699" s="123" t="s">
        <v>30</v>
      </c>
      <c r="H2699" s="123" t="s">
        <v>58</v>
      </c>
      <c r="I2699" s="126" t="s">
        <v>1701</v>
      </c>
      <c r="J2699" s="123" t="s">
        <v>10281</v>
      </c>
      <c r="K2699" s="123" t="s">
        <v>10279</v>
      </c>
      <c r="L2699" s="131" t="s">
        <v>100</v>
      </c>
      <c r="M2699" s="135" t="s">
        <v>845</v>
      </c>
      <c r="N2699" s="123" t="s">
        <v>845</v>
      </c>
    </row>
    <row r="2700" spans="2:14" hidden="1" x14ac:dyDescent="0.25">
      <c r="B2700" s="120">
        <v>2697</v>
      </c>
      <c r="C2700" s="123">
        <v>10452564551</v>
      </c>
      <c r="D2700" s="126" t="s">
        <v>10282</v>
      </c>
      <c r="E2700" s="126" t="s">
        <v>10283</v>
      </c>
      <c r="F2700" s="123" t="s">
        <v>30</v>
      </c>
      <c r="G2700" s="123" t="s">
        <v>30</v>
      </c>
      <c r="H2700" s="123" t="s">
        <v>58</v>
      </c>
      <c r="I2700" s="126" t="s">
        <v>1931</v>
      </c>
      <c r="J2700" s="123" t="s">
        <v>10284</v>
      </c>
      <c r="K2700" s="123" t="s">
        <v>10282</v>
      </c>
      <c r="L2700" s="131" t="s">
        <v>100</v>
      </c>
      <c r="M2700" s="135" t="s">
        <v>845</v>
      </c>
      <c r="N2700" s="123" t="s">
        <v>845</v>
      </c>
    </row>
    <row r="2701" spans="2:14" hidden="1" x14ac:dyDescent="0.25">
      <c r="B2701" s="120">
        <v>2698</v>
      </c>
      <c r="C2701" s="123">
        <v>10400106075</v>
      </c>
      <c r="D2701" s="126" t="s">
        <v>10285</v>
      </c>
      <c r="E2701" s="126" t="s">
        <v>10286</v>
      </c>
      <c r="F2701" s="123" t="s">
        <v>30</v>
      </c>
      <c r="G2701" s="123" t="s">
        <v>48</v>
      </c>
      <c r="H2701" s="123" t="s">
        <v>155</v>
      </c>
      <c r="I2701" s="126" t="s">
        <v>1706</v>
      </c>
      <c r="J2701" s="123" t="s">
        <v>10287</v>
      </c>
      <c r="K2701" s="123" t="s">
        <v>10288</v>
      </c>
      <c r="L2701" s="131" t="s">
        <v>100</v>
      </c>
      <c r="M2701" s="135" t="s">
        <v>845</v>
      </c>
      <c r="N2701" s="123" t="s">
        <v>845</v>
      </c>
    </row>
    <row r="2702" spans="2:14" hidden="1" x14ac:dyDescent="0.25">
      <c r="B2702" s="120">
        <v>2699</v>
      </c>
      <c r="C2702" s="123">
        <v>10461606666</v>
      </c>
      <c r="D2702" s="126" t="s">
        <v>10289</v>
      </c>
      <c r="E2702" s="126" t="s">
        <v>10290</v>
      </c>
      <c r="F2702" s="123" t="s">
        <v>30</v>
      </c>
      <c r="G2702" s="123" t="s">
        <v>30</v>
      </c>
      <c r="H2702" s="123" t="s">
        <v>30</v>
      </c>
      <c r="I2702" s="126" t="s">
        <v>10291</v>
      </c>
      <c r="J2702" s="123" t="s">
        <v>10292</v>
      </c>
      <c r="K2702" s="123" t="s">
        <v>10293</v>
      </c>
      <c r="L2702" s="131" t="s">
        <v>100</v>
      </c>
      <c r="M2702" s="135" t="s">
        <v>845</v>
      </c>
      <c r="N2702" s="123" t="s">
        <v>845</v>
      </c>
    </row>
    <row r="2703" spans="2:14" hidden="1" x14ac:dyDescent="0.25">
      <c r="B2703" s="120">
        <v>2700</v>
      </c>
      <c r="C2703" s="123">
        <v>10742538929</v>
      </c>
      <c r="D2703" s="126" t="s">
        <v>10294</v>
      </c>
      <c r="E2703" s="126" t="s">
        <v>10295</v>
      </c>
      <c r="F2703" s="123" t="s">
        <v>30</v>
      </c>
      <c r="G2703" s="123" t="s">
        <v>30</v>
      </c>
      <c r="H2703" s="123" t="s">
        <v>50</v>
      </c>
      <c r="I2703" s="126" t="s">
        <v>1952</v>
      </c>
      <c r="J2703" s="123" t="s">
        <v>10296</v>
      </c>
      <c r="K2703" s="123" t="s">
        <v>10294</v>
      </c>
      <c r="L2703" s="131" t="s">
        <v>100</v>
      </c>
      <c r="M2703" s="135" t="s">
        <v>845</v>
      </c>
      <c r="N2703" s="123" t="s">
        <v>845</v>
      </c>
    </row>
    <row r="2704" spans="2:14" hidden="1" x14ac:dyDescent="0.25">
      <c r="B2704" s="120">
        <v>2701</v>
      </c>
      <c r="C2704" s="123">
        <v>10462505367</v>
      </c>
      <c r="D2704" s="126" t="s">
        <v>10297</v>
      </c>
      <c r="E2704" s="126" t="s">
        <v>10298</v>
      </c>
      <c r="F2704" s="123" t="s">
        <v>30</v>
      </c>
      <c r="G2704" s="123" t="s">
        <v>30</v>
      </c>
      <c r="H2704" s="123" t="s">
        <v>45</v>
      </c>
      <c r="I2704" s="126" t="s">
        <v>1941</v>
      </c>
      <c r="J2704" s="123" t="s">
        <v>10299</v>
      </c>
      <c r="K2704" s="123" t="s">
        <v>10297</v>
      </c>
      <c r="L2704" s="131" t="s">
        <v>100</v>
      </c>
      <c r="M2704" s="135" t="s">
        <v>845</v>
      </c>
      <c r="N2704" s="123" t="s">
        <v>845</v>
      </c>
    </row>
    <row r="2705" spans="2:14" hidden="1" x14ac:dyDescent="0.25">
      <c r="B2705" s="120">
        <v>2702</v>
      </c>
      <c r="C2705" s="123">
        <v>10436340261</v>
      </c>
      <c r="D2705" s="126" t="s">
        <v>10300</v>
      </c>
      <c r="E2705" s="126" t="s">
        <v>10301</v>
      </c>
      <c r="F2705" s="123" t="s">
        <v>30</v>
      </c>
      <c r="G2705" s="123" t="s">
        <v>30</v>
      </c>
      <c r="H2705" s="123" t="s">
        <v>51</v>
      </c>
      <c r="I2705" s="126" t="s">
        <v>1701</v>
      </c>
      <c r="J2705" s="123" t="s">
        <v>10302</v>
      </c>
      <c r="K2705" s="123" t="s">
        <v>10300</v>
      </c>
      <c r="L2705" s="131" t="s">
        <v>100</v>
      </c>
      <c r="M2705" s="135" t="s">
        <v>845</v>
      </c>
      <c r="N2705" s="123" t="s">
        <v>845</v>
      </c>
    </row>
    <row r="2706" spans="2:14" hidden="1" x14ac:dyDescent="0.25">
      <c r="B2706" s="120">
        <v>2703</v>
      </c>
      <c r="C2706" s="123">
        <v>10076701178</v>
      </c>
      <c r="D2706" s="126" t="s">
        <v>10303</v>
      </c>
      <c r="E2706" s="126" t="s">
        <v>10304</v>
      </c>
      <c r="F2706" s="123" t="s">
        <v>30</v>
      </c>
      <c r="G2706" s="123" t="s">
        <v>30</v>
      </c>
      <c r="H2706" s="123" t="s">
        <v>40</v>
      </c>
      <c r="I2706" s="126" t="s">
        <v>1424</v>
      </c>
      <c r="J2706" s="123" t="s">
        <v>10305</v>
      </c>
      <c r="K2706" s="123" t="s">
        <v>10303</v>
      </c>
      <c r="L2706" s="131" t="s">
        <v>100</v>
      </c>
      <c r="M2706" s="135" t="s">
        <v>845</v>
      </c>
      <c r="N2706" s="123" t="s">
        <v>845</v>
      </c>
    </row>
    <row r="2707" spans="2:14" hidden="1" x14ac:dyDescent="0.25">
      <c r="B2707" s="120">
        <v>2704</v>
      </c>
      <c r="C2707" s="123">
        <v>10095178494</v>
      </c>
      <c r="D2707" s="126" t="s">
        <v>10306</v>
      </c>
      <c r="E2707" s="126" t="s">
        <v>10307</v>
      </c>
      <c r="F2707" s="123" t="s">
        <v>30</v>
      </c>
      <c r="G2707" s="123" t="s">
        <v>30</v>
      </c>
      <c r="H2707" s="123" t="s">
        <v>51</v>
      </c>
      <c r="I2707" s="126" t="s">
        <v>1701</v>
      </c>
      <c r="J2707" s="123" t="s">
        <v>10308</v>
      </c>
      <c r="K2707" s="123" t="s">
        <v>10306</v>
      </c>
      <c r="L2707" s="131" t="s">
        <v>100</v>
      </c>
      <c r="M2707" s="135" t="s">
        <v>845</v>
      </c>
      <c r="N2707" s="123" t="s">
        <v>845</v>
      </c>
    </row>
    <row r="2708" spans="2:14" hidden="1" x14ac:dyDescent="0.25">
      <c r="B2708" s="120">
        <v>2705</v>
      </c>
      <c r="C2708" s="123">
        <v>10407054852</v>
      </c>
      <c r="D2708" s="126" t="s">
        <v>10309</v>
      </c>
      <c r="E2708" s="126" t="s">
        <v>10310</v>
      </c>
      <c r="F2708" s="123" t="s">
        <v>30</v>
      </c>
      <c r="G2708" s="123" t="s">
        <v>30</v>
      </c>
      <c r="H2708" s="123" t="s">
        <v>127</v>
      </c>
      <c r="I2708" s="126" t="s">
        <v>9769</v>
      </c>
      <c r="J2708" s="123" t="s">
        <v>10311</v>
      </c>
      <c r="K2708" s="123" t="s">
        <v>10309</v>
      </c>
      <c r="L2708" s="131" t="s">
        <v>100</v>
      </c>
      <c r="M2708" s="135" t="s">
        <v>845</v>
      </c>
      <c r="N2708" s="123" t="s">
        <v>845</v>
      </c>
    </row>
    <row r="2709" spans="2:14" hidden="1" x14ac:dyDescent="0.25">
      <c r="B2709" s="120">
        <v>2706</v>
      </c>
      <c r="C2709" s="123">
        <v>10403002734</v>
      </c>
      <c r="D2709" s="126" t="s">
        <v>10312</v>
      </c>
      <c r="E2709" s="126" t="s">
        <v>86</v>
      </c>
      <c r="F2709" s="123" t="s">
        <v>30</v>
      </c>
      <c r="G2709" s="123" t="s">
        <v>30</v>
      </c>
      <c r="H2709" s="123" t="s">
        <v>86</v>
      </c>
      <c r="I2709" s="126" t="s">
        <v>1933</v>
      </c>
      <c r="J2709" s="123" t="s">
        <v>10313</v>
      </c>
      <c r="K2709" s="123" t="s">
        <v>10312</v>
      </c>
      <c r="L2709" s="131" t="s">
        <v>100</v>
      </c>
      <c r="M2709" s="135" t="s">
        <v>845</v>
      </c>
      <c r="N2709" s="123" t="s">
        <v>845</v>
      </c>
    </row>
    <row r="2710" spans="2:14" hidden="1" x14ac:dyDescent="0.25">
      <c r="B2710" s="120">
        <v>2707</v>
      </c>
      <c r="C2710" s="123">
        <v>10209016813</v>
      </c>
      <c r="D2710" s="126" t="s">
        <v>10314</v>
      </c>
      <c r="E2710" s="126" t="s">
        <v>10315</v>
      </c>
      <c r="F2710" s="123" t="s">
        <v>30</v>
      </c>
      <c r="G2710" s="123" t="s">
        <v>30</v>
      </c>
      <c r="H2710" s="123" t="s">
        <v>51</v>
      </c>
      <c r="I2710" s="126" t="s">
        <v>10316</v>
      </c>
      <c r="J2710" s="123" t="s">
        <v>10317</v>
      </c>
      <c r="K2710" s="123" t="s">
        <v>10314</v>
      </c>
      <c r="L2710" s="131" t="s">
        <v>100</v>
      </c>
      <c r="M2710" s="135" t="s">
        <v>845</v>
      </c>
      <c r="N2710" s="123" t="s">
        <v>845</v>
      </c>
    </row>
    <row r="2711" spans="2:14" hidden="1" x14ac:dyDescent="0.25">
      <c r="B2711" s="120">
        <v>2708</v>
      </c>
      <c r="C2711" s="123">
        <v>10074304040</v>
      </c>
      <c r="D2711" s="126" t="s">
        <v>10318</v>
      </c>
      <c r="E2711" s="126" t="s">
        <v>10319</v>
      </c>
      <c r="F2711" s="123" t="s">
        <v>30</v>
      </c>
      <c r="G2711" s="123" t="s">
        <v>30</v>
      </c>
      <c r="H2711" s="123" t="s">
        <v>45</v>
      </c>
      <c r="I2711" s="126" t="s">
        <v>1424</v>
      </c>
      <c r="J2711" s="123" t="s">
        <v>10320</v>
      </c>
      <c r="K2711" s="123" t="s">
        <v>10318</v>
      </c>
      <c r="L2711" s="131" t="s">
        <v>100</v>
      </c>
      <c r="M2711" s="135" t="s">
        <v>845</v>
      </c>
      <c r="N2711" s="123" t="s">
        <v>845</v>
      </c>
    </row>
    <row r="2712" spans="2:14" hidden="1" x14ac:dyDescent="0.25">
      <c r="B2712" s="120">
        <v>2709</v>
      </c>
      <c r="C2712" s="123">
        <v>10755252820</v>
      </c>
      <c r="D2712" s="126" t="s">
        <v>10321</v>
      </c>
      <c r="E2712" s="126" t="s">
        <v>10322</v>
      </c>
      <c r="F2712" s="123" t="s">
        <v>30</v>
      </c>
      <c r="G2712" s="123" t="s">
        <v>30</v>
      </c>
      <c r="H2712" s="123" t="s">
        <v>88</v>
      </c>
      <c r="I2712" s="126" t="s">
        <v>1809</v>
      </c>
      <c r="J2712" s="123" t="s">
        <v>10323</v>
      </c>
      <c r="K2712" s="123" t="s">
        <v>10324</v>
      </c>
      <c r="L2712" s="131" t="s">
        <v>100</v>
      </c>
      <c r="M2712" s="135" t="s">
        <v>845</v>
      </c>
      <c r="N2712" s="123" t="s">
        <v>845</v>
      </c>
    </row>
    <row r="2713" spans="2:14" hidden="1" x14ac:dyDescent="0.25">
      <c r="B2713" s="120">
        <v>2710</v>
      </c>
      <c r="C2713" s="123">
        <v>10068585835</v>
      </c>
      <c r="D2713" s="126" t="s">
        <v>10325</v>
      </c>
      <c r="E2713" s="126" t="s">
        <v>10326</v>
      </c>
      <c r="F2713" s="123" t="s">
        <v>30</v>
      </c>
      <c r="G2713" s="123" t="s">
        <v>30</v>
      </c>
      <c r="H2713" s="123" t="s">
        <v>58</v>
      </c>
      <c r="I2713" s="126" t="s">
        <v>1942</v>
      </c>
      <c r="J2713" s="123" t="s">
        <v>10327</v>
      </c>
      <c r="K2713" s="123" t="s">
        <v>10325</v>
      </c>
      <c r="L2713" s="131" t="s">
        <v>100</v>
      </c>
      <c r="M2713" s="135" t="s">
        <v>845</v>
      </c>
      <c r="N2713" s="123" t="s">
        <v>845</v>
      </c>
    </row>
    <row r="2714" spans="2:14" hidden="1" x14ac:dyDescent="0.25">
      <c r="B2714" s="120">
        <v>2711</v>
      </c>
      <c r="C2714" s="123">
        <v>10432478896</v>
      </c>
      <c r="D2714" s="126" t="s">
        <v>10328</v>
      </c>
      <c r="E2714" s="126" t="s">
        <v>10329</v>
      </c>
      <c r="F2714" s="123" t="s">
        <v>30</v>
      </c>
      <c r="G2714" s="123" t="s">
        <v>30</v>
      </c>
      <c r="H2714" s="123" t="s">
        <v>51</v>
      </c>
      <c r="I2714" s="126" t="s">
        <v>1424</v>
      </c>
      <c r="J2714" s="123" t="s">
        <v>10330</v>
      </c>
      <c r="K2714" s="123" t="s">
        <v>10328</v>
      </c>
      <c r="L2714" s="131" t="s">
        <v>100</v>
      </c>
      <c r="M2714" s="135" t="s">
        <v>845</v>
      </c>
      <c r="N2714" s="123" t="s">
        <v>845</v>
      </c>
    </row>
    <row r="2715" spans="2:14" hidden="1" x14ac:dyDescent="0.25">
      <c r="B2715" s="120">
        <v>2712</v>
      </c>
      <c r="C2715" s="123">
        <v>10154307805</v>
      </c>
      <c r="D2715" s="126" t="s">
        <v>10331</v>
      </c>
      <c r="E2715" s="126" t="s">
        <v>10332</v>
      </c>
      <c r="F2715" s="123" t="s">
        <v>30</v>
      </c>
      <c r="G2715" s="123" t="s">
        <v>31</v>
      </c>
      <c r="H2715" s="123" t="s">
        <v>9381</v>
      </c>
      <c r="I2715" s="126" t="s">
        <v>8743</v>
      </c>
      <c r="J2715" s="123" t="s">
        <v>10333</v>
      </c>
      <c r="K2715" s="123" t="s">
        <v>10331</v>
      </c>
      <c r="L2715" s="131" t="s">
        <v>100</v>
      </c>
      <c r="M2715" s="135" t="s">
        <v>845</v>
      </c>
      <c r="N2715" s="123" t="s">
        <v>845</v>
      </c>
    </row>
    <row r="2716" spans="2:14" hidden="1" x14ac:dyDescent="0.25">
      <c r="B2716" s="120">
        <v>2713</v>
      </c>
      <c r="C2716" s="123">
        <v>10461462885</v>
      </c>
      <c r="D2716" s="126" t="s">
        <v>10334</v>
      </c>
      <c r="E2716" s="126" t="s">
        <v>10335</v>
      </c>
      <c r="F2716" s="123" t="s">
        <v>30</v>
      </c>
      <c r="G2716" s="123" t="s">
        <v>30</v>
      </c>
      <c r="H2716" s="123" t="s">
        <v>51</v>
      </c>
      <c r="I2716" s="126" t="s">
        <v>10336</v>
      </c>
      <c r="J2716" s="123" t="s">
        <v>10337</v>
      </c>
      <c r="K2716" s="123" t="s">
        <v>10334</v>
      </c>
      <c r="L2716" s="131" t="s">
        <v>100</v>
      </c>
      <c r="M2716" s="135" t="s">
        <v>845</v>
      </c>
      <c r="N2716" s="123" t="s">
        <v>845</v>
      </c>
    </row>
    <row r="2717" spans="2:14" hidden="1" x14ac:dyDescent="0.25">
      <c r="B2717" s="120">
        <v>2714</v>
      </c>
      <c r="C2717" s="123">
        <v>10096729389</v>
      </c>
      <c r="D2717" s="126" t="s">
        <v>10338</v>
      </c>
      <c r="E2717" s="126" t="s">
        <v>10339</v>
      </c>
      <c r="F2717" s="123" t="s">
        <v>30</v>
      </c>
      <c r="G2717" s="123" t="s">
        <v>30</v>
      </c>
      <c r="H2717" s="123" t="s">
        <v>72</v>
      </c>
      <c r="I2717" s="126" t="s">
        <v>1701</v>
      </c>
      <c r="J2717" s="123" t="s">
        <v>10340</v>
      </c>
      <c r="K2717" s="123" t="s">
        <v>10338</v>
      </c>
      <c r="L2717" s="131" t="s">
        <v>100</v>
      </c>
      <c r="M2717" s="135" t="s">
        <v>845</v>
      </c>
      <c r="N2717" s="123" t="s">
        <v>845</v>
      </c>
    </row>
    <row r="2718" spans="2:14" hidden="1" x14ac:dyDescent="0.25">
      <c r="B2718" s="120">
        <v>2715</v>
      </c>
      <c r="C2718" s="123">
        <v>10423145990</v>
      </c>
      <c r="D2718" s="126" t="s">
        <v>10341</v>
      </c>
      <c r="E2718" s="126" t="s">
        <v>10342</v>
      </c>
      <c r="F2718" s="123" t="s">
        <v>67</v>
      </c>
      <c r="G2718" s="123" t="s">
        <v>67</v>
      </c>
      <c r="H2718" s="123" t="s">
        <v>94</v>
      </c>
      <c r="I2718" s="126" t="s">
        <v>1934</v>
      </c>
      <c r="J2718" s="123" t="s">
        <v>10343</v>
      </c>
      <c r="K2718" s="123" t="s">
        <v>10341</v>
      </c>
      <c r="L2718" s="131" t="s">
        <v>100</v>
      </c>
      <c r="M2718" s="135" t="s">
        <v>845</v>
      </c>
      <c r="N2718" s="123" t="s">
        <v>845</v>
      </c>
    </row>
    <row r="2719" spans="2:14" hidden="1" x14ac:dyDescent="0.25">
      <c r="B2719" s="120">
        <v>2716</v>
      </c>
      <c r="C2719" s="123">
        <v>10425705453</v>
      </c>
      <c r="D2719" s="126" t="s">
        <v>10344</v>
      </c>
      <c r="E2719" s="126" t="s">
        <v>10345</v>
      </c>
      <c r="F2719" s="123" t="s">
        <v>30</v>
      </c>
      <c r="G2719" s="123" t="s">
        <v>30</v>
      </c>
      <c r="H2719" s="123" t="s">
        <v>38</v>
      </c>
      <c r="I2719" s="126" t="s">
        <v>1701</v>
      </c>
      <c r="J2719" s="123" t="s">
        <v>10346</v>
      </c>
      <c r="K2719" s="123" t="s">
        <v>10344</v>
      </c>
      <c r="L2719" s="131" t="s">
        <v>100</v>
      </c>
      <c r="M2719" s="135" t="s">
        <v>845</v>
      </c>
      <c r="N2719" s="123" t="s">
        <v>845</v>
      </c>
    </row>
    <row r="2720" spans="2:14" hidden="1" x14ac:dyDescent="0.25">
      <c r="B2720" s="120">
        <v>2717</v>
      </c>
      <c r="C2720" s="123">
        <v>10450025122</v>
      </c>
      <c r="D2720" s="126" t="s">
        <v>10347</v>
      </c>
      <c r="E2720" s="126" t="s">
        <v>10348</v>
      </c>
      <c r="F2720" s="123" t="s">
        <v>67</v>
      </c>
      <c r="G2720" s="123" t="s">
        <v>67</v>
      </c>
      <c r="H2720" s="123" t="s">
        <v>67</v>
      </c>
      <c r="I2720" s="126" t="s">
        <v>1931</v>
      </c>
      <c r="J2720" s="123" t="s">
        <v>10349</v>
      </c>
      <c r="K2720" s="123" t="s">
        <v>10347</v>
      </c>
      <c r="L2720" s="131" t="s">
        <v>100</v>
      </c>
      <c r="M2720" s="135" t="s">
        <v>845</v>
      </c>
      <c r="N2720" s="123" t="s">
        <v>845</v>
      </c>
    </row>
    <row r="2721" spans="2:14" hidden="1" x14ac:dyDescent="0.25">
      <c r="B2721" s="120">
        <v>2718</v>
      </c>
      <c r="C2721" s="123">
        <v>10439532039</v>
      </c>
      <c r="D2721" s="126" t="s">
        <v>10350</v>
      </c>
      <c r="E2721" s="126" t="s">
        <v>10351</v>
      </c>
      <c r="F2721" s="123" t="s">
        <v>30</v>
      </c>
      <c r="G2721" s="123" t="s">
        <v>30</v>
      </c>
      <c r="H2721" s="123" t="s">
        <v>60</v>
      </c>
      <c r="I2721" s="126" t="s">
        <v>10025</v>
      </c>
      <c r="J2721" s="123" t="s">
        <v>10352</v>
      </c>
      <c r="K2721" s="123" t="s">
        <v>10350</v>
      </c>
      <c r="L2721" s="131" t="s">
        <v>100</v>
      </c>
      <c r="M2721" s="135" t="s">
        <v>845</v>
      </c>
      <c r="N2721" s="123" t="s">
        <v>845</v>
      </c>
    </row>
    <row r="2722" spans="2:14" hidden="1" x14ac:dyDescent="0.25">
      <c r="B2722" s="120">
        <v>2719</v>
      </c>
      <c r="C2722" s="123">
        <v>10466342560</v>
      </c>
      <c r="D2722" s="126" t="s">
        <v>10353</v>
      </c>
      <c r="E2722" s="126" t="s">
        <v>10354</v>
      </c>
      <c r="F2722" s="123" t="s">
        <v>30</v>
      </c>
      <c r="G2722" s="123" t="s">
        <v>30</v>
      </c>
      <c r="H2722" s="123" t="s">
        <v>38</v>
      </c>
      <c r="I2722" s="126" t="s">
        <v>1931</v>
      </c>
      <c r="J2722" s="123" t="s">
        <v>10355</v>
      </c>
      <c r="K2722" s="123" t="s">
        <v>10353</v>
      </c>
      <c r="L2722" s="131" t="s">
        <v>100</v>
      </c>
      <c r="M2722" s="135" t="s">
        <v>845</v>
      </c>
      <c r="N2722" s="123" t="s">
        <v>845</v>
      </c>
    </row>
    <row r="2723" spans="2:14" hidden="1" x14ac:dyDescent="0.25">
      <c r="B2723" s="120">
        <v>2720</v>
      </c>
      <c r="C2723" s="123">
        <v>10720970312</v>
      </c>
      <c r="D2723" s="126" t="s">
        <v>10356</v>
      </c>
      <c r="E2723" s="126" t="s">
        <v>10357</v>
      </c>
      <c r="F2723" s="123" t="s">
        <v>30</v>
      </c>
      <c r="G2723" s="123" t="s">
        <v>30</v>
      </c>
      <c r="H2723" s="123" t="s">
        <v>50</v>
      </c>
      <c r="I2723" s="126" t="s">
        <v>1365</v>
      </c>
      <c r="J2723" s="123" t="s">
        <v>10358</v>
      </c>
      <c r="K2723" s="123" t="s">
        <v>10356</v>
      </c>
      <c r="L2723" s="131" t="s">
        <v>100</v>
      </c>
      <c r="M2723" s="135" t="s">
        <v>845</v>
      </c>
      <c r="N2723" s="123" t="s">
        <v>845</v>
      </c>
    </row>
    <row r="2724" spans="2:14" hidden="1" x14ac:dyDescent="0.25">
      <c r="B2724" s="120">
        <v>2721</v>
      </c>
      <c r="C2724" s="123">
        <v>10072635626</v>
      </c>
      <c r="D2724" s="126" t="s">
        <v>10359</v>
      </c>
      <c r="E2724" s="126" t="s">
        <v>10360</v>
      </c>
      <c r="F2724" s="123" t="s">
        <v>30</v>
      </c>
      <c r="G2724" s="123" t="s">
        <v>30</v>
      </c>
      <c r="H2724" s="123" t="s">
        <v>50</v>
      </c>
      <c r="I2724" s="126" t="s">
        <v>1551</v>
      </c>
      <c r="J2724" s="123" t="s">
        <v>10361</v>
      </c>
      <c r="K2724" s="123" t="s">
        <v>10359</v>
      </c>
      <c r="L2724" s="131" t="s">
        <v>100</v>
      </c>
      <c r="M2724" s="135" t="s">
        <v>845</v>
      </c>
      <c r="N2724" s="123" t="s">
        <v>845</v>
      </c>
    </row>
    <row r="2725" spans="2:14" hidden="1" x14ac:dyDescent="0.25">
      <c r="B2725" s="120">
        <v>2722</v>
      </c>
      <c r="C2725" s="123">
        <v>10766983834</v>
      </c>
      <c r="D2725" s="126" t="s">
        <v>10362</v>
      </c>
      <c r="E2725" s="126" t="s">
        <v>10363</v>
      </c>
      <c r="F2725" s="123" t="s">
        <v>30</v>
      </c>
      <c r="G2725" s="123" t="s">
        <v>30</v>
      </c>
      <c r="H2725" s="123" t="s">
        <v>58</v>
      </c>
      <c r="I2725" s="126" t="s">
        <v>1424</v>
      </c>
      <c r="J2725" s="123" t="s">
        <v>10364</v>
      </c>
      <c r="K2725" s="123" t="s">
        <v>10362</v>
      </c>
      <c r="L2725" s="131" t="s">
        <v>100</v>
      </c>
      <c r="M2725" s="135" t="s">
        <v>845</v>
      </c>
      <c r="N2725" s="123" t="s">
        <v>845</v>
      </c>
    </row>
    <row r="2726" spans="2:14" hidden="1" x14ac:dyDescent="0.25">
      <c r="B2726" s="120">
        <v>2723</v>
      </c>
      <c r="C2726" s="123">
        <v>10153978471</v>
      </c>
      <c r="D2726" s="126" t="s">
        <v>10365</v>
      </c>
      <c r="E2726" s="126" t="s">
        <v>10366</v>
      </c>
      <c r="F2726" s="123" t="s">
        <v>30</v>
      </c>
      <c r="G2726" s="123" t="s">
        <v>31</v>
      </c>
      <c r="H2726" s="123" t="s">
        <v>145</v>
      </c>
      <c r="I2726" s="126" t="s">
        <v>1394</v>
      </c>
      <c r="J2726" s="123" t="s">
        <v>10367</v>
      </c>
      <c r="K2726" s="123" t="s">
        <v>10365</v>
      </c>
      <c r="L2726" s="131" t="s">
        <v>100</v>
      </c>
      <c r="M2726" s="135" t="s">
        <v>845</v>
      </c>
      <c r="N2726" s="123" t="s">
        <v>845</v>
      </c>
    </row>
    <row r="2727" spans="2:14" hidden="1" x14ac:dyDescent="0.25">
      <c r="B2727" s="120">
        <v>2724</v>
      </c>
      <c r="C2727" s="123">
        <v>10414472040</v>
      </c>
      <c r="D2727" s="126" t="s">
        <v>10368</v>
      </c>
      <c r="E2727" s="126" t="s">
        <v>10369</v>
      </c>
      <c r="F2727" s="123" t="s">
        <v>30</v>
      </c>
      <c r="G2727" s="123" t="s">
        <v>30</v>
      </c>
      <c r="H2727" s="123" t="s">
        <v>30</v>
      </c>
      <c r="I2727" s="126" t="s">
        <v>1930</v>
      </c>
      <c r="J2727" s="123" t="s">
        <v>10370</v>
      </c>
      <c r="K2727" s="123" t="s">
        <v>10368</v>
      </c>
      <c r="L2727" s="131" t="s">
        <v>100</v>
      </c>
      <c r="M2727" s="135" t="s">
        <v>845</v>
      </c>
      <c r="N2727" s="123" t="s">
        <v>845</v>
      </c>
    </row>
    <row r="2728" spans="2:14" hidden="1" x14ac:dyDescent="0.25">
      <c r="B2728" s="120">
        <v>2725</v>
      </c>
      <c r="C2728" s="123">
        <v>10154260671</v>
      </c>
      <c r="D2728" s="126" t="s">
        <v>10371</v>
      </c>
      <c r="E2728" s="126" t="s">
        <v>10372</v>
      </c>
      <c r="F2728" s="123" t="s">
        <v>30</v>
      </c>
      <c r="G2728" s="123" t="s">
        <v>31</v>
      </c>
      <c r="H2728" s="123" t="s">
        <v>32</v>
      </c>
      <c r="I2728" s="126" t="s">
        <v>1950</v>
      </c>
      <c r="J2728" s="123" t="s">
        <v>10373</v>
      </c>
      <c r="K2728" s="123" t="s">
        <v>10371</v>
      </c>
      <c r="L2728" s="131" t="s">
        <v>100</v>
      </c>
      <c r="M2728" s="135" t="s">
        <v>845</v>
      </c>
      <c r="N2728" s="123" t="s">
        <v>845</v>
      </c>
    </row>
    <row r="2729" spans="2:14" hidden="1" x14ac:dyDescent="0.25">
      <c r="B2729" s="120">
        <v>2726</v>
      </c>
      <c r="C2729" s="123">
        <v>10742855461</v>
      </c>
      <c r="D2729" s="126" t="s">
        <v>10374</v>
      </c>
      <c r="E2729" s="126" t="s">
        <v>10375</v>
      </c>
      <c r="F2729" s="123" t="s">
        <v>30</v>
      </c>
      <c r="G2729" s="123" t="s">
        <v>30</v>
      </c>
      <c r="H2729" s="123" t="s">
        <v>43</v>
      </c>
      <c r="I2729" s="126" t="s">
        <v>1701</v>
      </c>
      <c r="J2729" s="123" t="s">
        <v>10376</v>
      </c>
      <c r="K2729" s="123" t="s">
        <v>10374</v>
      </c>
      <c r="L2729" s="131" t="s">
        <v>100</v>
      </c>
      <c r="M2729" s="135" t="s">
        <v>845</v>
      </c>
      <c r="N2729" s="123" t="s">
        <v>845</v>
      </c>
    </row>
    <row r="2730" spans="2:14" hidden="1" x14ac:dyDescent="0.25">
      <c r="B2730" s="120">
        <v>2727</v>
      </c>
      <c r="C2730" s="123">
        <v>10156099398</v>
      </c>
      <c r="D2730" s="126" t="s">
        <v>10377</v>
      </c>
      <c r="E2730" s="126" t="s">
        <v>10378</v>
      </c>
      <c r="F2730" s="123" t="s">
        <v>30</v>
      </c>
      <c r="G2730" s="123" t="s">
        <v>170</v>
      </c>
      <c r="H2730" s="123" t="s">
        <v>171</v>
      </c>
      <c r="I2730" s="126" t="s">
        <v>1930</v>
      </c>
      <c r="J2730" s="123" t="s">
        <v>10379</v>
      </c>
      <c r="K2730" s="123" t="s">
        <v>10377</v>
      </c>
      <c r="L2730" s="131" t="s">
        <v>100</v>
      </c>
      <c r="M2730" s="135" t="s">
        <v>845</v>
      </c>
      <c r="N2730" s="123" t="s">
        <v>845</v>
      </c>
    </row>
    <row r="2731" spans="2:14" hidden="1" x14ac:dyDescent="0.25">
      <c r="B2731" s="120">
        <v>2728</v>
      </c>
      <c r="C2731" s="123">
        <v>10478064182</v>
      </c>
      <c r="D2731" s="126" t="s">
        <v>10380</v>
      </c>
      <c r="E2731" s="126" t="s">
        <v>10381</v>
      </c>
      <c r="F2731" s="123" t="s">
        <v>30</v>
      </c>
      <c r="G2731" s="123" t="s">
        <v>31</v>
      </c>
      <c r="H2731" s="123" t="s">
        <v>9381</v>
      </c>
      <c r="I2731" s="126" t="s">
        <v>6924</v>
      </c>
      <c r="J2731" s="123" t="s">
        <v>10382</v>
      </c>
      <c r="K2731" s="123" t="s">
        <v>10380</v>
      </c>
      <c r="L2731" s="131" t="s">
        <v>100</v>
      </c>
      <c r="M2731" s="135" t="s">
        <v>845</v>
      </c>
      <c r="N2731" s="123" t="s">
        <v>845</v>
      </c>
    </row>
    <row r="2732" spans="2:14" hidden="1" x14ac:dyDescent="0.25">
      <c r="B2732" s="120">
        <v>2729</v>
      </c>
      <c r="C2732" s="123">
        <v>10060778740</v>
      </c>
      <c r="D2732" s="126" t="s">
        <v>10383</v>
      </c>
      <c r="E2732" s="126" t="s">
        <v>10384</v>
      </c>
      <c r="F2732" s="123" t="s">
        <v>30</v>
      </c>
      <c r="G2732" s="123" t="s">
        <v>30</v>
      </c>
      <c r="H2732" s="123" t="s">
        <v>72</v>
      </c>
      <c r="I2732" s="126" t="s">
        <v>1564</v>
      </c>
      <c r="J2732" s="123" t="s">
        <v>10385</v>
      </c>
      <c r="K2732" s="123" t="s">
        <v>10386</v>
      </c>
      <c r="L2732" s="131" t="s">
        <v>100</v>
      </c>
      <c r="M2732" s="135" t="s">
        <v>845</v>
      </c>
      <c r="N2732" s="123" t="s">
        <v>845</v>
      </c>
    </row>
    <row r="2733" spans="2:14" hidden="1" x14ac:dyDescent="0.25">
      <c r="B2733" s="120">
        <v>2730</v>
      </c>
      <c r="C2733" s="123">
        <v>10446086206</v>
      </c>
      <c r="D2733" s="126" t="s">
        <v>10387</v>
      </c>
      <c r="E2733" s="126" t="s">
        <v>10388</v>
      </c>
      <c r="F2733" s="123" t="s">
        <v>30</v>
      </c>
      <c r="G2733" s="123" t="s">
        <v>30</v>
      </c>
      <c r="H2733" s="123" t="s">
        <v>51</v>
      </c>
      <c r="I2733" s="126" t="s">
        <v>1564</v>
      </c>
      <c r="J2733" s="123" t="s">
        <v>10389</v>
      </c>
      <c r="K2733" s="123" t="s">
        <v>10387</v>
      </c>
      <c r="L2733" s="131" t="s">
        <v>100</v>
      </c>
      <c r="M2733" s="135" t="s">
        <v>845</v>
      </c>
      <c r="N2733" s="123" t="s">
        <v>845</v>
      </c>
    </row>
    <row r="2734" spans="2:14" hidden="1" x14ac:dyDescent="0.25">
      <c r="B2734" s="120">
        <v>2731</v>
      </c>
      <c r="C2734" s="123">
        <v>10469400838</v>
      </c>
      <c r="D2734" s="126" t="s">
        <v>10390</v>
      </c>
      <c r="E2734" s="126" t="s">
        <v>10391</v>
      </c>
      <c r="F2734" s="123" t="s">
        <v>30</v>
      </c>
      <c r="G2734" s="123" t="s">
        <v>31</v>
      </c>
      <c r="H2734" s="123" t="s">
        <v>139</v>
      </c>
      <c r="I2734" s="126" t="s">
        <v>1564</v>
      </c>
      <c r="J2734" s="123" t="s">
        <v>10392</v>
      </c>
      <c r="K2734" s="123" t="s">
        <v>10390</v>
      </c>
      <c r="L2734" s="131" t="s">
        <v>100</v>
      </c>
      <c r="M2734" s="135" t="s">
        <v>845</v>
      </c>
      <c r="N2734" s="123" t="s">
        <v>845</v>
      </c>
    </row>
    <row r="2735" spans="2:14" hidden="1" x14ac:dyDescent="0.25">
      <c r="B2735" s="120">
        <v>2732</v>
      </c>
      <c r="C2735" s="123">
        <v>10463055713</v>
      </c>
      <c r="D2735" s="126" t="s">
        <v>10393</v>
      </c>
      <c r="E2735" s="126" t="s">
        <v>10394</v>
      </c>
      <c r="F2735" s="123" t="s">
        <v>30</v>
      </c>
      <c r="G2735" s="123" t="s">
        <v>31</v>
      </c>
      <c r="H2735" s="123" t="s">
        <v>139</v>
      </c>
      <c r="I2735" s="126" t="s">
        <v>1936</v>
      </c>
      <c r="J2735" s="123" t="s">
        <v>10395</v>
      </c>
      <c r="K2735" s="123" t="s">
        <v>10393</v>
      </c>
      <c r="L2735" s="131" t="s">
        <v>100</v>
      </c>
      <c r="M2735" s="135" t="s">
        <v>845</v>
      </c>
      <c r="N2735" s="123" t="s">
        <v>845</v>
      </c>
    </row>
    <row r="2736" spans="2:14" hidden="1" x14ac:dyDescent="0.25">
      <c r="B2736" s="120">
        <v>2733</v>
      </c>
      <c r="C2736" s="123">
        <v>10447305599</v>
      </c>
      <c r="D2736" s="126" t="s">
        <v>10396</v>
      </c>
      <c r="E2736" s="126" t="s">
        <v>10397</v>
      </c>
      <c r="F2736" s="123" t="s">
        <v>30</v>
      </c>
      <c r="G2736" s="123" t="s">
        <v>30</v>
      </c>
      <c r="H2736" s="123" t="s">
        <v>79</v>
      </c>
      <c r="I2736" s="126" t="s">
        <v>1706</v>
      </c>
      <c r="J2736" s="123" t="s">
        <v>10398</v>
      </c>
      <c r="K2736" s="123" t="s">
        <v>10399</v>
      </c>
      <c r="L2736" s="131" t="s">
        <v>100</v>
      </c>
      <c r="M2736" s="135" t="s">
        <v>845</v>
      </c>
      <c r="N2736" s="123" t="s">
        <v>845</v>
      </c>
    </row>
    <row r="2737" spans="2:14" hidden="1" x14ac:dyDescent="0.25">
      <c r="B2737" s="120">
        <v>2734</v>
      </c>
      <c r="C2737" s="123">
        <v>10708884893</v>
      </c>
      <c r="D2737" s="126" t="s">
        <v>10400</v>
      </c>
      <c r="E2737" s="126" t="s">
        <v>10401</v>
      </c>
      <c r="F2737" s="123" t="s">
        <v>30</v>
      </c>
      <c r="G2737" s="123" t="s">
        <v>30</v>
      </c>
      <c r="H2737" s="123" t="s">
        <v>51</v>
      </c>
      <c r="I2737" s="126" t="s">
        <v>1701</v>
      </c>
      <c r="J2737" s="123" t="s">
        <v>10402</v>
      </c>
      <c r="K2737" s="123" t="s">
        <v>10400</v>
      </c>
      <c r="L2737" s="131" t="s">
        <v>100</v>
      </c>
      <c r="M2737" s="135" t="s">
        <v>845</v>
      </c>
      <c r="N2737" s="123" t="s">
        <v>845</v>
      </c>
    </row>
    <row r="2738" spans="2:14" hidden="1" x14ac:dyDescent="0.25">
      <c r="B2738" s="120">
        <v>2735</v>
      </c>
      <c r="C2738" s="123">
        <v>10485990858</v>
      </c>
      <c r="D2738" s="126" t="s">
        <v>10403</v>
      </c>
      <c r="E2738" s="126" t="s">
        <v>10404</v>
      </c>
      <c r="F2738" s="123" t="s">
        <v>30</v>
      </c>
      <c r="G2738" s="123" t="s">
        <v>30</v>
      </c>
      <c r="H2738" s="123" t="s">
        <v>50</v>
      </c>
      <c r="I2738" s="126" t="s">
        <v>1478</v>
      </c>
      <c r="J2738" s="123" t="s">
        <v>10405</v>
      </c>
      <c r="K2738" s="123" t="s">
        <v>10406</v>
      </c>
      <c r="L2738" s="131" t="s">
        <v>100</v>
      </c>
      <c r="M2738" s="135" t="s">
        <v>845</v>
      </c>
      <c r="N2738" s="123" t="s">
        <v>845</v>
      </c>
    </row>
    <row r="2739" spans="2:14" hidden="1" x14ac:dyDescent="0.25">
      <c r="B2739" s="120">
        <v>2736</v>
      </c>
      <c r="C2739" s="123">
        <v>10422045169</v>
      </c>
      <c r="D2739" s="126" t="s">
        <v>10407</v>
      </c>
      <c r="E2739" s="126" t="s">
        <v>10408</v>
      </c>
      <c r="F2739" s="123" t="s">
        <v>30</v>
      </c>
      <c r="G2739" s="123" t="s">
        <v>30</v>
      </c>
      <c r="H2739" s="123" t="s">
        <v>72</v>
      </c>
      <c r="I2739" s="126" t="s">
        <v>1942</v>
      </c>
      <c r="J2739" s="123" t="s">
        <v>10409</v>
      </c>
      <c r="K2739" s="123" t="s">
        <v>10407</v>
      </c>
      <c r="L2739" s="131" t="s">
        <v>100</v>
      </c>
      <c r="M2739" s="135" t="s">
        <v>845</v>
      </c>
      <c r="N2739" s="123" t="s">
        <v>845</v>
      </c>
    </row>
    <row r="2740" spans="2:14" hidden="1" x14ac:dyDescent="0.25">
      <c r="B2740" s="120">
        <v>2737</v>
      </c>
      <c r="C2740" s="123">
        <v>10438097681</v>
      </c>
      <c r="D2740" s="126" t="s">
        <v>10410</v>
      </c>
      <c r="E2740" s="126" t="s">
        <v>10411</v>
      </c>
      <c r="F2740" s="123" t="s">
        <v>30</v>
      </c>
      <c r="G2740" s="123" t="s">
        <v>30</v>
      </c>
      <c r="H2740" s="123" t="s">
        <v>75</v>
      </c>
      <c r="I2740" s="126" t="s">
        <v>1936</v>
      </c>
      <c r="J2740" s="123" t="s">
        <v>10412</v>
      </c>
      <c r="K2740" s="123" t="s">
        <v>10413</v>
      </c>
      <c r="L2740" s="131" t="s">
        <v>100</v>
      </c>
      <c r="M2740" s="135" t="s">
        <v>845</v>
      </c>
      <c r="N2740" s="123" t="s">
        <v>845</v>
      </c>
    </row>
    <row r="2741" spans="2:14" hidden="1" x14ac:dyDescent="0.25">
      <c r="B2741" s="120">
        <v>2738</v>
      </c>
      <c r="C2741" s="123">
        <v>10419753381</v>
      </c>
      <c r="D2741" s="126" t="s">
        <v>10414</v>
      </c>
      <c r="E2741" s="126" t="s">
        <v>10415</v>
      </c>
      <c r="F2741" s="123" t="s">
        <v>30</v>
      </c>
      <c r="G2741" s="123" t="s">
        <v>30</v>
      </c>
      <c r="H2741" s="123" t="s">
        <v>75</v>
      </c>
      <c r="I2741" s="126" t="s">
        <v>1701</v>
      </c>
      <c r="J2741" s="123" t="s">
        <v>10416</v>
      </c>
      <c r="K2741" s="123" t="s">
        <v>10414</v>
      </c>
      <c r="L2741" s="131" t="s">
        <v>100</v>
      </c>
      <c r="M2741" s="135" t="s">
        <v>845</v>
      </c>
      <c r="N2741" s="123" t="s">
        <v>845</v>
      </c>
    </row>
    <row r="2742" spans="2:14" hidden="1" x14ac:dyDescent="0.25">
      <c r="B2742" s="120">
        <v>2739</v>
      </c>
      <c r="C2742" s="123">
        <v>10802714748</v>
      </c>
      <c r="D2742" s="126" t="s">
        <v>10417</v>
      </c>
      <c r="E2742" s="126" t="s">
        <v>10418</v>
      </c>
      <c r="F2742" s="123" t="s">
        <v>30</v>
      </c>
      <c r="G2742" s="123" t="s">
        <v>170</v>
      </c>
      <c r="H2742" s="123" t="s">
        <v>175</v>
      </c>
      <c r="I2742" s="126" t="s">
        <v>1424</v>
      </c>
      <c r="J2742" s="123" t="s">
        <v>10419</v>
      </c>
      <c r="K2742" s="123" t="s">
        <v>10417</v>
      </c>
      <c r="L2742" s="131" t="s">
        <v>100</v>
      </c>
      <c r="M2742" s="135" t="s">
        <v>845</v>
      </c>
      <c r="N2742" s="123" t="s">
        <v>845</v>
      </c>
    </row>
    <row r="2743" spans="2:14" hidden="1" x14ac:dyDescent="0.25">
      <c r="B2743" s="120">
        <v>2740</v>
      </c>
      <c r="C2743" s="123">
        <v>10755925930</v>
      </c>
      <c r="D2743" s="126" t="s">
        <v>10420</v>
      </c>
      <c r="E2743" s="126" t="s">
        <v>10421</v>
      </c>
      <c r="F2743" s="123" t="s">
        <v>30</v>
      </c>
      <c r="G2743" s="123" t="s">
        <v>30</v>
      </c>
      <c r="H2743" s="123" t="s">
        <v>103</v>
      </c>
      <c r="I2743" s="126" t="s">
        <v>10422</v>
      </c>
      <c r="J2743" s="123" t="s">
        <v>10423</v>
      </c>
      <c r="K2743" s="123" t="s">
        <v>10420</v>
      </c>
      <c r="L2743" s="131" t="s">
        <v>100</v>
      </c>
      <c r="M2743" s="135" t="s">
        <v>845</v>
      </c>
      <c r="N2743" s="123" t="s">
        <v>845</v>
      </c>
    </row>
    <row r="2744" spans="2:14" hidden="1" x14ac:dyDescent="0.25">
      <c r="B2744" s="120">
        <v>2741</v>
      </c>
      <c r="C2744" s="123">
        <v>10154237459</v>
      </c>
      <c r="D2744" s="126" t="s">
        <v>10424</v>
      </c>
      <c r="E2744" s="126" t="s">
        <v>10425</v>
      </c>
      <c r="F2744" s="123" t="s">
        <v>30</v>
      </c>
      <c r="G2744" s="123" t="s">
        <v>30</v>
      </c>
      <c r="H2744" s="123" t="s">
        <v>50</v>
      </c>
      <c r="I2744" s="126" t="s">
        <v>10426</v>
      </c>
      <c r="J2744" s="123" t="s">
        <v>10427</v>
      </c>
      <c r="K2744" s="123" t="s">
        <v>10428</v>
      </c>
      <c r="L2744" s="131" t="s">
        <v>100</v>
      </c>
      <c r="M2744" s="135" t="s">
        <v>845</v>
      </c>
      <c r="N2744" s="123" t="s">
        <v>845</v>
      </c>
    </row>
    <row r="2745" spans="2:14" hidden="1" x14ac:dyDescent="0.25">
      <c r="B2745" s="120">
        <v>2742</v>
      </c>
      <c r="C2745" s="123">
        <v>10429736817</v>
      </c>
      <c r="D2745" s="126" t="s">
        <v>10429</v>
      </c>
      <c r="E2745" s="126" t="s">
        <v>10430</v>
      </c>
      <c r="F2745" s="123" t="s">
        <v>30</v>
      </c>
      <c r="G2745" s="123" t="s">
        <v>30</v>
      </c>
      <c r="H2745" s="123" t="s">
        <v>88</v>
      </c>
      <c r="I2745" s="126" t="s">
        <v>10431</v>
      </c>
      <c r="J2745" s="123" t="s">
        <v>10432</v>
      </c>
      <c r="K2745" s="123" t="s">
        <v>10429</v>
      </c>
      <c r="L2745" s="131" t="s">
        <v>100</v>
      </c>
      <c r="M2745" s="135" t="s">
        <v>845</v>
      </c>
      <c r="N2745" s="123" t="s">
        <v>845</v>
      </c>
    </row>
    <row r="2746" spans="2:14" hidden="1" x14ac:dyDescent="0.25">
      <c r="B2746" s="120">
        <v>2743</v>
      </c>
      <c r="C2746" s="123">
        <v>10096305171</v>
      </c>
      <c r="D2746" s="126" t="s">
        <v>10433</v>
      </c>
      <c r="E2746" s="126" t="s">
        <v>10434</v>
      </c>
      <c r="F2746" s="123" t="s">
        <v>30</v>
      </c>
      <c r="G2746" s="123" t="s">
        <v>30</v>
      </c>
      <c r="H2746" s="123" t="s">
        <v>45</v>
      </c>
      <c r="I2746" s="126" t="s">
        <v>87</v>
      </c>
      <c r="J2746" s="123" t="s">
        <v>10435</v>
      </c>
      <c r="K2746" s="123" t="s">
        <v>10433</v>
      </c>
      <c r="L2746" s="131" t="s">
        <v>100</v>
      </c>
      <c r="M2746" s="135" t="s">
        <v>845</v>
      </c>
      <c r="N2746" s="123" t="s">
        <v>845</v>
      </c>
    </row>
    <row r="2747" spans="2:14" hidden="1" x14ac:dyDescent="0.25">
      <c r="B2747" s="120">
        <v>2744</v>
      </c>
      <c r="C2747" s="123">
        <v>10425690600</v>
      </c>
      <c r="D2747" s="126" t="s">
        <v>10436</v>
      </c>
      <c r="E2747" s="126" t="s">
        <v>10437</v>
      </c>
      <c r="F2747" s="123" t="s">
        <v>30</v>
      </c>
      <c r="G2747" s="123" t="s">
        <v>30</v>
      </c>
      <c r="H2747" s="123" t="s">
        <v>38</v>
      </c>
      <c r="I2747" s="126" t="s">
        <v>101</v>
      </c>
      <c r="J2747" s="123" t="s">
        <v>10438</v>
      </c>
      <c r="K2747" s="123" t="s">
        <v>10439</v>
      </c>
      <c r="L2747" s="131" t="s">
        <v>100</v>
      </c>
      <c r="M2747" s="135" t="s">
        <v>845</v>
      </c>
      <c r="N2747" s="123" t="s">
        <v>845</v>
      </c>
    </row>
    <row r="2748" spans="2:14" hidden="1" x14ac:dyDescent="0.25">
      <c r="B2748" s="120">
        <v>2745</v>
      </c>
      <c r="C2748" s="123">
        <v>10453501375</v>
      </c>
      <c r="D2748" s="126" t="s">
        <v>10440</v>
      </c>
      <c r="E2748" s="126" t="s">
        <v>10441</v>
      </c>
      <c r="F2748" s="123" t="s">
        <v>30</v>
      </c>
      <c r="G2748" s="123" t="s">
        <v>30</v>
      </c>
      <c r="H2748" s="123" t="s">
        <v>39</v>
      </c>
      <c r="I2748" s="126" t="s">
        <v>1564</v>
      </c>
      <c r="J2748" s="123" t="s">
        <v>10442</v>
      </c>
      <c r="K2748" s="123" t="s">
        <v>10443</v>
      </c>
      <c r="L2748" s="131" t="s">
        <v>100</v>
      </c>
      <c r="M2748" s="135" t="s">
        <v>845</v>
      </c>
      <c r="N2748" s="123" t="s">
        <v>845</v>
      </c>
    </row>
    <row r="2749" spans="2:14" hidden="1" x14ac:dyDescent="0.25">
      <c r="B2749" s="120">
        <v>2746</v>
      </c>
      <c r="C2749" s="123">
        <v>10106772253</v>
      </c>
      <c r="D2749" s="126" t="s">
        <v>10444</v>
      </c>
      <c r="E2749" s="126" t="s">
        <v>10445</v>
      </c>
      <c r="F2749" s="123" t="s">
        <v>30</v>
      </c>
      <c r="G2749" s="123" t="s">
        <v>30</v>
      </c>
      <c r="H2749" s="123" t="s">
        <v>35</v>
      </c>
      <c r="I2749" s="126" t="s">
        <v>1948</v>
      </c>
      <c r="J2749" s="123" t="s">
        <v>10446</v>
      </c>
      <c r="K2749" s="123" t="s">
        <v>10444</v>
      </c>
      <c r="L2749" s="131" t="s">
        <v>100</v>
      </c>
      <c r="M2749" s="135" t="s">
        <v>845</v>
      </c>
      <c r="N2749" s="123" t="s">
        <v>845</v>
      </c>
    </row>
    <row r="2750" spans="2:14" hidden="1" x14ac:dyDescent="0.25">
      <c r="B2750" s="120">
        <v>2747</v>
      </c>
      <c r="C2750" s="123">
        <v>10074025906</v>
      </c>
      <c r="D2750" s="126" t="s">
        <v>10447</v>
      </c>
      <c r="E2750" s="126" t="s">
        <v>10448</v>
      </c>
      <c r="F2750" s="123" t="s">
        <v>30</v>
      </c>
      <c r="G2750" s="123" t="s">
        <v>30</v>
      </c>
      <c r="H2750" s="123" t="s">
        <v>45</v>
      </c>
      <c r="I2750" s="126" t="s">
        <v>1939</v>
      </c>
      <c r="J2750" s="123" t="s">
        <v>10449</v>
      </c>
      <c r="K2750" s="123" t="s">
        <v>10447</v>
      </c>
      <c r="L2750" s="131" t="s">
        <v>100</v>
      </c>
      <c r="M2750" s="135" t="s">
        <v>845</v>
      </c>
      <c r="N2750" s="123" t="s">
        <v>845</v>
      </c>
    </row>
    <row r="2751" spans="2:14" hidden="1" x14ac:dyDescent="0.25">
      <c r="B2751" s="120">
        <v>2748</v>
      </c>
      <c r="C2751" s="123">
        <v>10472826366</v>
      </c>
      <c r="D2751" s="126" t="s">
        <v>10450</v>
      </c>
      <c r="E2751" s="126" t="s">
        <v>10451</v>
      </c>
      <c r="F2751" s="123" t="s">
        <v>30</v>
      </c>
      <c r="G2751" s="123" t="s">
        <v>170</v>
      </c>
      <c r="H2751" s="123" t="s">
        <v>171</v>
      </c>
      <c r="I2751" s="126" t="s">
        <v>1805</v>
      </c>
      <c r="J2751" s="123" t="s">
        <v>10452</v>
      </c>
      <c r="K2751" s="123" t="s">
        <v>10450</v>
      </c>
      <c r="L2751" s="131" t="s">
        <v>100</v>
      </c>
      <c r="M2751" s="135" t="s">
        <v>845</v>
      </c>
      <c r="N2751" s="123" t="s">
        <v>845</v>
      </c>
    </row>
    <row r="2752" spans="2:14" hidden="1" x14ac:dyDescent="0.25">
      <c r="B2752" s="120">
        <v>2749</v>
      </c>
      <c r="C2752" s="123">
        <v>10153567633</v>
      </c>
      <c r="D2752" s="126" t="s">
        <v>10453</v>
      </c>
      <c r="E2752" s="126" t="s">
        <v>10454</v>
      </c>
      <c r="F2752" s="123" t="s">
        <v>30</v>
      </c>
      <c r="G2752" s="123" t="s">
        <v>31</v>
      </c>
      <c r="H2752" s="123" t="s">
        <v>9381</v>
      </c>
      <c r="I2752" s="126" t="s">
        <v>3850</v>
      </c>
      <c r="J2752" s="123" t="s">
        <v>10455</v>
      </c>
      <c r="K2752" s="123" t="s">
        <v>10453</v>
      </c>
      <c r="L2752" s="131" t="s">
        <v>100</v>
      </c>
      <c r="M2752" s="135" t="s">
        <v>845</v>
      </c>
      <c r="N2752" s="123" t="s">
        <v>845</v>
      </c>
    </row>
    <row r="2753" spans="2:14" hidden="1" x14ac:dyDescent="0.25">
      <c r="B2753" s="120">
        <v>2750</v>
      </c>
      <c r="C2753" s="123">
        <v>10101299959</v>
      </c>
      <c r="D2753" s="126" t="s">
        <v>10456</v>
      </c>
      <c r="E2753" s="126" t="s">
        <v>10457</v>
      </c>
      <c r="F2753" s="123" t="s">
        <v>30</v>
      </c>
      <c r="G2753" s="123" t="s">
        <v>30</v>
      </c>
      <c r="H2753" s="123" t="s">
        <v>51</v>
      </c>
      <c r="I2753" s="126" t="s">
        <v>8884</v>
      </c>
      <c r="J2753" s="123" t="s">
        <v>10458</v>
      </c>
      <c r="K2753" s="123" t="s">
        <v>10459</v>
      </c>
      <c r="L2753" s="131" t="s">
        <v>100</v>
      </c>
      <c r="M2753" s="135" t="s">
        <v>845</v>
      </c>
      <c r="N2753" s="123" t="s">
        <v>845</v>
      </c>
    </row>
    <row r="2754" spans="2:14" hidden="1" x14ac:dyDescent="0.25">
      <c r="B2754" s="120">
        <v>2751</v>
      </c>
      <c r="C2754" s="123">
        <v>10040263620</v>
      </c>
      <c r="D2754" s="126" t="s">
        <v>10460</v>
      </c>
      <c r="E2754" s="126" t="s">
        <v>10461</v>
      </c>
      <c r="F2754" s="123" t="s">
        <v>30</v>
      </c>
      <c r="G2754" s="123" t="s">
        <v>30</v>
      </c>
      <c r="H2754" s="123" t="s">
        <v>37</v>
      </c>
      <c r="I2754" s="126" t="s">
        <v>1973</v>
      </c>
      <c r="J2754" s="123" t="s">
        <v>10462</v>
      </c>
      <c r="K2754" s="123" t="s">
        <v>10460</v>
      </c>
      <c r="L2754" s="131" t="s">
        <v>100</v>
      </c>
      <c r="M2754" s="135" t="s">
        <v>845</v>
      </c>
      <c r="N2754" s="123" t="s">
        <v>845</v>
      </c>
    </row>
    <row r="2755" spans="2:14" hidden="1" x14ac:dyDescent="0.25">
      <c r="B2755" s="120">
        <v>2752</v>
      </c>
      <c r="C2755" s="123">
        <v>10076818342</v>
      </c>
      <c r="D2755" s="126" t="s">
        <v>10463</v>
      </c>
      <c r="E2755" s="126" t="s">
        <v>10464</v>
      </c>
      <c r="F2755" s="123" t="s">
        <v>30</v>
      </c>
      <c r="G2755" s="123" t="s">
        <v>30</v>
      </c>
      <c r="H2755" s="123" t="s">
        <v>43</v>
      </c>
      <c r="I2755" s="126" t="s">
        <v>1701</v>
      </c>
      <c r="J2755" s="123" t="s">
        <v>10465</v>
      </c>
      <c r="K2755" s="123" t="s">
        <v>10463</v>
      </c>
      <c r="L2755" s="131" t="s">
        <v>100</v>
      </c>
      <c r="M2755" s="135" t="s">
        <v>845</v>
      </c>
      <c r="N2755" s="123" t="s">
        <v>845</v>
      </c>
    </row>
    <row r="2756" spans="2:14" hidden="1" x14ac:dyDescent="0.25">
      <c r="B2756" s="120">
        <v>2753</v>
      </c>
      <c r="C2756" s="123">
        <v>10154139040</v>
      </c>
      <c r="D2756" s="126" t="s">
        <v>10466</v>
      </c>
      <c r="E2756" s="126" t="s">
        <v>10467</v>
      </c>
      <c r="F2756" s="123" t="s">
        <v>30</v>
      </c>
      <c r="G2756" s="123" t="s">
        <v>31</v>
      </c>
      <c r="H2756" s="123" t="s">
        <v>145</v>
      </c>
      <c r="I2756" s="126" t="s">
        <v>1936</v>
      </c>
      <c r="J2756" s="123" t="s">
        <v>10468</v>
      </c>
      <c r="K2756" s="123" t="s">
        <v>10466</v>
      </c>
      <c r="L2756" s="131" t="s">
        <v>100</v>
      </c>
      <c r="M2756" s="135" t="s">
        <v>845</v>
      </c>
      <c r="N2756" s="123" t="s">
        <v>845</v>
      </c>
    </row>
    <row r="2757" spans="2:14" hidden="1" x14ac:dyDescent="0.25">
      <c r="B2757" s="120">
        <v>2754</v>
      </c>
      <c r="C2757" s="123">
        <v>10101549297</v>
      </c>
      <c r="D2757" s="126" t="s">
        <v>10469</v>
      </c>
      <c r="E2757" s="126" t="s">
        <v>10470</v>
      </c>
      <c r="F2757" s="123" t="s">
        <v>30</v>
      </c>
      <c r="G2757" s="123" t="s">
        <v>30</v>
      </c>
      <c r="H2757" s="123" t="s">
        <v>88</v>
      </c>
      <c r="I2757" s="126" t="s">
        <v>8825</v>
      </c>
      <c r="J2757" s="123" t="s">
        <v>10471</v>
      </c>
      <c r="K2757" s="123" t="s">
        <v>10472</v>
      </c>
      <c r="L2757" s="131" t="s">
        <v>100</v>
      </c>
      <c r="M2757" s="135" t="s">
        <v>845</v>
      </c>
      <c r="N2757" s="123" t="s">
        <v>845</v>
      </c>
    </row>
    <row r="2758" spans="2:14" hidden="1" x14ac:dyDescent="0.25">
      <c r="B2758" s="120">
        <v>2755</v>
      </c>
      <c r="C2758" s="123">
        <v>10426676368</v>
      </c>
      <c r="D2758" s="126" t="s">
        <v>10473</v>
      </c>
      <c r="E2758" s="126" t="s">
        <v>10474</v>
      </c>
      <c r="F2758" s="123" t="s">
        <v>30</v>
      </c>
      <c r="G2758" s="123" t="s">
        <v>30</v>
      </c>
      <c r="H2758" s="123" t="s">
        <v>75</v>
      </c>
      <c r="I2758" s="126" t="s">
        <v>1737</v>
      </c>
      <c r="J2758" s="123" t="s">
        <v>10475</v>
      </c>
      <c r="K2758" s="123" t="s">
        <v>10473</v>
      </c>
      <c r="L2758" s="131" t="s">
        <v>100</v>
      </c>
      <c r="M2758" s="135" t="s">
        <v>845</v>
      </c>
      <c r="N2758" s="123" t="s">
        <v>845</v>
      </c>
    </row>
    <row r="2759" spans="2:14" hidden="1" x14ac:dyDescent="0.25">
      <c r="B2759" s="120">
        <v>2756</v>
      </c>
      <c r="C2759" s="123">
        <v>10467895601</v>
      </c>
      <c r="D2759" s="126" t="s">
        <v>10476</v>
      </c>
      <c r="E2759" s="126" t="s">
        <v>10477</v>
      </c>
      <c r="F2759" s="123" t="s">
        <v>30</v>
      </c>
      <c r="G2759" s="123" t="s">
        <v>30</v>
      </c>
      <c r="H2759" s="123" t="s">
        <v>68</v>
      </c>
      <c r="I2759" s="126" t="s">
        <v>9014</v>
      </c>
      <c r="J2759" s="123" t="s">
        <v>10478</v>
      </c>
      <c r="K2759" s="123" t="s">
        <v>10476</v>
      </c>
      <c r="L2759" s="131" t="s">
        <v>100</v>
      </c>
      <c r="M2759" s="135" t="s">
        <v>845</v>
      </c>
      <c r="N2759" s="123" t="s">
        <v>845</v>
      </c>
    </row>
    <row r="2760" spans="2:14" hidden="1" x14ac:dyDescent="0.25">
      <c r="B2760" s="120">
        <v>2757</v>
      </c>
      <c r="C2760" s="123">
        <v>10068542125</v>
      </c>
      <c r="D2760" s="126" t="s">
        <v>10479</v>
      </c>
      <c r="E2760" s="126" t="s">
        <v>10480</v>
      </c>
      <c r="F2760" s="123" t="s">
        <v>30</v>
      </c>
      <c r="G2760" s="123" t="s">
        <v>30</v>
      </c>
      <c r="H2760" s="123" t="s">
        <v>50</v>
      </c>
      <c r="I2760" s="126" t="s">
        <v>1935</v>
      </c>
      <c r="J2760" s="123" t="s">
        <v>10481</v>
      </c>
      <c r="K2760" s="123" t="s">
        <v>10482</v>
      </c>
      <c r="L2760" s="131" t="s">
        <v>100</v>
      </c>
      <c r="M2760" s="135" t="s">
        <v>845</v>
      </c>
      <c r="N2760" s="123" t="s">
        <v>845</v>
      </c>
    </row>
    <row r="2761" spans="2:14" hidden="1" x14ac:dyDescent="0.25">
      <c r="B2761" s="120">
        <v>2758</v>
      </c>
      <c r="C2761" s="123">
        <v>10430219974</v>
      </c>
      <c r="D2761" s="126" t="s">
        <v>10483</v>
      </c>
      <c r="E2761" s="126" t="s">
        <v>10484</v>
      </c>
      <c r="F2761" s="123" t="s">
        <v>30</v>
      </c>
      <c r="G2761" s="123" t="s">
        <v>170</v>
      </c>
      <c r="H2761" s="123" t="s">
        <v>174</v>
      </c>
      <c r="I2761" s="126" t="s">
        <v>1809</v>
      </c>
      <c r="J2761" s="123" t="s">
        <v>10485</v>
      </c>
      <c r="K2761" s="123" t="s">
        <v>10483</v>
      </c>
      <c r="L2761" s="131" t="s">
        <v>100</v>
      </c>
      <c r="M2761" s="135" t="s">
        <v>845</v>
      </c>
      <c r="N2761" s="123" t="s">
        <v>845</v>
      </c>
    </row>
    <row r="2762" spans="2:14" hidden="1" x14ac:dyDescent="0.25">
      <c r="B2762" s="120">
        <v>2759</v>
      </c>
      <c r="C2762" s="123">
        <v>10157266468</v>
      </c>
      <c r="D2762" s="126" t="s">
        <v>10486</v>
      </c>
      <c r="E2762" s="126" t="s">
        <v>10487</v>
      </c>
      <c r="F2762" s="123" t="s">
        <v>30</v>
      </c>
      <c r="G2762" s="123" t="s">
        <v>54</v>
      </c>
      <c r="H2762" s="123" t="s">
        <v>55</v>
      </c>
      <c r="I2762" s="126" t="s">
        <v>1551</v>
      </c>
      <c r="J2762" s="123" t="s">
        <v>10488</v>
      </c>
      <c r="K2762" s="123" t="s">
        <v>10486</v>
      </c>
      <c r="L2762" s="131" t="s">
        <v>100</v>
      </c>
      <c r="M2762" s="135" t="s">
        <v>845</v>
      </c>
      <c r="N2762" s="123" t="s">
        <v>845</v>
      </c>
    </row>
    <row r="2763" spans="2:14" hidden="1" x14ac:dyDescent="0.25">
      <c r="B2763" s="120">
        <v>2760</v>
      </c>
      <c r="C2763" s="123">
        <v>10094762354</v>
      </c>
      <c r="D2763" s="126" t="s">
        <v>10489</v>
      </c>
      <c r="E2763" s="126" t="s">
        <v>10490</v>
      </c>
      <c r="F2763" s="123" t="s">
        <v>30</v>
      </c>
      <c r="G2763" s="123" t="s">
        <v>30</v>
      </c>
      <c r="H2763" s="123" t="s">
        <v>50</v>
      </c>
      <c r="I2763" s="126" t="s">
        <v>1942</v>
      </c>
      <c r="J2763" s="123" t="s">
        <v>10491</v>
      </c>
      <c r="K2763" s="123" t="s">
        <v>10492</v>
      </c>
      <c r="L2763" s="131" t="s">
        <v>100</v>
      </c>
      <c r="M2763" s="135" t="s">
        <v>845</v>
      </c>
      <c r="N2763" s="123" t="s">
        <v>845</v>
      </c>
    </row>
    <row r="2764" spans="2:14" hidden="1" x14ac:dyDescent="0.25">
      <c r="B2764" s="120">
        <v>2761</v>
      </c>
      <c r="C2764" s="123">
        <v>10718388177</v>
      </c>
      <c r="D2764" s="126" t="s">
        <v>10493</v>
      </c>
      <c r="E2764" s="126" t="s">
        <v>10494</v>
      </c>
      <c r="F2764" s="123" t="s">
        <v>30</v>
      </c>
      <c r="G2764" s="123" t="s">
        <v>30</v>
      </c>
      <c r="H2764" s="123" t="s">
        <v>50</v>
      </c>
      <c r="I2764" s="126" t="s">
        <v>10495</v>
      </c>
      <c r="J2764" s="123" t="s">
        <v>10496</v>
      </c>
      <c r="K2764" s="123" t="s">
        <v>10493</v>
      </c>
      <c r="L2764" s="131" t="s">
        <v>100</v>
      </c>
      <c r="M2764" s="135" t="s">
        <v>845</v>
      </c>
      <c r="N2764" s="123" t="s">
        <v>845</v>
      </c>
    </row>
    <row r="2765" spans="2:14" hidden="1" x14ac:dyDescent="0.25">
      <c r="B2765" s="120">
        <v>2762</v>
      </c>
      <c r="C2765" s="123">
        <v>10717331848</v>
      </c>
      <c r="D2765" s="126" t="s">
        <v>10497</v>
      </c>
      <c r="E2765" s="126" t="s">
        <v>10498</v>
      </c>
      <c r="F2765" s="123" t="s">
        <v>61</v>
      </c>
      <c r="G2765" s="123" t="s">
        <v>62</v>
      </c>
      <c r="H2765" s="123" t="s">
        <v>10499</v>
      </c>
      <c r="I2765" s="126" t="s">
        <v>1694</v>
      </c>
      <c r="J2765" s="123" t="s">
        <v>10500</v>
      </c>
      <c r="K2765" s="123" t="s">
        <v>10501</v>
      </c>
      <c r="L2765" s="131" t="s">
        <v>100</v>
      </c>
      <c r="M2765" s="135" t="s">
        <v>845</v>
      </c>
      <c r="N2765" s="123" t="s">
        <v>845</v>
      </c>
    </row>
    <row r="2766" spans="2:14" hidden="1" x14ac:dyDescent="0.25">
      <c r="B2766" s="120">
        <v>2763</v>
      </c>
      <c r="C2766" s="123">
        <v>10445445059</v>
      </c>
      <c r="D2766" s="126" t="s">
        <v>10502</v>
      </c>
      <c r="E2766" s="126" t="s">
        <v>10503</v>
      </c>
      <c r="F2766" s="123" t="s">
        <v>30</v>
      </c>
      <c r="G2766" s="123" t="s">
        <v>30</v>
      </c>
      <c r="H2766" s="123" t="s">
        <v>30</v>
      </c>
      <c r="I2766" s="126" t="s">
        <v>1967</v>
      </c>
      <c r="J2766" s="123" t="s">
        <v>10504</v>
      </c>
      <c r="K2766" s="123" t="s">
        <v>10505</v>
      </c>
      <c r="L2766" s="131" t="s">
        <v>100</v>
      </c>
      <c r="M2766" s="135" t="s">
        <v>845</v>
      </c>
      <c r="N2766" s="123" t="s">
        <v>845</v>
      </c>
    </row>
    <row r="2767" spans="2:14" hidden="1" x14ac:dyDescent="0.25">
      <c r="B2767" s="120">
        <v>2764</v>
      </c>
      <c r="C2767" s="123">
        <v>10076215664</v>
      </c>
      <c r="D2767" s="126" t="s">
        <v>10506</v>
      </c>
      <c r="E2767" s="126" t="s">
        <v>10507</v>
      </c>
      <c r="F2767" s="123" t="s">
        <v>30</v>
      </c>
      <c r="G2767" s="123" t="s">
        <v>30</v>
      </c>
      <c r="H2767" s="123" t="s">
        <v>45</v>
      </c>
      <c r="I2767" s="126" t="s">
        <v>8659</v>
      </c>
      <c r="J2767" s="123" t="s">
        <v>10508</v>
      </c>
      <c r="K2767" s="123" t="s">
        <v>10506</v>
      </c>
      <c r="L2767" s="131" t="s">
        <v>100</v>
      </c>
      <c r="M2767" s="135" t="s">
        <v>845</v>
      </c>
      <c r="N2767" s="123" t="s">
        <v>845</v>
      </c>
    </row>
    <row r="2768" spans="2:14" hidden="1" x14ac:dyDescent="0.25">
      <c r="B2768" s="120">
        <v>2765</v>
      </c>
      <c r="C2768" s="123">
        <v>10200791148</v>
      </c>
      <c r="D2768" s="126" t="s">
        <v>10509</v>
      </c>
      <c r="E2768" s="126" t="s">
        <v>10510</v>
      </c>
      <c r="F2768" s="123" t="s">
        <v>30</v>
      </c>
      <c r="G2768" s="123" t="s">
        <v>30</v>
      </c>
      <c r="H2768" s="123" t="s">
        <v>52</v>
      </c>
      <c r="I2768" s="126" t="s">
        <v>8743</v>
      </c>
      <c r="J2768" s="123" t="s">
        <v>10511</v>
      </c>
      <c r="K2768" s="123" t="s">
        <v>10509</v>
      </c>
      <c r="L2768" s="131" t="s">
        <v>100</v>
      </c>
      <c r="M2768" s="135" t="s">
        <v>845</v>
      </c>
      <c r="N2768" s="123" t="s">
        <v>845</v>
      </c>
    </row>
    <row r="2769" spans="2:14" hidden="1" x14ac:dyDescent="0.25">
      <c r="B2769" s="120">
        <v>2766</v>
      </c>
      <c r="C2769" s="123">
        <v>10107631173</v>
      </c>
      <c r="D2769" s="126" t="s">
        <v>10512</v>
      </c>
      <c r="E2769" s="126" t="s">
        <v>10513</v>
      </c>
      <c r="F2769" s="123" t="s">
        <v>30</v>
      </c>
      <c r="G2769" s="123" t="s">
        <v>30</v>
      </c>
      <c r="H2769" s="123" t="s">
        <v>127</v>
      </c>
      <c r="I2769" s="126" t="s">
        <v>1424</v>
      </c>
      <c r="J2769" s="123" t="s">
        <v>10514</v>
      </c>
      <c r="K2769" s="123" t="s">
        <v>10512</v>
      </c>
      <c r="L2769" s="131" t="s">
        <v>100</v>
      </c>
      <c r="M2769" s="135" t="s">
        <v>845</v>
      </c>
      <c r="N2769" s="123" t="s">
        <v>845</v>
      </c>
    </row>
    <row r="2770" spans="2:14" hidden="1" x14ac:dyDescent="0.25">
      <c r="B2770" s="120">
        <v>2767</v>
      </c>
      <c r="C2770" s="123">
        <v>10437129270</v>
      </c>
      <c r="D2770" s="126" t="s">
        <v>10515</v>
      </c>
      <c r="E2770" s="126" t="s">
        <v>10516</v>
      </c>
      <c r="F2770" s="123" t="s">
        <v>67</v>
      </c>
      <c r="G2770" s="123" t="s">
        <v>67</v>
      </c>
      <c r="H2770" s="123" t="s">
        <v>94</v>
      </c>
      <c r="I2770" s="126" t="s">
        <v>1701</v>
      </c>
      <c r="J2770" s="123" t="s">
        <v>10517</v>
      </c>
      <c r="K2770" s="123" t="s">
        <v>10515</v>
      </c>
      <c r="L2770" s="131" t="s">
        <v>100</v>
      </c>
      <c r="M2770" s="135" t="s">
        <v>845</v>
      </c>
      <c r="N2770" s="123" t="s">
        <v>845</v>
      </c>
    </row>
    <row r="2771" spans="2:14" hidden="1" x14ac:dyDescent="0.25">
      <c r="B2771" s="120">
        <v>2768</v>
      </c>
      <c r="C2771" s="123">
        <v>10454663263</v>
      </c>
      <c r="D2771" s="126" t="s">
        <v>10518</v>
      </c>
      <c r="E2771" s="126" t="s">
        <v>10519</v>
      </c>
      <c r="F2771" s="123" t="s">
        <v>30</v>
      </c>
      <c r="G2771" s="123" t="s">
        <v>168</v>
      </c>
      <c r="H2771" s="123" t="s">
        <v>168</v>
      </c>
      <c r="I2771" s="126" t="s">
        <v>10520</v>
      </c>
      <c r="J2771" s="123" t="s">
        <v>10521</v>
      </c>
      <c r="K2771" s="123" t="s">
        <v>10518</v>
      </c>
      <c r="L2771" s="131" t="s">
        <v>100</v>
      </c>
      <c r="M2771" s="135" t="s">
        <v>845</v>
      </c>
      <c r="N2771" s="123" t="s">
        <v>845</v>
      </c>
    </row>
    <row r="2772" spans="2:14" hidden="1" x14ac:dyDescent="0.25">
      <c r="B2772" s="120">
        <v>2769</v>
      </c>
      <c r="C2772" s="123">
        <v>10749227686</v>
      </c>
      <c r="D2772" s="126" t="s">
        <v>10522</v>
      </c>
      <c r="E2772" s="126" t="s">
        <v>10523</v>
      </c>
      <c r="F2772" s="123" t="s">
        <v>30</v>
      </c>
      <c r="G2772" s="123" t="s">
        <v>30</v>
      </c>
      <c r="H2772" s="123" t="s">
        <v>43</v>
      </c>
      <c r="I2772" s="126" t="s">
        <v>1484</v>
      </c>
      <c r="J2772" s="123" t="s">
        <v>10524</v>
      </c>
      <c r="K2772" s="123" t="s">
        <v>10525</v>
      </c>
      <c r="L2772" s="131" t="s">
        <v>100</v>
      </c>
      <c r="M2772" s="135" t="s">
        <v>845</v>
      </c>
      <c r="N2772" s="123" t="s">
        <v>845</v>
      </c>
    </row>
    <row r="2773" spans="2:14" hidden="1" x14ac:dyDescent="0.25">
      <c r="B2773" s="120">
        <v>2770</v>
      </c>
      <c r="C2773" s="123">
        <v>10099676502</v>
      </c>
      <c r="D2773" s="126" t="s">
        <v>10526</v>
      </c>
      <c r="E2773" s="126" t="s">
        <v>10527</v>
      </c>
      <c r="F2773" s="123" t="s">
        <v>30</v>
      </c>
      <c r="G2773" s="123" t="s">
        <v>30</v>
      </c>
      <c r="H2773" s="123" t="s">
        <v>50</v>
      </c>
      <c r="I2773" s="126" t="s">
        <v>1701</v>
      </c>
      <c r="J2773" s="123" t="s">
        <v>10528</v>
      </c>
      <c r="K2773" s="123" t="s">
        <v>10526</v>
      </c>
      <c r="L2773" s="131" t="s">
        <v>100</v>
      </c>
      <c r="M2773" s="135" t="s">
        <v>845</v>
      </c>
      <c r="N2773" s="123" t="s">
        <v>845</v>
      </c>
    </row>
    <row r="2774" spans="2:14" hidden="1" x14ac:dyDescent="0.25">
      <c r="B2774" s="120">
        <v>2771</v>
      </c>
      <c r="C2774" s="123">
        <v>10478574261</v>
      </c>
      <c r="D2774" s="126" t="s">
        <v>10529</v>
      </c>
      <c r="E2774" s="126" t="s">
        <v>10530</v>
      </c>
      <c r="F2774" s="123" t="s">
        <v>30</v>
      </c>
      <c r="G2774" s="123" t="s">
        <v>30</v>
      </c>
      <c r="H2774" s="123" t="s">
        <v>127</v>
      </c>
      <c r="I2774" s="126" t="s">
        <v>1953</v>
      </c>
      <c r="J2774" s="123" t="s">
        <v>10531</v>
      </c>
      <c r="K2774" s="123" t="s">
        <v>10532</v>
      </c>
      <c r="L2774" s="131" t="s">
        <v>100</v>
      </c>
      <c r="M2774" s="135" t="s">
        <v>845</v>
      </c>
      <c r="N2774" s="123" t="s">
        <v>845</v>
      </c>
    </row>
    <row r="2775" spans="2:14" hidden="1" x14ac:dyDescent="0.25">
      <c r="B2775" s="120">
        <v>2772</v>
      </c>
      <c r="C2775" s="123">
        <v>10040692083</v>
      </c>
      <c r="D2775" s="126" t="s">
        <v>10533</v>
      </c>
      <c r="E2775" s="126" t="s">
        <v>10534</v>
      </c>
      <c r="F2775" s="123" t="s">
        <v>2326</v>
      </c>
      <c r="G2775" s="123" t="s">
        <v>2326</v>
      </c>
      <c r="H2775" s="123" t="s">
        <v>10535</v>
      </c>
      <c r="I2775" s="126" t="s">
        <v>1767</v>
      </c>
      <c r="J2775" s="123" t="s">
        <v>10536</v>
      </c>
      <c r="K2775" s="123" t="s">
        <v>10537</v>
      </c>
      <c r="L2775" s="131" t="s">
        <v>100</v>
      </c>
      <c r="M2775" s="135" t="s">
        <v>845</v>
      </c>
      <c r="N2775" s="123" t="s">
        <v>845</v>
      </c>
    </row>
    <row r="2776" spans="2:14" hidden="1" x14ac:dyDescent="0.25">
      <c r="B2776" s="120">
        <v>2773</v>
      </c>
      <c r="C2776" s="123">
        <v>10482484323</v>
      </c>
      <c r="D2776" s="126" t="s">
        <v>10538</v>
      </c>
      <c r="E2776" s="126" t="s">
        <v>10539</v>
      </c>
      <c r="F2776" s="123" t="s">
        <v>30</v>
      </c>
      <c r="G2776" s="123" t="s">
        <v>30</v>
      </c>
      <c r="H2776" s="123" t="s">
        <v>85</v>
      </c>
      <c r="I2776" s="126" t="s">
        <v>1706</v>
      </c>
      <c r="J2776" s="123" t="s">
        <v>10540</v>
      </c>
      <c r="K2776" s="123" t="s">
        <v>10538</v>
      </c>
      <c r="L2776" s="131" t="s">
        <v>100</v>
      </c>
      <c r="M2776" s="135" t="s">
        <v>845</v>
      </c>
      <c r="N2776" s="123" t="s">
        <v>845</v>
      </c>
    </row>
    <row r="2777" spans="2:14" hidden="1" x14ac:dyDescent="0.25">
      <c r="B2777" s="120">
        <v>2774</v>
      </c>
      <c r="C2777" s="123">
        <v>10763179252</v>
      </c>
      <c r="D2777" s="126" t="s">
        <v>10541</v>
      </c>
      <c r="E2777" s="126" t="s">
        <v>10542</v>
      </c>
      <c r="F2777" s="123" t="s">
        <v>30</v>
      </c>
      <c r="G2777" s="123" t="s">
        <v>30</v>
      </c>
      <c r="H2777" s="123" t="s">
        <v>60</v>
      </c>
      <c r="I2777" s="126" t="s">
        <v>1931</v>
      </c>
      <c r="J2777" s="123" t="s">
        <v>10543</v>
      </c>
      <c r="K2777" s="123" t="s">
        <v>10541</v>
      </c>
      <c r="L2777" s="131" t="s">
        <v>100</v>
      </c>
      <c r="M2777" s="135" t="s">
        <v>845</v>
      </c>
      <c r="N2777" s="123" t="s">
        <v>845</v>
      </c>
    </row>
    <row r="2778" spans="2:14" hidden="1" x14ac:dyDescent="0.25">
      <c r="B2778" s="120">
        <v>2775</v>
      </c>
      <c r="C2778" s="123">
        <v>10466359683</v>
      </c>
      <c r="D2778" s="126" t="s">
        <v>10544</v>
      </c>
      <c r="E2778" s="126" t="s">
        <v>10545</v>
      </c>
      <c r="F2778" s="123" t="s">
        <v>30</v>
      </c>
      <c r="G2778" s="123" t="s">
        <v>30</v>
      </c>
      <c r="H2778" s="123" t="s">
        <v>75</v>
      </c>
      <c r="I2778" s="126" t="s">
        <v>1643</v>
      </c>
      <c r="J2778" s="123" t="s">
        <v>10546</v>
      </c>
      <c r="K2778" s="123" t="s">
        <v>10547</v>
      </c>
      <c r="L2778" s="131" t="s">
        <v>100</v>
      </c>
      <c r="M2778" s="135" t="s">
        <v>845</v>
      </c>
      <c r="N2778" s="123" t="s">
        <v>845</v>
      </c>
    </row>
    <row r="2779" spans="2:14" hidden="1" x14ac:dyDescent="0.25">
      <c r="B2779" s="120">
        <v>2776</v>
      </c>
      <c r="C2779" s="123">
        <v>10402199763</v>
      </c>
      <c r="D2779" s="126" t="s">
        <v>10548</v>
      </c>
      <c r="E2779" s="126" t="s">
        <v>10549</v>
      </c>
      <c r="F2779" s="123" t="s">
        <v>30</v>
      </c>
      <c r="G2779" s="123" t="s">
        <v>54</v>
      </c>
      <c r="H2779" s="123" t="s">
        <v>54</v>
      </c>
      <c r="I2779" s="126" t="s">
        <v>1942</v>
      </c>
      <c r="J2779" s="123" t="s">
        <v>10550</v>
      </c>
      <c r="K2779" s="123" t="s">
        <v>10548</v>
      </c>
      <c r="L2779" s="131" t="s">
        <v>100</v>
      </c>
      <c r="M2779" s="135" t="s">
        <v>845</v>
      </c>
      <c r="N2779" s="123" t="s">
        <v>845</v>
      </c>
    </row>
    <row r="2780" spans="2:14" hidden="1" x14ac:dyDescent="0.25">
      <c r="B2780" s="120">
        <v>2777</v>
      </c>
      <c r="C2780" s="123">
        <v>10208916101</v>
      </c>
      <c r="D2780" s="126" t="s">
        <v>10551</v>
      </c>
      <c r="E2780" s="126" t="s">
        <v>10552</v>
      </c>
      <c r="F2780" s="123" t="s">
        <v>30</v>
      </c>
      <c r="G2780" s="123" t="s">
        <v>30</v>
      </c>
      <c r="H2780" s="123" t="s">
        <v>40</v>
      </c>
      <c r="I2780" s="126" t="s">
        <v>1655</v>
      </c>
      <c r="J2780" s="123" t="s">
        <v>10553</v>
      </c>
      <c r="K2780" s="123" t="s">
        <v>10551</v>
      </c>
      <c r="L2780" s="131" t="s">
        <v>100</v>
      </c>
      <c r="M2780" s="135" t="s">
        <v>845</v>
      </c>
      <c r="N2780" s="123" t="s">
        <v>845</v>
      </c>
    </row>
    <row r="2781" spans="2:14" hidden="1" x14ac:dyDescent="0.25">
      <c r="B2781" s="120">
        <v>2778</v>
      </c>
      <c r="C2781" s="123">
        <v>10463166701</v>
      </c>
      <c r="D2781" s="126" t="s">
        <v>10554</v>
      </c>
      <c r="E2781" s="126" t="s">
        <v>10555</v>
      </c>
      <c r="F2781" s="123" t="s">
        <v>30</v>
      </c>
      <c r="G2781" s="123" t="s">
        <v>30</v>
      </c>
      <c r="H2781" s="123" t="s">
        <v>51</v>
      </c>
      <c r="I2781" s="126" t="s">
        <v>1701</v>
      </c>
      <c r="J2781" s="123" t="s">
        <v>10556</v>
      </c>
      <c r="K2781" s="123" t="s">
        <v>10554</v>
      </c>
      <c r="L2781" s="131" t="s">
        <v>100</v>
      </c>
      <c r="M2781" s="135" t="s">
        <v>845</v>
      </c>
      <c r="N2781" s="123" t="s">
        <v>845</v>
      </c>
    </row>
    <row r="2782" spans="2:14" hidden="1" x14ac:dyDescent="0.25">
      <c r="B2782" s="120">
        <v>2779</v>
      </c>
      <c r="C2782" s="123">
        <v>10103759264</v>
      </c>
      <c r="D2782" s="126" t="s">
        <v>10557</v>
      </c>
      <c r="E2782" s="126" t="s">
        <v>10558</v>
      </c>
      <c r="F2782" s="123" t="s">
        <v>30</v>
      </c>
      <c r="G2782" s="123" t="s">
        <v>30</v>
      </c>
      <c r="H2782" s="123" t="s">
        <v>64</v>
      </c>
      <c r="I2782" s="126" t="s">
        <v>1942</v>
      </c>
      <c r="J2782" s="123" t="s">
        <v>10559</v>
      </c>
      <c r="K2782" s="123" t="s">
        <v>10557</v>
      </c>
      <c r="L2782" s="131" t="s">
        <v>100</v>
      </c>
      <c r="M2782" s="135" t="s">
        <v>845</v>
      </c>
      <c r="N2782" s="123" t="s">
        <v>845</v>
      </c>
    </row>
    <row r="2783" spans="2:14" hidden="1" x14ac:dyDescent="0.25">
      <c r="B2783" s="120">
        <v>2780</v>
      </c>
      <c r="C2783" s="123">
        <v>10437029704</v>
      </c>
      <c r="D2783" s="126" t="s">
        <v>10560</v>
      </c>
      <c r="E2783" s="126" t="s">
        <v>10561</v>
      </c>
      <c r="F2783" s="123" t="s">
        <v>30</v>
      </c>
      <c r="G2783" s="123" t="s">
        <v>30</v>
      </c>
      <c r="H2783" s="123" t="s">
        <v>30</v>
      </c>
      <c r="I2783" s="126" t="s">
        <v>1805</v>
      </c>
      <c r="J2783" s="123" t="s">
        <v>10562</v>
      </c>
      <c r="K2783" s="123" t="s">
        <v>10560</v>
      </c>
      <c r="L2783" s="131" t="s">
        <v>100</v>
      </c>
      <c r="M2783" s="135" t="s">
        <v>845</v>
      </c>
      <c r="N2783" s="123" t="s">
        <v>845</v>
      </c>
    </row>
    <row r="2784" spans="2:14" hidden="1" x14ac:dyDescent="0.25">
      <c r="B2784" s="120">
        <v>2781</v>
      </c>
      <c r="C2784" s="123">
        <v>10167754738</v>
      </c>
      <c r="D2784" s="126" t="s">
        <v>10563</v>
      </c>
      <c r="E2784" s="126" t="s">
        <v>10564</v>
      </c>
      <c r="F2784" s="123" t="s">
        <v>30</v>
      </c>
      <c r="G2784" s="123" t="s">
        <v>30</v>
      </c>
      <c r="H2784" s="123" t="s">
        <v>88</v>
      </c>
      <c r="I2784" s="126" t="s">
        <v>1983</v>
      </c>
      <c r="J2784" s="123" t="s">
        <v>10565</v>
      </c>
      <c r="K2784" s="123" t="s">
        <v>10563</v>
      </c>
      <c r="L2784" s="131" t="s">
        <v>100</v>
      </c>
      <c r="M2784" s="135" t="s">
        <v>845</v>
      </c>
      <c r="N2784" s="123" t="s">
        <v>845</v>
      </c>
    </row>
    <row r="2785" spans="2:14" hidden="1" x14ac:dyDescent="0.25">
      <c r="B2785" s="120">
        <v>2782</v>
      </c>
      <c r="C2785" s="123">
        <v>10102383279</v>
      </c>
      <c r="D2785" s="126" t="s">
        <v>10566</v>
      </c>
      <c r="E2785" s="126" t="s">
        <v>10567</v>
      </c>
      <c r="F2785" s="123" t="s">
        <v>30</v>
      </c>
      <c r="G2785" s="123" t="s">
        <v>30</v>
      </c>
      <c r="H2785" s="123" t="s">
        <v>60</v>
      </c>
      <c r="I2785" s="126" t="s">
        <v>1931</v>
      </c>
      <c r="J2785" s="123" t="s">
        <v>10568</v>
      </c>
      <c r="K2785" s="123" t="s">
        <v>10569</v>
      </c>
      <c r="L2785" s="131" t="s">
        <v>100</v>
      </c>
      <c r="M2785" s="135" t="s">
        <v>845</v>
      </c>
      <c r="N2785" s="123" t="s">
        <v>845</v>
      </c>
    </row>
    <row r="2786" spans="2:14" hidden="1" x14ac:dyDescent="0.25">
      <c r="B2786" s="120">
        <v>2783</v>
      </c>
      <c r="C2786" s="123">
        <v>10430351546</v>
      </c>
      <c r="D2786" s="126" t="s">
        <v>10570</v>
      </c>
      <c r="E2786" s="126" t="s">
        <v>10571</v>
      </c>
      <c r="F2786" s="123" t="s">
        <v>30</v>
      </c>
      <c r="G2786" s="123" t="s">
        <v>31</v>
      </c>
      <c r="H2786" s="123" t="s">
        <v>9381</v>
      </c>
      <c r="I2786" s="126" t="s">
        <v>10572</v>
      </c>
      <c r="J2786" s="123" t="s">
        <v>10573</v>
      </c>
      <c r="K2786" s="123" t="s">
        <v>10570</v>
      </c>
      <c r="L2786" s="131" t="s">
        <v>100</v>
      </c>
      <c r="M2786" s="135" t="s">
        <v>845</v>
      </c>
      <c r="N2786" s="123" t="s">
        <v>845</v>
      </c>
    </row>
    <row r="2787" spans="2:14" hidden="1" x14ac:dyDescent="0.25">
      <c r="B2787" s="120">
        <v>2784</v>
      </c>
      <c r="C2787" s="123">
        <v>10431595546</v>
      </c>
      <c r="D2787" s="126" t="s">
        <v>10574</v>
      </c>
      <c r="E2787" s="126" t="s">
        <v>10575</v>
      </c>
      <c r="F2787" s="123" t="s">
        <v>30</v>
      </c>
      <c r="G2787" s="123" t="s">
        <v>30</v>
      </c>
      <c r="H2787" s="123" t="s">
        <v>51</v>
      </c>
      <c r="I2787" s="126" t="s">
        <v>1932</v>
      </c>
      <c r="J2787" s="123" t="s">
        <v>10576</v>
      </c>
      <c r="K2787" s="123" t="s">
        <v>10574</v>
      </c>
      <c r="L2787" s="131" t="s">
        <v>100</v>
      </c>
      <c r="M2787" s="135" t="s">
        <v>845</v>
      </c>
      <c r="N2787" s="123" t="s">
        <v>845</v>
      </c>
    </row>
    <row r="2788" spans="2:14" hidden="1" x14ac:dyDescent="0.25">
      <c r="B2788" s="120">
        <v>2785</v>
      </c>
      <c r="C2788" s="123">
        <v>10156896221</v>
      </c>
      <c r="D2788" s="126" t="s">
        <v>10577</v>
      </c>
      <c r="E2788" s="126" t="s">
        <v>10578</v>
      </c>
      <c r="F2788" s="123" t="s">
        <v>30</v>
      </c>
      <c r="G2788" s="123" t="s">
        <v>170</v>
      </c>
      <c r="H2788" s="123" t="s">
        <v>174</v>
      </c>
      <c r="I2788" s="126" t="s">
        <v>1701</v>
      </c>
      <c r="J2788" s="123" t="s">
        <v>10579</v>
      </c>
      <c r="K2788" s="123" t="s">
        <v>10577</v>
      </c>
      <c r="L2788" s="131" t="s">
        <v>100</v>
      </c>
      <c r="M2788" s="135" t="s">
        <v>845</v>
      </c>
      <c r="N2788" s="123" t="s">
        <v>845</v>
      </c>
    </row>
    <row r="2789" spans="2:14" hidden="1" x14ac:dyDescent="0.25">
      <c r="B2789" s="120">
        <v>2786</v>
      </c>
      <c r="C2789" s="123">
        <v>10461878003</v>
      </c>
      <c r="D2789" s="126" t="s">
        <v>10580</v>
      </c>
      <c r="E2789" s="126" t="s">
        <v>10581</v>
      </c>
      <c r="F2789" s="123" t="s">
        <v>30</v>
      </c>
      <c r="G2789" s="123" t="s">
        <v>30</v>
      </c>
      <c r="H2789" s="123" t="s">
        <v>250</v>
      </c>
      <c r="I2789" s="126" t="s">
        <v>1701</v>
      </c>
      <c r="J2789" s="123" t="s">
        <v>10582</v>
      </c>
      <c r="K2789" s="123" t="s">
        <v>10580</v>
      </c>
      <c r="L2789" s="131" t="s">
        <v>100</v>
      </c>
      <c r="M2789" s="135" t="s">
        <v>845</v>
      </c>
      <c r="N2789" s="123" t="s">
        <v>845</v>
      </c>
    </row>
    <row r="2790" spans="2:14" hidden="1" x14ac:dyDescent="0.25">
      <c r="B2790" s="120">
        <v>2787</v>
      </c>
      <c r="C2790" s="123">
        <v>10157124094</v>
      </c>
      <c r="D2790" s="126" t="s">
        <v>10583</v>
      </c>
      <c r="E2790" s="126" t="s">
        <v>10584</v>
      </c>
      <c r="F2790" s="123" t="s">
        <v>30</v>
      </c>
      <c r="G2790" s="123" t="s">
        <v>168</v>
      </c>
      <c r="H2790" s="123" t="s">
        <v>177</v>
      </c>
      <c r="I2790" s="126" t="s">
        <v>1930</v>
      </c>
      <c r="J2790" s="123" t="s">
        <v>10585</v>
      </c>
      <c r="K2790" s="123" t="s">
        <v>10583</v>
      </c>
      <c r="L2790" s="131" t="s">
        <v>100</v>
      </c>
      <c r="M2790" s="135" t="s">
        <v>845</v>
      </c>
      <c r="N2790" s="123" t="s">
        <v>845</v>
      </c>
    </row>
    <row r="2791" spans="2:14" hidden="1" x14ac:dyDescent="0.25">
      <c r="B2791" s="120">
        <v>2788</v>
      </c>
      <c r="C2791" s="123">
        <v>10433118737</v>
      </c>
      <c r="D2791" s="126" t="s">
        <v>10586</v>
      </c>
      <c r="E2791" s="126" t="s">
        <v>10587</v>
      </c>
      <c r="F2791" s="123" t="s">
        <v>30</v>
      </c>
      <c r="G2791" s="123" t="s">
        <v>30</v>
      </c>
      <c r="H2791" s="123" t="s">
        <v>45</v>
      </c>
      <c r="I2791" s="126" t="s">
        <v>1931</v>
      </c>
      <c r="J2791" s="123" t="s">
        <v>10588</v>
      </c>
      <c r="K2791" s="123" t="s">
        <v>10586</v>
      </c>
      <c r="L2791" s="131" t="s">
        <v>100</v>
      </c>
      <c r="M2791" s="135" t="s">
        <v>845</v>
      </c>
      <c r="N2791" s="123" t="s">
        <v>845</v>
      </c>
    </row>
    <row r="2792" spans="2:14" hidden="1" x14ac:dyDescent="0.25">
      <c r="B2792" s="120">
        <v>2789</v>
      </c>
      <c r="C2792" s="123">
        <v>10440388774</v>
      </c>
      <c r="D2792" s="126" t="s">
        <v>10589</v>
      </c>
      <c r="E2792" s="126" t="s">
        <v>10590</v>
      </c>
      <c r="F2792" s="123" t="s">
        <v>30</v>
      </c>
      <c r="G2792" s="123" t="s">
        <v>48</v>
      </c>
      <c r="H2792" s="123" t="s">
        <v>48</v>
      </c>
      <c r="I2792" s="126" t="s">
        <v>1561</v>
      </c>
      <c r="J2792" s="123" t="s">
        <v>10591</v>
      </c>
      <c r="K2792" s="123" t="s">
        <v>10589</v>
      </c>
      <c r="L2792" s="131" t="s">
        <v>100</v>
      </c>
      <c r="M2792" s="135" t="s">
        <v>845</v>
      </c>
      <c r="N2792" s="123" t="s">
        <v>845</v>
      </c>
    </row>
    <row r="2793" spans="2:14" hidden="1" x14ac:dyDescent="0.25">
      <c r="B2793" s="120">
        <v>2790</v>
      </c>
      <c r="C2793" s="123">
        <v>10153485068</v>
      </c>
      <c r="D2793" s="126" t="s">
        <v>10592</v>
      </c>
      <c r="E2793" s="126" t="s">
        <v>10593</v>
      </c>
      <c r="F2793" s="123" t="s">
        <v>30</v>
      </c>
      <c r="G2793" s="123" t="s">
        <v>31</v>
      </c>
      <c r="H2793" s="123" t="s">
        <v>65</v>
      </c>
      <c r="I2793" s="126" t="s">
        <v>8743</v>
      </c>
      <c r="J2793" s="123" t="s">
        <v>10594</v>
      </c>
      <c r="K2793" s="123" t="s">
        <v>10592</v>
      </c>
      <c r="L2793" s="131" t="s">
        <v>100</v>
      </c>
      <c r="M2793" s="135" t="s">
        <v>845</v>
      </c>
      <c r="N2793" s="123" t="s">
        <v>845</v>
      </c>
    </row>
    <row r="2794" spans="2:14" hidden="1" x14ac:dyDescent="0.25">
      <c r="B2794" s="120">
        <v>2791</v>
      </c>
      <c r="C2794" s="123">
        <v>10405062360</v>
      </c>
      <c r="D2794" s="126" t="s">
        <v>10595</v>
      </c>
      <c r="E2794" s="126" t="s">
        <v>10596</v>
      </c>
      <c r="F2794" s="123" t="s">
        <v>30</v>
      </c>
      <c r="G2794" s="123" t="s">
        <v>30</v>
      </c>
      <c r="H2794" s="123" t="s">
        <v>147</v>
      </c>
      <c r="I2794" s="126" t="s">
        <v>1424</v>
      </c>
      <c r="J2794" s="123" t="s">
        <v>10597</v>
      </c>
      <c r="K2794" s="123" t="s">
        <v>10595</v>
      </c>
      <c r="L2794" s="131" t="s">
        <v>100</v>
      </c>
      <c r="M2794" s="135" t="s">
        <v>845</v>
      </c>
      <c r="N2794" s="123" t="s">
        <v>845</v>
      </c>
    </row>
    <row r="2795" spans="2:14" hidden="1" x14ac:dyDescent="0.25">
      <c r="B2795" s="120">
        <v>2792</v>
      </c>
      <c r="C2795" s="123">
        <v>15255803970</v>
      </c>
      <c r="D2795" s="126" t="s">
        <v>10598</v>
      </c>
      <c r="E2795" s="126" t="s">
        <v>10599</v>
      </c>
      <c r="F2795" s="123" t="s">
        <v>30</v>
      </c>
      <c r="G2795" s="123" t="s">
        <v>31</v>
      </c>
      <c r="H2795" s="123" t="s">
        <v>9381</v>
      </c>
      <c r="I2795" s="126" t="s">
        <v>1564</v>
      </c>
      <c r="J2795" s="123" t="s">
        <v>10600</v>
      </c>
      <c r="K2795" s="123" t="s">
        <v>10598</v>
      </c>
      <c r="L2795" s="131" t="s">
        <v>100</v>
      </c>
      <c r="M2795" s="135" t="s">
        <v>845</v>
      </c>
      <c r="N2795" s="123" t="s">
        <v>845</v>
      </c>
    </row>
    <row r="2796" spans="2:14" hidden="1" x14ac:dyDescent="0.25">
      <c r="B2796" s="120">
        <v>2793</v>
      </c>
      <c r="C2796" s="123">
        <v>10157276285</v>
      </c>
      <c r="D2796" s="126" t="s">
        <v>10601</v>
      </c>
      <c r="E2796" s="126" t="s">
        <v>10602</v>
      </c>
      <c r="F2796" s="123" t="s">
        <v>30</v>
      </c>
      <c r="G2796" s="123" t="s">
        <v>170</v>
      </c>
      <c r="H2796" s="123" t="s">
        <v>179</v>
      </c>
      <c r="I2796" s="126" t="s">
        <v>10603</v>
      </c>
      <c r="J2796" s="123" t="s">
        <v>10604</v>
      </c>
      <c r="K2796" s="123" t="s">
        <v>10601</v>
      </c>
      <c r="L2796" s="131" t="s">
        <v>100</v>
      </c>
      <c r="M2796" s="135" t="s">
        <v>845</v>
      </c>
      <c r="N2796" s="123" t="s">
        <v>845</v>
      </c>
    </row>
    <row r="2797" spans="2:14" hidden="1" x14ac:dyDescent="0.25">
      <c r="B2797" s="120">
        <v>2794</v>
      </c>
      <c r="C2797" s="123">
        <v>10470854095</v>
      </c>
      <c r="D2797" s="126" t="s">
        <v>10605</v>
      </c>
      <c r="E2797" s="126" t="s">
        <v>10606</v>
      </c>
      <c r="F2797" s="123" t="s">
        <v>30</v>
      </c>
      <c r="G2797" s="123" t="s">
        <v>170</v>
      </c>
      <c r="H2797" s="123" t="s">
        <v>175</v>
      </c>
      <c r="I2797" s="126" t="s">
        <v>1944</v>
      </c>
      <c r="J2797" s="123" t="s">
        <v>10607</v>
      </c>
      <c r="K2797" s="123" t="s">
        <v>10605</v>
      </c>
      <c r="L2797" s="131" t="s">
        <v>100</v>
      </c>
      <c r="M2797" s="135" t="s">
        <v>845</v>
      </c>
      <c r="N2797" s="123" t="s">
        <v>845</v>
      </c>
    </row>
    <row r="2798" spans="2:14" hidden="1" x14ac:dyDescent="0.25">
      <c r="B2798" s="120">
        <v>2795</v>
      </c>
      <c r="C2798" s="123">
        <v>10715992057</v>
      </c>
      <c r="D2798" s="126" t="s">
        <v>10608</v>
      </c>
      <c r="E2798" s="126" t="s">
        <v>10609</v>
      </c>
      <c r="F2798" s="123" t="s">
        <v>30</v>
      </c>
      <c r="G2798" s="123" t="s">
        <v>30</v>
      </c>
      <c r="H2798" s="123" t="s">
        <v>65</v>
      </c>
      <c r="I2798" s="126" t="s">
        <v>1424</v>
      </c>
      <c r="J2798" s="123" t="s">
        <v>10610</v>
      </c>
      <c r="K2798" s="123" t="s">
        <v>10608</v>
      </c>
      <c r="L2798" s="131" t="s">
        <v>100</v>
      </c>
      <c r="M2798" s="135" t="s">
        <v>845</v>
      </c>
      <c r="N2798" s="123" t="s">
        <v>845</v>
      </c>
    </row>
    <row r="2799" spans="2:14" hidden="1" x14ac:dyDescent="0.25">
      <c r="B2799" s="120">
        <v>2796</v>
      </c>
      <c r="C2799" s="123">
        <v>15607442468</v>
      </c>
      <c r="D2799" s="126" t="s">
        <v>10611</v>
      </c>
      <c r="E2799" s="126" t="s">
        <v>10612</v>
      </c>
      <c r="F2799" s="123" t="s">
        <v>30</v>
      </c>
      <c r="G2799" s="123" t="s">
        <v>30</v>
      </c>
      <c r="H2799" s="123" t="s">
        <v>72</v>
      </c>
      <c r="I2799" s="126" t="s">
        <v>1949</v>
      </c>
      <c r="J2799" s="123" t="s">
        <v>10613</v>
      </c>
      <c r="K2799" s="123" t="s">
        <v>10611</v>
      </c>
      <c r="L2799" s="131" t="s">
        <v>100</v>
      </c>
      <c r="M2799" s="135" t="s">
        <v>845</v>
      </c>
      <c r="N2799" s="123" t="s">
        <v>845</v>
      </c>
    </row>
    <row r="2800" spans="2:14" hidden="1" x14ac:dyDescent="0.25">
      <c r="B2800" s="120">
        <v>2797</v>
      </c>
      <c r="C2800" s="123">
        <v>10413871307</v>
      </c>
      <c r="D2800" s="126" t="s">
        <v>10614</v>
      </c>
      <c r="E2800" s="126" t="s">
        <v>10615</v>
      </c>
      <c r="F2800" s="123" t="s">
        <v>30</v>
      </c>
      <c r="G2800" s="123" t="s">
        <v>30</v>
      </c>
      <c r="H2800" s="123" t="s">
        <v>51</v>
      </c>
      <c r="I2800" s="126" t="s">
        <v>1950</v>
      </c>
      <c r="J2800" s="123" t="s">
        <v>10616</v>
      </c>
      <c r="K2800" s="123" t="s">
        <v>10614</v>
      </c>
      <c r="L2800" s="131" t="s">
        <v>100</v>
      </c>
      <c r="M2800" s="135" t="s">
        <v>845</v>
      </c>
      <c r="N2800" s="123" t="s">
        <v>845</v>
      </c>
    </row>
    <row r="2801" spans="2:14" hidden="1" x14ac:dyDescent="0.25">
      <c r="B2801" s="120">
        <v>2798</v>
      </c>
      <c r="C2801" s="123">
        <v>10714871540</v>
      </c>
      <c r="D2801" s="126" t="s">
        <v>10617</v>
      </c>
      <c r="E2801" s="126" t="s">
        <v>10618</v>
      </c>
      <c r="F2801" s="123" t="s">
        <v>30</v>
      </c>
      <c r="G2801" s="123" t="s">
        <v>30</v>
      </c>
      <c r="H2801" s="123" t="s">
        <v>72</v>
      </c>
      <c r="I2801" s="126" t="s">
        <v>1706</v>
      </c>
      <c r="J2801" s="123" t="s">
        <v>10619</v>
      </c>
      <c r="K2801" s="123" t="s">
        <v>10617</v>
      </c>
      <c r="L2801" s="131" t="s">
        <v>100</v>
      </c>
      <c r="M2801" s="135" t="s">
        <v>845</v>
      </c>
      <c r="N2801" s="123" t="s">
        <v>845</v>
      </c>
    </row>
    <row r="2802" spans="2:14" hidden="1" x14ac:dyDescent="0.25">
      <c r="B2802" s="120">
        <v>2799</v>
      </c>
      <c r="C2802" s="123">
        <v>10254507216</v>
      </c>
      <c r="D2802" s="126" t="s">
        <v>10620</v>
      </c>
      <c r="E2802" s="126" t="s">
        <v>10621</v>
      </c>
      <c r="F2802" s="123" t="s">
        <v>67</v>
      </c>
      <c r="G2802" s="123" t="s">
        <v>67</v>
      </c>
      <c r="H2802" s="123" t="s">
        <v>67</v>
      </c>
      <c r="I2802" s="126" t="s">
        <v>8743</v>
      </c>
      <c r="J2802" s="123" t="s">
        <v>10622</v>
      </c>
      <c r="K2802" s="123" t="s">
        <v>10620</v>
      </c>
      <c r="L2802" s="131" t="s">
        <v>100</v>
      </c>
      <c r="M2802" s="135" t="s">
        <v>845</v>
      </c>
      <c r="N2802" s="123" t="s">
        <v>845</v>
      </c>
    </row>
    <row r="2803" spans="2:14" hidden="1" x14ac:dyDescent="0.25">
      <c r="B2803" s="120">
        <v>2800</v>
      </c>
      <c r="C2803" s="123">
        <v>10404116521</v>
      </c>
      <c r="D2803" s="126" t="s">
        <v>10623</v>
      </c>
      <c r="E2803" s="126" t="s">
        <v>10624</v>
      </c>
      <c r="F2803" s="123" t="s">
        <v>67</v>
      </c>
      <c r="G2803" s="123" t="s">
        <v>67</v>
      </c>
      <c r="H2803" s="123" t="s">
        <v>94</v>
      </c>
      <c r="I2803" s="126" t="s">
        <v>1564</v>
      </c>
      <c r="J2803" s="123" t="s">
        <v>10625</v>
      </c>
      <c r="K2803" s="123" t="s">
        <v>10626</v>
      </c>
      <c r="L2803" s="131" t="s">
        <v>100</v>
      </c>
      <c r="M2803" s="135" t="s">
        <v>845</v>
      </c>
      <c r="N2803" s="123" t="s">
        <v>845</v>
      </c>
    </row>
    <row r="2804" spans="2:14" hidden="1" x14ac:dyDescent="0.25">
      <c r="B2804" s="120">
        <v>2801</v>
      </c>
      <c r="C2804" s="123">
        <v>10427331445</v>
      </c>
      <c r="D2804" s="126" t="s">
        <v>10627</v>
      </c>
      <c r="E2804" s="126" t="s">
        <v>10628</v>
      </c>
      <c r="F2804" s="123" t="s">
        <v>30</v>
      </c>
      <c r="G2804" s="123" t="s">
        <v>30</v>
      </c>
      <c r="H2804" s="123" t="s">
        <v>75</v>
      </c>
      <c r="I2804" s="126" t="s">
        <v>1701</v>
      </c>
      <c r="J2804" s="123" t="s">
        <v>10629</v>
      </c>
      <c r="K2804" s="123" t="s">
        <v>10627</v>
      </c>
      <c r="L2804" s="131" t="s">
        <v>100</v>
      </c>
      <c r="M2804" s="135" t="s">
        <v>845</v>
      </c>
      <c r="N2804" s="123" t="s">
        <v>845</v>
      </c>
    </row>
    <row r="2805" spans="2:14" hidden="1" x14ac:dyDescent="0.25">
      <c r="B2805" s="120">
        <v>2802</v>
      </c>
      <c r="C2805" s="123">
        <v>10001259305</v>
      </c>
      <c r="D2805" s="126" t="s">
        <v>10630</v>
      </c>
      <c r="E2805" s="126" t="s">
        <v>10631</v>
      </c>
      <c r="F2805" s="123" t="s">
        <v>30</v>
      </c>
      <c r="G2805" s="123" t="s">
        <v>30</v>
      </c>
      <c r="H2805" s="123" t="s">
        <v>50</v>
      </c>
      <c r="I2805" s="126" t="s">
        <v>1931</v>
      </c>
      <c r="J2805" s="123" t="s">
        <v>10632</v>
      </c>
      <c r="K2805" s="123" t="s">
        <v>10630</v>
      </c>
      <c r="L2805" s="131" t="s">
        <v>100</v>
      </c>
      <c r="M2805" s="135" t="s">
        <v>845</v>
      </c>
      <c r="N2805" s="123" t="s">
        <v>845</v>
      </c>
    </row>
    <row r="2806" spans="2:14" hidden="1" x14ac:dyDescent="0.25">
      <c r="B2806" s="120">
        <v>2803</v>
      </c>
      <c r="C2806" s="123">
        <v>10722440868</v>
      </c>
      <c r="D2806" s="126" t="s">
        <v>10633</v>
      </c>
      <c r="E2806" s="126" t="s">
        <v>10634</v>
      </c>
      <c r="F2806" s="123" t="s">
        <v>67</v>
      </c>
      <c r="G2806" s="123" t="s">
        <v>67</v>
      </c>
      <c r="H2806" s="123" t="s">
        <v>94</v>
      </c>
      <c r="I2806" s="126" t="s">
        <v>1424</v>
      </c>
      <c r="J2806" s="123" t="s">
        <v>10635</v>
      </c>
      <c r="K2806" s="123" t="s">
        <v>10633</v>
      </c>
      <c r="L2806" s="131" t="s">
        <v>100</v>
      </c>
      <c r="M2806" s="135" t="s">
        <v>845</v>
      </c>
      <c r="N2806" s="123" t="s">
        <v>845</v>
      </c>
    </row>
    <row r="2807" spans="2:14" hidden="1" x14ac:dyDescent="0.25">
      <c r="B2807" s="120">
        <v>2804</v>
      </c>
      <c r="C2807" s="123">
        <v>10254579497</v>
      </c>
      <c r="D2807" s="126" t="s">
        <v>10636</v>
      </c>
      <c r="E2807" s="126" t="s">
        <v>10637</v>
      </c>
      <c r="F2807" s="123" t="s">
        <v>30</v>
      </c>
      <c r="G2807" s="123" t="s">
        <v>30</v>
      </c>
      <c r="H2807" s="123" t="s">
        <v>72</v>
      </c>
      <c r="I2807" s="126" t="s">
        <v>1939</v>
      </c>
      <c r="J2807" s="123" t="s">
        <v>10638</v>
      </c>
      <c r="K2807" s="123" t="s">
        <v>10639</v>
      </c>
      <c r="L2807" s="131" t="s">
        <v>100</v>
      </c>
      <c r="M2807" s="135" t="s">
        <v>845</v>
      </c>
      <c r="N2807" s="123" t="s">
        <v>845</v>
      </c>
    </row>
    <row r="2808" spans="2:14" hidden="1" x14ac:dyDescent="0.25">
      <c r="B2808" s="120">
        <v>2805</v>
      </c>
      <c r="C2808" s="123">
        <v>10803577221</v>
      </c>
      <c r="D2808" s="126" t="s">
        <v>10640</v>
      </c>
      <c r="E2808" s="126" t="s">
        <v>10641</v>
      </c>
      <c r="F2808" s="123" t="s">
        <v>30</v>
      </c>
      <c r="G2808" s="123" t="s">
        <v>30</v>
      </c>
      <c r="H2808" s="123" t="s">
        <v>45</v>
      </c>
      <c r="I2808" s="126" t="s">
        <v>1706</v>
      </c>
      <c r="J2808" s="123" t="s">
        <v>10642</v>
      </c>
      <c r="K2808" s="123" t="s">
        <v>10640</v>
      </c>
      <c r="L2808" s="131" t="s">
        <v>100</v>
      </c>
      <c r="M2808" s="135" t="s">
        <v>845</v>
      </c>
      <c r="N2808" s="123" t="s">
        <v>845</v>
      </c>
    </row>
    <row r="2809" spans="2:14" hidden="1" x14ac:dyDescent="0.25">
      <c r="B2809" s="120">
        <v>2806</v>
      </c>
      <c r="C2809" s="123">
        <v>10100798480</v>
      </c>
      <c r="D2809" s="126" t="s">
        <v>10643</v>
      </c>
      <c r="E2809" s="126" t="s">
        <v>10644</v>
      </c>
      <c r="F2809" s="123" t="s">
        <v>30</v>
      </c>
      <c r="G2809" s="123" t="s">
        <v>30</v>
      </c>
      <c r="H2809" s="123" t="s">
        <v>38</v>
      </c>
      <c r="I2809" s="126" t="s">
        <v>8743</v>
      </c>
      <c r="J2809" s="123" t="s">
        <v>10645</v>
      </c>
      <c r="K2809" s="123" t="s">
        <v>10646</v>
      </c>
      <c r="L2809" s="131" t="s">
        <v>100</v>
      </c>
      <c r="M2809" s="135" t="s">
        <v>845</v>
      </c>
      <c r="N2809" s="123" t="s">
        <v>845</v>
      </c>
    </row>
    <row r="2810" spans="2:14" hidden="1" x14ac:dyDescent="0.25">
      <c r="B2810" s="120">
        <v>2807</v>
      </c>
      <c r="C2810" s="123">
        <v>10104429659</v>
      </c>
      <c r="D2810" s="126" t="s">
        <v>10647</v>
      </c>
      <c r="E2810" s="126" t="s">
        <v>10648</v>
      </c>
      <c r="F2810" s="123" t="s">
        <v>30</v>
      </c>
      <c r="G2810" s="123" t="s">
        <v>30</v>
      </c>
      <c r="H2810" s="123" t="s">
        <v>60</v>
      </c>
      <c r="I2810" s="126" t="s">
        <v>1701</v>
      </c>
      <c r="J2810" s="123" t="s">
        <v>10649</v>
      </c>
      <c r="K2810" s="123" t="s">
        <v>10647</v>
      </c>
      <c r="L2810" s="131" t="s">
        <v>100</v>
      </c>
      <c r="M2810" s="135" t="s">
        <v>845</v>
      </c>
      <c r="N2810" s="123" t="s">
        <v>845</v>
      </c>
    </row>
    <row r="2811" spans="2:14" hidden="1" x14ac:dyDescent="0.25">
      <c r="B2811" s="120">
        <v>2808</v>
      </c>
      <c r="C2811" s="123">
        <v>10412391123</v>
      </c>
      <c r="D2811" s="126" t="s">
        <v>10650</v>
      </c>
      <c r="E2811" s="126" t="s">
        <v>10651</v>
      </c>
      <c r="F2811" s="123" t="s">
        <v>30</v>
      </c>
      <c r="G2811" s="123" t="s">
        <v>30</v>
      </c>
      <c r="H2811" s="123" t="s">
        <v>52</v>
      </c>
      <c r="I2811" s="126" t="s">
        <v>1767</v>
      </c>
      <c r="J2811" s="123" t="s">
        <v>10652</v>
      </c>
      <c r="K2811" s="123" t="s">
        <v>10650</v>
      </c>
      <c r="L2811" s="131" t="s">
        <v>100</v>
      </c>
      <c r="M2811" s="135" t="s">
        <v>845</v>
      </c>
      <c r="N2811" s="123" t="s">
        <v>845</v>
      </c>
    </row>
    <row r="2812" spans="2:14" hidden="1" x14ac:dyDescent="0.25">
      <c r="B2812" s="120">
        <v>2809</v>
      </c>
      <c r="C2812" s="123">
        <v>15604126395</v>
      </c>
      <c r="D2812" s="126" t="s">
        <v>10653</v>
      </c>
      <c r="E2812" s="126" t="s">
        <v>10654</v>
      </c>
      <c r="F2812" s="123" t="s">
        <v>30</v>
      </c>
      <c r="G2812" s="123" t="s">
        <v>30</v>
      </c>
      <c r="H2812" s="123" t="s">
        <v>110</v>
      </c>
      <c r="I2812" s="126" t="s">
        <v>1969</v>
      </c>
      <c r="J2812" s="123" t="s">
        <v>10655</v>
      </c>
      <c r="K2812" s="123" t="s">
        <v>10653</v>
      </c>
      <c r="L2812" s="131" t="s">
        <v>100</v>
      </c>
      <c r="M2812" s="135" t="s">
        <v>845</v>
      </c>
      <c r="N2812" s="123" t="s">
        <v>845</v>
      </c>
    </row>
    <row r="2813" spans="2:14" hidden="1" x14ac:dyDescent="0.25">
      <c r="B2813" s="120">
        <v>2810</v>
      </c>
      <c r="C2813" s="123">
        <v>10402388078</v>
      </c>
      <c r="D2813" s="126" t="s">
        <v>10656</v>
      </c>
      <c r="E2813" s="126" t="s">
        <v>10657</v>
      </c>
      <c r="F2813" s="123" t="s">
        <v>30</v>
      </c>
      <c r="G2813" s="123" t="s">
        <v>30</v>
      </c>
      <c r="H2813" s="123" t="s">
        <v>72</v>
      </c>
      <c r="I2813" s="126" t="s">
        <v>1701</v>
      </c>
      <c r="J2813" s="123" t="s">
        <v>10658</v>
      </c>
      <c r="K2813" s="123" t="s">
        <v>10656</v>
      </c>
      <c r="L2813" s="131" t="s">
        <v>100</v>
      </c>
      <c r="M2813" s="135" t="s">
        <v>845</v>
      </c>
      <c r="N2813" s="123" t="s">
        <v>845</v>
      </c>
    </row>
    <row r="2814" spans="2:14" hidden="1" x14ac:dyDescent="0.25">
      <c r="B2814" s="120">
        <v>2811</v>
      </c>
      <c r="C2814" s="123">
        <v>10426217436</v>
      </c>
      <c r="D2814" s="126" t="s">
        <v>10659</v>
      </c>
      <c r="E2814" s="126" t="s">
        <v>10660</v>
      </c>
      <c r="F2814" s="123" t="s">
        <v>30</v>
      </c>
      <c r="G2814" s="123" t="s">
        <v>30</v>
      </c>
      <c r="H2814" s="123" t="s">
        <v>35</v>
      </c>
      <c r="I2814" s="126" t="s">
        <v>10661</v>
      </c>
      <c r="J2814" s="123" t="s">
        <v>10662</v>
      </c>
      <c r="K2814" s="123" t="s">
        <v>10659</v>
      </c>
      <c r="L2814" s="131" t="s">
        <v>100</v>
      </c>
      <c r="M2814" s="135" t="s">
        <v>845</v>
      </c>
      <c r="N2814" s="123" t="s">
        <v>845</v>
      </c>
    </row>
    <row r="2815" spans="2:14" hidden="1" x14ac:dyDescent="0.25">
      <c r="B2815" s="120">
        <v>2812</v>
      </c>
      <c r="C2815" s="123">
        <v>10441819213</v>
      </c>
      <c r="D2815" s="126" t="s">
        <v>10663</v>
      </c>
      <c r="E2815" s="126" t="s">
        <v>10664</v>
      </c>
      <c r="F2815" s="123" t="s">
        <v>30</v>
      </c>
      <c r="G2815" s="123" t="s">
        <v>30</v>
      </c>
      <c r="H2815" s="123" t="s">
        <v>50</v>
      </c>
      <c r="I2815" s="126" t="s">
        <v>1701</v>
      </c>
      <c r="J2815" s="123" t="s">
        <v>10665</v>
      </c>
      <c r="K2815" s="123" t="s">
        <v>10663</v>
      </c>
      <c r="L2815" s="131" t="s">
        <v>100</v>
      </c>
      <c r="M2815" s="135" t="s">
        <v>845</v>
      </c>
      <c r="N2815" s="123" t="s">
        <v>845</v>
      </c>
    </row>
    <row r="2816" spans="2:14" hidden="1" x14ac:dyDescent="0.25">
      <c r="B2816" s="120">
        <v>2813</v>
      </c>
      <c r="C2816" s="123">
        <v>10706759871</v>
      </c>
      <c r="D2816" s="126" t="s">
        <v>10666</v>
      </c>
      <c r="E2816" s="126" t="s">
        <v>10667</v>
      </c>
      <c r="F2816" s="123" t="s">
        <v>67</v>
      </c>
      <c r="G2816" s="123" t="s">
        <v>67</v>
      </c>
      <c r="H2816" s="123" t="s">
        <v>67</v>
      </c>
      <c r="I2816" s="126" t="s">
        <v>1424</v>
      </c>
      <c r="J2816" s="123" t="s">
        <v>10668</v>
      </c>
      <c r="K2816" s="123" t="s">
        <v>10666</v>
      </c>
      <c r="L2816" s="131" t="s">
        <v>100</v>
      </c>
      <c r="M2816" s="135" t="s">
        <v>845</v>
      </c>
      <c r="N2816" s="123" t="s">
        <v>845</v>
      </c>
    </row>
    <row r="2817" spans="2:14" hidden="1" x14ac:dyDescent="0.25">
      <c r="B2817" s="120">
        <v>2814</v>
      </c>
      <c r="C2817" s="123">
        <v>10447976035</v>
      </c>
      <c r="D2817" s="126" t="s">
        <v>10669</v>
      </c>
      <c r="E2817" s="126" t="s">
        <v>10670</v>
      </c>
      <c r="F2817" s="123" t="s">
        <v>30</v>
      </c>
      <c r="G2817" s="123" t="s">
        <v>30</v>
      </c>
      <c r="H2817" s="123" t="s">
        <v>72</v>
      </c>
      <c r="I2817" s="126" t="s">
        <v>9983</v>
      </c>
      <c r="J2817" s="123" t="s">
        <v>10671</v>
      </c>
      <c r="K2817" s="123" t="s">
        <v>10672</v>
      </c>
      <c r="L2817" s="131" t="s">
        <v>100</v>
      </c>
      <c r="M2817" s="135" t="s">
        <v>845</v>
      </c>
      <c r="N2817" s="123" t="s">
        <v>845</v>
      </c>
    </row>
    <row r="2818" spans="2:14" hidden="1" x14ac:dyDescent="0.25">
      <c r="B2818" s="120">
        <v>2815</v>
      </c>
      <c r="C2818" s="123">
        <v>10717184438</v>
      </c>
      <c r="D2818" s="126" t="s">
        <v>10673</v>
      </c>
      <c r="E2818" s="126" t="s">
        <v>10674</v>
      </c>
      <c r="F2818" s="123" t="s">
        <v>30</v>
      </c>
      <c r="G2818" s="123" t="s">
        <v>30</v>
      </c>
      <c r="H2818" s="123" t="s">
        <v>52</v>
      </c>
      <c r="I2818" s="126" t="s">
        <v>1949</v>
      </c>
      <c r="J2818" s="123" t="s">
        <v>10675</v>
      </c>
      <c r="K2818" s="123" t="s">
        <v>10676</v>
      </c>
      <c r="L2818" s="131" t="s">
        <v>100</v>
      </c>
      <c r="M2818" s="135" t="s">
        <v>845</v>
      </c>
      <c r="N2818" s="123" t="s">
        <v>845</v>
      </c>
    </row>
    <row r="2819" spans="2:14" hidden="1" x14ac:dyDescent="0.25">
      <c r="B2819" s="120">
        <v>2816</v>
      </c>
      <c r="C2819" s="123">
        <v>10404379602</v>
      </c>
      <c r="D2819" s="126" t="s">
        <v>10677</v>
      </c>
      <c r="E2819" s="126" t="s">
        <v>10678</v>
      </c>
      <c r="F2819" s="123" t="s">
        <v>30</v>
      </c>
      <c r="G2819" s="123" t="s">
        <v>30</v>
      </c>
      <c r="H2819" s="123" t="s">
        <v>30</v>
      </c>
      <c r="I2819" s="126" t="s">
        <v>1564</v>
      </c>
      <c r="J2819" s="123" t="s">
        <v>10679</v>
      </c>
      <c r="K2819" s="123" t="s">
        <v>10680</v>
      </c>
      <c r="L2819" s="131" t="s">
        <v>100</v>
      </c>
      <c r="M2819" s="135" t="s">
        <v>845</v>
      </c>
      <c r="N2819" s="123" t="s">
        <v>845</v>
      </c>
    </row>
    <row r="2820" spans="2:14" hidden="1" x14ac:dyDescent="0.25">
      <c r="B2820" s="120">
        <v>2817</v>
      </c>
      <c r="C2820" s="123">
        <v>10075202470</v>
      </c>
      <c r="D2820" s="126" t="s">
        <v>10681</v>
      </c>
      <c r="E2820" s="126" t="s">
        <v>10682</v>
      </c>
      <c r="F2820" s="123" t="s">
        <v>30</v>
      </c>
      <c r="G2820" s="123" t="s">
        <v>30</v>
      </c>
      <c r="H2820" s="123" t="s">
        <v>50</v>
      </c>
      <c r="I2820" s="126" t="s">
        <v>1949</v>
      </c>
      <c r="J2820" s="123" t="s">
        <v>10683</v>
      </c>
      <c r="K2820" s="123" t="s">
        <v>10681</v>
      </c>
      <c r="L2820" s="131" t="s">
        <v>100</v>
      </c>
      <c r="M2820" s="135" t="s">
        <v>845</v>
      </c>
      <c r="N2820" s="123" t="s">
        <v>845</v>
      </c>
    </row>
    <row r="2821" spans="2:14" hidden="1" x14ac:dyDescent="0.25">
      <c r="B2821" s="120">
        <v>2818</v>
      </c>
      <c r="C2821" s="123">
        <v>10461636107</v>
      </c>
      <c r="D2821" s="126" t="s">
        <v>10684</v>
      </c>
      <c r="E2821" s="126" t="s">
        <v>10685</v>
      </c>
      <c r="F2821" s="123" t="s">
        <v>30</v>
      </c>
      <c r="G2821" s="123" t="s">
        <v>31</v>
      </c>
      <c r="H2821" s="123" t="s">
        <v>32</v>
      </c>
      <c r="I2821" s="126" t="s">
        <v>1805</v>
      </c>
      <c r="J2821" s="123" t="s">
        <v>10686</v>
      </c>
      <c r="K2821" s="123" t="s">
        <v>10684</v>
      </c>
      <c r="L2821" s="131" t="s">
        <v>100</v>
      </c>
      <c r="M2821" s="135" t="s">
        <v>845</v>
      </c>
      <c r="N2821" s="123" t="s">
        <v>845</v>
      </c>
    </row>
    <row r="2822" spans="2:14" hidden="1" x14ac:dyDescent="0.25">
      <c r="B2822" s="120">
        <v>2819</v>
      </c>
      <c r="C2822" s="123">
        <v>10091292195</v>
      </c>
      <c r="D2822" s="126" t="s">
        <v>10687</v>
      </c>
      <c r="E2822" s="126" t="s">
        <v>10688</v>
      </c>
      <c r="F2822" s="123" t="s">
        <v>30</v>
      </c>
      <c r="G2822" s="123" t="s">
        <v>31</v>
      </c>
      <c r="H2822" s="123" t="s">
        <v>9381</v>
      </c>
      <c r="I2822" s="126" t="s">
        <v>1424</v>
      </c>
      <c r="J2822" s="123" t="s">
        <v>10689</v>
      </c>
      <c r="K2822" s="123" t="s">
        <v>10687</v>
      </c>
      <c r="L2822" s="131" t="s">
        <v>100</v>
      </c>
      <c r="M2822" s="135" t="s">
        <v>845</v>
      </c>
      <c r="N2822" s="123" t="s">
        <v>845</v>
      </c>
    </row>
    <row r="2823" spans="2:14" hidden="1" x14ac:dyDescent="0.25">
      <c r="B2823" s="120">
        <v>2820</v>
      </c>
      <c r="C2823" s="123">
        <v>10446084131</v>
      </c>
      <c r="D2823" s="126" t="s">
        <v>10690</v>
      </c>
      <c r="E2823" s="126" t="s">
        <v>10691</v>
      </c>
      <c r="F2823" s="123" t="s">
        <v>30</v>
      </c>
      <c r="G2823" s="123" t="s">
        <v>170</v>
      </c>
      <c r="H2823" s="123" t="s">
        <v>170</v>
      </c>
      <c r="I2823" s="126" t="s">
        <v>1701</v>
      </c>
      <c r="J2823" s="123" t="s">
        <v>10692</v>
      </c>
      <c r="K2823" s="123" t="s">
        <v>10690</v>
      </c>
      <c r="L2823" s="131" t="s">
        <v>100</v>
      </c>
      <c r="M2823" s="135" t="s">
        <v>845</v>
      </c>
      <c r="N2823" s="123" t="s">
        <v>845</v>
      </c>
    </row>
    <row r="2824" spans="2:14" hidden="1" x14ac:dyDescent="0.25">
      <c r="B2824" s="120">
        <v>2821</v>
      </c>
      <c r="C2824" s="123">
        <v>10478315100</v>
      </c>
      <c r="D2824" s="126" t="s">
        <v>10693</v>
      </c>
      <c r="E2824" s="126" t="s">
        <v>10694</v>
      </c>
      <c r="F2824" s="123" t="s">
        <v>30</v>
      </c>
      <c r="G2824" s="123" t="s">
        <v>30</v>
      </c>
      <c r="H2824" s="123" t="s">
        <v>88</v>
      </c>
      <c r="I2824" s="126" t="s">
        <v>1931</v>
      </c>
      <c r="J2824" s="123" t="s">
        <v>10695</v>
      </c>
      <c r="K2824" s="123" t="s">
        <v>10693</v>
      </c>
      <c r="L2824" s="131" t="s">
        <v>100</v>
      </c>
      <c r="M2824" s="135" t="s">
        <v>845</v>
      </c>
      <c r="N2824" s="123" t="s">
        <v>845</v>
      </c>
    </row>
    <row r="2825" spans="2:14" hidden="1" x14ac:dyDescent="0.25">
      <c r="B2825" s="120">
        <v>2822</v>
      </c>
      <c r="C2825" s="123">
        <v>10483383857</v>
      </c>
      <c r="D2825" s="126" t="s">
        <v>10696</v>
      </c>
      <c r="E2825" s="126" t="s">
        <v>10697</v>
      </c>
      <c r="F2825" s="123" t="s">
        <v>30</v>
      </c>
      <c r="G2825" s="123" t="s">
        <v>168</v>
      </c>
      <c r="H2825" s="123" t="s">
        <v>177</v>
      </c>
      <c r="I2825" s="126" t="s">
        <v>1424</v>
      </c>
      <c r="J2825" s="123" t="s">
        <v>10698</v>
      </c>
      <c r="K2825" s="123" t="s">
        <v>10696</v>
      </c>
      <c r="L2825" s="131" t="s">
        <v>100</v>
      </c>
      <c r="M2825" s="135" t="s">
        <v>845</v>
      </c>
      <c r="N2825" s="123" t="s">
        <v>845</v>
      </c>
    </row>
    <row r="2826" spans="2:14" hidden="1" x14ac:dyDescent="0.25">
      <c r="B2826" s="120">
        <v>2823</v>
      </c>
      <c r="C2826" s="123">
        <v>10456318351</v>
      </c>
      <c r="D2826" s="126" t="s">
        <v>10699</v>
      </c>
      <c r="E2826" s="126" t="s">
        <v>10700</v>
      </c>
      <c r="F2826" s="123" t="s">
        <v>30</v>
      </c>
      <c r="G2826" s="123" t="s">
        <v>30</v>
      </c>
      <c r="H2826" s="123" t="s">
        <v>52</v>
      </c>
      <c r="I2826" s="126" t="s">
        <v>10701</v>
      </c>
      <c r="J2826" s="123" t="s">
        <v>10702</v>
      </c>
      <c r="K2826" s="123" t="s">
        <v>10703</v>
      </c>
      <c r="L2826" s="131" t="s">
        <v>100</v>
      </c>
      <c r="M2826" s="135" t="s">
        <v>845</v>
      </c>
      <c r="N2826" s="123" t="s">
        <v>845</v>
      </c>
    </row>
    <row r="2827" spans="2:14" hidden="1" x14ac:dyDescent="0.25">
      <c r="B2827" s="120">
        <v>2824</v>
      </c>
      <c r="C2827" s="123">
        <v>10157608024</v>
      </c>
      <c r="D2827" s="126" t="s">
        <v>10704</v>
      </c>
      <c r="E2827" s="126" t="s">
        <v>10705</v>
      </c>
      <c r="F2827" s="123" t="s">
        <v>30</v>
      </c>
      <c r="G2827" s="123" t="s">
        <v>170</v>
      </c>
      <c r="H2827" s="123" t="s">
        <v>179</v>
      </c>
      <c r="I2827" s="126" t="s">
        <v>1938</v>
      </c>
      <c r="J2827" s="123" t="s">
        <v>10706</v>
      </c>
      <c r="K2827" s="123" t="s">
        <v>10707</v>
      </c>
      <c r="L2827" s="131" t="s">
        <v>100</v>
      </c>
      <c r="M2827" s="135" t="s">
        <v>845</v>
      </c>
      <c r="N2827" s="123" t="s">
        <v>845</v>
      </c>
    </row>
    <row r="2828" spans="2:14" hidden="1" x14ac:dyDescent="0.25">
      <c r="B2828" s="120">
        <v>2825</v>
      </c>
      <c r="C2828" s="123">
        <v>10429939301</v>
      </c>
      <c r="D2828" s="126" t="s">
        <v>10708</v>
      </c>
      <c r="E2828" s="126" t="s">
        <v>10709</v>
      </c>
      <c r="F2828" s="123" t="s">
        <v>30</v>
      </c>
      <c r="G2828" s="123" t="s">
        <v>30</v>
      </c>
      <c r="H2828" s="123" t="s">
        <v>72</v>
      </c>
      <c r="I2828" s="126" t="s">
        <v>1931</v>
      </c>
      <c r="J2828" s="123" t="s">
        <v>10710</v>
      </c>
      <c r="K2828" s="123" t="s">
        <v>10708</v>
      </c>
      <c r="L2828" s="131" t="s">
        <v>100</v>
      </c>
      <c r="M2828" s="135" t="s">
        <v>845</v>
      </c>
      <c r="N2828" s="123" t="s">
        <v>845</v>
      </c>
    </row>
    <row r="2829" spans="2:14" hidden="1" x14ac:dyDescent="0.25">
      <c r="B2829" s="120">
        <v>2826</v>
      </c>
      <c r="C2829" s="123">
        <v>10758616091</v>
      </c>
      <c r="D2829" s="126" t="s">
        <v>10711</v>
      </c>
      <c r="E2829" s="126" t="s">
        <v>10712</v>
      </c>
      <c r="F2829" s="123" t="s">
        <v>30</v>
      </c>
      <c r="G2829" s="123" t="s">
        <v>30</v>
      </c>
      <c r="H2829" s="123" t="s">
        <v>51</v>
      </c>
      <c r="I2829" s="126" t="s">
        <v>1941</v>
      </c>
      <c r="J2829" s="123" t="s">
        <v>10713</v>
      </c>
      <c r="K2829" s="123" t="s">
        <v>10714</v>
      </c>
      <c r="L2829" s="131" t="s">
        <v>100</v>
      </c>
      <c r="M2829" s="135" t="s">
        <v>845</v>
      </c>
      <c r="N2829" s="123" t="s">
        <v>845</v>
      </c>
    </row>
    <row r="2830" spans="2:14" hidden="1" x14ac:dyDescent="0.25">
      <c r="B2830" s="120">
        <v>2827</v>
      </c>
      <c r="C2830" s="123">
        <v>10722046523</v>
      </c>
      <c r="D2830" s="126" t="s">
        <v>10715</v>
      </c>
      <c r="E2830" s="126" t="s">
        <v>10716</v>
      </c>
      <c r="F2830" s="123" t="s">
        <v>30</v>
      </c>
      <c r="G2830" s="123" t="s">
        <v>30</v>
      </c>
      <c r="H2830" s="123" t="s">
        <v>30</v>
      </c>
      <c r="I2830" s="126" t="s">
        <v>1952</v>
      </c>
      <c r="J2830" s="123" t="s">
        <v>10717</v>
      </c>
      <c r="K2830" s="123" t="s">
        <v>10715</v>
      </c>
      <c r="L2830" s="131" t="s">
        <v>100</v>
      </c>
      <c r="M2830" s="135" t="s">
        <v>845</v>
      </c>
      <c r="N2830" s="123" t="s">
        <v>845</v>
      </c>
    </row>
    <row r="2831" spans="2:14" hidden="1" x14ac:dyDescent="0.25">
      <c r="B2831" s="120">
        <v>2828</v>
      </c>
      <c r="C2831" s="123">
        <v>10767504085</v>
      </c>
      <c r="D2831" s="126" t="s">
        <v>10718</v>
      </c>
      <c r="E2831" s="126" t="s">
        <v>10719</v>
      </c>
      <c r="F2831" s="123" t="s">
        <v>30</v>
      </c>
      <c r="G2831" s="123" t="s">
        <v>30</v>
      </c>
      <c r="H2831" s="123" t="s">
        <v>60</v>
      </c>
      <c r="I2831" s="126" t="s">
        <v>1499</v>
      </c>
      <c r="J2831" s="123" t="s">
        <v>10720</v>
      </c>
      <c r="K2831" s="123" t="s">
        <v>10721</v>
      </c>
      <c r="L2831" s="131" t="s">
        <v>100</v>
      </c>
      <c r="M2831" s="135" t="s">
        <v>845</v>
      </c>
      <c r="N2831" s="123" t="s">
        <v>845</v>
      </c>
    </row>
    <row r="2832" spans="2:14" hidden="1" x14ac:dyDescent="0.25">
      <c r="B2832" s="120">
        <v>2829</v>
      </c>
      <c r="C2832" s="123">
        <v>10065661212</v>
      </c>
      <c r="D2832" s="126" t="s">
        <v>10722</v>
      </c>
      <c r="E2832" s="126" t="s">
        <v>10723</v>
      </c>
      <c r="F2832" s="123" t="s">
        <v>30</v>
      </c>
      <c r="G2832" s="123" t="s">
        <v>30</v>
      </c>
      <c r="H2832" s="123" t="s">
        <v>52</v>
      </c>
      <c r="I2832" s="126" t="s">
        <v>1980</v>
      </c>
      <c r="J2832" s="123" t="s">
        <v>10724</v>
      </c>
      <c r="K2832" s="123" t="s">
        <v>10722</v>
      </c>
      <c r="L2832" s="131" t="s">
        <v>100</v>
      </c>
      <c r="M2832" s="135" t="s">
        <v>845</v>
      </c>
      <c r="N2832" s="123" t="s">
        <v>845</v>
      </c>
    </row>
    <row r="2833" spans="2:14" hidden="1" x14ac:dyDescent="0.25">
      <c r="B2833" s="120">
        <v>2830</v>
      </c>
      <c r="C2833" s="123">
        <v>10067733709</v>
      </c>
      <c r="D2833" s="126" t="s">
        <v>10725</v>
      </c>
      <c r="E2833" s="126" t="s">
        <v>10726</v>
      </c>
      <c r="F2833" s="123" t="s">
        <v>30</v>
      </c>
      <c r="G2833" s="123" t="s">
        <v>30</v>
      </c>
      <c r="H2833" s="123" t="s">
        <v>110</v>
      </c>
      <c r="I2833" s="126" t="s">
        <v>8884</v>
      </c>
      <c r="J2833" s="123" t="s">
        <v>10727</v>
      </c>
      <c r="K2833" s="123" t="s">
        <v>10725</v>
      </c>
      <c r="L2833" s="131" t="s">
        <v>100</v>
      </c>
      <c r="M2833" s="135" t="s">
        <v>845</v>
      </c>
      <c r="N2833" s="123" t="s">
        <v>845</v>
      </c>
    </row>
    <row r="2834" spans="2:14" hidden="1" x14ac:dyDescent="0.25">
      <c r="B2834" s="120">
        <v>2831</v>
      </c>
      <c r="C2834" s="123">
        <v>10040508169</v>
      </c>
      <c r="D2834" s="126" t="s">
        <v>10728</v>
      </c>
      <c r="E2834" s="126" t="s">
        <v>10729</v>
      </c>
      <c r="F2834" s="123" t="s">
        <v>2326</v>
      </c>
      <c r="G2834" s="123" t="s">
        <v>2326</v>
      </c>
      <c r="H2834" s="123" t="s">
        <v>10730</v>
      </c>
      <c r="I2834" s="126" t="s">
        <v>1551</v>
      </c>
      <c r="J2834" s="123" t="s">
        <v>10731</v>
      </c>
      <c r="K2834" s="123" t="s">
        <v>10728</v>
      </c>
      <c r="L2834" s="131" t="s">
        <v>100</v>
      </c>
      <c r="M2834" s="135" t="s">
        <v>845</v>
      </c>
      <c r="N2834" s="123" t="s">
        <v>845</v>
      </c>
    </row>
    <row r="2835" spans="2:14" hidden="1" x14ac:dyDescent="0.25">
      <c r="B2835" s="120">
        <v>2832</v>
      </c>
      <c r="C2835" s="123">
        <v>10107275016</v>
      </c>
      <c r="D2835" s="126" t="s">
        <v>10732</v>
      </c>
      <c r="E2835" s="126" t="s">
        <v>10733</v>
      </c>
      <c r="F2835" s="123" t="s">
        <v>30</v>
      </c>
      <c r="G2835" s="123" t="s">
        <v>30</v>
      </c>
      <c r="H2835" s="123" t="s">
        <v>88</v>
      </c>
      <c r="I2835" s="126" t="s">
        <v>1950</v>
      </c>
      <c r="J2835" s="123" t="s">
        <v>10734</v>
      </c>
      <c r="K2835" s="123" t="s">
        <v>10732</v>
      </c>
      <c r="L2835" s="131" t="s">
        <v>100</v>
      </c>
      <c r="M2835" s="135" t="s">
        <v>845</v>
      </c>
      <c r="N2835" s="123" t="s">
        <v>845</v>
      </c>
    </row>
    <row r="2836" spans="2:14" hidden="1" x14ac:dyDescent="0.25">
      <c r="B2836" s="120">
        <v>2833</v>
      </c>
      <c r="C2836" s="123">
        <v>10108128378</v>
      </c>
      <c r="D2836" s="126" t="s">
        <v>10735</v>
      </c>
      <c r="E2836" s="126" t="s">
        <v>10736</v>
      </c>
      <c r="F2836" s="123" t="s">
        <v>30</v>
      </c>
      <c r="G2836" s="123" t="s">
        <v>170</v>
      </c>
      <c r="H2836" s="123" t="s">
        <v>171</v>
      </c>
      <c r="I2836" s="126" t="s">
        <v>1954</v>
      </c>
      <c r="J2836" s="123" t="s">
        <v>10737</v>
      </c>
      <c r="K2836" s="123" t="s">
        <v>10735</v>
      </c>
      <c r="L2836" s="131" t="s">
        <v>100</v>
      </c>
      <c r="M2836" s="135" t="s">
        <v>845</v>
      </c>
      <c r="N2836" s="123" t="s">
        <v>845</v>
      </c>
    </row>
    <row r="2837" spans="2:14" hidden="1" x14ac:dyDescent="0.25">
      <c r="B2837" s="120">
        <v>2834</v>
      </c>
      <c r="C2837" s="123">
        <v>10469277939</v>
      </c>
      <c r="D2837" s="126" t="s">
        <v>10738</v>
      </c>
      <c r="E2837" s="126" t="s">
        <v>10739</v>
      </c>
      <c r="F2837" s="123" t="s">
        <v>30</v>
      </c>
      <c r="G2837" s="123" t="s">
        <v>30</v>
      </c>
      <c r="H2837" s="123" t="s">
        <v>75</v>
      </c>
      <c r="I2837" s="126" t="s">
        <v>1950</v>
      </c>
      <c r="J2837" s="123" t="s">
        <v>10740</v>
      </c>
      <c r="K2837" s="123" t="s">
        <v>10738</v>
      </c>
      <c r="L2837" s="131" t="s">
        <v>100</v>
      </c>
      <c r="M2837" s="135" t="s">
        <v>845</v>
      </c>
      <c r="N2837" s="123" t="s">
        <v>845</v>
      </c>
    </row>
    <row r="2838" spans="2:14" hidden="1" x14ac:dyDescent="0.25">
      <c r="B2838" s="120">
        <v>2835</v>
      </c>
      <c r="C2838" s="123">
        <v>10480533891</v>
      </c>
      <c r="D2838" s="126" t="s">
        <v>10741</v>
      </c>
      <c r="E2838" s="126" t="s">
        <v>10742</v>
      </c>
      <c r="F2838" s="123" t="s">
        <v>30</v>
      </c>
      <c r="G2838" s="123" t="s">
        <v>30</v>
      </c>
      <c r="H2838" s="123" t="s">
        <v>30</v>
      </c>
      <c r="I2838" s="126" t="s">
        <v>9575</v>
      </c>
      <c r="J2838" s="123" t="s">
        <v>10743</v>
      </c>
      <c r="K2838" s="123" t="s">
        <v>10741</v>
      </c>
      <c r="L2838" s="131" t="s">
        <v>100</v>
      </c>
      <c r="M2838" s="135" t="s">
        <v>845</v>
      </c>
      <c r="N2838" s="123" t="s">
        <v>845</v>
      </c>
    </row>
    <row r="2839" spans="2:14" hidden="1" x14ac:dyDescent="0.25">
      <c r="B2839" s="120">
        <v>2836</v>
      </c>
      <c r="C2839" s="123">
        <v>10084486731</v>
      </c>
      <c r="D2839" s="126" t="s">
        <v>10744</v>
      </c>
      <c r="E2839" s="126" t="s">
        <v>10745</v>
      </c>
      <c r="F2839" s="123" t="s">
        <v>30</v>
      </c>
      <c r="G2839" s="123" t="s">
        <v>30</v>
      </c>
      <c r="H2839" s="123" t="s">
        <v>72</v>
      </c>
      <c r="I2839" s="126" t="s">
        <v>1950</v>
      </c>
      <c r="J2839" s="123" t="s">
        <v>10746</v>
      </c>
      <c r="K2839" s="123" t="s">
        <v>10744</v>
      </c>
      <c r="L2839" s="131" t="s">
        <v>100</v>
      </c>
      <c r="M2839" s="135" t="s">
        <v>845</v>
      </c>
      <c r="N2839" s="123" t="s">
        <v>845</v>
      </c>
    </row>
    <row r="2840" spans="2:14" hidden="1" x14ac:dyDescent="0.25">
      <c r="B2840" s="120">
        <v>2837</v>
      </c>
      <c r="C2840" s="123">
        <v>10400860314</v>
      </c>
      <c r="D2840" s="126" t="s">
        <v>10747</v>
      </c>
      <c r="E2840" s="126" t="s">
        <v>10748</v>
      </c>
      <c r="F2840" s="123" t="s">
        <v>30</v>
      </c>
      <c r="G2840" s="123" t="s">
        <v>30</v>
      </c>
      <c r="H2840" s="123" t="s">
        <v>50</v>
      </c>
      <c r="I2840" s="126" t="s">
        <v>1952</v>
      </c>
      <c r="J2840" s="123" t="s">
        <v>10749</v>
      </c>
      <c r="K2840" s="123" t="s">
        <v>10747</v>
      </c>
      <c r="L2840" s="131" t="s">
        <v>100</v>
      </c>
      <c r="M2840" s="135" t="s">
        <v>845</v>
      </c>
      <c r="N2840" s="123" t="s">
        <v>845</v>
      </c>
    </row>
    <row r="2841" spans="2:14" hidden="1" x14ac:dyDescent="0.25">
      <c r="B2841" s="120">
        <v>2838</v>
      </c>
      <c r="C2841" s="123">
        <v>10474872926</v>
      </c>
      <c r="D2841" s="126" t="s">
        <v>10750</v>
      </c>
      <c r="E2841" s="126" t="s">
        <v>10751</v>
      </c>
      <c r="F2841" s="123" t="s">
        <v>30</v>
      </c>
      <c r="G2841" s="123" t="s">
        <v>30</v>
      </c>
      <c r="H2841" s="123" t="s">
        <v>30</v>
      </c>
      <c r="I2841" s="126" t="s">
        <v>1499</v>
      </c>
      <c r="J2841" s="123" t="s">
        <v>10752</v>
      </c>
      <c r="K2841" s="123" t="s">
        <v>10753</v>
      </c>
      <c r="L2841" s="131" t="s">
        <v>100</v>
      </c>
      <c r="M2841" s="135" t="s">
        <v>845</v>
      </c>
      <c r="N2841" s="123" t="s">
        <v>845</v>
      </c>
    </row>
    <row r="2842" spans="2:14" hidden="1" x14ac:dyDescent="0.25">
      <c r="B2842" s="120">
        <v>2839</v>
      </c>
      <c r="C2842" s="123">
        <v>10461097257</v>
      </c>
      <c r="D2842" s="126" t="s">
        <v>10754</v>
      </c>
      <c r="E2842" s="126" t="s">
        <v>10755</v>
      </c>
      <c r="F2842" s="123" t="s">
        <v>30</v>
      </c>
      <c r="G2842" s="123" t="s">
        <v>30</v>
      </c>
      <c r="H2842" s="123" t="s">
        <v>43</v>
      </c>
      <c r="I2842" s="126" t="s">
        <v>1701</v>
      </c>
      <c r="J2842" s="123" t="s">
        <v>10756</v>
      </c>
      <c r="K2842" s="123" t="s">
        <v>10754</v>
      </c>
      <c r="L2842" s="131" t="s">
        <v>100</v>
      </c>
      <c r="M2842" s="135" t="s">
        <v>845</v>
      </c>
      <c r="N2842" s="123" t="s">
        <v>845</v>
      </c>
    </row>
    <row r="2843" spans="2:14" hidden="1" x14ac:dyDescent="0.25">
      <c r="B2843" s="120">
        <v>2840</v>
      </c>
      <c r="C2843" s="123">
        <v>10741547908</v>
      </c>
      <c r="D2843" s="126" t="s">
        <v>10757</v>
      </c>
      <c r="E2843" s="126" t="s">
        <v>10758</v>
      </c>
      <c r="F2843" s="123" t="s">
        <v>30</v>
      </c>
      <c r="G2843" s="123" t="s">
        <v>30</v>
      </c>
      <c r="H2843" s="123" t="s">
        <v>50</v>
      </c>
      <c r="I2843" s="126" t="s">
        <v>1941</v>
      </c>
      <c r="J2843" s="123" t="s">
        <v>5614</v>
      </c>
      <c r="K2843" s="123" t="s">
        <v>10759</v>
      </c>
      <c r="L2843" s="131" t="s">
        <v>100</v>
      </c>
      <c r="M2843" s="135" t="s">
        <v>845</v>
      </c>
      <c r="N2843" s="123" t="s">
        <v>845</v>
      </c>
    </row>
    <row r="2844" spans="2:14" hidden="1" x14ac:dyDescent="0.25">
      <c r="B2844" s="120">
        <v>2841</v>
      </c>
      <c r="C2844" s="123">
        <v>10480559571</v>
      </c>
      <c r="D2844" s="126" t="s">
        <v>10760</v>
      </c>
      <c r="E2844" s="126" t="s">
        <v>10761</v>
      </c>
      <c r="F2844" s="123" t="s">
        <v>30</v>
      </c>
      <c r="G2844" s="123" t="s">
        <v>31</v>
      </c>
      <c r="H2844" s="123" t="s">
        <v>9381</v>
      </c>
      <c r="I2844" s="126" t="s">
        <v>1931</v>
      </c>
      <c r="J2844" s="123" t="s">
        <v>10762</v>
      </c>
      <c r="K2844" s="123" t="s">
        <v>10760</v>
      </c>
      <c r="L2844" s="131" t="s">
        <v>100</v>
      </c>
      <c r="M2844" s="135" t="s">
        <v>845</v>
      </c>
      <c r="N2844" s="123" t="s">
        <v>845</v>
      </c>
    </row>
    <row r="2845" spans="2:14" hidden="1" x14ac:dyDescent="0.25">
      <c r="B2845" s="120">
        <v>2842</v>
      </c>
      <c r="C2845" s="123">
        <v>10702406507</v>
      </c>
      <c r="D2845" s="126" t="s">
        <v>10763</v>
      </c>
      <c r="E2845" s="126" t="s">
        <v>10764</v>
      </c>
      <c r="F2845" s="123" t="s">
        <v>67</v>
      </c>
      <c r="G2845" s="123" t="s">
        <v>67</v>
      </c>
      <c r="H2845" s="123" t="s">
        <v>94</v>
      </c>
      <c r="I2845" s="126" t="s">
        <v>10765</v>
      </c>
      <c r="J2845" s="123" t="s">
        <v>10766</v>
      </c>
      <c r="K2845" s="123" t="s">
        <v>10763</v>
      </c>
      <c r="L2845" s="131" t="s">
        <v>100</v>
      </c>
      <c r="M2845" s="135" t="s">
        <v>845</v>
      </c>
      <c r="N2845" s="123" t="s">
        <v>845</v>
      </c>
    </row>
    <row r="2846" spans="2:14" hidden="1" x14ac:dyDescent="0.25">
      <c r="B2846" s="120">
        <v>2843</v>
      </c>
      <c r="C2846" s="123">
        <v>10083450491</v>
      </c>
      <c r="D2846" s="126" t="s">
        <v>10767</v>
      </c>
      <c r="E2846" s="126" t="s">
        <v>10768</v>
      </c>
      <c r="F2846" s="123" t="s">
        <v>30</v>
      </c>
      <c r="G2846" s="123" t="s">
        <v>30</v>
      </c>
      <c r="H2846" s="123" t="s">
        <v>74</v>
      </c>
      <c r="I2846" s="126" t="s">
        <v>10769</v>
      </c>
      <c r="J2846" s="123" t="s">
        <v>10770</v>
      </c>
      <c r="K2846" s="123" t="s">
        <v>10767</v>
      </c>
      <c r="L2846" s="131" t="s">
        <v>100</v>
      </c>
      <c r="M2846" s="135" t="s">
        <v>845</v>
      </c>
      <c r="N2846" s="123" t="s">
        <v>845</v>
      </c>
    </row>
    <row r="2847" spans="2:14" hidden="1" x14ac:dyDescent="0.25">
      <c r="B2847" s="120">
        <v>2844</v>
      </c>
      <c r="C2847" s="123">
        <v>10218722151</v>
      </c>
      <c r="D2847" s="126" t="s">
        <v>10771</v>
      </c>
      <c r="E2847" s="126" t="s">
        <v>10772</v>
      </c>
      <c r="F2847" s="123" t="s">
        <v>30</v>
      </c>
      <c r="G2847" s="123" t="s">
        <v>30</v>
      </c>
      <c r="H2847" s="123" t="s">
        <v>75</v>
      </c>
      <c r="I2847" s="126" t="s">
        <v>1932</v>
      </c>
      <c r="J2847" s="123" t="s">
        <v>10773</v>
      </c>
      <c r="K2847" s="123" t="s">
        <v>10774</v>
      </c>
      <c r="L2847" s="131" t="s">
        <v>100</v>
      </c>
      <c r="M2847" s="135" t="s">
        <v>845</v>
      </c>
      <c r="N2847" s="123" t="s">
        <v>845</v>
      </c>
    </row>
    <row r="2848" spans="2:14" hidden="1" x14ac:dyDescent="0.25">
      <c r="B2848" s="120">
        <v>2845</v>
      </c>
      <c r="C2848" s="123">
        <v>10460299654</v>
      </c>
      <c r="D2848" s="126" t="s">
        <v>10775</v>
      </c>
      <c r="E2848" s="126" t="s">
        <v>10776</v>
      </c>
      <c r="F2848" s="123" t="s">
        <v>30</v>
      </c>
      <c r="G2848" s="123" t="s">
        <v>170</v>
      </c>
      <c r="H2848" s="123" t="s">
        <v>171</v>
      </c>
      <c r="I2848" s="126" t="s">
        <v>1965</v>
      </c>
      <c r="J2848" s="123" t="s">
        <v>10777</v>
      </c>
      <c r="K2848" s="123" t="s">
        <v>10775</v>
      </c>
      <c r="L2848" s="131" t="s">
        <v>100</v>
      </c>
      <c r="M2848" s="135" t="s">
        <v>845</v>
      </c>
      <c r="N2848" s="123" t="s">
        <v>845</v>
      </c>
    </row>
    <row r="2849" spans="2:14" hidden="1" x14ac:dyDescent="0.25">
      <c r="B2849" s="120">
        <v>2846</v>
      </c>
      <c r="C2849" s="123">
        <v>10159771925</v>
      </c>
      <c r="D2849" s="126" t="s">
        <v>10778</v>
      </c>
      <c r="E2849" s="126" t="s">
        <v>10779</v>
      </c>
      <c r="F2849" s="123" t="s">
        <v>30</v>
      </c>
      <c r="G2849" s="123" t="s">
        <v>54</v>
      </c>
      <c r="H2849" s="123" t="s">
        <v>55</v>
      </c>
      <c r="I2849" s="126" t="s">
        <v>9625</v>
      </c>
      <c r="J2849" s="123" t="s">
        <v>10780</v>
      </c>
      <c r="K2849" s="123" t="s">
        <v>10778</v>
      </c>
      <c r="L2849" s="131" t="s">
        <v>100</v>
      </c>
      <c r="M2849" s="135" t="s">
        <v>845</v>
      </c>
      <c r="N2849" s="123" t="s">
        <v>845</v>
      </c>
    </row>
    <row r="2850" spans="2:14" hidden="1" x14ac:dyDescent="0.25">
      <c r="B2850" s="120">
        <v>2847</v>
      </c>
      <c r="C2850" s="123">
        <v>10751735761</v>
      </c>
      <c r="D2850" s="126" t="s">
        <v>10781</v>
      </c>
      <c r="E2850" s="126" t="s">
        <v>10782</v>
      </c>
      <c r="F2850" s="123" t="s">
        <v>30</v>
      </c>
      <c r="G2850" s="123" t="s">
        <v>30</v>
      </c>
      <c r="H2850" s="123" t="s">
        <v>43</v>
      </c>
      <c r="I2850" s="126" t="s">
        <v>1950</v>
      </c>
      <c r="J2850" s="123" t="s">
        <v>10783</v>
      </c>
      <c r="K2850" s="123" t="s">
        <v>10784</v>
      </c>
      <c r="L2850" s="131" t="s">
        <v>100</v>
      </c>
      <c r="M2850" s="135" t="s">
        <v>845</v>
      </c>
      <c r="N2850" s="123" t="s">
        <v>845</v>
      </c>
    </row>
    <row r="2851" spans="2:14" hidden="1" x14ac:dyDescent="0.25">
      <c r="B2851" s="120">
        <v>2848</v>
      </c>
      <c r="C2851" s="123">
        <v>10258175064</v>
      </c>
      <c r="D2851" s="126" t="s">
        <v>10785</v>
      </c>
      <c r="E2851" s="126" t="s">
        <v>10786</v>
      </c>
      <c r="F2851" s="123" t="s">
        <v>67</v>
      </c>
      <c r="G2851" s="123" t="s">
        <v>67</v>
      </c>
      <c r="H2851" s="123" t="s">
        <v>134</v>
      </c>
      <c r="I2851" s="126" t="s">
        <v>10787</v>
      </c>
      <c r="J2851" s="123" t="s">
        <v>10788</v>
      </c>
      <c r="K2851" s="123" t="s">
        <v>10785</v>
      </c>
      <c r="L2851" s="131" t="s">
        <v>100</v>
      </c>
      <c r="M2851" s="135" t="s">
        <v>845</v>
      </c>
      <c r="N2851" s="123" t="s">
        <v>845</v>
      </c>
    </row>
    <row r="2852" spans="2:14" hidden="1" x14ac:dyDescent="0.25">
      <c r="B2852" s="120">
        <v>2849</v>
      </c>
      <c r="C2852" s="123">
        <v>10753846145</v>
      </c>
      <c r="D2852" s="126" t="s">
        <v>10789</v>
      </c>
      <c r="E2852" s="126" t="s">
        <v>10790</v>
      </c>
      <c r="F2852" s="123" t="s">
        <v>30</v>
      </c>
      <c r="G2852" s="123" t="s">
        <v>170</v>
      </c>
      <c r="H2852" s="123" t="s">
        <v>175</v>
      </c>
      <c r="I2852" s="126" t="s">
        <v>1424</v>
      </c>
      <c r="J2852" s="123" t="s">
        <v>10791</v>
      </c>
      <c r="K2852" s="123" t="s">
        <v>10789</v>
      </c>
      <c r="L2852" s="131" t="s">
        <v>100</v>
      </c>
      <c r="M2852" s="135" t="s">
        <v>845</v>
      </c>
      <c r="N2852" s="123" t="s">
        <v>845</v>
      </c>
    </row>
    <row r="2853" spans="2:14" hidden="1" x14ac:dyDescent="0.25">
      <c r="B2853" s="120">
        <v>2850</v>
      </c>
      <c r="C2853" s="123">
        <v>10410257187</v>
      </c>
      <c r="D2853" s="126" t="s">
        <v>10792</v>
      </c>
      <c r="E2853" s="126" t="s">
        <v>10793</v>
      </c>
      <c r="F2853" s="123" t="s">
        <v>30</v>
      </c>
      <c r="G2853" s="123" t="s">
        <v>30</v>
      </c>
      <c r="H2853" s="123" t="s">
        <v>72</v>
      </c>
      <c r="I2853" s="126" t="s">
        <v>1931</v>
      </c>
      <c r="J2853" s="123" t="s">
        <v>10794</v>
      </c>
      <c r="K2853" s="123" t="s">
        <v>10792</v>
      </c>
      <c r="L2853" s="131" t="s">
        <v>100</v>
      </c>
      <c r="M2853" s="135" t="s">
        <v>845</v>
      </c>
      <c r="N2853" s="123" t="s">
        <v>845</v>
      </c>
    </row>
    <row r="2854" spans="2:14" hidden="1" x14ac:dyDescent="0.25">
      <c r="B2854" s="120">
        <v>2851</v>
      </c>
      <c r="C2854" s="123">
        <v>10070766430</v>
      </c>
      <c r="D2854" s="126" t="s">
        <v>10795</v>
      </c>
      <c r="E2854" s="126" t="s">
        <v>10796</v>
      </c>
      <c r="F2854" s="123" t="s">
        <v>30</v>
      </c>
      <c r="G2854" s="123" t="s">
        <v>30</v>
      </c>
      <c r="H2854" s="123" t="s">
        <v>72</v>
      </c>
      <c r="I2854" s="126" t="s">
        <v>1701</v>
      </c>
      <c r="J2854" s="123" t="s">
        <v>10797</v>
      </c>
      <c r="K2854" s="123" t="s">
        <v>10795</v>
      </c>
      <c r="L2854" s="131" t="s">
        <v>100</v>
      </c>
      <c r="M2854" s="135" t="s">
        <v>845</v>
      </c>
      <c r="N2854" s="123" t="s">
        <v>845</v>
      </c>
    </row>
    <row r="2855" spans="2:14" hidden="1" x14ac:dyDescent="0.25">
      <c r="B2855" s="120">
        <v>2852</v>
      </c>
      <c r="C2855" s="123">
        <v>10221849553</v>
      </c>
      <c r="D2855" s="126" t="s">
        <v>10798</v>
      </c>
      <c r="E2855" s="126" t="s">
        <v>10799</v>
      </c>
      <c r="F2855" s="123" t="s">
        <v>30</v>
      </c>
      <c r="G2855" s="123" t="s">
        <v>30</v>
      </c>
      <c r="H2855" s="123" t="s">
        <v>72</v>
      </c>
      <c r="I2855" s="126" t="s">
        <v>9625</v>
      </c>
      <c r="J2855" s="123" t="s">
        <v>10800</v>
      </c>
      <c r="K2855" s="123" t="s">
        <v>10798</v>
      </c>
      <c r="L2855" s="131" t="s">
        <v>100</v>
      </c>
      <c r="M2855" s="135" t="s">
        <v>845</v>
      </c>
      <c r="N2855" s="123" t="s">
        <v>845</v>
      </c>
    </row>
    <row r="2856" spans="2:14" hidden="1" x14ac:dyDescent="0.25">
      <c r="B2856" s="120">
        <v>2853</v>
      </c>
      <c r="C2856" s="123">
        <v>10704617912</v>
      </c>
      <c r="D2856" s="126" t="s">
        <v>10801</v>
      </c>
      <c r="E2856" s="126" t="s">
        <v>10802</v>
      </c>
      <c r="F2856" s="123" t="s">
        <v>30</v>
      </c>
      <c r="G2856" s="123" t="s">
        <v>170</v>
      </c>
      <c r="H2856" s="123" t="s">
        <v>176</v>
      </c>
      <c r="I2856" s="126" t="s">
        <v>1931</v>
      </c>
      <c r="J2856" s="123" t="s">
        <v>10803</v>
      </c>
      <c r="K2856" s="123" t="s">
        <v>10801</v>
      </c>
      <c r="L2856" s="131" t="s">
        <v>100</v>
      </c>
      <c r="M2856" s="135" t="s">
        <v>845</v>
      </c>
      <c r="N2856" s="123" t="s">
        <v>845</v>
      </c>
    </row>
    <row r="2857" spans="2:14" hidden="1" x14ac:dyDescent="0.25">
      <c r="B2857" s="120">
        <v>2854</v>
      </c>
      <c r="C2857" s="123">
        <v>10407272566</v>
      </c>
      <c r="D2857" s="126" t="s">
        <v>10804</v>
      </c>
      <c r="E2857" s="126" t="s">
        <v>10805</v>
      </c>
      <c r="F2857" s="123" t="s">
        <v>30</v>
      </c>
      <c r="G2857" s="123" t="s">
        <v>30</v>
      </c>
      <c r="H2857" s="123" t="s">
        <v>35</v>
      </c>
      <c r="I2857" s="126" t="s">
        <v>1970</v>
      </c>
      <c r="J2857" s="123" t="s">
        <v>10806</v>
      </c>
      <c r="K2857" s="123" t="s">
        <v>10804</v>
      </c>
      <c r="L2857" s="131" t="s">
        <v>100</v>
      </c>
      <c r="M2857" s="135" t="s">
        <v>845</v>
      </c>
      <c r="N2857" s="123" t="s">
        <v>845</v>
      </c>
    </row>
    <row r="2858" spans="2:14" hidden="1" x14ac:dyDescent="0.25">
      <c r="B2858" s="120">
        <v>2855</v>
      </c>
      <c r="C2858" s="123">
        <v>10480659029</v>
      </c>
      <c r="D2858" s="126" t="s">
        <v>10807</v>
      </c>
      <c r="E2858" s="126" t="s">
        <v>10808</v>
      </c>
      <c r="F2858" s="123" t="s">
        <v>30</v>
      </c>
      <c r="G2858" s="123" t="s">
        <v>30</v>
      </c>
      <c r="H2858" s="123" t="s">
        <v>65</v>
      </c>
      <c r="I2858" s="126" t="s">
        <v>1424</v>
      </c>
      <c r="J2858" s="123" t="s">
        <v>10809</v>
      </c>
      <c r="K2858" s="123" t="s">
        <v>10810</v>
      </c>
      <c r="L2858" s="131" t="s">
        <v>100</v>
      </c>
      <c r="M2858" s="135" t="s">
        <v>845</v>
      </c>
      <c r="N2858" s="123" t="s">
        <v>845</v>
      </c>
    </row>
    <row r="2859" spans="2:14" hidden="1" x14ac:dyDescent="0.25">
      <c r="B2859" s="120">
        <v>2856</v>
      </c>
      <c r="C2859" s="123">
        <v>10101147997</v>
      </c>
      <c r="D2859" s="126" t="s">
        <v>10811</v>
      </c>
      <c r="E2859" s="126" t="s">
        <v>10812</v>
      </c>
      <c r="F2859" s="123" t="s">
        <v>30</v>
      </c>
      <c r="G2859" s="123" t="s">
        <v>30</v>
      </c>
      <c r="H2859" s="123" t="s">
        <v>43</v>
      </c>
      <c r="I2859" s="126" t="s">
        <v>8884</v>
      </c>
      <c r="J2859" s="123" t="s">
        <v>10813</v>
      </c>
      <c r="K2859" s="123" t="s">
        <v>10811</v>
      </c>
      <c r="L2859" s="131" t="s">
        <v>100</v>
      </c>
      <c r="M2859" s="135" t="s">
        <v>845</v>
      </c>
      <c r="N2859" s="123" t="s">
        <v>845</v>
      </c>
    </row>
    <row r="2860" spans="2:14" hidden="1" x14ac:dyDescent="0.25">
      <c r="B2860" s="120">
        <v>2857</v>
      </c>
      <c r="C2860" s="123">
        <v>10425885893</v>
      </c>
      <c r="D2860" s="126" t="s">
        <v>10814</v>
      </c>
      <c r="E2860" s="126" t="s">
        <v>10815</v>
      </c>
      <c r="F2860" s="123" t="s">
        <v>30</v>
      </c>
      <c r="G2860" s="123" t="s">
        <v>30</v>
      </c>
      <c r="H2860" s="123" t="s">
        <v>397</v>
      </c>
      <c r="I2860" s="126" t="s">
        <v>8884</v>
      </c>
      <c r="J2860" s="123" t="s">
        <v>10816</v>
      </c>
      <c r="K2860" s="123" t="s">
        <v>10814</v>
      </c>
      <c r="L2860" s="131" t="s">
        <v>100</v>
      </c>
      <c r="M2860" s="135" t="s">
        <v>845</v>
      </c>
      <c r="N2860" s="123" t="s">
        <v>845</v>
      </c>
    </row>
    <row r="2861" spans="2:14" hidden="1" x14ac:dyDescent="0.25">
      <c r="B2861" s="120">
        <v>2858</v>
      </c>
      <c r="C2861" s="123">
        <v>10152863981</v>
      </c>
      <c r="D2861" s="126" t="s">
        <v>10817</v>
      </c>
      <c r="E2861" s="126" t="s">
        <v>10818</v>
      </c>
      <c r="F2861" s="123" t="s">
        <v>30</v>
      </c>
      <c r="G2861" s="123" t="s">
        <v>30</v>
      </c>
      <c r="H2861" s="123" t="s">
        <v>37</v>
      </c>
      <c r="I2861" s="126" t="s">
        <v>1701</v>
      </c>
      <c r="J2861" s="123" t="s">
        <v>10819</v>
      </c>
      <c r="K2861" s="123" t="s">
        <v>10817</v>
      </c>
      <c r="L2861" s="131" t="s">
        <v>100</v>
      </c>
      <c r="M2861" s="135" t="s">
        <v>845</v>
      </c>
      <c r="N2861" s="123" t="s">
        <v>845</v>
      </c>
    </row>
    <row r="2862" spans="2:14" hidden="1" x14ac:dyDescent="0.25">
      <c r="B2862" s="120">
        <v>2859</v>
      </c>
      <c r="C2862" s="123">
        <v>10104007614</v>
      </c>
      <c r="D2862" s="126" t="s">
        <v>10820</v>
      </c>
      <c r="E2862" s="126" t="s">
        <v>10821</v>
      </c>
      <c r="F2862" s="123" t="s">
        <v>30</v>
      </c>
      <c r="G2862" s="123" t="s">
        <v>30</v>
      </c>
      <c r="H2862" s="123" t="s">
        <v>45</v>
      </c>
      <c r="I2862" s="126" t="s">
        <v>1931</v>
      </c>
      <c r="J2862" s="123" t="s">
        <v>10822</v>
      </c>
      <c r="K2862" s="123" t="s">
        <v>10823</v>
      </c>
      <c r="L2862" s="131" t="s">
        <v>100</v>
      </c>
      <c r="M2862" s="135" t="s">
        <v>845</v>
      </c>
      <c r="N2862" s="123" t="s">
        <v>845</v>
      </c>
    </row>
    <row r="2863" spans="2:14" hidden="1" x14ac:dyDescent="0.25">
      <c r="B2863" s="120">
        <v>2860</v>
      </c>
      <c r="C2863" s="123">
        <v>10304820531</v>
      </c>
      <c r="D2863" s="126" t="s">
        <v>10824</v>
      </c>
      <c r="E2863" s="126" t="s">
        <v>10825</v>
      </c>
      <c r="F2863" s="123" t="s">
        <v>30</v>
      </c>
      <c r="G2863" s="123" t="s">
        <v>31</v>
      </c>
      <c r="H2863" s="123" t="s">
        <v>9381</v>
      </c>
      <c r="I2863" s="126" t="s">
        <v>1564</v>
      </c>
      <c r="J2863" s="123" t="s">
        <v>10826</v>
      </c>
      <c r="K2863" s="123" t="s">
        <v>10824</v>
      </c>
      <c r="L2863" s="131" t="s">
        <v>100</v>
      </c>
      <c r="M2863" s="135" t="s">
        <v>845</v>
      </c>
      <c r="N2863" s="123" t="s">
        <v>845</v>
      </c>
    </row>
    <row r="2864" spans="2:14" hidden="1" x14ac:dyDescent="0.25">
      <c r="B2864" s="120">
        <v>2861</v>
      </c>
      <c r="C2864" s="123">
        <v>10752018966</v>
      </c>
      <c r="D2864" s="126" t="s">
        <v>10827</v>
      </c>
      <c r="E2864" s="126" t="s">
        <v>10828</v>
      </c>
      <c r="F2864" s="123" t="s">
        <v>67</v>
      </c>
      <c r="G2864" s="123" t="s">
        <v>67</v>
      </c>
      <c r="H2864" s="123" t="s">
        <v>67</v>
      </c>
      <c r="I2864" s="126" t="s">
        <v>10829</v>
      </c>
      <c r="J2864" s="123" t="s">
        <v>10830</v>
      </c>
      <c r="K2864" s="123" t="s">
        <v>10827</v>
      </c>
      <c r="L2864" s="131" t="s">
        <v>100</v>
      </c>
      <c r="M2864" s="135" t="s">
        <v>845</v>
      </c>
      <c r="N2864" s="123" t="s">
        <v>845</v>
      </c>
    </row>
    <row r="2865" spans="2:14" hidden="1" x14ac:dyDescent="0.25">
      <c r="B2865" s="120">
        <v>2862</v>
      </c>
      <c r="C2865" s="123">
        <v>10479333373</v>
      </c>
      <c r="D2865" s="126" t="s">
        <v>10831</v>
      </c>
      <c r="E2865" s="126" t="s">
        <v>10832</v>
      </c>
      <c r="F2865" s="123" t="s">
        <v>67</v>
      </c>
      <c r="G2865" s="123" t="s">
        <v>67</v>
      </c>
      <c r="H2865" s="123" t="s">
        <v>94</v>
      </c>
      <c r="I2865" s="126" t="s">
        <v>1974</v>
      </c>
      <c r="J2865" s="123" t="s">
        <v>10833</v>
      </c>
      <c r="K2865" s="123" t="s">
        <v>10834</v>
      </c>
      <c r="L2865" s="131" t="s">
        <v>100</v>
      </c>
      <c r="M2865" s="135" t="s">
        <v>845</v>
      </c>
      <c r="N2865" s="123" t="s">
        <v>845</v>
      </c>
    </row>
    <row r="2866" spans="2:14" hidden="1" x14ac:dyDescent="0.25">
      <c r="B2866" s="120">
        <v>2863</v>
      </c>
      <c r="C2866" s="123">
        <v>10425326291</v>
      </c>
      <c r="D2866" s="126" t="s">
        <v>10835</v>
      </c>
      <c r="E2866" s="126" t="s">
        <v>10836</v>
      </c>
      <c r="F2866" s="123" t="s">
        <v>30</v>
      </c>
      <c r="G2866" s="123" t="s">
        <v>30</v>
      </c>
      <c r="H2866" s="123" t="s">
        <v>72</v>
      </c>
      <c r="I2866" s="126" t="s">
        <v>1931</v>
      </c>
      <c r="J2866" s="123" t="s">
        <v>10837</v>
      </c>
      <c r="K2866" s="123" t="s">
        <v>10835</v>
      </c>
      <c r="L2866" s="131" t="s">
        <v>100</v>
      </c>
      <c r="M2866" s="135" t="s">
        <v>845</v>
      </c>
      <c r="N2866" s="123" t="s">
        <v>845</v>
      </c>
    </row>
    <row r="2867" spans="2:14" hidden="1" x14ac:dyDescent="0.25">
      <c r="B2867" s="120">
        <v>2864</v>
      </c>
      <c r="C2867" s="123">
        <v>10741488766</v>
      </c>
      <c r="D2867" s="126" t="s">
        <v>10838</v>
      </c>
      <c r="E2867" s="126" t="s">
        <v>10839</v>
      </c>
      <c r="F2867" s="123" t="s">
        <v>30</v>
      </c>
      <c r="G2867" s="123" t="s">
        <v>30</v>
      </c>
      <c r="H2867" s="123" t="s">
        <v>152</v>
      </c>
      <c r="I2867" s="126" t="s">
        <v>1424</v>
      </c>
      <c r="J2867" s="123" t="s">
        <v>10840</v>
      </c>
      <c r="K2867" s="123" t="s">
        <v>10838</v>
      </c>
      <c r="L2867" s="131" t="s">
        <v>100</v>
      </c>
      <c r="M2867" s="135" t="s">
        <v>845</v>
      </c>
      <c r="N2867" s="123" t="s">
        <v>845</v>
      </c>
    </row>
    <row r="2868" spans="2:14" hidden="1" x14ac:dyDescent="0.25">
      <c r="B2868" s="120">
        <v>2865</v>
      </c>
      <c r="C2868" s="123">
        <v>10806528132</v>
      </c>
      <c r="D2868" s="126" t="s">
        <v>10841</v>
      </c>
      <c r="E2868" s="126" t="s">
        <v>10842</v>
      </c>
      <c r="F2868" s="123" t="s">
        <v>30</v>
      </c>
      <c r="G2868" s="123" t="s">
        <v>31</v>
      </c>
      <c r="H2868" s="123" t="s">
        <v>32</v>
      </c>
      <c r="I2868" s="126" t="s">
        <v>1701</v>
      </c>
      <c r="J2868" s="123" t="s">
        <v>10843</v>
      </c>
      <c r="K2868" s="123" t="s">
        <v>10841</v>
      </c>
      <c r="L2868" s="131" t="s">
        <v>100</v>
      </c>
      <c r="M2868" s="135" t="s">
        <v>845</v>
      </c>
      <c r="N2868" s="123" t="s">
        <v>845</v>
      </c>
    </row>
    <row r="2869" spans="2:14" hidden="1" x14ac:dyDescent="0.25">
      <c r="B2869" s="120">
        <v>2866</v>
      </c>
      <c r="C2869" s="123">
        <v>10419429932</v>
      </c>
      <c r="D2869" s="126" t="s">
        <v>10844</v>
      </c>
      <c r="E2869" s="126" t="s">
        <v>10845</v>
      </c>
      <c r="F2869" s="123" t="s">
        <v>30</v>
      </c>
      <c r="G2869" s="123" t="s">
        <v>30</v>
      </c>
      <c r="H2869" s="123" t="s">
        <v>72</v>
      </c>
      <c r="I2869" s="126" t="s">
        <v>1507</v>
      </c>
      <c r="J2869" s="123" t="s">
        <v>10846</v>
      </c>
      <c r="K2869" s="123" t="s">
        <v>10847</v>
      </c>
      <c r="L2869" s="131" t="s">
        <v>100</v>
      </c>
      <c r="M2869" s="135" t="s">
        <v>845</v>
      </c>
      <c r="N2869" s="123" t="s">
        <v>845</v>
      </c>
    </row>
    <row r="2870" spans="2:14" hidden="1" x14ac:dyDescent="0.25">
      <c r="B2870" s="120">
        <v>2867</v>
      </c>
      <c r="C2870" s="123">
        <v>10419407564</v>
      </c>
      <c r="D2870" s="126" t="s">
        <v>10848</v>
      </c>
      <c r="E2870" s="126" t="s">
        <v>10849</v>
      </c>
      <c r="F2870" s="123" t="s">
        <v>30</v>
      </c>
      <c r="G2870" s="123" t="s">
        <v>30</v>
      </c>
      <c r="H2870" s="123" t="s">
        <v>58</v>
      </c>
      <c r="I2870" s="126" t="s">
        <v>1930</v>
      </c>
      <c r="J2870" s="123" t="s">
        <v>10850</v>
      </c>
      <c r="K2870" s="123" t="s">
        <v>10848</v>
      </c>
      <c r="L2870" s="131" t="s">
        <v>100</v>
      </c>
      <c r="M2870" s="135" t="s">
        <v>845</v>
      </c>
      <c r="N2870" s="123" t="s">
        <v>845</v>
      </c>
    </row>
    <row r="2871" spans="2:14" hidden="1" x14ac:dyDescent="0.25">
      <c r="B2871" s="120">
        <v>2868</v>
      </c>
      <c r="C2871" s="123">
        <v>10415413900</v>
      </c>
      <c r="D2871" s="126" t="s">
        <v>10851</v>
      </c>
      <c r="E2871" s="126" t="s">
        <v>10852</v>
      </c>
      <c r="F2871" s="123" t="s">
        <v>30</v>
      </c>
      <c r="G2871" s="123" t="s">
        <v>30</v>
      </c>
      <c r="H2871" s="123" t="s">
        <v>38</v>
      </c>
      <c r="I2871" s="126" t="s">
        <v>1949</v>
      </c>
      <c r="J2871" s="123" t="s">
        <v>10853</v>
      </c>
      <c r="K2871" s="123" t="s">
        <v>10854</v>
      </c>
      <c r="L2871" s="131" t="s">
        <v>100</v>
      </c>
      <c r="M2871" s="135" t="s">
        <v>845</v>
      </c>
      <c r="N2871" s="123" t="s">
        <v>845</v>
      </c>
    </row>
    <row r="2872" spans="2:14" hidden="1" x14ac:dyDescent="0.25">
      <c r="B2872" s="120">
        <v>2869</v>
      </c>
      <c r="C2872" s="123">
        <v>10414242087</v>
      </c>
      <c r="D2872" s="126" t="s">
        <v>10855</v>
      </c>
      <c r="E2872" s="126" t="s">
        <v>10856</v>
      </c>
      <c r="F2872" s="123" t="s">
        <v>30</v>
      </c>
      <c r="G2872" s="123" t="s">
        <v>30</v>
      </c>
      <c r="H2872" s="123" t="s">
        <v>39</v>
      </c>
      <c r="I2872" s="126" t="s">
        <v>1941</v>
      </c>
      <c r="J2872" s="123" t="s">
        <v>10857</v>
      </c>
      <c r="K2872" s="123" t="s">
        <v>10855</v>
      </c>
      <c r="L2872" s="131" t="s">
        <v>100</v>
      </c>
      <c r="M2872" s="135" t="s">
        <v>845</v>
      </c>
      <c r="N2872" s="123" t="s">
        <v>845</v>
      </c>
    </row>
    <row r="2873" spans="2:14" hidden="1" x14ac:dyDescent="0.25">
      <c r="B2873" s="120">
        <v>2870</v>
      </c>
      <c r="C2873" s="123">
        <v>10463683315</v>
      </c>
      <c r="D2873" s="126" t="s">
        <v>10858</v>
      </c>
      <c r="E2873" s="126" t="s">
        <v>10859</v>
      </c>
      <c r="F2873" s="123" t="s">
        <v>30</v>
      </c>
      <c r="G2873" s="123" t="s">
        <v>30</v>
      </c>
      <c r="H2873" s="123" t="s">
        <v>30</v>
      </c>
      <c r="I2873" s="126" t="s">
        <v>1694</v>
      </c>
      <c r="J2873" s="123" t="s">
        <v>10860</v>
      </c>
      <c r="K2873" s="123" t="s">
        <v>10861</v>
      </c>
      <c r="L2873" s="131" t="s">
        <v>100</v>
      </c>
      <c r="M2873" s="135" t="s">
        <v>845</v>
      </c>
      <c r="N2873" s="123" t="s">
        <v>845</v>
      </c>
    </row>
    <row r="2874" spans="2:14" hidden="1" x14ac:dyDescent="0.25">
      <c r="B2874" s="120">
        <v>2871</v>
      </c>
      <c r="C2874" s="123">
        <v>10448117214</v>
      </c>
      <c r="D2874" s="126" t="s">
        <v>10862</v>
      </c>
      <c r="E2874" s="126" t="s">
        <v>10863</v>
      </c>
      <c r="F2874" s="123" t="s">
        <v>30</v>
      </c>
      <c r="G2874" s="123" t="s">
        <v>30</v>
      </c>
      <c r="H2874" s="123" t="s">
        <v>30</v>
      </c>
      <c r="I2874" s="126" t="s">
        <v>1528</v>
      </c>
      <c r="J2874" s="123" t="s">
        <v>10864</v>
      </c>
      <c r="K2874" s="123" t="s">
        <v>10862</v>
      </c>
      <c r="L2874" s="131" t="s">
        <v>100</v>
      </c>
      <c r="M2874" s="135" t="s">
        <v>845</v>
      </c>
      <c r="N2874" s="123" t="s">
        <v>845</v>
      </c>
    </row>
    <row r="2875" spans="2:14" hidden="1" x14ac:dyDescent="0.25">
      <c r="B2875" s="120">
        <v>2872</v>
      </c>
      <c r="C2875" s="123">
        <v>10098727456</v>
      </c>
      <c r="D2875" s="126" t="s">
        <v>10865</v>
      </c>
      <c r="E2875" s="126" t="s">
        <v>10866</v>
      </c>
      <c r="F2875" s="123" t="s">
        <v>30</v>
      </c>
      <c r="G2875" s="123" t="s">
        <v>30</v>
      </c>
      <c r="H2875" s="123" t="s">
        <v>60</v>
      </c>
      <c r="I2875" s="126" t="s">
        <v>10867</v>
      </c>
      <c r="J2875" s="123" t="s">
        <v>10868</v>
      </c>
      <c r="K2875" s="123" t="s">
        <v>10869</v>
      </c>
      <c r="L2875" s="131" t="s">
        <v>100</v>
      </c>
      <c r="M2875" s="135" t="s">
        <v>845</v>
      </c>
      <c r="N2875" s="123" t="s">
        <v>845</v>
      </c>
    </row>
    <row r="2876" spans="2:14" hidden="1" x14ac:dyDescent="0.25">
      <c r="B2876" s="120">
        <v>2873</v>
      </c>
      <c r="C2876" s="123">
        <v>10102300586</v>
      </c>
      <c r="D2876" s="126" t="s">
        <v>10870</v>
      </c>
      <c r="E2876" s="126" t="s">
        <v>10871</v>
      </c>
      <c r="F2876" s="123" t="s">
        <v>30</v>
      </c>
      <c r="G2876" s="123" t="s">
        <v>30</v>
      </c>
      <c r="H2876" s="123" t="s">
        <v>37</v>
      </c>
      <c r="I2876" s="126" t="s">
        <v>1701</v>
      </c>
      <c r="J2876" s="123" t="s">
        <v>10872</v>
      </c>
      <c r="K2876" s="123" t="s">
        <v>10870</v>
      </c>
      <c r="L2876" s="131" t="s">
        <v>100</v>
      </c>
      <c r="M2876" s="135" t="s">
        <v>845</v>
      </c>
      <c r="N2876" s="123" t="s">
        <v>845</v>
      </c>
    </row>
    <row r="2877" spans="2:14" hidden="1" x14ac:dyDescent="0.25">
      <c r="B2877" s="120">
        <v>2874</v>
      </c>
      <c r="C2877" s="123">
        <v>10237174688</v>
      </c>
      <c r="D2877" s="126" t="s">
        <v>10873</v>
      </c>
      <c r="E2877" s="126" t="s">
        <v>10874</v>
      </c>
      <c r="F2877" s="123" t="s">
        <v>30</v>
      </c>
      <c r="G2877" s="123" t="s">
        <v>30</v>
      </c>
      <c r="H2877" s="123" t="s">
        <v>30</v>
      </c>
      <c r="I2877" s="126" t="s">
        <v>1499</v>
      </c>
      <c r="J2877" s="123" t="s">
        <v>10875</v>
      </c>
      <c r="K2877" s="123" t="s">
        <v>10876</v>
      </c>
      <c r="L2877" s="131" t="s">
        <v>100</v>
      </c>
      <c r="M2877" s="135" t="s">
        <v>845</v>
      </c>
      <c r="N2877" s="123" t="s">
        <v>845</v>
      </c>
    </row>
    <row r="2878" spans="2:14" hidden="1" x14ac:dyDescent="0.25">
      <c r="B2878" s="120">
        <v>2875</v>
      </c>
      <c r="C2878" s="123">
        <v>10450783507</v>
      </c>
      <c r="D2878" s="126" t="s">
        <v>10877</v>
      </c>
      <c r="E2878" s="126" t="s">
        <v>10878</v>
      </c>
      <c r="F2878" s="123" t="s">
        <v>30</v>
      </c>
      <c r="G2878" s="123" t="s">
        <v>30</v>
      </c>
      <c r="H2878" s="123" t="s">
        <v>72</v>
      </c>
      <c r="I2878" s="126" t="s">
        <v>1952</v>
      </c>
      <c r="J2878" s="123" t="s">
        <v>10879</v>
      </c>
      <c r="K2878" s="123" t="s">
        <v>10877</v>
      </c>
      <c r="L2878" s="131" t="s">
        <v>100</v>
      </c>
      <c r="M2878" s="135" t="s">
        <v>845</v>
      </c>
      <c r="N2878" s="123" t="s">
        <v>845</v>
      </c>
    </row>
    <row r="2879" spans="2:14" hidden="1" x14ac:dyDescent="0.25">
      <c r="B2879" s="120">
        <v>2876</v>
      </c>
      <c r="C2879" s="123">
        <v>10456621886</v>
      </c>
      <c r="D2879" s="126" t="s">
        <v>10880</v>
      </c>
      <c r="E2879" s="126" t="s">
        <v>10881</v>
      </c>
      <c r="F2879" s="123" t="s">
        <v>30</v>
      </c>
      <c r="G2879" s="123" t="s">
        <v>30</v>
      </c>
      <c r="H2879" s="123" t="s">
        <v>75</v>
      </c>
      <c r="I2879" s="126" t="s">
        <v>1643</v>
      </c>
      <c r="J2879" s="123" t="s">
        <v>10882</v>
      </c>
      <c r="K2879" s="123" t="s">
        <v>10883</v>
      </c>
      <c r="L2879" s="131" t="s">
        <v>100</v>
      </c>
      <c r="M2879" s="135" t="s">
        <v>845</v>
      </c>
      <c r="N2879" s="123" t="s">
        <v>845</v>
      </c>
    </row>
    <row r="2880" spans="2:14" hidden="1" x14ac:dyDescent="0.25">
      <c r="B2880" s="120">
        <v>2877</v>
      </c>
      <c r="C2880" s="123">
        <v>10407828173</v>
      </c>
      <c r="D2880" s="126" t="s">
        <v>10884</v>
      </c>
      <c r="E2880" s="126" t="s">
        <v>10885</v>
      </c>
      <c r="F2880" s="123" t="s">
        <v>30</v>
      </c>
      <c r="G2880" s="123" t="s">
        <v>30</v>
      </c>
      <c r="H2880" s="123" t="s">
        <v>43</v>
      </c>
      <c r="I2880" s="126" t="s">
        <v>9625</v>
      </c>
      <c r="J2880" s="123" t="s">
        <v>10886</v>
      </c>
      <c r="K2880" s="123" t="s">
        <v>10884</v>
      </c>
      <c r="L2880" s="131" t="s">
        <v>100</v>
      </c>
      <c r="M2880" s="135" t="s">
        <v>845</v>
      </c>
      <c r="N2880" s="123" t="s">
        <v>845</v>
      </c>
    </row>
    <row r="2881" spans="2:14" hidden="1" x14ac:dyDescent="0.25">
      <c r="B2881" s="120">
        <v>2878</v>
      </c>
      <c r="C2881" s="123">
        <v>10446436304</v>
      </c>
      <c r="D2881" s="126" t="s">
        <v>10887</v>
      </c>
      <c r="E2881" s="126" t="s">
        <v>10888</v>
      </c>
      <c r="F2881" s="123" t="s">
        <v>30</v>
      </c>
      <c r="G2881" s="123" t="s">
        <v>168</v>
      </c>
      <c r="H2881" s="123" t="s">
        <v>168</v>
      </c>
      <c r="I2881" s="126" t="s">
        <v>1954</v>
      </c>
      <c r="J2881" s="123" t="s">
        <v>10889</v>
      </c>
      <c r="K2881" s="123" t="s">
        <v>10887</v>
      </c>
      <c r="L2881" s="131" t="s">
        <v>100</v>
      </c>
      <c r="M2881" s="135" t="s">
        <v>845</v>
      </c>
      <c r="N2881" s="123" t="s">
        <v>845</v>
      </c>
    </row>
    <row r="2882" spans="2:14" hidden="1" x14ac:dyDescent="0.25">
      <c r="B2882" s="120">
        <v>2879</v>
      </c>
      <c r="C2882" s="123">
        <v>10708379242</v>
      </c>
      <c r="D2882" s="126" t="s">
        <v>10890</v>
      </c>
      <c r="E2882" s="126" t="s">
        <v>10891</v>
      </c>
      <c r="F2882" s="123" t="s">
        <v>30</v>
      </c>
      <c r="G2882" s="123" t="s">
        <v>30</v>
      </c>
      <c r="H2882" s="123" t="s">
        <v>72</v>
      </c>
      <c r="I2882" s="126" t="s">
        <v>1701</v>
      </c>
      <c r="J2882" s="123" t="s">
        <v>10892</v>
      </c>
      <c r="K2882" s="123" t="s">
        <v>10890</v>
      </c>
      <c r="L2882" s="131" t="s">
        <v>100</v>
      </c>
      <c r="M2882" s="135" t="s">
        <v>845</v>
      </c>
      <c r="N2882" s="123" t="s">
        <v>845</v>
      </c>
    </row>
    <row r="2883" spans="2:14" hidden="1" x14ac:dyDescent="0.25">
      <c r="B2883" s="120">
        <v>2880</v>
      </c>
      <c r="C2883" s="123">
        <v>10154267307</v>
      </c>
      <c r="D2883" s="126" t="s">
        <v>10893</v>
      </c>
      <c r="E2883" s="126" t="s">
        <v>10894</v>
      </c>
      <c r="F2883" s="123" t="s">
        <v>30</v>
      </c>
      <c r="G2883" s="123" t="s">
        <v>30</v>
      </c>
      <c r="H2883" s="123" t="s">
        <v>156</v>
      </c>
      <c r="I2883" s="126" t="s">
        <v>10025</v>
      </c>
      <c r="J2883" s="123" t="s">
        <v>10895</v>
      </c>
      <c r="K2883" s="123" t="s">
        <v>10893</v>
      </c>
      <c r="L2883" s="131" t="s">
        <v>100</v>
      </c>
      <c r="M2883" s="135" t="s">
        <v>845</v>
      </c>
      <c r="N2883" s="123" t="s">
        <v>845</v>
      </c>
    </row>
    <row r="2884" spans="2:14" hidden="1" x14ac:dyDescent="0.25">
      <c r="B2884" s="120">
        <v>2881</v>
      </c>
      <c r="C2884" s="123">
        <v>10099893198</v>
      </c>
      <c r="D2884" s="126" t="s">
        <v>10896</v>
      </c>
      <c r="E2884" s="126" t="s">
        <v>10897</v>
      </c>
      <c r="F2884" s="123" t="s">
        <v>30</v>
      </c>
      <c r="G2884" s="123" t="s">
        <v>30</v>
      </c>
      <c r="H2884" s="123" t="s">
        <v>50</v>
      </c>
      <c r="I2884" s="126" t="s">
        <v>8825</v>
      </c>
      <c r="J2884" s="123" t="s">
        <v>10898</v>
      </c>
      <c r="K2884" s="123" t="s">
        <v>10896</v>
      </c>
      <c r="L2884" s="131" t="s">
        <v>100</v>
      </c>
      <c r="M2884" s="135" t="s">
        <v>845</v>
      </c>
      <c r="N2884" s="123" t="s">
        <v>845</v>
      </c>
    </row>
    <row r="2885" spans="2:14" hidden="1" x14ac:dyDescent="0.25">
      <c r="B2885" s="120">
        <v>2882</v>
      </c>
      <c r="C2885" s="123">
        <v>10156237227</v>
      </c>
      <c r="D2885" s="126" t="s">
        <v>10899</v>
      </c>
      <c r="E2885" s="126" t="s">
        <v>10900</v>
      </c>
      <c r="F2885" s="123" t="s">
        <v>30</v>
      </c>
      <c r="G2885" s="123" t="s">
        <v>168</v>
      </c>
      <c r="H2885" s="123" t="s">
        <v>180</v>
      </c>
      <c r="I2885" s="126" t="s">
        <v>8825</v>
      </c>
      <c r="J2885" s="123" t="s">
        <v>10901</v>
      </c>
      <c r="K2885" s="123" t="s">
        <v>10899</v>
      </c>
      <c r="L2885" s="131" t="s">
        <v>100</v>
      </c>
      <c r="M2885" s="135" t="s">
        <v>845</v>
      </c>
      <c r="N2885" s="123" t="s">
        <v>845</v>
      </c>
    </row>
    <row r="2886" spans="2:14" hidden="1" x14ac:dyDescent="0.25">
      <c r="B2886" s="120">
        <v>2883</v>
      </c>
      <c r="C2886" s="123">
        <v>10470536751</v>
      </c>
      <c r="D2886" s="126" t="s">
        <v>10902</v>
      </c>
      <c r="E2886" s="126" t="s">
        <v>10903</v>
      </c>
      <c r="F2886" s="123" t="s">
        <v>30</v>
      </c>
      <c r="G2886" s="123" t="s">
        <v>30</v>
      </c>
      <c r="H2886" s="123" t="s">
        <v>72</v>
      </c>
      <c r="I2886" s="126" t="s">
        <v>1950</v>
      </c>
      <c r="J2886" s="123" t="s">
        <v>10904</v>
      </c>
      <c r="K2886" s="123" t="s">
        <v>10902</v>
      </c>
      <c r="L2886" s="131" t="s">
        <v>100</v>
      </c>
      <c r="M2886" s="135" t="s">
        <v>845</v>
      </c>
      <c r="N2886" s="123" t="s">
        <v>845</v>
      </c>
    </row>
    <row r="2887" spans="2:14" hidden="1" x14ac:dyDescent="0.25">
      <c r="B2887" s="120">
        <v>2884</v>
      </c>
      <c r="C2887" s="123">
        <v>10437837681</v>
      </c>
      <c r="D2887" s="126" t="s">
        <v>10905</v>
      </c>
      <c r="E2887" s="126" t="s">
        <v>10906</v>
      </c>
      <c r="F2887" s="123" t="s">
        <v>30</v>
      </c>
      <c r="G2887" s="123" t="s">
        <v>31</v>
      </c>
      <c r="H2887" s="123" t="s">
        <v>9381</v>
      </c>
      <c r="I2887" s="126" t="s">
        <v>3723</v>
      </c>
      <c r="J2887" s="123" t="s">
        <v>10907</v>
      </c>
      <c r="K2887" s="123" t="s">
        <v>10905</v>
      </c>
      <c r="L2887" s="131" t="s">
        <v>100</v>
      </c>
      <c r="M2887" s="135" t="s">
        <v>845</v>
      </c>
      <c r="N2887" s="123" t="s">
        <v>845</v>
      </c>
    </row>
    <row r="2888" spans="2:14" hidden="1" x14ac:dyDescent="0.25">
      <c r="B2888" s="120">
        <v>2885</v>
      </c>
      <c r="C2888" s="123">
        <v>10069731126</v>
      </c>
      <c r="D2888" s="126" t="s">
        <v>10908</v>
      </c>
      <c r="E2888" s="126" t="s">
        <v>10909</v>
      </c>
      <c r="F2888" s="123" t="s">
        <v>30</v>
      </c>
      <c r="G2888" s="123" t="s">
        <v>30</v>
      </c>
      <c r="H2888" s="123" t="s">
        <v>51</v>
      </c>
      <c r="I2888" s="126" t="s">
        <v>101</v>
      </c>
      <c r="J2888" s="123" t="s">
        <v>10910</v>
      </c>
      <c r="K2888" s="123" t="s">
        <v>10908</v>
      </c>
      <c r="L2888" s="131" t="s">
        <v>100</v>
      </c>
      <c r="M2888" s="135" t="s">
        <v>845</v>
      </c>
      <c r="N2888" s="123" t="s">
        <v>845</v>
      </c>
    </row>
    <row r="2889" spans="2:14" hidden="1" x14ac:dyDescent="0.25">
      <c r="B2889" s="120">
        <v>2886</v>
      </c>
      <c r="C2889" s="123">
        <v>10100680128</v>
      </c>
      <c r="D2889" s="126" t="s">
        <v>10911</v>
      </c>
      <c r="E2889" s="126" t="s">
        <v>10912</v>
      </c>
      <c r="F2889" s="123" t="s">
        <v>30</v>
      </c>
      <c r="G2889" s="123" t="s">
        <v>30</v>
      </c>
      <c r="H2889" s="123" t="s">
        <v>41</v>
      </c>
      <c r="I2889" s="126" t="s">
        <v>1931</v>
      </c>
      <c r="J2889" s="123" t="s">
        <v>10913</v>
      </c>
      <c r="K2889" s="123" t="s">
        <v>10911</v>
      </c>
      <c r="L2889" s="131" t="s">
        <v>100</v>
      </c>
      <c r="M2889" s="135" t="s">
        <v>845</v>
      </c>
      <c r="N2889" s="123" t="s">
        <v>845</v>
      </c>
    </row>
    <row r="2890" spans="2:14" hidden="1" x14ac:dyDescent="0.25">
      <c r="B2890" s="120">
        <v>2887</v>
      </c>
      <c r="C2890" s="123">
        <v>10254833121</v>
      </c>
      <c r="D2890" s="126" t="s">
        <v>10914</v>
      </c>
      <c r="E2890" s="126" t="s">
        <v>10915</v>
      </c>
      <c r="F2890" s="123" t="s">
        <v>30</v>
      </c>
      <c r="G2890" s="123" t="s">
        <v>30</v>
      </c>
      <c r="H2890" s="123" t="s">
        <v>30</v>
      </c>
      <c r="I2890" s="126" t="s">
        <v>1930</v>
      </c>
      <c r="J2890" s="123" t="s">
        <v>10916</v>
      </c>
      <c r="K2890" s="123" t="s">
        <v>10917</v>
      </c>
      <c r="L2890" s="131" t="s">
        <v>100</v>
      </c>
      <c r="M2890" s="135" t="s">
        <v>845</v>
      </c>
      <c r="N2890" s="123" t="s">
        <v>845</v>
      </c>
    </row>
    <row r="2891" spans="2:14" hidden="1" x14ac:dyDescent="0.25">
      <c r="B2891" s="120">
        <v>2888</v>
      </c>
      <c r="C2891" s="123">
        <v>10161698194</v>
      </c>
      <c r="D2891" s="126" t="s">
        <v>10918</v>
      </c>
      <c r="E2891" s="126" t="s">
        <v>10919</v>
      </c>
      <c r="F2891" s="123" t="s">
        <v>30</v>
      </c>
      <c r="G2891" s="123" t="s">
        <v>30</v>
      </c>
      <c r="H2891" s="123" t="s">
        <v>41</v>
      </c>
      <c r="I2891" s="126" t="s">
        <v>1737</v>
      </c>
      <c r="J2891" s="123" t="s">
        <v>10920</v>
      </c>
      <c r="K2891" s="123" t="s">
        <v>10918</v>
      </c>
      <c r="L2891" s="131" t="s">
        <v>100</v>
      </c>
      <c r="M2891" s="135" t="s">
        <v>845</v>
      </c>
      <c r="N2891" s="123" t="s">
        <v>845</v>
      </c>
    </row>
    <row r="2892" spans="2:14" hidden="1" x14ac:dyDescent="0.25">
      <c r="B2892" s="120">
        <v>2889</v>
      </c>
      <c r="C2892" s="123">
        <v>10764606006</v>
      </c>
      <c r="D2892" s="126" t="s">
        <v>10921</v>
      </c>
      <c r="E2892" s="126" t="s">
        <v>10922</v>
      </c>
      <c r="F2892" s="123" t="s">
        <v>30</v>
      </c>
      <c r="G2892" s="123" t="s">
        <v>30</v>
      </c>
      <c r="H2892" s="123" t="s">
        <v>39</v>
      </c>
      <c r="I2892" s="126" t="s">
        <v>1964</v>
      </c>
      <c r="J2892" s="123" t="s">
        <v>10923</v>
      </c>
      <c r="K2892" s="123" t="s">
        <v>10921</v>
      </c>
      <c r="L2892" s="131" t="s">
        <v>100</v>
      </c>
      <c r="M2892" s="135" t="s">
        <v>845</v>
      </c>
      <c r="N2892" s="123" t="s">
        <v>845</v>
      </c>
    </row>
    <row r="2893" spans="2:14" hidden="1" x14ac:dyDescent="0.25">
      <c r="B2893" s="120">
        <v>2890</v>
      </c>
      <c r="C2893" s="123">
        <v>10741620168</v>
      </c>
      <c r="D2893" s="126" t="s">
        <v>10924</v>
      </c>
      <c r="E2893" s="126" t="s">
        <v>10925</v>
      </c>
      <c r="F2893" s="123" t="s">
        <v>30</v>
      </c>
      <c r="G2893" s="123" t="s">
        <v>30</v>
      </c>
      <c r="H2893" s="123" t="s">
        <v>72</v>
      </c>
      <c r="I2893" s="126" t="s">
        <v>1701</v>
      </c>
      <c r="J2893" s="123" t="s">
        <v>10926</v>
      </c>
      <c r="K2893" s="123" t="s">
        <v>10924</v>
      </c>
      <c r="L2893" s="131" t="s">
        <v>100</v>
      </c>
      <c r="M2893" s="135" t="s">
        <v>845</v>
      </c>
      <c r="N2893" s="123" t="s">
        <v>845</v>
      </c>
    </row>
    <row r="2894" spans="2:14" hidden="1" x14ac:dyDescent="0.25">
      <c r="B2894" s="120">
        <v>2891</v>
      </c>
      <c r="C2894" s="123">
        <v>10752010973</v>
      </c>
      <c r="D2894" s="126" t="s">
        <v>10927</v>
      </c>
      <c r="E2894" s="126" t="s">
        <v>10928</v>
      </c>
      <c r="F2894" s="123" t="s">
        <v>30</v>
      </c>
      <c r="G2894" s="123" t="s">
        <v>30</v>
      </c>
      <c r="H2894" s="123" t="s">
        <v>35</v>
      </c>
      <c r="I2894" s="126" t="s">
        <v>1955</v>
      </c>
      <c r="J2894" s="123" t="s">
        <v>10929</v>
      </c>
      <c r="K2894" s="123" t="s">
        <v>10927</v>
      </c>
      <c r="L2894" s="131" t="s">
        <v>100</v>
      </c>
      <c r="M2894" s="135" t="s">
        <v>845</v>
      </c>
      <c r="N2894" s="123" t="s">
        <v>845</v>
      </c>
    </row>
    <row r="2895" spans="2:14" hidden="1" x14ac:dyDescent="0.25">
      <c r="B2895" s="120">
        <v>2892</v>
      </c>
      <c r="C2895" s="123">
        <v>10105374718</v>
      </c>
      <c r="D2895" s="126" t="s">
        <v>10930</v>
      </c>
      <c r="E2895" s="126" t="s">
        <v>10931</v>
      </c>
      <c r="F2895" s="123" t="s">
        <v>30</v>
      </c>
      <c r="G2895" s="123" t="s">
        <v>30</v>
      </c>
      <c r="H2895" s="123" t="s">
        <v>72</v>
      </c>
      <c r="I2895" s="126" t="s">
        <v>8743</v>
      </c>
      <c r="J2895" s="123" t="s">
        <v>10932</v>
      </c>
      <c r="K2895" s="123" t="s">
        <v>10930</v>
      </c>
      <c r="L2895" s="131" t="s">
        <v>100</v>
      </c>
      <c r="M2895" s="135" t="s">
        <v>845</v>
      </c>
      <c r="N2895" s="123" t="s">
        <v>845</v>
      </c>
    </row>
    <row r="2896" spans="2:14" hidden="1" x14ac:dyDescent="0.25">
      <c r="B2896" s="120">
        <v>2893</v>
      </c>
      <c r="C2896" s="123">
        <v>10800591061</v>
      </c>
      <c r="D2896" s="126" t="s">
        <v>10933</v>
      </c>
      <c r="E2896" s="126" t="s">
        <v>10934</v>
      </c>
      <c r="F2896" s="123" t="s">
        <v>30</v>
      </c>
      <c r="G2896" s="123" t="s">
        <v>30</v>
      </c>
      <c r="H2896" s="123" t="s">
        <v>147</v>
      </c>
      <c r="I2896" s="126" t="s">
        <v>1706</v>
      </c>
      <c r="J2896" s="123" t="s">
        <v>10935</v>
      </c>
      <c r="K2896" s="123" t="s">
        <v>10933</v>
      </c>
      <c r="L2896" s="131" t="s">
        <v>100</v>
      </c>
      <c r="M2896" s="135" t="s">
        <v>845</v>
      </c>
      <c r="N2896" s="123" t="s">
        <v>845</v>
      </c>
    </row>
    <row r="2897" spans="2:14" hidden="1" x14ac:dyDescent="0.25">
      <c r="B2897" s="120">
        <v>2894</v>
      </c>
      <c r="C2897" s="123">
        <v>10401986001</v>
      </c>
      <c r="D2897" s="126" t="s">
        <v>10936</v>
      </c>
      <c r="E2897" s="126" t="s">
        <v>10937</v>
      </c>
      <c r="F2897" s="123" t="s">
        <v>30</v>
      </c>
      <c r="G2897" s="123" t="s">
        <v>31</v>
      </c>
      <c r="H2897" s="123" t="s">
        <v>9381</v>
      </c>
      <c r="I2897" s="126" t="s">
        <v>1643</v>
      </c>
      <c r="J2897" s="123" t="s">
        <v>10938</v>
      </c>
      <c r="K2897" s="123" t="s">
        <v>10936</v>
      </c>
      <c r="L2897" s="131" t="s">
        <v>100</v>
      </c>
      <c r="M2897" s="135" t="s">
        <v>845</v>
      </c>
      <c r="N2897" s="123" t="s">
        <v>845</v>
      </c>
    </row>
    <row r="2898" spans="2:14" hidden="1" x14ac:dyDescent="0.25">
      <c r="B2898" s="120">
        <v>2895</v>
      </c>
      <c r="C2898" s="123">
        <v>10079967543</v>
      </c>
      <c r="D2898" s="126" t="s">
        <v>10939</v>
      </c>
      <c r="E2898" s="126" t="s">
        <v>10940</v>
      </c>
      <c r="F2898" s="123" t="s">
        <v>30</v>
      </c>
      <c r="G2898" s="123" t="s">
        <v>30</v>
      </c>
      <c r="H2898" s="123" t="s">
        <v>75</v>
      </c>
      <c r="I2898" s="126" t="s">
        <v>1701</v>
      </c>
      <c r="J2898" s="123" t="s">
        <v>10941</v>
      </c>
      <c r="K2898" s="123" t="s">
        <v>10939</v>
      </c>
      <c r="L2898" s="131" t="s">
        <v>100</v>
      </c>
      <c r="M2898" s="135" t="s">
        <v>845</v>
      </c>
      <c r="N2898" s="123" t="s">
        <v>845</v>
      </c>
    </row>
    <row r="2899" spans="2:14" hidden="1" x14ac:dyDescent="0.25">
      <c r="B2899" s="120">
        <v>2896</v>
      </c>
      <c r="C2899" s="123">
        <v>10104873907</v>
      </c>
      <c r="D2899" s="126" t="s">
        <v>10942</v>
      </c>
      <c r="E2899" s="126" t="s">
        <v>10943</v>
      </c>
      <c r="F2899" s="123" t="s">
        <v>30</v>
      </c>
      <c r="G2899" s="123" t="s">
        <v>30</v>
      </c>
      <c r="H2899" s="123" t="s">
        <v>68</v>
      </c>
      <c r="I2899" s="126" t="s">
        <v>1942</v>
      </c>
      <c r="J2899" s="123" t="s">
        <v>10944</v>
      </c>
      <c r="K2899" s="123" t="s">
        <v>10942</v>
      </c>
      <c r="L2899" s="131" t="s">
        <v>100</v>
      </c>
      <c r="M2899" s="135" t="s">
        <v>845</v>
      </c>
      <c r="N2899" s="123" t="s">
        <v>845</v>
      </c>
    </row>
    <row r="2900" spans="2:14" hidden="1" x14ac:dyDescent="0.25">
      <c r="B2900" s="120">
        <v>2897</v>
      </c>
      <c r="C2900" s="123">
        <v>10432235624</v>
      </c>
      <c r="D2900" s="126" t="s">
        <v>10945</v>
      </c>
      <c r="E2900" s="126" t="s">
        <v>10946</v>
      </c>
      <c r="F2900" s="123" t="s">
        <v>30</v>
      </c>
      <c r="G2900" s="123" t="s">
        <v>30</v>
      </c>
      <c r="H2900" s="123" t="s">
        <v>30</v>
      </c>
      <c r="I2900" s="126" t="s">
        <v>1950</v>
      </c>
      <c r="J2900" s="123" t="s">
        <v>10947</v>
      </c>
      <c r="K2900" s="123" t="s">
        <v>10945</v>
      </c>
      <c r="L2900" s="131" t="s">
        <v>100</v>
      </c>
      <c r="M2900" s="135" t="s">
        <v>845</v>
      </c>
      <c r="N2900" s="123" t="s">
        <v>845</v>
      </c>
    </row>
    <row r="2901" spans="2:14" hidden="1" x14ac:dyDescent="0.25">
      <c r="B2901" s="120">
        <v>2898</v>
      </c>
      <c r="C2901" s="123">
        <v>10102001911</v>
      </c>
      <c r="D2901" s="126" t="s">
        <v>10948</v>
      </c>
      <c r="E2901" s="126" t="s">
        <v>10949</v>
      </c>
      <c r="F2901" s="123" t="s">
        <v>30</v>
      </c>
      <c r="G2901" s="123" t="s">
        <v>30</v>
      </c>
      <c r="H2901" s="123" t="s">
        <v>74</v>
      </c>
      <c r="I2901" s="126" t="s">
        <v>1931</v>
      </c>
      <c r="J2901" s="123" t="s">
        <v>10950</v>
      </c>
      <c r="K2901" s="123" t="s">
        <v>10948</v>
      </c>
      <c r="L2901" s="131" t="s">
        <v>100</v>
      </c>
      <c r="M2901" s="135" t="s">
        <v>845</v>
      </c>
      <c r="N2901" s="123" t="s">
        <v>845</v>
      </c>
    </row>
    <row r="2902" spans="2:14" hidden="1" x14ac:dyDescent="0.25">
      <c r="B2902" s="120">
        <v>2899</v>
      </c>
      <c r="C2902" s="123">
        <v>10454969729</v>
      </c>
      <c r="D2902" s="126" t="s">
        <v>10951</v>
      </c>
      <c r="E2902" s="126" t="s">
        <v>10952</v>
      </c>
      <c r="F2902" s="123" t="s">
        <v>30</v>
      </c>
      <c r="G2902" s="123" t="s">
        <v>30</v>
      </c>
      <c r="H2902" s="123" t="s">
        <v>51</v>
      </c>
      <c r="I2902" s="126" t="s">
        <v>1956</v>
      </c>
      <c r="J2902" s="123" t="s">
        <v>10953</v>
      </c>
      <c r="K2902" s="123" t="s">
        <v>10951</v>
      </c>
      <c r="L2902" s="131" t="s">
        <v>100</v>
      </c>
      <c r="M2902" s="135" t="s">
        <v>845</v>
      </c>
      <c r="N2902" s="123" t="s">
        <v>845</v>
      </c>
    </row>
    <row r="2903" spans="2:14" hidden="1" x14ac:dyDescent="0.25">
      <c r="B2903" s="120">
        <v>2900</v>
      </c>
      <c r="C2903" s="123">
        <v>10740684090</v>
      </c>
      <c r="D2903" s="126" t="s">
        <v>10954</v>
      </c>
      <c r="E2903" s="126" t="s">
        <v>10955</v>
      </c>
      <c r="F2903" s="123" t="s">
        <v>30</v>
      </c>
      <c r="G2903" s="123" t="s">
        <v>30</v>
      </c>
      <c r="H2903" s="123" t="s">
        <v>60</v>
      </c>
      <c r="I2903" s="126" t="s">
        <v>1969</v>
      </c>
      <c r="J2903" s="123" t="s">
        <v>10956</v>
      </c>
      <c r="K2903" s="123" t="s">
        <v>10954</v>
      </c>
      <c r="L2903" s="131" t="s">
        <v>100</v>
      </c>
      <c r="M2903" s="135" t="s">
        <v>845</v>
      </c>
      <c r="N2903" s="123" t="s">
        <v>845</v>
      </c>
    </row>
    <row r="2904" spans="2:14" hidden="1" x14ac:dyDescent="0.25">
      <c r="B2904" s="120">
        <v>2901</v>
      </c>
      <c r="C2904" s="123">
        <v>10715371842</v>
      </c>
      <c r="D2904" s="126" t="s">
        <v>10957</v>
      </c>
      <c r="E2904" s="126" t="s">
        <v>10958</v>
      </c>
      <c r="F2904" s="123" t="s">
        <v>30</v>
      </c>
      <c r="G2904" s="123" t="s">
        <v>30</v>
      </c>
      <c r="H2904" s="123" t="s">
        <v>72</v>
      </c>
      <c r="I2904" s="126" t="s">
        <v>10959</v>
      </c>
      <c r="J2904" s="123" t="s">
        <v>10960</v>
      </c>
      <c r="K2904" s="123" t="s">
        <v>10957</v>
      </c>
      <c r="L2904" s="131" t="s">
        <v>100</v>
      </c>
      <c r="M2904" s="135" t="s">
        <v>845</v>
      </c>
      <c r="N2904" s="123" t="s">
        <v>845</v>
      </c>
    </row>
    <row r="2905" spans="2:14" hidden="1" x14ac:dyDescent="0.25">
      <c r="B2905" s="120">
        <v>2902</v>
      </c>
      <c r="C2905" s="123">
        <v>10101114924</v>
      </c>
      <c r="D2905" s="126" t="s">
        <v>10961</v>
      </c>
      <c r="E2905" s="126" t="s">
        <v>10962</v>
      </c>
      <c r="F2905" s="123" t="s">
        <v>30</v>
      </c>
      <c r="G2905" s="123" t="s">
        <v>30</v>
      </c>
      <c r="H2905" s="123" t="s">
        <v>43</v>
      </c>
      <c r="I2905" s="126" t="s">
        <v>1377</v>
      </c>
      <c r="J2905" s="123" t="s">
        <v>10963</v>
      </c>
      <c r="K2905" s="123" t="s">
        <v>10961</v>
      </c>
      <c r="L2905" s="131" t="s">
        <v>100</v>
      </c>
      <c r="M2905" s="135" t="s">
        <v>845</v>
      </c>
      <c r="N2905" s="123" t="s">
        <v>845</v>
      </c>
    </row>
    <row r="2906" spans="2:14" hidden="1" x14ac:dyDescent="0.25">
      <c r="B2906" s="120">
        <v>2903</v>
      </c>
      <c r="C2906" s="123">
        <v>10706176794</v>
      </c>
      <c r="D2906" s="126" t="s">
        <v>10964</v>
      </c>
      <c r="E2906" s="126" t="s">
        <v>10965</v>
      </c>
      <c r="F2906" s="123" t="s">
        <v>67</v>
      </c>
      <c r="G2906" s="123" t="s">
        <v>67</v>
      </c>
      <c r="H2906" s="123" t="s">
        <v>94</v>
      </c>
      <c r="I2906" s="126" t="s">
        <v>1424</v>
      </c>
      <c r="J2906" s="123" t="s">
        <v>10966</v>
      </c>
      <c r="K2906" s="123" t="s">
        <v>10967</v>
      </c>
      <c r="L2906" s="131" t="s">
        <v>100</v>
      </c>
      <c r="M2906" s="135" t="s">
        <v>845</v>
      </c>
      <c r="N2906" s="123" t="s">
        <v>845</v>
      </c>
    </row>
    <row r="2907" spans="2:14" hidden="1" x14ac:dyDescent="0.25">
      <c r="B2907" s="120">
        <v>2904</v>
      </c>
      <c r="C2907" s="123">
        <v>10408215680</v>
      </c>
      <c r="D2907" s="126" t="s">
        <v>10968</v>
      </c>
      <c r="E2907" s="126" t="s">
        <v>10969</v>
      </c>
      <c r="F2907" s="123" t="s">
        <v>30</v>
      </c>
      <c r="G2907" s="123" t="s">
        <v>30</v>
      </c>
      <c r="H2907" s="123" t="s">
        <v>51</v>
      </c>
      <c r="I2907" s="126" t="s">
        <v>1936</v>
      </c>
      <c r="J2907" s="123" t="s">
        <v>10970</v>
      </c>
      <c r="K2907" s="123" t="s">
        <v>10968</v>
      </c>
      <c r="L2907" s="131" t="s">
        <v>100</v>
      </c>
      <c r="M2907" s="135" t="s">
        <v>845</v>
      </c>
      <c r="N2907" s="123" t="s">
        <v>845</v>
      </c>
    </row>
    <row r="2908" spans="2:14" hidden="1" x14ac:dyDescent="0.25">
      <c r="B2908" s="120">
        <v>2905</v>
      </c>
      <c r="C2908" s="123">
        <v>10423240801</v>
      </c>
      <c r="D2908" s="126" t="s">
        <v>10971</v>
      </c>
      <c r="E2908" s="126" t="s">
        <v>10972</v>
      </c>
      <c r="F2908" s="123" t="s">
        <v>2326</v>
      </c>
      <c r="G2908" s="123" t="s">
        <v>10973</v>
      </c>
      <c r="H2908" s="123" t="s">
        <v>10974</v>
      </c>
      <c r="I2908" s="126" t="s">
        <v>8743</v>
      </c>
      <c r="J2908" s="123" t="s">
        <v>10975</v>
      </c>
      <c r="K2908" s="123" t="s">
        <v>10971</v>
      </c>
      <c r="L2908" s="131" t="s">
        <v>100</v>
      </c>
      <c r="M2908" s="135" t="s">
        <v>845</v>
      </c>
      <c r="N2908" s="123" t="s">
        <v>845</v>
      </c>
    </row>
    <row r="2909" spans="2:14" hidden="1" x14ac:dyDescent="0.25">
      <c r="B2909" s="120">
        <v>2906</v>
      </c>
      <c r="C2909" s="123">
        <v>10237090042</v>
      </c>
      <c r="D2909" s="126" t="s">
        <v>10976</v>
      </c>
      <c r="E2909" s="126" t="s">
        <v>10977</v>
      </c>
      <c r="F2909" s="123" t="s">
        <v>30</v>
      </c>
      <c r="G2909" s="123" t="s">
        <v>30</v>
      </c>
      <c r="H2909" s="123" t="s">
        <v>40</v>
      </c>
      <c r="I2909" s="126" t="s">
        <v>1701</v>
      </c>
      <c r="J2909" s="123" t="s">
        <v>10978</v>
      </c>
      <c r="K2909" s="123" t="s">
        <v>10976</v>
      </c>
      <c r="L2909" s="131" t="s">
        <v>100</v>
      </c>
      <c r="M2909" s="135" t="s">
        <v>845</v>
      </c>
      <c r="N2909" s="123" t="s">
        <v>845</v>
      </c>
    </row>
    <row r="2910" spans="2:14" hidden="1" x14ac:dyDescent="0.25">
      <c r="B2910" s="120">
        <v>2907</v>
      </c>
      <c r="C2910" s="123">
        <v>10407221091</v>
      </c>
      <c r="D2910" s="126" t="s">
        <v>10979</v>
      </c>
      <c r="E2910" s="126" t="s">
        <v>10980</v>
      </c>
      <c r="F2910" s="123" t="s">
        <v>30</v>
      </c>
      <c r="G2910" s="123" t="s">
        <v>30</v>
      </c>
      <c r="H2910" s="123" t="s">
        <v>58</v>
      </c>
      <c r="I2910" s="126" t="s">
        <v>9983</v>
      </c>
      <c r="J2910" s="123" t="s">
        <v>10981</v>
      </c>
      <c r="K2910" s="123" t="s">
        <v>10979</v>
      </c>
      <c r="L2910" s="131" t="s">
        <v>100</v>
      </c>
      <c r="M2910" s="135" t="s">
        <v>845</v>
      </c>
      <c r="N2910" s="123" t="s">
        <v>845</v>
      </c>
    </row>
    <row r="2911" spans="2:14" hidden="1" x14ac:dyDescent="0.25">
      <c r="B2911" s="120">
        <v>2908</v>
      </c>
      <c r="C2911" s="123">
        <v>10097037669</v>
      </c>
      <c r="D2911" s="126" t="s">
        <v>10982</v>
      </c>
      <c r="E2911" s="126" t="s">
        <v>10983</v>
      </c>
      <c r="F2911" s="123" t="s">
        <v>30</v>
      </c>
      <c r="G2911" s="123" t="s">
        <v>30</v>
      </c>
      <c r="H2911" s="123" t="s">
        <v>68</v>
      </c>
      <c r="I2911" s="126" t="s">
        <v>1701</v>
      </c>
      <c r="J2911" s="123" t="s">
        <v>10984</v>
      </c>
      <c r="K2911" s="123" t="s">
        <v>10982</v>
      </c>
      <c r="L2911" s="131" t="s">
        <v>100</v>
      </c>
      <c r="M2911" s="135" t="s">
        <v>845</v>
      </c>
      <c r="N2911" s="123" t="s">
        <v>845</v>
      </c>
    </row>
    <row r="2912" spans="2:14" hidden="1" x14ac:dyDescent="0.25">
      <c r="B2912" s="120">
        <v>2909</v>
      </c>
      <c r="C2912" s="123">
        <v>10468743022</v>
      </c>
      <c r="D2912" s="126" t="s">
        <v>10985</v>
      </c>
      <c r="E2912" s="126" t="s">
        <v>10986</v>
      </c>
      <c r="F2912" s="123" t="s">
        <v>30</v>
      </c>
      <c r="G2912" s="123" t="s">
        <v>30</v>
      </c>
      <c r="H2912" s="123" t="s">
        <v>51</v>
      </c>
      <c r="I2912" s="126" t="s">
        <v>1701</v>
      </c>
      <c r="J2912" s="123" t="s">
        <v>10987</v>
      </c>
      <c r="K2912" s="123" t="s">
        <v>10985</v>
      </c>
      <c r="L2912" s="131" t="s">
        <v>100</v>
      </c>
      <c r="M2912" s="135" t="s">
        <v>845</v>
      </c>
      <c r="N2912" s="123" t="s">
        <v>845</v>
      </c>
    </row>
    <row r="2913" spans="2:14" hidden="1" x14ac:dyDescent="0.25">
      <c r="B2913" s="120">
        <v>2910</v>
      </c>
      <c r="C2913" s="123">
        <v>10443420474</v>
      </c>
      <c r="D2913" s="126" t="s">
        <v>10988</v>
      </c>
      <c r="E2913" s="126" t="s">
        <v>10989</v>
      </c>
      <c r="F2913" s="123" t="s">
        <v>30</v>
      </c>
      <c r="G2913" s="123" t="s">
        <v>170</v>
      </c>
      <c r="H2913" s="123" t="s">
        <v>174</v>
      </c>
      <c r="I2913" s="126" t="s">
        <v>8698</v>
      </c>
      <c r="J2913" s="123" t="s">
        <v>10990</v>
      </c>
      <c r="K2913" s="123" t="s">
        <v>10988</v>
      </c>
      <c r="L2913" s="131" t="s">
        <v>100</v>
      </c>
      <c r="M2913" s="135" t="s">
        <v>845</v>
      </c>
      <c r="N2913" s="123" t="s">
        <v>845</v>
      </c>
    </row>
    <row r="2914" spans="2:14" hidden="1" x14ac:dyDescent="0.25">
      <c r="B2914" s="120">
        <v>2911</v>
      </c>
      <c r="C2914" s="123">
        <v>10105019098</v>
      </c>
      <c r="D2914" s="126" t="s">
        <v>10991</v>
      </c>
      <c r="E2914" s="126" t="s">
        <v>10992</v>
      </c>
      <c r="F2914" s="123" t="s">
        <v>67</v>
      </c>
      <c r="G2914" s="123" t="s">
        <v>67</v>
      </c>
      <c r="H2914" s="123" t="s">
        <v>134</v>
      </c>
      <c r="I2914" s="126" t="s">
        <v>10993</v>
      </c>
      <c r="J2914" s="123" t="s">
        <v>10994</v>
      </c>
      <c r="K2914" s="123" t="s">
        <v>10991</v>
      </c>
      <c r="L2914" s="131" t="s">
        <v>100</v>
      </c>
      <c r="M2914" s="135" t="s">
        <v>845</v>
      </c>
      <c r="N2914" s="123" t="s">
        <v>845</v>
      </c>
    </row>
    <row r="2915" spans="2:14" hidden="1" x14ac:dyDescent="0.25">
      <c r="B2915" s="120">
        <v>2912</v>
      </c>
      <c r="C2915" s="123">
        <v>17191649427</v>
      </c>
      <c r="D2915" s="126" t="s">
        <v>10995</v>
      </c>
      <c r="E2915" s="126" t="s">
        <v>10996</v>
      </c>
      <c r="F2915" s="123" t="s">
        <v>30</v>
      </c>
      <c r="G2915" s="123" t="s">
        <v>170</v>
      </c>
      <c r="H2915" s="123" t="s">
        <v>179</v>
      </c>
      <c r="I2915" s="126" t="s">
        <v>10025</v>
      </c>
      <c r="J2915" s="123" t="s">
        <v>10997</v>
      </c>
      <c r="K2915" s="123" t="s">
        <v>10995</v>
      </c>
      <c r="L2915" s="131" t="s">
        <v>100</v>
      </c>
      <c r="M2915" s="135" t="s">
        <v>845</v>
      </c>
      <c r="N2915" s="123" t="s">
        <v>845</v>
      </c>
    </row>
    <row r="2916" spans="2:14" hidden="1" x14ac:dyDescent="0.25">
      <c r="B2916" s="120">
        <v>2913</v>
      </c>
      <c r="C2916" s="123">
        <v>10157372845</v>
      </c>
      <c r="D2916" s="126" t="s">
        <v>10998</v>
      </c>
      <c r="E2916" s="126" t="s">
        <v>10999</v>
      </c>
      <c r="F2916" s="123" t="s">
        <v>30</v>
      </c>
      <c r="G2916" s="123" t="s">
        <v>170</v>
      </c>
      <c r="H2916" s="123" t="s">
        <v>171</v>
      </c>
      <c r="I2916" s="126" t="s">
        <v>1957</v>
      </c>
      <c r="J2916" s="123" t="s">
        <v>11000</v>
      </c>
      <c r="K2916" s="123" t="s">
        <v>10998</v>
      </c>
      <c r="L2916" s="131" t="s">
        <v>100</v>
      </c>
      <c r="M2916" s="135" t="s">
        <v>845</v>
      </c>
      <c r="N2916" s="123" t="s">
        <v>845</v>
      </c>
    </row>
    <row r="2917" spans="2:14" hidden="1" x14ac:dyDescent="0.25">
      <c r="B2917" s="120">
        <v>2914</v>
      </c>
      <c r="C2917" s="123">
        <v>10402774725</v>
      </c>
      <c r="D2917" s="126" t="s">
        <v>11001</v>
      </c>
      <c r="E2917" s="126" t="s">
        <v>11002</v>
      </c>
      <c r="F2917" s="123" t="s">
        <v>30</v>
      </c>
      <c r="G2917" s="123" t="s">
        <v>54</v>
      </c>
      <c r="H2917" s="123" t="s">
        <v>54</v>
      </c>
      <c r="I2917" s="126" t="s">
        <v>1701</v>
      </c>
      <c r="J2917" s="123" t="s">
        <v>11003</v>
      </c>
      <c r="K2917" s="123" t="s">
        <v>11001</v>
      </c>
      <c r="L2917" s="131" t="s">
        <v>100</v>
      </c>
      <c r="M2917" s="135" t="s">
        <v>845</v>
      </c>
      <c r="N2917" s="123" t="s">
        <v>845</v>
      </c>
    </row>
    <row r="2918" spans="2:14" hidden="1" x14ac:dyDescent="0.25">
      <c r="B2918" s="120">
        <v>2915</v>
      </c>
      <c r="C2918" s="123">
        <v>10425079935</v>
      </c>
      <c r="D2918" s="126" t="s">
        <v>11004</v>
      </c>
      <c r="E2918" s="126" t="s">
        <v>11005</v>
      </c>
      <c r="F2918" s="123" t="s">
        <v>30</v>
      </c>
      <c r="G2918" s="123" t="s">
        <v>30</v>
      </c>
      <c r="H2918" s="123" t="s">
        <v>30</v>
      </c>
      <c r="I2918" s="126" t="s">
        <v>1952</v>
      </c>
      <c r="J2918" s="123" t="s">
        <v>11006</v>
      </c>
      <c r="K2918" s="123" t="s">
        <v>11004</v>
      </c>
      <c r="L2918" s="131" t="s">
        <v>100</v>
      </c>
      <c r="M2918" s="135" t="s">
        <v>845</v>
      </c>
      <c r="N2918" s="123" t="s">
        <v>845</v>
      </c>
    </row>
    <row r="2919" spans="2:14" hidden="1" x14ac:dyDescent="0.25">
      <c r="B2919" s="120">
        <v>2916</v>
      </c>
      <c r="C2919" s="123">
        <v>10718918613</v>
      </c>
      <c r="D2919" s="126" t="s">
        <v>11007</v>
      </c>
      <c r="E2919" s="126" t="s">
        <v>11008</v>
      </c>
      <c r="F2919" s="123" t="s">
        <v>30</v>
      </c>
      <c r="G2919" s="123" t="s">
        <v>30</v>
      </c>
      <c r="H2919" s="123" t="s">
        <v>51</v>
      </c>
      <c r="I2919" s="126" t="s">
        <v>1936</v>
      </c>
      <c r="J2919" s="123" t="s">
        <v>11009</v>
      </c>
      <c r="K2919" s="123" t="s">
        <v>11010</v>
      </c>
      <c r="L2919" s="131" t="s">
        <v>100</v>
      </c>
      <c r="M2919" s="135" t="s">
        <v>845</v>
      </c>
      <c r="N2919" s="123" t="s">
        <v>845</v>
      </c>
    </row>
    <row r="2920" spans="2:14" hidden="1" x14ac:dyDescent="0.25">
      <c r="B2920" s="120">
        <v>2917</v>
      </c>
      <c r="C2920" s="123">
        <v>10255001855</v>
      </c>
      <c r="D2920" s="126" t="s">
        <v>11011</v>
      </c>
      <c r="E2920" s="126" t="s">
        <v>11012</v>
      </c>
      <c r="F2920" s="123" t="s">
        <v>67</v>
      </c>
      <c r="G2920" s="123" t="s">
        <v>67</v>
      </c>
      <c r="H2920" s="123" t="s">
        <v>94</v>
      </c>
      <c r="I2920" s="126" t="s">
        <v>9960</v>
      </c>
      <c r="J2920" s="123" t="s">
        <v>11013</v>
      </c>
      <c r="K2920" s="123" t="s">
        <v>11014</v>
      </c>
      <c r="L2920" s="131" t="s">
        <v>100</v>
      </c>
      <c r="M2920" s="135" t="s">
        <v>845</v>
      </c>
      <c r="N2920" s="123" t="s">
        <v>845</v>
      </c>
    </row>
    <row r="2921" spans="2:14" hidden="1" x14ac:dyDescent="0.25">
      <c r="B2921" s="120">
        <v>2918</v>
      </c>
      <c r="C2921" s="123">
        <v>10475077101</v>
      </c>
      <c r="D2921" s="126" t="s">
        <v>11015</v>
      </c>
      <c r="E2921" s="126" t="s">
        <v>11016</v>
      </c>
      <c r="F2921" s="123" t="s">
        <v>30</v>
      </c>
      <c r="G2921" s="123" t="s">
        <v>30</v>
      </c>
      <c r="H2921" s="123" t="s">
        <v>51</v>
      </c>
      <c r="I2921" s="126" t="s">
        <v>1930</v>
      </c>
      <c r="J2921" s="123" t="s">
        <v>11017</v>
      </c>
      <c r="K2921" s="123" t="s">
        <v>11018</v>
      </c>
      <c r="L2921" s="131" t="s">
        <v>100</v>
      </c>
      <c r="M2921" s="135" t="s">
        <v>845</v>
      </c>
      <c r="N2921" s="123" t="s">
        <v>845</v>
      </c>
    </row>
    <row r="2922" spans="2:14" hidden="1" x14ac:dyDescent="0.25">
      <c r="B2922" s="120">
        <v>2919</v>
      </c>
      <c r="C2922" s="123">
        <v>10426663045</v>
      </c>
      <c r="D2922" s="126" t="s">
        <v>11019</v>
      </c>
      <c r="E2922" s="126" t="s">
        <v>11020</v>
      </c>
      <c r="F2922" s="123" t="s">
        <v>30</v>
      </c>
      <c r="G2922" s="123" t="s">
        <v>30</v>
      </c>
      <c r="H2922" s="123" t="s">
        <v>30</v>
      </c>
      <c r="I2922" s="126" t="s">
        <v>1930</v>
      </c>
      <c r="J2922" s="123" t="s">
        <v>11021</v>
      </c>
      <c r="K2922" s="123" t="s">
        <v>11022</v>
      </c>
      <c r="L2922" s="131" t="s">
        <v>100</v>
      </c>
      <c r="M2922" s="135" t="s">
        <v>845</v>
      </c>
      <c r="N2922" s="123" t="s">
        <v>845</v>
      </c>
    </row>
    <row r="2923" spans="2:14" hidden="1" x14ac:dyDescent="0.25">
      <c r="B2923" s="120">
        <v>2920</v>
      </c>
      <c r="C2923" s="123">
        <v>10717074616</v>
      </c>
      <c r="D2923" s="126" t="s">
        <v>11023</v>
      </c>
      <c r="E2923" s="126" t="s">
        <v>11024</v>
      </c>
      <c r="F2923" s="123" t="s">
        <v>30</v>
      </c>
      <c r="G2923" s="123" t="s">
        <v>170</v>
      </c>
      <c r="H2923" s="123" t="s">
        <v>170</v>
      </c>
      <c r="I2923" s="126" t="s">
        <v>1507</v>
      </c>
      <c r="J2923" s="123" t="s">
        <v>11025</v>
      </c>
      <c r="K2923" s="123" t="s">
        <v>11023</v>
      </c>
      <c r="L2923" s="131" t="s">
        <v>100</v>
      </c>
      <c r="M2923" s="135" t="s">
        <v>845</v>
      </c>
      <c r="N2923" s="123" t="s">
        <v>845</v>
      </c>
    </row>
    <row r="2924" spans="2:14" hidden="1" x14ac:dyDescent="0.25">
      <c r="B2924" s="120">
        <v>2921</v>
      </c>
      <c r="C2924" s="123">
        <v>10069864959</v>
      </c>
      <c r="D2924" s="126" t="s">
        <v>11026</v>
      </c>
      <c r="E2924" s="126" t="s">
        <v>11027</v>
      </c>
      <c r="F2924" s="123" t="s">
        <v>30</v>
      </c>
      <c r="G2924" s="123" t="s">
        <v>170</v>
      </c>
      <c r="H2924" s="123" t="s">
        <v>171</v>
      </c>
      <c r="I2924" s="126" t="s">
        <v>1952</v>
      </c>
      <c r="J2924" s="123" t="s">
        <v>11028</v>
      </c>
      <c r="K2924" s="123" t="s">
        <v>11026</v>
      </c>
      <c r="L2924" s="131" t="s">
        <v>100</v>
      </c>
      <c r="M2924" s="135" t="s">
        <v>845</v>
      </c>
      <c r="N2924" s="123" t="s">
        <v>845</v>
      </c>
    </row>
    <row r="2925" spans="2:14" hidden="1" x14ac:dyDescent="0.25">
      <c r="B2925" s="120">
        <v>2922</v>
      </c>
      <c r="C2925" s="123">
        <v>10234714886</v>
      </c>
      <c r="D2925" s="126" t="s">
        <v>11029</v>
      </c>
      <c r="E2925" s="126" t="s">
        <v>11030</v>
      </c>
      <c r="F2925" s="123" t="s">
        <v>30</v>
      </c>
      <c r="G2925" s="123" t="s">
        <v>30</v>
      </c>
      <c r="H2925" s="123" t="s">
        <v>88</v>
      </c>
      <c r="I2925" s="126" t="s">
        <v>8743</v>
      </c>
      <c r="J2925" s="123" t="s">
        <v>11031</v>
      </c>
      <c r="K2925" s="123" t="s">
        <v>11029</v>
      </c>
      <c r="L2925" s="131" t="s">
        <v>100</v>
      </c>
      <c r="M2925" s="135" t="s">
        <v>845</v>
      </c>
      <c r="N2925" s="123" t="s">
        <v>845</v>
      </c>
    </row>
    <row r="2926" spans="2:14" hidden="1" x14ac:dyDescent="0.25">
      <c r="B2926" s="120">
        <v>2923</v>
      </c>
      <c r="C2926" s="123">
        <v>10166958381</v>
      </c>
      <c r="D2926" s="126" t="s">
        <v>11032</v>
      </c>
      <c r="E2926" s="126" t="s">
        <v>11033</v>
      </c>
      <c r="F2926" s="123" t="s">
        <v>30</v>
      </c>
      <c r="G2926" s="123" t="s">
        <v>30</v>
      </c>
      <c r="H2926" s="123" t="s">
        <v>30</v>
      </c>
      <c r="I2926" s="126" t="s">
        <v>1962</v>
      </c>
      <c r="J2926" s="123" t="s">
        <v>11034</v>
      </c>
      <c r="K2926" s="123" t="s">
        <v>11032</v>
      </c>
      <c r="L2926" s="131" t="s">
        <v>100</v>
      </c>
      <c r="M2926" s="135" t="s">
        <v>845</v>
      </c>
      <c r="N2926" s="123" t="s">
        <v>845</v>
      </c>
    </row>
    <row r="2927" spans="2:14" hidden="1" x14ac:dyDescent="0.25">
      <c r="B2927" s="120">
        <v>2924</v>
      </c>
      <c r="C2927" s="123">
        <v>10463011813</v>
      </c>
      <c r="D2927" s="126" t="s">
        <v>11035</v>
      </c>
      <c r="E2927" s="126" t="s">
        <v>11036</v>
      </c>
      <c r="F2927" s="123" t="s">
        <v>30</v>
      </c>
      <c r="G2927" s="123" t="s">
        <v>30</v>
      </c>
      <c r="H2927" s="123" t="s">
        <v>50</v>
      </c>
      <c r="I2927" s="126" t="s">
        <v>1931</v>
      </c>
      <c r="J2927" s="123" t="s">
        <v>11037</v>
      </c>
      <c r="K2927" s="123" t="s">
        <v>11035</v>
      </c>
      <c r="L2927" s="131" t="s">
        <v>100</v>
      </c>
      <c r="M2927" s="135" t="s">
        <v>845</v>
      </c>
      <c r="N2927" s="123" t="s">
        <v>845</v>
      </c>
    </row>
    <row r="2928" spans="2:14" hidden="1" x14ac:dyDescent="0.25">
      <c r="B2928" s="120">
        <v>2925</v>
      </c>
      <c r="C2928" s="123">
        <v>10704037282</v>
      </c>
      <c r="D2928" s="126" t="s">
        <v>11038</v>
      </c>
      <c r="E2928" s="126" t="s">
        <v>11039</v>
      </c>
      <c r="F2928" s="123" t="s">
        <v>30</v>
      </c>
      <c r="G2928" s="123" t="s">
        <v>168</v>
      </c>
      <c r="H2928" s="123" t="s">
        <v>180</v>
      </c>
      <c r="I2928" s="126" t="s">
        <v>9625</v>
      </c>
      <c r="J2928" s="123" t="s">
        <v>11040</v>
      </c>
      <c r="K2928" s="123" t="s">
        <v>11041</v>
      </c>
      <c r="L2928" s="131" t="s">
        <v>100</v>
      </c>
      <c r="M2928" s="135" t="s">
        <v>845</v>
      </c>
      <c r="N2928" s="123" t="s">
        <v>845</v>
      </c>
    </row>
    <row r="2929" spans="2:14" hidden="1" x14ac:dyDescent="0.25">
      <c r="B2929" s="120">
        <v>2926</v>
      </c>
      <c r="C2929" s="123">
        <v>10471750471</v>
      </c>
      <c r="D2929" s="126" t="s">
        <v>11042</v>
      </c>
      <c r="E2929" s="126" t="s">
        <v>11043</v>
      </c>
      <c r="F2929" s="123" t="s">
        <v>30</v>
      </c>
      <c r="G2929" s="123" t="s">
        <v>30</v>
      </c>
      <c r="H2929" s="123" t="s">
        <v>75</v>
      </c>
      <c r="I2929" s="126" t="s">
        <v>1701</v>
      </c>
      <c r="J2929" s="123" t="s">
        <v>11044</v>
      </c>
      <c r="K2929" s="123" t="s">
        <v>11042</v>
      </c>
      <c r="L2929" s="131" t="s">
        <v>100</v>
      </c>
      <c r="M2929" s="135" t="s">
        <v>845</v>
      </c>
      <c r="N2929" s="123" t="s">
        <v>845</v>
      </c>
    </row>
    <row r="2930" spans="2:14" hidden="1" x14ac:dyDescent="0.25">
      <c r="B2930" s="120">
        <v>2927</v>
      </c>
      <c r="C2930" s="123">
        <v>10418552455</v>
      </c>
      <c r="D2930" s="126" t="s">
        <v>11045</v>
      </c>
      <c r="E2930" s="126" t="s">
        <v>11046</v>
      </c>
      <c r="F2930" s="123" t="s">
        <v>30</v>
      </c>
      <c r="G2930" s="123" t="s">
        <v>170</v>
      </c>
      <c r="H2930" s="123" t="s">
        <v>175</v>
      </c>
      <c r="I2930" s="126" t="s">
        <v>1977</v>
      </c>
      <c r="J2930" s="123" t="s">
        <v>11047</v>
      </c>
      <c r="K2930" s="123" t="s">
        <v>11045</v>
      </c>
      <c r="L2930" s="131" t="s">
        <v>100</v>
      </c>
      <c r="M2930" s="135" t="s">
        <v>845</v>
      </c>
      <c r="N2930" s="123" t="s">
        <v>845</v>
      </c>
    </row>
    <row r="2931" spans="2:14" hidden="1" x14ac:dyDescent="0.25">
      <c r="B2931" s="120">
        <v>2928</v>
      </c>
      <c r="C2931" s="123">
        <v>10441126374</v>
      </c>
      <c r="D2931" s="126" t="s">
        <v>11048</v>
      </c>
      <c r="E2931" s="126" t="s">
        <v>11049</v>
      </c>
      <c r="F2931" s="123" t="s">
        <v>30</v>
      </c>
      <c r="G2931" s="123" t="s">
        <v>30</v>
      </c>
      <c r="H2931" s="123" t="s">
        <v>86</v>
      </c>
      <c r="I2931" s="126" t="s">
        <v>1941</v>
      </c>
      <c r="J2931" s="123" t="s">
        <v>11050</v>
      </c>
      <c r="K2931" s="123" t="s">
        <v>11048</v>
      </c>
      <c r="L2931" s="131" t="s">
        <v>100</v>
      </c>
      <c r="M2931" s="135" t="s">
        <v>845</v>
      </c>
      <c r="N2931" s="123" t="s">
        <v>845</v>
      </c>
    </row>
    <row r="2932" spans="2:14" hidden="1" x14ac:dyDescent="0.25">
      <c r="B2932" s="120">
        <v>2929</v>
      </c>
      <c r="C2932" s="123">
        <v>10425019801</v>
      </c>
      <c r="D2932" s="126" t="s">
        <v>11051</v>
      </c>
      <c r="E2932" s="126" t="s">
        <v>11052</v>
      </c>
      <c r="F2932" s="123" t="s">
        <v>30</v>
      </c>
      <c r="G2932" s="123" t="s">
        <v>30</v>
      </c>
      <c r="H2932" s="123" t="s">
        <v>38</v>
      </c>
      <c r="I2932" s="126" t="s">
        <v>101</v>
      </c>
      <c r="J2932" s="123" t="s">
        <v>11053</v>
      </c>
      <c r="K2932" s="123" t="s">
        <v>11051</v>
      </c>
      <c r="L2932" s="131" t="s">
        <v>100</v>
      </c>
      <c r="M2932" s="135" t="s">
        <v>845</v>
      </c>
      <c r="N2932" s="123" t="s">
        <v>845</v>
      </c>
    </row>
    <row r="2933" spans="2:14" hidden="1" x14ac:dyDescent="0.25">
      <c r="B2933" s="120">
        <v>2930</v>
      </c>
      <c r="C2933" s="123">
        <v>10101296267</v>
      </c>
      <c r="D2933" s="126" t="s">
        <v>11054</v>
      </c>
      <c r="E2933" s="126" t="s">
        <v>11055</v>
      </c>
      <c r="F2933" s="123" t="s">
        <v>30</v>
      </c>
      <c r="G2933" s="123" t="s">
        <v>30</v>
      </c>
      <c r="H2933" s="123" t="s">
        <v>43</v>
      </c>
      <c r="I2933" s="126" t="s">
        <v>1551</v>
      </c>
      <c r="J2933" s="123" t="s">
        <v>11056</v>
      </c>
      <c r="K2933" s="123" t="s">
        <v>11054</v>
      </c>
      <c r="L2933" s="131" t="s">
        <v>100</v>
      </c>
      <c r="M2933" s="135" t="s">
        <v>845</v>
      </c>
      <c r="N2933" s="123" t="s">
        <v>845</v>
      </c>
    </row>
    <row r="2934" spans="2:14" hidden="1" x14ac:dyDescent="0.25">
      <c r="B2934" s="120">
        <v>2931</v>
      </c>
      <c r="C2934" s="123">
        <v>10477562642</v>
      </c>
      <c r="D2934" s="126" t="s">
        <v>11057</v>
      </c>
      <c r="E2934" s="126" t="s">
        <v>11058</v>
      </c>
      <c r="F2934" s="123" t="s">
        <v>30</v>
      </c>
      <c r="G2934" s="123" t="s">
        <v>30</v>
      </c>
      <c r="H2934" s="123" t="s">
        <v>45</v>
      </c>
      <c r="I2934" s="126" t="s">
        <v>1701</v>
      </c>
      <c r="J2934" s="123" t="s">
        <v>11059</v>
      </c>
      <c r="K2934" s="123" t="s">
        <v>11057</v>
      </c>
      <c r="L2934" s="131" t="s">
        <v>100</v>
      </c>
      <c r="M2934" s="135" t="s">
        <v>845</v>
      </c>
      <c r="N2934" s="123" t="s">
        <v>845</v>
      </c>
    </row>
    <row r="2935" spans="2:14" hidden="1" x14ac:dyDescent="0.25">
      <c r="B2935" s="120">
        <v>2932</v>
      </c>
      <c r="C2935" s="123">
        <v>10455249380</v>
      </c>
      <c r="D2935" s="126" t="s">
        <v>11060</v>
      </c>
      <c r="E2935" s="126" t="s">
        <v>11061</v>
      </c>
      <c r="F2935" s="123" t="s">
        <v>30</v>
      </c>
      <c r="G2935" s="123" t="s">
        <v>30</v>
      </c>
      <c r="H2935" s="123" t="s">
        <v>38</v>
      </c>
      <c r="I2935" s="126" t="s">
        <v>1706</v>
      </c>
      <c r="J2935" s="123" t="s">
        <v>11062</v>
      </c>
      <c r="K2935" s="123" t="s">
        <v>11063</v>
      </c>
      <c r="L2935" s="131" t="s">
        <v>100</v>
      </c>
      <c r="M2935" s="135" t="s">
        <v>845</v>
      </c>
      <c r="N2935" s="123" t="s">
        <v>845</v>
      </c>
    </row>
    <row r="2936" spans="2:14" hidden="1" x14ac:dyDescent="0.25">
      <c r="B2936" s="120">
        <v>2933</v>
      </c>
      <c r="C2936" s="123">
        <v>10080461530</v>
      </c>
      <c r="D2936" s="126" t="s">
        <v>11064</v>
      </c>
      <c r="E2936" s="126" t="s">
        <v>11065</v>
      </c>
      <c r="F2936" s="123" t="s">
        <v>30</v>
      </c>
      <c r="G2936" s="123" t="s">
        <v>30</v>
      </c>
      <c r="H2936" s="123" t="s">
        <v>64</v>
      </c>
      <c r="I2936" s="126" t="s">
        <v>9625</v>
      </c>
      <c r="J2936" s="123" t="s">
        <v>11066</v>
      </c>
      <c r="K2936" s="123" t="s">
        <v>11064</v>
      </c>
      <c r="L2936" s="131" t="s">
        <v>100</v>
      </c>
      <c r="M2936" s="135" t="s">
        <v>845</v>
      </c>
      <c r="N2936" s="123" t="s">
        <v>845</v>
      </c>
    </row>
    <row r="2937" spans="2:14" hidden="1" x14ac:dyDescent="0.25">
      <c r="B2937" s="120">
        <v>2934</v>
      </c>
      <c r="C2937" s="123">
        <v>10804195195</v>
      </c>
      <c r="D2937" s="126" t="s">
        <v>11067</v>
      </c>
      <c r="E2937" s="126" t="s">
        <v>11068</v>
      </c>
      <c r="F2937" s="123" t="s">
        <v>290</v>
      </c>
      <c r="G2937" s="123" t="s">
        <v>11069</v>
      </c>
      <c r="H2937" s="123" t="s">
        <v>11070</v>
      </c>
      <c r="I2937" s="126" t="s">
        <v>1209</v>
      </c>
      <c r="J2937" s="123" t="s">
        <v>11071</v>
      </c>
      <c r="K2937" s="123" t="s">
        <v>11072</v>
      </c>
      <c r="L2937" s="131" t="s">
        <v>100</v>
      </c>
      <c r="M2937" s="135" t="s">
        <v>845</v>
      </c>
      <c r="N2937" s="123" t="s">
        <v>845</v>
      </c>
    </row>
    <row r="2938" spans="2:14" hidden="1" x14ac:dyDescent="0.25">
      <c r="B2938" s="120">
        <v>2935</v>
      </c>
      <c r="C2938" s="123">
        <v>10749922571</v>
      </c>
      <c r="D2938" s="126" t="s">
        <v>11073</v>
      </c>
      <c r="E2938" s="126" t="s">
        <v>11074</v>
      </c>
      <c r="F2938" s="123" t="s">
        <v>30</v>
      </c>
      <c r="G2938" s="123" t="s">
        <v>30</v>
      </c>
      <c r="H2938" s="123" t="s">
        <v>30</v>
      </c>
      <c r="I2938" s="126" t="s">
        <v>1694</v>
      </c>
      <c r="J2938" s="123" t="s">
        <v>11075</v>
      </c>
      <c r="K2938" s="123" t="s">
        <v>11076</v>
      </c>
      <c r="L2938" s="131" t="s">
        <v>100</v>
      </c>
      <c r="M2938" s="135" t="s">
        <v>845</v>
      </c>
      <c r="N2938" s="123" t="s">
        <v>845</v>
      </c>
    </row>
    <row r="2939" spans="2:14" hidden="1" x14ac:dyDescent="0.25">
      <c r="B2939" s="120">
        <v>2936</v>
      </c>
      <c r="C2939" s="123">
        <v>10454668770</v>
      </c>
      <c r="D2939" s="126" t="s">
        <v>11077</v>
      </c>
      <c r="E2939" s="126" t="s">
        <v>11078</v>
      </c>
      <c r="F2939" s="123" t="s">
        <v>30</v>
      </c>
      <c r="G2939" s="123" t="s">
        <v>30</v>
      </c>
      <c r="H2939" s="123" t="s">
        <v>74</v>
      </c>
      <c r="I2939" s="126" t="s">
        <v>1950</v>
      </c>
      <c r="J2939" s="123" t="s">
        <v>11079</v>
      </c>
      <c r="K2939" s="123" t="s">
        <v>11080</v>
      </c>
      <c r="L2939" s="131" t="s">
        <v>100</v>
      </c>
      <c r="M2939" s="135" t="s">
        <v>845</v>
      </c>
      <c r="N2939" s="123" t="s">
        <v>845</v>
      </c>
    </row>
    <row r="2940" spans="2:14" hidden="1" x14ac:dyDescent="0.25">
      <c r="B2940" s="120">
        <v>2937</v>
      </c>
      <c r="C2940" s="123">
        <v>10709886784</v>
      </c>
      <c r="D2940" s="126" t="s">
        <v>11081</v>
      </c>
      <c r="E2940" s="126" t="s">
        <v>11082</v>
      </c>
      <c r="F2940" s="123" t="s">
        <v>30</v>
      </c>
      <c r="G2940" s="123" t="s">
        <v>30</v>
      </c>
      <c r="H2940" s="123" t="s">
        <v>43</v>
      </c>
      <c r="I2940" s="126" t="s">
        <v>1706</v>
      </c>
      <c r="J2940" s="123" t="s">
        <v>11083</v>
      </c>
      <c r="K2940" s="123" t="s">
        <v>11084</v>
      </c>
      <c r="L2940" s="131" t="s">
        <v>100</v>
      </c>
      <c r="M2940" s="135" t="s">
        <v>845</v>
      </c>
      <c r="N2940" s="123" t="s">
        <v>845</v>
      </c>
    </row>
    <row r="2941" spans="2:14" hidden="1" x14ac:dyDescent="0.25">
      <c r="B2941" s="120">
        <v>2938</v>
      </c>
      <c r="C2941" s="123">
        <v>10156910614</v>
      </c>
      <c r="D2941" s="126" t="s">
        <v>11085</v>
      </c>
      <c r="E2941" s="126" t="s">
        <v>11086</v>
      </c>
      <c r="F2941" s="123" t="s">
        <v>30</v>
      </c>
      <c r="G2941" s="123" t="s">
        <v>170</v>
      </c>
      <c r="H2941" s="123" t="s">
        <v>174</v>
      </c>
      <c r="I2941" s="126" t="s">
        <v>1965</v>
      </c>
      <c r="J2941" s="123" t="s">
        <v>11087</v>
      </c>
      <c r="K2941" s="123" t="s">
        <v>11088</v>
      </c>
      <c r="L2941" s="131" t="s">
        <v>100</v>
      </c>
      <c r="M2941" s="135" t="s">
        <v>845</v>
      </c>
      <c r="N2941" s="123" t="s">
        <v>845</v>
      </c>
    </row>
    <row r="2942" spans="2:14" hidden="1" x14ac:dyDescent="0.25">
      <c r="B2942" s="120">
        <v>2939</v>
      </c>
      <c r="C2942" s="123">
        <v>10487539061</v>
      </c>
      <c r="D2942" s="126" t="s">
        <v>11089</v>
      </c>
      <c r="E2942" s="126" t="s">
        <v>11090</v>
      </c>
      <c r="F2942" s="123" t="s">
        <v>30</v>
      </c>
      <c r="G2942" s="123" t="s">
        <v>30</v>
      </c>
      <c r="H2942" s="123" t="s">
        <v>65</v>
      </c>
      <c r="I2942" s="126" t="s">
        <v>1931</v>
      </c>
      <c r="J2942" s="123" t="s">
        <v>11091</v>
      </c>
      <c r="K2942" s="123" t="s">
        <v>11089</v>
      </c>
      <c r="L2942" s="131" t="s">
        <v>100</v>
      </c>
      <c r="M2942" s="135" t="s">
        <v>845</v>
      </c>
      <c r="N2942" s="123" t="s">
        <v>845</v>
      </c>
    </row>
    <row r="2943" spans="2:14" hidden="1" x14ac:dyDescent="0.25">
      <c r="B2943" s="120">
        <v>2940</v>
      </c>
      <c r="C2943" s="123">
        <v>10701532991</v>
      </c>
      <c r="D2943" s="126" t="s">
        <v>11092</v>
      </c>
      <c r="E2943" s="126" t="s">
        <v>11093</v>
      </c>
      <c r="F2943" s="123" t="s">
        <v>30</v>
      </c>
      <c r="G2943" s="123" t="s">
        <v>30</v>
      </c>
      <c r="H2943" s="123" t="s">
        <v>72</v>
      </c>
      <c r="I2943" s="126" t="s">
        <v>1737</v>
      </c>
      <c r="J2943" s="123" t="s">
        <v>11094</v>
      </c>
      <c r="K2943" s="123" t="s">
        <v>11092</v>
      </c>
      <c r="L2943" s="131" t="s">
        <v>100</v>
      </c>
      <c r="M2943" s="135" t="s">
        <v>845</v>
      </c>
      <c r="N2943" s="123" t="s">
        <v>845</v>
      </c>
    </row>
    <row r="2944" spans="2:14" hidden="1" x14ac:dyDescent="0.25">
      <c r="B2944" s="120">
        <v>2941</v>
      </c>
      <c r="C2944" s="123">
        <v>10400276434</v>
      </c>
      <c r="D2944" s="126" t="s">
        <v>11095</v>
      </c>
      <c r="E2944" s="126" t="s">
        <v>11096</v>
      </c>
      <c r="F2944" s="123" t="s">
        <v>30</v>
      </c>
      <c r="G2944" s="123" t="s">
        <v>30</v>
      </c>
      <c r="H2944" s="123" t="s">
        <v>72</v>
      </c>
      <c r="I2944" s="126" t="s">
        <v>1931</v>
      </c>
      <c r="J2944" s="123" t="s">
        <v>11097</v>
      </c>
      <c r="K2944" s="123" t="s">
        <v>11095</v>
      </c>
      <c r="L2944" s="131" t="s">
        <v>100</v>
      </c>
      <c r="M2944" s="135" t="s">
        <v>845</v>
      </c>
      <c r="N2944" s="123" t="s">
        <v>845</v>
      </c>
    </row>
    <row r="2945" spans="2:14" hidden="1" x14ac:dyDescent="0.25">
      <c r="B2945" s="120">
        <v>2942</v>
      </c>
      <c r="C2945" s="123">
        <v>10103976362</v>
      </c>
      <c r="D2945" s="126" t="s">
        <v>11098</v>
      </c>
      <c r="E2945" s="126" t="s">
        <v>11099</v>
      </c>
      <c r="F2945" s="123" t="s">
        <v>30</v>
      </c>
      <c r="G2945" s="123" t="s">
        <v>54</v>
      </c>
      <c r="H2945" s="123" t="s">
        <v>55</v>
      </c>
      <c r="I2945" s="126" t="s">
        <v>1939</v>
      </c>
      <c r="J2945" s="123" t="s">
        <v>11100</v>
      </c>
      <c r="K2945" s="123" t="s">
        <v>11101</v>
      </c>
      <c r="L2945" s="131" t="s">
        <v>100</v>
      </c>
      <c r="M2945" s="135" t="s">
        <v>845</v>
      </c>
      <c r="N2945" s="123" t="s">
        <v>845</v>
      </c>
    </row>
    <row r="2946" spans="2:14" hidden="1" x14ac:dyDescent="0.25">
      <c r="B2946" s="120">
        <v>2943</v>
      </c>
      <c r="C2946" s="123">
        <v>10422878802</v>
      </c>
      <c r="D2946" s="126" t="s">
        <v>11102</v>
      </c>
      <c r="E2946" s="126" t="s">
        <v>11103</v>
      </c>
      <c r="F2946" s="123" t="s">
        <v>30</v>
      </c>
      <c r="G2946" s="123" t="s">
        <v>30</v>
      </c>
      <c r="H2946" s="123" t="s">
        <v>58</v>
      </c>
      <c r="I2946" s="126" t="s">
        <v>1963</v>
      </c>
      <c r="J2946" s="123" t="s">
        <v>11104</v>
      </c>
      <c r="K2946" s="123" t="s">
        <v>11102</v>
      </c>
      <c r="L2946" s="131" t="s">
        <v>100</v>
      </c>
      <c r="M2946" s="135" t="s">
        <v>845</v>
      </c>
      <c r="N2946" s="123" t="s">
        <v>845</v>
      </c>
    </row>
    <row r="2947" spans="2:14" hidden="1" x14ac:dyDescent="0.25">
      <c r="B2947" s="120">
        <v>2944</v>
      </c>
      <c r="C2947" s="123">
        <v>10161780982</v>
      </c>
      <c r="D2947" s="126" t="s">
        <v>11105</v>
      </c>
      <c r="E2947" s="126" t="s">
        <v>11106</v>
      </c>
      <c r="F2947" s="123" t="s">
        <v>30</v>
      </c>
      <c r="G2947" s="123" t="s">
        <v>48</v>
      </c>
      <c r="H2947" s="123" t="s">
        <v>891</v>
      </c>
      <c r="I2947" s="126" t="s">
        <v>1950</v>
      </c>
      <c r="J2947" s="123" t="s">
        <v>11107</v>
      </c>
      <c r="K2947" s="123" t="s">
        <v>11105</v>
      </c>
      <c r="L2947" s="131" t="s">
        <v>100</v>
      </c>
      <c r="M2947" s="135" t="s">
        <v>845</v>
      </c>
      <c r="N2947" s="123" t="s">
        <v>845</v>
      </c>
    </row>
    <row r="2948" spans="2:14" hidden="1" x14ac:dyDescent="0.25">
      <c r="B2948" s="120">
        <v>2945</v>
      </c>
      <c r="C2948" s="123">
        <v>10085837317</v>
      </c>
      <c r="D2948" s="126" t="s">
        <v>11108</v>
      </c>
      <c r="E2948" s="126" t="s">
        <v>11109</v>
      </c>
      <c r="F2948" s="123" t="s">
        <v>30</v>
      </c>
      <c r="G2948" s="123" t="s">
        <v>30</v>
      </c>
      <c r="H2948" s="123" t="s">
        <v>72</v>
      </c>
      <c r="I2948" s="126" t="s">
        <v>8884</v>
      </c>
      <c r="J2948" s="123" t="s">
        <v>11110</v>
      </c>
      <c r="K2948" s="123" t="s">
        <v>11108</v>
      </c>
      <c r="L2948" s="131" t="s">
        <v>100</v>
      </c>
      <c r="M2948" s="135" t="s">
        <v>845</v>
      </c>
      <c r="N2948" s="123" t="s">
        <v>845</v>
      </c>
    </row>
    <row r="2949" spans="2:14" hidden="1" x14ac:dyDescent="0.25">
      <c r="B2949" s="120">
        <v>2946</v>
      </c>
      <c r="C2949" s="123">
        <v>10801286726</v>
      </c>
      <c r="D2949" s="126" t="s">
        <v>11111</v>
      </c>
      <c r="E2949" s="126" t="s">
        <v>11112</v>
      </c>
      <c r="F2949" s="123" t="s">
        <v>30</v>
      </c>
      <c r="G2949" s="123" t="s">
        <v>31</v>
      </c>
      <c r="H2949" s="123" t="s">
        <v>9381</v>
      </c>
      <c r="I2949" s="126" t="s">
        <v>1564</v>
      </c>
      <c r="J2949" s="123" t="s">
        <v>11113</v>
      </c>
      <c r="K2949" s="123" t="s">
        <v>11111</v>
      </c>
      <c r="L2949" s="131" t="s">
        <v>100</v>
      </c>
      <c r="M2949" s="135" t="s">
        <v>845</v>
      </c>
      <c r="N2949" s="123" t="s">
        <v>845</v>
      </c>
    </row>
    <row r="2950" spans="2:14" hidden="1" x14ac:dyDescent="0.25">
      <c r="B2950" s="120">
        <v>2947</v>
      </c>
      <c r="C2950" s="123">
        <v>10072546631</v>
      </c>
      <c r="D2950" s="126" t="s">
        <v>11114</v>
      </c>
      <c r="E2950" s="126" t="s">
        <v>11115</v>
      </c>
      <c r="F2950" s="123" t="s">
        <v>67</v>
      </c>
      <c r="G2950" s="123" t="s">
        <v>67</v>
      </c>
      <c r="H2950" s="123" t="s">
        <v>67</v>
      </c>
      <c r="I2950" s="126" t="s">
        <v>1424</v>
      </c>
      <c r="J2950" s="123" t="s">
        <v>11116</v>
      </c>
      <c r="K2950" s="123" t="s">
        <v>11117</v>
      </c>
      <c r="L2950" s="131" t="s">
        <v>100</v>
      </c>
      <c r="M2950" s="135" t="s">
        <v>845</v>
      </c>
      <c r="N2950" s="123" t="s">
        <v>845</v>
      </c>
    </row>
    <row r="2951" spans="2:14" hidden="1" x14ac:dyDescent="0.25">
      <c r="B2951" s="120">
        <v>2948</v>
      </c>
      <c r="C2951" s="123">
        <v>10448141832</v>
      </c>
      <c r="D2951" s="126" t="s">
        <v>11118</v>
      </c>
      <c r="E2951" s="126" t="s">
        <v>11119</v>
      </c>
      <c r="F2951" s="123" t="s">
        <v>30</v>
      </c>
      <c r="G2951" s="123" t="s">
        <v>30</v>
      </c>
      <c r="H2951" s="123" t="s">
        <v>38</v>
      </c>
      <c r="I2951" s="126" t="s">
        <v>11120</v>
      </c>
      <c r="J2951" s="123" t="s">
        <v>11121</v>
      </c>
      <c r="K2951" s="123" t="s">
        <v>11118</v>
      </c>
      <c r="L2951" s="131" t="s">
        <v>100</v>
      </c>
      <c r="M2951" s="135" t="s">
        <v>845</v>
      </c>
      <c r="N2951" s="123" t="s">
        <v>845</v>
      </c>
    </row>
    <row r="2952" spans="2:14" hidden="1" x14ac:dyDescent="0.25">
      <c r="B2952" s="120">
        <v>2949</v>
      </c>
      <c r="C2952" s="123">
        <v>10102283801</v>
      </c>
      <c r="D2952" s="126" t="s">
        <v>11122</v>
      </c>
      <c r="E2952" s="126" t="s">
        <v>11123</v>
      </c>
      <c r="F2952" s="123" t="s">
        <v>30</v>
      </c>
      <c r="G2952" s="123" t="s">
        <v>30</v>
      </c>
      <c r="H2952" s="123" t="s">
        <v>35</v>
      </c>
      <c r="I2952" s="126" t="s">
        <v>8743</v>
      </c>
      <c r="J2952" s="123" t="s">
        <v>11124</v>
      </c>
      <c r="K2952" s="123" t="s">
        <v>11122</v>
      </c>
      <c r="L2952" s="131" t="s">
        <v>100</v>
      </c>
      <c r="M2952" s="135" t="s">
        <v>845</v>
      </c>
      <c r="N2952" s="123" t="s">
        <v>845</v>
      </c>
    </row>
    <row r="2953" spans="2:14" hidden="1" x14ac:dyDescent="0.25">
      <c r="B2953" s="120">
        <v>2950</v>
      </c>
      <c r="C2953" s="123">
        <v>15122619858</v>
      </c>
      <c r="D2953" s="126" t="s">
        <v>11125</v>
      </c>
      <c r="E2953" s="126" t="s">
        <v>11126</v>
      </c>
      <c r="F2953" s="123" t="s">
        <v>30</v>
      </c>
      <c r="G2953" s="123" t="s">
        <v>30</v>
      </c>
      <c r="H2953" s="123" t="s">
        <v>74</v>
      </c>
      <c r="I2953" s="126" t="s">
        <v>1701</v>
      </c>
      <c r="J2953" s="123" t="s">
        <v>11127</v>
      </c>
      <c r="K2953" s="123" t="s">
        <v>11125</v>
      </c>
      <c r="L2953" s="131" t="s">
        <v>100</v>
      </c>
      <c r="M2953" s="135" t="s">
        <v>845</v>
      </c>
      <c r="N2953" s="123" t="s">
        <v>845</v>
      </c>
    </row>
    <row r="2954" spans="2:14" hidden="1" x14ac:dyDescent="0.25">
      <c r="B2954" s="120">
        <v>2951</v>
      </c>
      <c r="C2954" s="123">
        <v>10801172364</v>
      </c>
      <c r="D2954" s="126" t="s">
        <v>11128</v>
      </c>
      <c r="E2954" s="126" t="s">
        <v>11129</v>
      </c>
      <c r="F2954" s="123" t="s">
        <v>30</v>
      </c>
      <c r="G2954" s="123" t="s">
        <v>54</v>
      </c>
      <c r="H2954" s="123" t="s">
        <v>117</v>
      </c>
      <c r="I2954" s="126" t="s">
        <v>1701</v>
      </c>
      <c r="J2954" s="123" t="s">
        <v>11130</v>
      </c>
      <c r="K2954" s="123" t="s">
        <v>11128</v>
      </c>
      <c r="L2954" s="131" t="s">
        <v>100</v>
      </c>
      <c r="M2954" s="135" t="s">
        <v>845</v>
      </c>
      <c r="N2954" s="123" t="s">
        <v>845</v>
      </c>
    </row>
    <row r="2955" spans="2:14" hidden="1" x14ac:dyDescent="0.25">
      <c r="B2955" s="120">
        <v>2952</v>
      </c>
      <c r="C2955" s="123">
        <v>10403699671</v>
      </c>
      <c r="D2955" s="126" t="s">
        <v>11131</v>
      </c>
      <c r="E2955" s="126" t="s">
        <v>11132</v>
      </c>
      <c r="F2955" s="123" t="s">
        <v>30</v>
      </c>
      <c r="G2955" s="123" t="s">
        <v>30</v>
      </c>
      <c r="H2955" s="123" t="s">
        <v>72</v>
      </c>
      <c r="I2955" s="126" t="s">
        <v>1809</v>
      </c>
      <c r="J2955" s="123" t="s">
        <v>11133</v>
      </c>
      <c r="K2955" s="123" t="s">
        <v>11131</v>
      </c>
      <c r="L2955" s="131" t="s">
        <v>100</v>
      </c>
      <c r="M2955" s="135" t="s">
        <v>845</v>
      </c>
      <c r="N2955" s="123" t="s">
        <v>845</v>
      </c>
    </row>
    <row r="2956" spans="2:14" hidden="1" x14ac:dyDescent="0.25">
      <c r="B2956" s="120">
        <v>2953</v>
      </c>
      <c r="C2956" s="123">
        <v>10436324273</v>
      </c>
      <c r="D2956" s="126" t="s">
        <v>11134</v>
      </c>
      <c r="E2956" s="126" t="s">
        <v>11135</v>
      </c>
      <c r="F2956" s="123" t="s">
        <v>30</v>
      </c>
      <c r="G2956" s="123" t="s">
        <v>30</v>
      </c>
      <c r="H2956" s="123" t="s">
        <v>51</v>
      </c>
      <c r="I2956" s="126" t="s">
        <v>1727</v>
      </c>
      <c r="J2956" s="123" t="s">
        <v>11136</v>
      </c>
      <c r="K2956" s="123" t="s">
        <v>11134</v>
      </c>
      <c r="L2956" s="131" t="s">
        <v>100</v>
      </c>
      <c r="M2956" s="135" t="s">
        <v>845</v>
      </c>
      <c r="N2956" s="123" t="s">
        <v>845</v>
      </c>
    </row>
    <row r="2957" spans="2:14" hidden="1" x14ac:dyDescent="0.25">
      <c r="B2957" s="120">
        <v>2954</v>
      </c>
      <c r="C2957" s="123">
        <v>10425422354</v>
      </c>
      <c r="D2957" s="126" t="s">
        <v>11137</v>
      </c>
      <c r="E2957" s="126" t="s">
        <v>11138</v>
      </c>
      <c r="F2957" s="123" t="s">
        <v>30</v>
      </c>
      <c r="G2957" s="123" t="s">
        <v>170</v>
      </c>
      <c r="H2957" s="123" t="s">
        <v>179</v>
      </c>
      <c r="I2957" s="126" t="s">
        <v>1701</v>
      </c>
      <c r="J2957" s="123" t="s">
        <v>11139</v>
      </c>
      <c r="K2957" s="123" t="s">
        <v>11137</v>
      </c>
      <c r="L2957" s="131" t="s">
        <v>100</v>
      </c>
      <c r="M2957" s="135" t="s">
        <v>845</v>
      </c>
      <c r="N2957" s="123" t="s">
        <v>845</v>
      </c>
    </row>
    <row r="2958" spans="2:14" hidden="1" x14ac:dyDescent="0.25">
      <c r="B2958" s="120">
        <v>2955</v>
      </c>
      <c r="C2958" s="123">
        <v>10426566422</v>
      </c>
      <c r="D2958" s="126" t="s">
        <v>11140</v>
      </c>
      <c r="E2958" s="126" t="s">
        <v>11141</v>
      </c>
      <c r="F2958" s="123" t="s">
        <v>30</v>
      </c>
      <c r="G2958" s="123" t="s">
        <v>30</v>
      </c>
      <c r="H2958" s="123" t="s">
        <v>88</v>
      </c>
      <c r="I2958" s="126" t="s">
        <v>9561</v>
      </c>
      <c r="J2958" s="123" t="s">
        <v>11142</v>
      </c>
      <c r="K2958" s="123" t="s">
        <v>11140</v>
      </c>
      <c r="L2958" s="131" t="s">
        <v>100</v>
      </c>
      <c r="M2958" s="135" t="s">
        <v>845</v>
      </c>
      <c r="N2958" s="123" t="s">
        <v>845</v>
      </c>
    </row>
    <row r="2959" spans="2:14" hidden="1" x14ac:dyDescent="0.25">
      <c r="B2959" s="120">
        <v>2956</v>
      </c>
      <c r="C2959" s="123">
        <v>10761363871</v>
      </c>
      <c r="D2959" s="126" t="s">
        <v>11143</v>
      </c>
      <c r="E2959" s="126" t="s">
        <v>11144</v>
      </c>
      <c r="F2959" s="123" t="s">
        <v>30</v>
      </c>
      <c r="G2959" s="123" t="s">
        <v>30</v>
      </c>
      <c r="H2959" s="123" t="s">
        <v>45</v>
      </c>
      <c r="I2959" s="126" t="s">
        <v>1950</v>
      </c>
      <c r="J2959" s="123" t="s">
        <v>11145</v>
      </c>
      <c r="K2959" s="123" t="s">
        <v>11143</v>
      </c>
      <c r="L2959" s="131" t="s">
        <v>100</v>
      </c>
      <c r="M2959" s="135" t="s">
        <v>845</v>
      </c>
      <c r="N2959" s="123" t="s">
        <v>845</v>
      </c>
    </row>
    <row r="2960" spans="2:14" hidden="1" x14ac:dyDescent="0.25">
      <c r="B2960" s="120">
        <v>2957</v>
      </c>
      <c r="C2960" s="123">
        <v>10416354877</v>
      </c>
      <c r="D2960" s="126" t="s">
        <v>11146</v>
      </c>
      <c r="E2960" s="126" t="s">
        <v>11147</v>
      </c>
      <c r="F2960" s="123" t="s">
        <v>30</v>
      </c>
      <c r="G2960" s="123" t="s">
        <v>30</v>
      </c>
      <c r="H2960" s="123" t="s">
        <v>30</v>
      </c>
      <c r="I2960" s="126" t="s">
        <v>1809</v>
      </c>
      <c r="J2960" s="123" t="s">
        <v>11148</v>
      </c>
      <c r="K2960" s="123" t="s">
        <v>11149</v>
      </c>
      <c r="L2960" s="131" t="s">
        <v>100</v>
      </c>
      <c r="M2960" s="135" t="s">
        <v>845</v>
      </c>
      <c r="N2960" s="123" t="s">
        <v>845</v>
      </c>
    </row>
    <row r="2961" spans="2:14" hidden="1" x14ac:dyDescent="0.25">
      <c r="B2961" s="120">
        <v>2958</v>
      </c>
      <c r="C2961" s="123">
        <v>10247055679</v>
      </c>
      <c r="D2961" s="126" t="s">
        <v>11150</v>
      </c>
      <c r="E2961" s="126" t="s">
        <v>11151</v>
      </c>
      <c r="F2961" s="123" t="s">
        <v>30</v>
      </c>
      <c r="G2961" s="123" t="s">
        <v>30</v>
      </c>
      <c r="H2961" s="123" t="s">
        <v>45</v>
      </c>
      <c r="I2961" s="126" t="s">
        <v>1701</v>
      </c>
      <c r="J2961" s="123" t="s">
        <v>11152</v>
      </c>
      <c r="K2961" s="123" t="s">
        <v>11150</v>
      </c>
      <c r="L2961" s="131" t="s">
        <v>100</v>
      </c>
      <c r="M2961" s="135" t="s">
        <v>845</v>
      </c>
      <c r="N2961" s="123" t="s">
        <v>845</v>
      </c>
    </row>
    <row r="2962" spans="2:14" hidden="1" x14ac:dyDescent="0.25">
      <c r="B2962" s="120">
        <v>2959</v>
      </c>
      <c r="C2962" s="123">
        <v>10450279531</v>
      </c>
      <c r="D2962" s="126" t="s">
        <v>11153</v>
      </c>
      <c r="E2962" s="126" t="s">
        <v>11154</v>
      </c>
      <c r="F2962" s="123" t="s">
        <v>30</v>
      </c>
      <c r="G2962" s="123" t="s">
        <v>30</v>
      </c>
      <c r="H2962" s="123" t="s">
        <v>50</v>
      </c>
      <c r="I2962" s="126" t="s">
        <v>3235</v>
      </c>
      <c r="J2962" s="123" t="s">
        <v>11155</v>
      </c>
      <c r="K2962" s="123" t="s">
        <v>11153</v>
      </c>
      <c r="L2962" s="131" t="s">
        <v>100</v>
      </c>
      <c r="M2962" s="135" t="s">
        <v>845</v>
      </c>
      <c r="N2962" s="123" t="s">
        <v>845</v>
      </c>
    </row>
    <row r="2963" spans="2:14" hidden="1" x14ac:dyDescent="0.25">
      <c r="B2963" s="120">
        <v>2960</v>
      </c>
      <c r="C2963" s="123">
        <v>10452231412</v>
      </c>
      <c r="D2963" s="126" t="s">
        <v>11156</v>
      </c>
      <c r="E2963" s="126" t="s">
        <v>11157</v>
      </c>
      <c r="F2963" s="123" t="s">
        <v>30</v>
      </c>
      <c r="G2963" s="123" t="s">
        <v>30</v>
      </c>
      <c r="H2963" s="123" t="s">
        <v>80</v>
      </c>
      <c r="I2963" s="126" t="s">
        <v>1424</v>
      </c>
      <c r="J2963" s="123" t="s">
        <v>11158</v>
      </c>
      <c r="K2963" s="123" t="s">
        <v>11156</v>
      </c>
      <c r="L2963" s="131" t="s">
        <v>100</v>
      </c>
      <c r="M2963" s="135" t="s">
        <v>845</v>
      </c>
      <c r="N2963" s="123" t="s">
        <v>845</v>
      </c>
    </row>
    <row r="2964" spans="2:14" hidden="1" x14ac:dyDescent="0.25">
      <c r="B2964" s="120">
        <v>2961</v>
      </c>
      <c r="C2964" s="123">
        <v>10446527342</v>
      </c>
      <c r="D2964" s="126" t="s">
        <v>11159</v>
      </c>
      <c r="E2964" s="126" t="s">
        <v>11160</v>
      </c>
      <c r="F2964" s="123" t="s">
        <v>30</v>
      </c>
      <c r="G2964" s="123" t="s">
        <v>30</v>
      </c>
      <c r="H2964" s="123" t="s">
        <v>127</v>
      </c>
      <c r="I2964" s="126" t="s">
        <v>1424</v>
      </c>
      <c r="J2964" s="123" t="s">
        <v>11161</v>
      </c>
      <c r="K2964" s="123" t="s">
        <v>11159</v>
      </c>
      <c r="L2964" s="131" t="s">
        <v>100</v>
      </c>
      <c r="M2964" s="135" t="s">
        <v>845</v>
      </c>
      <c r="N2964" s="123" t="s">
        <v>845</v>
      </c>
    </row>
    <row r="2965" spans="2:14" hidden="1" x14ac:dyDescent="0.25">
      <c r="B2965" s="120">
        <v>2962</v>
      </c>
      <c r="C2965" s="123">
        <v>10400936914</v>
      </c>
      <c r="D2965" s="126" t="s">
        <v>11162</v>
      </c>
      <c r="E2965" s="126" t="s">
        <v>11163</v>
      </c>
      <c r="F2965" s="123" t="s">
        <v>30</v>
      </c>
      <c r="G2965" s="123" t="s">
        <v>168</v>
      </c>
      <c r="H2965" s="123" t="s">
        <v>168</v>
      </c>
      <c r="I2965" s="126" t="s">
        <v>1701</v>
      </c>
      <c r="J2965" s="123" t="s">
        <v>11164</v>
      </c>
      <c r="K2965" s="123" t="s">
        <v>11162</v>
      </c>
      <c r="L2965" s="131" t="s">
        <v>100</v>
      </c>
      <c r="M2965" s="135" t="s">
        <v>845</v>
      </c>
      <c r="N2965" s="123" t="s">
        <v>845</v>
      </c>
    </row>
    <row r="2966" spans="2:14" hidden="1" x14ac:dyDescent="0.25">
      <c r="B2966" s="120">
        <v>2963</v>
      </c>
      <c r="C2966" s="123">
        <v>10478670511</v>
      </c>
      <c r="D2966" s="126" t="s">
        <v>11165</v>
      </c>
      <c r="E2966" s="126" t="s">
        <v>11166</v>
      </c>
      <c r="F2966" s="123" t="s">
        <v>30</v>
      </c>
      <c r="G2966" s="123" t="s">
        <v>30</v>
      </c>
      <c r="H2966" s="123" t="s">
        <v>50</v>
      </c>
      <c r="I2966" s="126" t="s">
        <v>1930</v>
      </c>
      <c r="J2966" s="123" t="s">
        <v>11167</v>
      </c>
      <c r="K2966" s="123" t="s">
        <v>11165</v>
      </c>
      <c r="L2966" s="131" t="s">
        <v>100</v>
      </c>
      <c r="M2966" s="135" t="s">
        <v>845</v>
      </c>
      <c r="N2966" s="123" t="s">
        <v>845</v>
      </c>
    </row>
    <row r="2967" spans="2:14" hidden="1" x14ac:dyDescent="0.25">
      <c r="B2967" s="120">
        <v>2964</v>
      </c>
      <c r="C2967" s="123">
        <v>10407965731</v>
      </c>
      <c r="D2967" s="126" t="s">
        <v>11168</v>
      </c>
      <c r="E2967" s="126" t="s">
        <v>11169</v>
      </c>
      <c r="F2967" s="123" t="s">
        <v>30</v>
      </c>
      <c r="G2967" s="123" t="s">
        <v>30</v>
      </c>
      <c r="H2967" s="123" t="s">
        <v>60</v>
      </c>
      <c r="I2967" s="126" t="s">
        <v>10291</v>
      </c>
      <c r="J2967" s="123" t="s">
        <v>11170</v>
      </c>
      <c r="K2967" s="123" t="s">
        <v>11168</v>
      </c>
      <c r="L2967" s="131" t="s">
        <v>100</v>
      </c>
      <c r="M2967" s="135" t="s">
        <v>845</v>
      </c>
      <c r="N2967" s="123" t="s">
        <v>845</v>
      </c>
    </row>
    <row r="2968" spans="2:14" hidden="1" x14ac:dyDescent="0.25">
      <c r="B2968" s="120">
        <v>2965</v>
      </c>
      <c r="C2968" s="123">
        <v>10459117330</v>
      </c>
      <c r="D2968" s="126" t="s">
        <v>11171</v>
      </c>
      <c r="E2968" s="126" t="s">
        <v>11172</v>
      </c>
      <c r="F2968" s="123" t="s">
        <v>30</v>
      </c>
      <c r="G2968" s="123" t="s">
        <v>30</v>
      </c>
      <c r="H2968" s="123" t="s">
        <v>58</v>
      </c>
      <c r="I2968" s="126" t="s">
        <v>1701</v>
      </c>
      <c r="J2968" s="123" t="s">
        <v>11173</v>
      </c>
      <c r="K2968" s="123" t="s">
        <v>11171</v>
      </c>
      <c r="L2968" s="131" t="s">
        <v>100</v>
      </c>
      <c r="M2968" s="135" t="s">
        <v>845</v>
      </c>
      <c r="N2968" s="123" t="s">
        <v>845</v>
      </c>
    </row>
    <row r="2969" spans="2:14" hidden="1" x14ac:dyDescent="0.25">
      <c r="B2969" s="120">
        <v>2966</v>
      </c>
      <c r="C2969" s="123">
        <v>10434239538</v>
      </c>
      <c r="D2969" s="126" t="s">
        <v>11174</v>
      </c>
      <c r="E2969" s="126" t="s">
        <v>11175</v>
      </c>
      <c r="F2969" s="123" t="s">
        <v>30</v>
      </c>
      <c r="G2969" s="123" t="s">
        <v>30</v>
      </c>
      <c r="H2969" s="123" t="s">
        <v>75</v>
      </c>
      <c r="I2969" s="126" t="s">
        <v>1701</v>
      </c>
      <c r="J2969" s="123" t="s">
        <v>11176</v>
      </c>
      <c r="K2969" s="123" t="s">
        <v>11174</v>
      </c>
      <c r="L2969" s="131" t="s">
        <v>100</v>
      </c>
      <c r="M2969" s="135" t="s">
        <v>845</v>
      </c>
      <c r="N2969" s="123" t="s">
        <v>845</v>
      </c>
    </row>
    <row r="2970" spans="2:14" hidden="1" x14ac:dyDescent="0.25">
      <c r="B2970" s="120">
        <v>2967</v>
      </c>
      <c r="C2970" s="123">
        <v>10751954153</v>
      </c>
      <c r="D2970" s="126" t="s">
        <v>11177</v>
      </c>
      <c r="E2970" s="126" t="s">
        <v>11178</v>
      </c>
      <c r="F2970" s="123" t="s">
        <v>30</v>
      </c>
      <c r="G2970" s="123" t="s">
        <v>168</v>
      </c>
      <c r="H2970" s="123" t="s">
        <v>169</v>
      </c>
      <c r="I2970" s="126" t="s">
        <v>9183</v>
      </c>
      <c r="J2970" s="123" t="s">
        <v>11179</v>
      </c>
      <c r="K2970" s="123" t="s">
        <v>11177</v>
      </c>
      <c r="L2970" s="131" t="s">
        <v>100</v>
      </c>
      <c r="M2970" s="135" t="s">
        <v>845</v>
      </c>
      <c r="N2970" s="123" t="s">
        <v>845</v>
      </c>
    </row>
    <row r="2971" spans="2:14" hidden="1" x14ac:dyDescent="0.25">
      <c r="B2971" s="120">
        <v>2968</v>
      </c>
      <c r="C2971" s="123">
        <v>10257553952</v>
      </c>
      <c r="D2971" s="126" t="s">
        <v>11180</v>
      </c>
      <c r="E2971" s="126" t="s">
        <v>11181</v>
      </c>
      <c r="F2971" s="123" t="s">
        <v>30</v>
      </c>
      <c r="G2971" s="123" t="s">
        <v>30</v>
      </c>
      <c r="H2971" s="123" t="s">
        <v>41</v>
      </c>
      <c r="I2971" s="126" t="s">
        <v>11182</v>
      </c>
      <c r="J2971" s="123" t="s">
        <v>11183</v>
      </c>
      <c r="K2971" s="123" t="s">
        <v>11184</v>
      </c>
      <c r="L2971" s="131" t="s">
        <v>100</v>
      </c>
      <c r="M2971" s="135" t="s">
        <v>845</v>
      </c>
      <c r="N2971" s="123" t="s">
        <v>845</v>
      </c>
    </row>
    <row r="2972" spans="2:14" hidden="1" x14ac:dyDescent="0.25">
      <c r="B2972" s="120">
        <v>2969</v>
      </c>
      <c r="C2972" s="123">
        <v>10414452898</v>
      </c>
      <c r="D2972" s="126" t="s">
        <v>11185</v>
      </c>
      <c r="E2972" s="126" t="s">
        <v>11186</v>
      </c>
      <c r="F2972" s="123" t="s">
        <v>30</v>
      </c>
      <c r="G2972" s="123" t="s">
        <v>30</v>
      </c>
      <c r="H2972" s="123" t="s">
        <v>72</v>
      </c>
      <c r="I2972" s="126" t="s">
        <v>1737</v>
      </c>
      <c r="J2972" s="123" t="s">
        <v>11187</v>
      </c>
      <c r="K2972" s="123" t="s">
        <v>11185</v>
      </c>
      <c r="L2972" s="131" t="s">
        <v>100</v>
      </c>
      <c r="M2972" s="135" t="s">
        <v>845</v>
      </c>
      <c r="N2972" s="123" t="s">
        <v>845</v>
      </c>
    </row>
    <row r="2973" spans="2:14" hidden="1" x14ac:dyDescent="0.25">
      <c r="B2973" s="120">
        <v>2970</v>
      </c>
      <c r="C2973" s="123">
        <v>10613824826</v>
      </c>
      <c r="D2973" s="126" t="s">
        <v>11188</v>
      </c>
      <c r="E2973" s="126" t="s">
        <v>11189</v>
      </c>
      <c r="F2973" s="123" t="s">
        <v>30</v>
      </c>
      <c r="G2973" s="123" t="s">
        <v>30</v>
      </c>
      <c r="H2973" s="123" t="s">
        <v>60</v>
      </c>
      <c r="I2973" s="126" t="s">
        <v>1930</v>
      </c>
      <c r="J2973" s="123" t="s">
        <v>11190</v>
      </c>
      <c r="K2973" s="123" t="s">
        <v>11188</v>
      </c>
      <c r="L2973" s="131" t="s">
        <v>100</v>
      </c>
      <c r="M2973" s="135" t="s">
        <v>845</v>
      </c>
      <c r="N2973" s="123" t="s">
        <v>845</v>
      </c>
    </row>
    <row r="2974" spans="2:14" hidden="1" x14ac:dyDescent="0.25">
      <c r="B2974" s="120">
        <v>2971</v>
      </c>
      <c r="C2974" s="123">
        <v>10005132687</v>
      </c>
      <c r="D2974" s="126" t="s">
        <v>11191</v>
      </c>
      <c r="E2974" s="126" t="s">
        <v>11192</v>
      </c>
      <c r="F2974" s="123" t="s">
        <v>30</v>
      </c>
      <c r="G2974" s="123" t="s">
        <v>30</v>
      </c>
      <c r="H2974" s="123" t="s">
        <v>60</v>
      </c>
      <c r="I2974" s="126" t="s">
        <v>1701</v>
      </c>
      <c r="J2974" s="123" t="s">
        <v>11193</v>
      </c>
      <c r="K2974" s="123" t="s">
        <v>11191</v>
      </c>
      <c r="L2974" s="131" t="s">
        <v>100</v>
      </c>
      <c r="M2974" s="135" t="s">
        <v>845</v>
      </c>
      <c r="N2974" s="123" t="s">
        <v>845</v>
      </c>
    </row>
    <row r="2975" spans="2:14" hidden="1" x14ac:dyDescent="0.25">
      <c r="B2975" s="120">
        <v>2972</v>
      </c>
      <c r="C2975" s="123">
        <v>10212849249</v>
      </c>
      <c r="D2975" s="126" t="s">
        <v>11194</v>
      </c>
      <c r="E2975" s="126" t="s">
        <v>11195</v>
      </c>
      <c r="F2975" s="123" t="s">
        <v>93</v>
      </c>
      <c r="G2975" s="123" t="s">
        <v>160</v>
      </c>
      <c r="H2975" s="123" t="s">
        <v>11196</v>
      </c>
      <c r="I2975" s="126" t="s">
        <v>11197</v>
      </c>
      <c r="J2975" s="123" t="s">
        <v>11198</v>
      </c>
      <c r="K2975" s="123" t="s">
        <v>11199</v>
      </c>
      <c r="L2975" s="131" t="s">
        <v>100</v>
      </c>
      <c r="M2975" s="135" t="s">
        <v>845</v>
      </c>
      <c r="N2975" s="123" t="s">
        <v>845</v>
      </c>
    </row>
    <row r="2976" spans="2:14" hidden="1" x14ac:dyDescent="0.25">
      <c r="B2976" s="120">
        <v>2973</v>
      </c>
      <c r="C2976" s="123">
        <v>10400771478</v>
      </c>
      <c r="D2976" s="126" t="s">
        <v>11200</v>
      </c>
      <c r="E2976" s="126" t="s">
        <v>11201</v>
      </c>
      <c r="F2976" s="123" t="s">
        <v>30</v>
      </c>
      <c r="G2976" s="123" t="s">
        <v>30</v>
      </c>
      <c r="H2976" s="123" t="s">
        <v>51</v>
      </c>
      <c r="I2976" s="126" t="s">
        <v>1564</v>
      </c>
      <c r="J2976" s="123" t="s">
        <v>11202</v>
      </c>
      <c r="K2976" s="123" t="s">
        <v>11203</v>
      </c>
      <c r="L2976" s="131" t="s">
        <v>100</v>
      </c>
      <c r="M2976" s="135" t="s">
        <v>845</v>
      </c>
      <c r="N2976" s="123" t="s">
        <v>845</v>
      </c>
    </row>
    <row r="2977" spans="2:14" hidden="1" x14ac:dyDescent="0.25">
      <c r="B2977" s="120">
        <v>2974</v>
      </c>
      <c r="C2977" s="123">
        <v>10729678037</v>
      </c>
      <c r="D2977" s="126" t="s">
        <v>11204</v>
      </c>
      <c r="E2977" s="126" t="s">
        <v>11205</v>
      </c>
      <c r="F2977" s="123" t="s">
        <v>30</v>
      </c>
      <c r="G2977" s="123" t="s">
        <v>30</v>
      </c>
      <c r="H2977" s="123" t="s">
        <v>72</v>
      </c>
      <c r="I2977" s="126" t="s">
        <v>1706</v>
      </c>
      <c r="J2977" s="123" t="s">
        <v>11206</v>
      </c>
      <c r="K2977" s="123" t="s">
        <v>11207</v>
      </c>
      <c r="L2977" s="131" t="s">
        <v>100</v>
      </c>
      <c r="M2977" s="135" t="s">
        <v>845</v>
      </c>
      <c r="N2977" s="123" t="s">
        <v>845</v>
      </c>
    </row>
    <row r="2978" spans="2:14" hidden="1" x14ac:dyDescent="0.25">
      <c r="B2978" s="120">
        <v>2975</v>
      </c>
      <c r="C2978" s="123">
        <v>10470503136</v>
      </c>
      <c r="D2978" s="126" t="s">
        <v>11208</v>
      </c>
      <c r="E2978" s="126" t="s">
        <v>11209</v>
      </c>
      <c r="F2978" s="123" t="s">
        <v>30</v>
      </c>
      <c r="G2978" s="123" t="s">
        <v>170</v>
      </c>
      <c r="H2978" s="123" t="s">
        <v>170</v>
      </c>
      <c r="I2978" s="126" t="s">
        <v>1940</v>
      </c>
      <c r="J2978" s="123" t="s">
        <v>11210</v>
      </c>
      <c r="K2978" s="123" t="s">
        <v>11208</v>
      </c>
      <c r="L2978" s="131" t="s">
        <v>100</v>
      </c>
      <c r="M2978" s="135" t="s">
        <v>845</v>
      </c>
      <c r="N2978" s="123" t="s">
        <v>845</v>
      </c>
    </row>
    <row r="2979" spans="2:14" hidden="1" x14ac:dyDescent="0.25">
      <c r="B2979" s="120">
        <v>2976</v>
      </c>
      <c r="C2979" s="123">
        <v>10069388235</v>
      </c>
      <c r="D2979" s="126" t="s">
        <v>11211</v>
      </c>
      <c r="E2979" s="126" t="s">
        <v>11212</v>
      </c>
      <c r="F2979" s="123" t="s">
        <v>30</v>
      </c>
      <c r="G2979" s="123" t="s">
        <v>30</v>
      </c>
      <c r="H2979" s="123" t="s">
        <v>50</v>
      </c>
      <c r="I2979" s="126" t="s">
        <v>1643</v>
      </c>
      <c r="J2979" s="123" t="s">
        <v>11213</v>
      </c>
      <c r="K2979" s="123" t="s">
        <v>11211</v>
      </c>
      <c r="L2979" s="131" t="s">
        <v>100</v>
      </c>
      <c r="M2979" s="135" t="s">
        <v>845</v>
      </c>
      <c r="N2979" s="123" t="s">
        <v>845</v>
      </c>
    </row>
    <row r="2980" spans="2:14" hidden="1" x14ac:dyDescent="0.25">
      <c r="B2980" s="120">
        <v>2977</v>
      </c>
      <c r="C2980" s="123">
        <v>10465924361</v>
      </c>
      <c r="D2980" s="126" t="s">
        <v>11214</v>
      </c>
      <c r="E2980" s="126" t="s">
        <v>11215</v>
      </c>
      <c r="F2980" s="123" t="s">
        <v>30</v>
      </c>
      <c r="G2980" s="123" t="s">
        <v>30</v>
      </c>
      <c r="H2980" s="123" t="s">
        <v>38</v>
      </c>
      <c r="I2980" s="126" t="s">
        <v>87</v>
      </c>
      <c r="J2980" s="123" t="s">
        <v>11216</v>
      </c>
      <c r="K2980" s="123" t="s">
        <v>11217</v>
      </c>
      <c r="L2980" s="131" t="s">
        <v>100</v>
      </c>
      <c r="M2980" s="135" t="s">
        <v>845</v>
      </c>
      <c r="N2980" s="123" t="s">
        <v>845</v>
      </c>
    </row>
    <row r="2981" spans="2:14" hidden="1" x14ac:dyDescent="0.25">
      <c r="B2981" s="120">
        <v>2978</v>
      </c>
      <c r="C2981" s="123">
        <v>10445410760</v>
      </c>
      <c r="D2981" s="126" t="s">
        <v>11218</v>
      </c>
      <c r="E2981" s="126" t="s">
        <v>11219</v>
      </c>
      <c r="F2981" s="123" t="s">
        <v>30</v>
      </c>
      <c r="G2981" s="123" t="s">
        <v>30</v>
      </c>
      <c r="H2981" s="123" t="s">
        <v>35</v>
      </c>
      <c r="I2981" s="126" t="s">
        <v>11220</v>
      </c>
      <c r="J2981" s="123" t="s">
        <v>11221</v>
      </c>
      <c r="K2981" s="123" t="s">
        <v>11218</v>
      </c>
      <c r="L2981" s="131" t="s">
        <v>100</v>
      </c>
      <c r="M2981" s="135" t="s">
        <v>845</v>
      </c>
      <c r="N2981" s="123" t="s">
        <v>845</v>
      </c>
    </row>
    <row r="2982" spans="2:14" hidden="1" x14ac:dyDescent="0.25">
      <c r="B2982" s="120">
        <v>2979</v>
      </c>
      <c r="C2982" s="123">
        <v>10405310622</v>
      </c>
      <c r="D2982" s="126" t="s">
        <v>11222</v>
      </c>
      <c r="E2982" s="126" t="s">
        <v>11223</v>
      </c>
      <c r="F2982" s="123" t="s">
        <v>30</v>
      </c>
      <c r="G2982" s="123" t="s">
        <v>30</v>
      </c>
      <c r="H2982" s="123" t="s">
        <v>85</v>
      </c>
      <c r="I2982" s="126" t="s">
        <v>56</v>
      </c>
      <c r="J2982" s="123" t="s">
        <v>11224</v>
      </c>
      <c r="K2982" s="123" t="s">
        <v>11222</v>
      </c>
      <c r="L2982" s="131" t="s">
        <v>100</v>
      </c>
      <c r="M2982" s="135" t="s">
        <v>845</v>
      </c>
      <c r="N2982" s="123" t="s">
        <v>845</v>
      </c>
    </row>
    <row r="2983" spans="2:14" hidden="1" x14ac:dyDescent="0.25">
      <c r="B2983" s="120">
        <v>2980</v>
      </c>
      <c r="C2983" s="123">
        <v>10157452199</v>
      </c>
      <c r="D2983" s="126" t="s">
        <v>11225</v>
      </c>
      <c r="E2983" s="126" t="s">
        <v>11226</v>
      </c>
      <c r="F2983" s="123" t="s">
        <v>30</v>
      </c>
      <c r="G2983" s="123" t="s">
        <v>170</v>
      </c>
      <c r="H2983" s="123" t="s">
        <v>170</v>
      </c>
      <c r="I2983" s="126" t="s">
        <v>1551</v>
      </c>
      <c r="J2983" s="123" t="s">
        <v>11227</v>
      </c>
      <c r="K2983" s="123" t="s">
        <v>11225</v>
      </c>
      <c r="L2983" s="131" t="s">
        <v>100</v>
      </c>
      <c r="M2983" s="135" t="s">
        <v>845</v>
      </c>
      <c r="N2983" s="123" t="s">
        <v>845</v>
      </c>
    </row>
    <row r="2984" spans="2:14" hidden="1" x14ac:dyDescent="0.25">
      <c r="B2984" s="120">
        <v>2981</v>
      </c>
      <c r="C2984" s="123">
        <v>10421018605</v>
      </c>
      <c r="D2984" s="126" t="s">
        <v>11228</v>
      </c>
      <c r="E2984" s="126" t="s">
        <v>11229</v>
      </c>
      <c r="F2984" s="123" t="s">
        <v>30</v>
      </c>
      <c r="G2984" s="123" t="s">
        <v>30</v>
      </c>
      <c r="H2984" s="123" t="s">
        <v>58</v>
      </c>
      <c r="I2984" s="126" t="s">
        <v>1935</v>
      </c>
      <c r="J2984" s="123" t="s">
        <v>11230</v>
      </c>
      <c r="K2984" s="123" t="s">
        <v>11228</v>
      </c>
      <c r="L2984" s="131" t="s">
        <v>100</v>
      </c>
      <c r="M2984" s="135" t="s">
        <v>845</v>
      </c>
      <c r="N2984" s="123" t="s">
        <v>845</v>
      </c>
    </row>
    <row r="2985" spans="2:14" hidden="1" x14ac:dyDescent="0.25">
      <c r="B2985" s="120">
        <v>2982</v>
      </c>
      <c r="C2985" s="123">
        <v>10090437866</v>
      </c>
      <c r="D2985" s="126" t="s">
        <v>11231</v>
      </c>
      <c r="E2985" s="126" t="s">
        <v>11232</v>
      </c>
      <c r="F2985" s="123" t="s">
        <v>30</v>
      </c>
      <c r="G2985" s="123" t="s">
        <v>30</v>
      </c>
      <c r="H2985" s="123" t="s">
        <v>30</v>
      </c>
      <c r="I2985" s="126" t="s">
        <v>1564</v>
      </c>
      <c r="J2985" s="123" t="s">
        <v>11233</v>
      </c>
      <c r="K2985" s="123" t="s">
        <v>11234</v>
      </c>
      <c r="L2985" s="131" t="s">
        <v>100</v>
      </c>
      <c r="M2985" s="135" t="s">
        <v>845</v>
      </c>
      <c r="N2985" s="123" t="s">
        <v>845</v>
      </c>
    </row>
    <row r="2986" spans="2:14" hidden="1" x14ac:dyDescent="0.25">
      <c r="B2986" s="120">
        <v>2983</v>
      </c>
      <c r="C2986" s="123">
        <v>10102195448</v>
      </c>
      <c r="D2986" s="126" t="s">
        <v>11235</v>
      </c>
      <c r="E2986" s="126" t="s">
        <v>11236</v>
      </c>
      <c r="F2986" s="123" t="s">
        <v>30</v>
      </c>
      <c r="G2986" s="123" t="s">
        <v>30</v>
      </c>
      <c r="H2986" s="123" t="s">
        <v>75</v>
      </c>
      <c r="I2986" s="126" t="s">
        <v>1564</v>
      </c>
      <c r="J2986" s="123" t="s">
        <v>11237</v>
      </c>
      <c r="K2986" s="123" t="s">
        <v>11235</v>
      </c>
      <c r="L2986" s="131" t="s">
        <v>100</v>
      </c>
      <c r="M2986" s="135" t="s">
        <v>845</v>
      </c>
      <c r="N2986" s="123" t="s">
        <v>845</v>
      </c>
    </row>
    <row r="2987" spans="2:14" hidden="1" x14ac:dyDescent="0.25">
      <c r="B2987" s="120">
        <v>2984</v>
      </c>
      <c r="C2987" s="123">
        <v>10473584960</v>
      </c>
      <c r="D2987" s="126" t="s">
        <v>11238</v>
      </c>
      <c r="E2987" s="126" t="s">
        <v>11239</v>
      </c>
      <c r="F2987" s="123" t="s">
        <v>30</v>
      </c>
      <c r="G2987" s="123" t="s">
        <v>30</v>
      </c>
      <c r="H2987" s="123" t="s">
        <v>30</v>
      </c>
      <c r="I2987" s="126" t="s">
        <v>1365</v>
      </c>
      <c r="J2987" s="123" t="s">
        <v>11240</v>
      </c>
      <c r="K2987" s="123" t="s">
        <v>11238</v>
      </c>
      <c r="L2987" s="131" t="s">
        <v>100</v>
      </c>
      <c r="M2987" s="135" t="s">
        <v>845</v>
      </c>
      <c r="N2987" s="123" t="s">
        <v>845</v>
      </c>
    </row>
    <row r="2988" spans="2:14" hidden="1" x14ac:dyDescent="0.25">
      <c r="B2988" s="120">
        <v>2985</v>
      </c>
      <c r="C2988" s="123">
        <v>10454229628</v>
      </c>
      <c r="D2988" s="126" t="s">
        <v>11241</v>
      </c>
      <c r="E2988" s="126" t="s">
        <v>11242</v>
      </c>
      <c r="F2988" s="123" t="s">
        <v>30</v>
      </c>
      <c r="G2988" s="123" t="s">
        <v>30</v>
      </c>
      <c r="H2988" s="123" t="s">
        <v>52</v>
      </c>
      <c r="I2988" s="126" t="s">
        <v>1701</v>
      </c>
      <c r="J2988" s="123" t="s">
        <v>11243</v>
      </c>
      <c r="K2988" s="123" t="s">
        <v>11241</v>
      </c>
      <c r="L2988" s="131" t="s">
        <v>100</v>
      </c>
      <c r="M2988" s="135" t="s">
        <v>845</v>
      </c>
      <c r="N2988" s="123" t="s">
        <v>845</v>
      </c>
    </row>
    <row r="2989" spans="2:14" hidden="1" x14ac:dyDescent="0.25">
      <c r="B2989" s="120">
        <v>2986</v>
      </c>
      <c r="C2989" s="123">
        <v>10081753828</v>
      </c>
      <c r="D2989" s="126" t="s">
        <v>11244</v>
      </c>
      <c r="E2989" s="126" t="s">
        <v>11245</v>
      </c>
      <c r="F2989" s="123" t="s">
        <v>30</v>
      </c>
      <c r="G2989" s="123" t="s">
        <v>30</v>
      </c>
      <c r="H2989" s="123" t="s">
        <v>127</v>
      </c>
      <c r="I2989" s="126" t="s">
        <v>4963</v>
      </c>
      <c r="J2989" s="123" t="s">
        <v>11246</v>
      </c>
      <c r="K2989" s="123" t="s">
        <v>11247</v>
      </c>
      <c r="L2989" s="131" t="s">
        <v>100</v>
      </c>
      <c r="M2989" s="135" t="s">
        <v>845</v>
      </c>
      <c r="N2989" s="123" t="s">
        <v>845</v>
      </c>
    </row>
    <row r="2990" spans="2:14" hidden="1" x14ac:dyDescent="0.25">
      <c r="B2990" s="120">
        <v>2987</v>
      </c>
      <c r="C2990" s="123">
        <v>10459764831</v>
      </c>
      <c r="D2990" s="126" t="s">
        <v>11248</v>
      </c>
      <c r="E2990" s="126" t="s">
        <v>11249</v>
      </c>
      <c r="F2990" s="123" t="s">
        <v>30</v>
      </c>
      <c r="G2990" s="123" t="s">
        <v>30</v>
      </c>
      <c r="H2990" s="123" t="s">
        <v>40</v>
      </c>
      <c r="I2990" s="126" t="s">
        <v>1564</v>
      </c>
      <c r="J2990" s="123" t="s">
        <v>11250</v>
      </c>
      <c r="K2990" s="123" t="s">
        <v>11248</v>
      </c>
      <c r="L2990" s="131" t="s">
        <v>100</v>
      </c>
      <c r="M2990" s="135" t="s">
        <v>845</v>
      </c>
      <c r="N2990" s="123" t="s">
        <v>845</v>
      </c>
    </row>
    <row r="2991" spans="2:14" hidden="1" x14ac:dyDescent="0.25">
      <c r="B2991" s="120">
        <v>2988</v>
      </c>
      <c r="C2991" s="123">
        <v>10095063620</v>
      </c>
      <c r="D2991" s="126" t="s">
        <v>11251</v>
      </c>
      <c r="E2991" s="126" t="s">
        <v>11252</v>
      </c>
      <c r="F2991" s="123" t="s">
        <v>30</v>
      </c>
      <c r="G2991" s="123" t="s">
        <v>30</v>
      </c>
      <c r="H2991" s="123" t="s">
        <v>79</v>
      </c>
      <c r="I2991" s="126" t="s">
        <v>1424</v>
      </c>
      <c r="J2991" s="123" t="s">
        <v>11253</v>
      </c>
      <c r="K2991" s="123" t="s">
        <v>11251</v>
      </c>
      <c r="L2991" s="131" t="s">
        <v>100</v>
      </c>
      <c r="M2991" s="135" t="s">
        <v>845</v>
      </c>
      <c r="N2991" s="123" t="s">
        <v>845</v>
      </c>
    </row>
    <row r="2992" spans="2:14" hidden="1" x14ac:dyDescent="0.25">
      <c r="B2992" s="120">
        <v>2989</v>
      </c>
      <c r="C2992" s="123">
        <v>10753893755</v>
      </c>
      <c r="D2992" s="126" t="s">
        <v>11254</v>
      </c>
      <c r="E2992" s="126" t="s">
        <v>11255</v>
      </c>
      <c r="F2992" s="123" t="s">
        <v>30</v>
      </c>
      <c r="G2992" s="123" t="s">
        <v>30</v>
      </c>
      <c r="H2992" s="123" t="s">
        <v>43</v>
      </c>
      <c r="I2992" s="126" t="s">
        <v>11256</v>
      </c>
      <c r="J2992" s="123" t="s">
        <v>11257</v>
      </c>
      <c r="K2992" s="123" t="s">
        <v>11254</v>
      </c>
      <c r="L2992" s="131" t="s">
        <v>100</v>
      </c>
      <c r="M2992" s="135" t="s">
        <v>845</v>
      </c>
      <c r="N2992" s="123" t="s">
        <v>845</v>
      </c>
    </row>
    <row r="2993" spans="2:14" hidden="1" x14ac:dyDescent="0.25">
      <c r="B2993" s="120">
        <v>2990</v>
      </c>
      <c r="C2993" s="123">
        <v>10105357481</v>
      </c>
      <c r="D2993" s="126" t="s">
        <v>11258</v>
      </c>
      <c r="E2993" s="126" t="s">
        <v>11259</v>
      </c>
      <c r="F2993" s="123" t="s">
        <v>30</v>
      </c>
      <c r="G2993" s="123" t="s">
        <v>30</v>
      </c>
      <c r="H2993" s="123" t="s">
        <v>72</v>
      </c>
      <c r="I2993" s="126" t="s">
        <v>1931</v>
      </c>
      <c r="J2993" s="123" t="s">
        <v>11260</v>
      </c>
      <c r="K2993" s="123" t="s">
        <v>11258</v>
      </c>
      <c r="L2993" s="131" t="s">
        <v>100</v>
      </c>
      <c r="M2993" s="135" t="s">
        <v>845</v>
      </c>
      <c r="N2993" s="123" t="s">
        <v>845</v>
      </c>
    </row>
    <row r="2994" spans="2:14" hidden="1" x14ac:dyDescent="0.25">
      <c r="B2994" s="120">
        <v>2991</v>
      </c>
      <c r="C2994" s="123">
        <v>10159517921</v>
      </c>
      <c r="D2994" s="126" t="s">
        <v>11261</v>
      </c>
      <c r="E2994" s="126" t="s">
        <v>11262</v>
      </c>
      <c r="F2994" s="123" t="s">
        <v>30</v>
      </c>
      <c r="G2994" s="123" t="s">
        <v>54</v>
      </c>
      <c r="H2994" s="123" t="s">
        <v>54</v>
      </c>
      <c r="I2994" s="126" t="s">
        <v>8743</v>
      </c>
      <c r="J2994" s="123" t="s">
        <v>11263</v>
      </c>
      <c r="K2994" s="123" t="s">
        <v>11261</v>
      </c>
      <c r="L2994" s="131" t="s">
        <v>100</v>
      </c>
      <c r="M2994" s="135" t="s">
        <v>845</v>
      </c>
      <c r="N2994" s="123" t="s">
        <v>845</v>
      </c>
    </row>
    <row r="2995" spans="2:14" hidden="1" x14ac:dyDescent="0.25">
      <c r="B2995" s="120">
        <v>2992</v>
      </c>
      <c r="C2995" s="123">
        <v>10428549088</v>
      </c>
      <c r="D2995" s="126" t="s">
        <v>11264</v>
      </c>
      <c r="E2995" s="126" t="s">
        <v>11265</v>
      </c>
      <c r="F2995" s="123" t="s">
        <v>30</v>
      </c>
      <c r="G2995" s="123" t="s">
        <v>30</v>
      </c>
      <c r="H2995" s="123" t="s">
        <v>38</v>
      </c>
      <c r="I2995" s="126" t="s">
        <v>8825</v>
      </c>
      <c r="J2995" s="123" t="s">
        <v>11266</v>
      </c>
      <c r="K2995" s="123" t="s">
        <v>11267</v>
      </c>
      <c r="L2995" s="131" t="s">
        <v>100</v>
      </c>
      <c r="M2995" s="135" t="s">
        <v>845</v>
      </c>
      <c r="N2995" s="123" t="s">
        <v>845</v>
      </c>
    </row>
    <row r="2996" spans="2:14" hidden="1" x14ac:dyDescent="0.25">
      <c r="B2996" s="120">
        <v>2993</v>
      </c>
      <c r="C2996" s="123">
        <v>10157176922</v>
      </c>
      <c r="D2996" s="126" t="s">
        <v>11268</v>
      </c>
      <c r="E2996" s="126" t="s">
        <v>11269</v>
      </c>
      <c r="F2996" s="123" t="s">
        <v>30</v>
      </c>
      <c r="G2996" s="123" t="s">
        <v>170</v>
      </c>
      <c r="H2996" s="123" t="s">
        <v>175</v>
      </c>
      <c r="I2996" s="126" t="s">
        <v>1737</v>
      </c>
      <c r="J2996" s="123" t="s">
        <v>11270</v>
      </c>
      <c r="K2996" s="123" t="s">
        <v>11268</v>
      </c>
      <c r="L2996" s="131" t="s">
        <v>100</v>
      </c>
      <c r="M2996" s="135" t="s">
        <v>845</v>
      </c>
      <c r="N2996" s="123" t="s">
        <v>845</v>
      </c>
    </row>
    <row r="2997" spans="2:14" hidden="1" x14ac:dyDescent="0.25">
      <c r="B2997" s="120">
        <v>2994</v>
      </c>
      <c r="C2997" s="123">
        <v>10424099797</v>
      </c>
      <c r="D2997" s="126" t="s">
        <v>11271</v>
      </c>
      <c r="E2997" s="126" t="s">
        <v>11272</v>
      </c>
      <c r="F2997" s="123" t="s">
        <v>67</v>
      </c>
      <c r="G2997" s="123" t="s">
        <v>67</v>
      </c>
      <c r="H2997" s="123" t="s">
        <v>143</v>
      </c>
      <c r="I2997" s="126" t="s">
        <v>1942</v>
      </c>
      <c r="J2997" s="123" t="s">
        <v>11273</v>
      </c>
      <c r="K2997" s="123" t="s">
        <v>11271</v>
      </c>
      <c r="L2997" s="131" t="s">
        <v>100</v>
      </c>
      <c r="M2997" s="135" t="s">
        <v>845</v>
      </c>
      <c r="N2997" s="123" t="s">
        <v>845</v>
      </c>
    </row>
    <row r="2998" spans="2:14" hidden="1" x14ac:dyDescent="0.25">
      <c r="B2998" s="120">
        <v>2995</v>
      </c>
      <c r="C2998" s="123">
        <v>10759300896</v>
      </c>
      <c r="D2998" s="126" t="s">
        <v>11274</v>
      </c>
      <c r="E2998" s="126" t="s">
        <v>11275</v>
      </c>
      <c r="F2998" s="123" t="s">
        <v>30</v>
      </c>
      <c r="G2998" s="123" t="s">
        <v>30</v>
      </c>
      <c r="H2998" s="123" t="s">
        <v>50</v>
      </c>
      <c r="I2998" s="126" t="s">
        <v>1944</v>
      </c>
      <c r="J2998" s="123" t="s">
        <v>11276</v>
      </c>
      <c r="K2998" s="123" t="s">
        <v>11274</v>
      </c>
      <c r="L2998" s="131" t="s">
        <v>100</v>
      </c>
      <c r="M2998" s="135" t="s">
        <v>845</v>
      </c>
      <c r="N2998" s="123" t="s">
        <v>845</v>
      </c>
    </row>
    <row r="2999" spans="2:14" hidden="1" x14ac:dyDescent="0.25">
      <c r="B2999" s="120">
        <v>2996</v>
      </c>
      <c r="C2999" s="123">
        <v>10456651556</v>
      </c>
      <c r="D2999" s="126" t="s">
        <v>11277</v>
      </c>
      <c r="E2999" s="126" t="s">
        <v>11278</v>
      </c>
      <c r="F2999" s="123" t="s">
        <v>67</v>
      </c>
      <c r="G2999" s="123" t="s">
        <v>67</v>
      </c>
      <c r="H2999" s="123" t="s">
        <v>94</v>
      </c>
      <c r="I2999" s="126" t="s">
        <v>1398</v>
      </c>
      <c r="J2999" s="123" t="s">
        <v>11279</v>
      </c>
      <c r="K2999" s="123" t="s">
        <v>11277</v>
      </c>
      <c r="L2999" s="131" t="s">
        <v>100</v>
      </c>
      <c r="M2999" s="135" t="s">
        <v>845</v>
      </c>
      <c r="N2999" s="123" t="s">
        <v>845</v>
      </c>
    </row>
    <row r="3000" spans="2:14" hidden="1" x14ac:dyDescent="0.25">
      <c r="B3000" s="120">
        <v>2997</v>
      </c>
      <c r="C3000" s="123">
        <v>10490296706</v>
      </c>
      <c r="D3000" s="126" t="s">
        <v>11280</v>
      </c>
      <c r="E3000" s="126" t="s">
        <v>11281</v>
      </c>
      <c r="F3000" s="123" t="s">
        <v>67</v>
      </c>
      <c r="G3000" s="123" t="s">
        <v>67</v>
      </c>
      <c r="H3000" s="123" t="s">
        <v>94</v>
      </c>
      <c r="I3000" s="126" t="s">
        <v>1952</v>
      </c>
      <c r="J3000" s="123" t="s">
        <v>11282</v>
      </c>
      <c r="K3000" s="123" t="s">
        <v>11283</v>
      </c>
      <c r="L3000" s="131" t="s">
        <v>100</v>
      </c>
      <c r="M3000" s="135" t="s">
        <v>845</v>
      </c>
      <c r="N3000" s="123" t="s">
        <v>845</v>
      </c>
    </row>
    <row r="3001" spans="2:14" hidden="1" x14ac:dyDescent="0.25">
      <c r="B3001" s="120">
        <v>2998</v>
      </c>
      <c r="C3001" s="123">
        <v>10416703197</v>
      </c>
      <c r="D3001" s="126" t="s">
        <v>11284</v>
      </c>
      <c r="E3001" s="126" t="s">
        <v>11285</v>
      </c>
      <c r="F3001" s="123" t="s">
        <v>30</v>
      </c>
      <c r="G3001" s="123" t="s">
        <v>30</v>
      </c>
      <c r="H3001" s="123" t="s">
        <v>50</v>
      </c>
      <c r="I3001" s="126" t="s">
        <v>1701</v>
      </c>
      <c r="J3001" s="123" t="s">
        <v>11286</v>
      </c>
      <c r="K3001" s="123" t="s">
        <v>11284</v>
      </c>
      <c r="L3001" s="131" t="s">
        <v>100</v>
      </c>
      <c r="M3001" s="135" t="s">
        <v>845</v>
      </c>
      <c r="N3001" s="123" t="s">
        <v>845</v>
      </c>
    </row>
    <row r="3002" spans="2:14" hidden="1" x14ac:dyDescent="0.25">
      <c r="B3002" s="120">
        <v>2999</v>
      </c>
      <c r="C3002" s="123">
        <v>10474902191</v>
      </c>
      <c r="D3002" s="126" t="s">
        <v>11287</v>
      </c>
      <c r="E3002" s="126" t="s">
        <v>11288</v>
      </c>
      <c r="F3002" s="123" t="s">
        <v>30</v>
      </c>
      <c r="G3002" s="123" t="s">
        <v>170</v>
      </c>
      <c r="H3002" s="123" t="s">
        <v>171</v>
      </c>
      <c r="I3002" s="126" t="s">
        <v>1706</v>
      </c>
      <c r="J3002" s="123" t="s">
        <v>11289</v>
      </c>
      <c r="K3002" s="123" t="s">
        <v>11287</v>
      </c>
      <c r="L3002" s="131" t="s">
        <v>100</v>
      </c>
      <c r="M3002" s="135" t="s">
        <v>845</v>
      </c>
      <c r="N3002" s="123" t="s">
        <v>845</v>
      </c>
    </row>
    <row r="3003" spans="2:14" hidden="1" x14ac:dyDescent="0.25">
      <c r="B3003" s="120">
        <v>3000</v>
      </c>
      <c r="C3003" s="123">
        <v>10429639455</v>
      </c>
      <c r="D3003" s="126" t="s">
        <v>11290</v>
      </c>
      <c r="E3003" s="126" t="s">
        <v>11291</v>
      </c>
      <c r="F3003" s="123" t="s">
        <v>30</v>
      </c>
      <c r="G3003" s="123" t="s">
        <v>30</v>
      </c>
      <c r="H3003" s="123" t="s">
        <v>51</v>
      </c>
      <c r="I3003" s="126" t="s">
        <v>1701</v>
      </c>
      <c r="J3003" s="123" t="s">
        <v>11292</v>
      </c>
      <c r="K3003" s="123" t="s">
        <v>11290</v>
      </c>
      <c r="L3003" s="131" t="s">
        <v>100</v>
      </c>
      <c r="M3003" s="135" t="s">
        <v>845</v>
      </c>
      <c r="N3003" s="123" t="s">
        <v>845</v>
      </c>
    </row>
    <row r="3004" spans="2:14" hidden="1" x14ac:dyDescent="0.25">
      <c r="B3004" s="120">
        <v>3001</v>
      </c>
      <c r="C3004" s="123">
        <v>10436669017</v>
      </c>
      <c r="D3004" s="126" t="s">
        <v>11293</v>
      </c>
      <c r="E3004" s="126" t="s">
        <v>11294</v>
      </c>
      <c r="F3004" s="123" t="s">
        <v>30</v>
      </c>
      <c r="G3004" s="123" t="s">
        <v>30</v>
      </c>
      <c r="H3004" s="123" t="s">
        <v>68</v>
      </c>
      <c r="I3004" s="126" t="s">
        <v>1424</v>
      </c>
      <c r="J3004" s="123" t="s">
        <v>11295</v>
      </c>
      <c r="K3004" s="123" t="s">
        <v>11296</v>
      </c>
      <c r="L3004" s="131" t="s">
        <v>100</v>
      </c>
      <c r="M3004" s="135" t="s">
        <v>845</v>
      </c>
      <c r="N3004" s="123" t="s">
        <v>845</v>
      </c>
    </row>
    <row r="3005" spans="2:14" hidden="1" x14ac:dyDescent="0.25">
      <c r="B3005" s="120">
        <v>3002</v>
      </c>
      <c r="C3005" s="123">
        <v>10454852309</v>
      </c>
      <c r="D3005" s="126" t="s">
        <v>11297</v>
      </c>
      <c r="E3005" s="126" t="s">
        <v>11298</v>
      </c>
      <c r="F3005" s="123" t="s">
        <v>30</v>
      </c>
      <c r="G3005" s="123" t="s">
        <v>30</v>
      </c>
      <c r="H3005" s="123" t="s">
        <v>30</v>
      </c>
      <c r="I3005" s="126" t="s">
        <v>1941</v>
      </c>
      <c r="J3005" s="123" t="s">
        <v>11299</v>
      </c>
      <c r="K3005" s="123" t="s">
        <v>11300</v>
      </c>
      <c r="L3005" s="131" t="s">
        <v>100</v>
      </c>
      <c r="M3005" s="135" t="s">
        <v>845</v>
      </c>
      <c r="N3005" s="123" t="s">
        <v>845</v>
      </c>
    </row>
    <row r="3006" spans="2:14" hidden="1" x14ac:dyDescent="0.25">
      <c r="B3006" s="120">
        <v>3003</v>
      </c>
      <c r="C3006" s="123">
        <v>10480263443</v>
      </c>
      <c r="D3006" s="126" t="s">
        <v>11301</v>
      </c>
      <c r="E3006" s="126" t="s">
        <v>11302</v>
      </c>
      <c r="F3006" s="123" t="s">
        <v>30</v>
      </c>
      <c r="G3006" s="123" t="s">
        <v>30</v>
      </c>
      <c r="H3006" s="123" t="s">
        <v>30</v>
      </c>
      <c r="I3006" s="126" t="s">
        <v>1706</v>
      </c>
      <c r="J3006" s="123" t="s">
        <v>11303</v>
      </c>
      <c r="K3006" s="123" t="s">
        <v>11304</v>
      </c>
      <c r="L3006" s="131" t="s">
        <v>100</v>
      </c>
      <c r="M3006" s="135" t="s">
        <v>845</v>
      </c>
      <c r="N3006" s="123" t="s">
        <v>845</v>
      </c>
    </row>
    <row r="3007" spans="2:14" hidden="1" x14ac:dyDescent="0.25">
      <c r="B3007" s="120">
        <v>3004</v>
      </c>
      <c r="C3007" s="123">
        <v>10062153500</v>
      </c>
      <c r="D3007" s="126" t="s">
        <v>11305</v>
      </c>
      <c r="E3007" s="126" t="s">
        <v>11306</v>
      </c>
      <c r="F3007" s="123" t="s">
        <v>30</v>
      </c>
      <c r="G3007" s="123" t="s">
        <v>30</v>
      </c>
      <c r="H3007" s="123" t="s">
        <v>30</v>
      </c>
      <c r="I3007" s="126" t="s">
        <v>1706</v>
      </c>
      <c r="J3007" s="123" t="s">
        <v>11307</v>
      </c>
      <c r="K3007" s="123" t="s">
        <v>11308</v>
      </c>
      <c r="L3007" s="131" t="s">
        <v>100</v>
      </c>
      <c r="M3007" s="135" t="s">
        <v>845</v>
      </c>
      <c r="N3007" s="123" t="s">
        <v>845</v>
      </c>
    </row>
    <row r="3008" spans="2:14" hidden="1" x14ac:dyDescent="0.25">
      <c r="B3008" s="120">
        <v>3005</v>
      </c>
      <c r="C3008" s="123">
        <v>10074673517</v>
      </c>
      <c r="D3008" s="126" t="s">
        <v>11309</v>
      </c>
      <c r="E3008" s="126" t="s">
        <v>11310</v>
      </c>
      <c r="F3008" s="123" t="s">
        <v>30</v>
      </c>
      <c r="G3008" s="123" t="s">
        <v>30</v>
      </c>
      <c r="H3008" s="123" t="s">
        <v>30</v>
      </c>
      <c r="I3008" s="126" t="s">
        <v>11311</v>
      </c>
      <c r="J3008" s="123" t="s">
        <v>11312</v>
      </c>
      <c r="K3008" s="123" t="s">
        <v>11309</v>
      </c>
      <c r="L3008" s="131" t="s">
        <v>100</v>
      </c>
      <c r="M3008" s="135" t="s">
        <v>845</v>
      </c>
      <c r="N3008" s="123" t="s">
        <v>845</v>
      </c>
    </row>
    <row r="3009" spans="2:14" hidden="1" x14ac:dyDescent="0.25">
      <c r="B3009" s="120">
        <v>3006</v>
      </c>
      <c r="C3009" s="123">
        <v>10449822809</v>
      </c>
      <c r="D3009" s="126" t="s">
        <v>11313</v>
      </c>
      <c r="E3009" s="126" t="s">
        <v>11314</v>
      </c>
      <c r="F3009" s="123" t="s">
        <v>30</v>
      </c>
      <c r="G3009" s="123" t="s">
        <v>30</v>
      </c>
      <c r="H3009" s="123" t="s">
        <v>68</v>
      </c>
      <c r="I3009" s="126" t="s">
        <v>11315</v>
      </c>
      <c r="J3009" s="123" t="s">
        <v>11316</v>
      </c>
      <c r="K3009" s="123" t="s">
        <v>11313</v>
      </c>
      <c r="L3009" s="131" t="s">
        <v>100</v>
      </c>
      <c r="M3009" s="135" t="s">
        <v>845</v>
      </c>
      <c r="N3009" s="123" t="s">
        <v>845</v>
      </c>
    </row>
    <row r="3010" spans="2:14" hidden="1" x14ac:dyDescent="0.25">
      <c r="B3010" s="120">
        <v>3007</v>
      </c>
      <c r="C3010" s="123">
        <v>10708886624</v>
      </c>
      <c r="D3010" s="126" t="s">
        <v>11317</v>
      </c>
      <c r="E3010" s="126" t="s">
        <v>11318</v>
      </c>
      <c r="F3010" s="123" t="s">
        <v>30</v>
      </c>
      <c r="G3010" s="123" t="s">
        <v>30</v>
      </c>
      <c r="H3010" s="123" t="s">
        <v>38</v>
      </c>
      <c r="I3010" s="126" t="s">
        <v>1507</v>
      </c>
      <c r="J3010" s="123" t="s">
        <v>11319</v>
      </c>
      <c r="K3010" s="123" t="s">
        <v>11317</v>
      </c>
      <c r="L3010" s="131" t="s">
        <v>100</v>
      </c>
      <c r="M3010" s="135" t="s">
        <v>845</v>
      </c>
      <c r="N3010" s="123" t="s">
        <v>845</v>
      </c>
    </row>
    <row r="3011" spans="2:14" hidden="1" x14ac:dyDescent="0.25">
      <c r="B3011" s="120">
        <v>3008</v>
      </c>
      <c r="C3011" s="123">
        <v>10087528923</v>
      </c>
      <c r="D3011" s="126" t="s">
        <v>11320</v>
      </c>
      <c r="E3011" s="126" t="s">
        <v>11321</v>
      </c>
      <c r="F3011" s="123" t="s">
        <v>30</v>
      </c>
      <c r="G3011" s="123" t="s">
        <v>30</v>
      </c>
      <c r="H3011" s="123" t="s">
        <v>35</v>
      </c>
      <c r="I3011" s="126" t="s">
        <v>1805</v>
      </c>
      <c r="J3011" s="123" t="s">
        <v>11322</v>
      </c>
      <c r="K3011" s="123" t="s">
        <v>11323</v>
      </c>
      <c r="L3011" s="131" t="s">
        <v>100</v>
      </c>
      <c r="M3011" s="135" t="s">
        <v>845</v>
      </c>
      <c r="N3011" s="123" t="s">
        <v>845</v>
      </c>
    </row>
    <row r="3012" spans="2:14" hidden="1" x14ac:dyDescent="0.25">
      <c r="B3012" s="120">
        <v>3009</v>
      </c>
      <c r="C3012" s="123">
        <v>10062177441</v>
      </c>
      <c r="D3012" s="126" t="s">
        <v>11324</v>
      </c>
      <c r="E3012" s="126" t="s">
        <v>11325</v>
      </c>
      <c r="F3012" s="123" t="s">
        <v>30</v>
      </c>
      <c r="G3012" s="123" t="s">
        <v>30</v>
      </c>
      <c r="H3012" s="123" t="s">
        <v>30</v>
      </c>
      <c r="I3012" s="126" t="s">
        <v>1930</v>
      </c>
      <c r="J3012" s="123" t="s">
        <v>11326</v>
      </c>
      <c r="K3012" s="123" t="s">
        <v>11327</v>
      </c>
      <c r="L3012" s="131" t="s">
        <v>100</v>
      </c>
      <c r="M3012" s="135" t="s">
        <v>845</v>
      </c>
      <c r="N3012" s="123" t="s">
        <v>845</v>
      </c>
    </row>
    <row r="3013" spans="2:14" hidden="1" x14ac:dyDescent="0.25">
      <c r="B3013" s="120">
        <v>3010</v>
      </c>
      <c r="C3013" s="123">
        <v>10416959680</v>
      </c>
      <c r="D3013" s="126" t="s">
        <v>11328</v>
      </c>
      <c r="E3013" s="126" t="s">
        <v>11329</v>
      </c>
      <c r="F3013" s="123" t="s">
        <v>30</v>
      </c>
      <c r="G3013" s="123" t="s">
        <v>30</v>
      </c>
      <c r="H3013" s="123" t="s">
        <v>40</v>
      </c>
      <c r="I3013" s="126" t="s">
        <v>1551</v>
      </c>
      <c r="J3013" s="123" t="s">
        <v>11330</v>
      </c>
      <c r="K3013" s="123" t="s">
        <v>11328</v>
      </c>
      <c r="L3013" s="131" t="s">
        <v>100</v>
      </c>
      <c r="M3013" s="135" t="s">
        <v>845</v>
      </c>
      <c r="N3013" s="123" t="s">
        <v>845</v>
      </c>
    </row>
    <row r="3014" spans="2:14" hidden="1" x14ac:dyDescent="0.25">
      <c r="B3014" s="120">
        <v>3011</v>
      </c>
      <c r="C3014" s="123">
        <v>10451309264</v>
      </c>
      <c r="D3014" s="126" t="s">
        <v>11331</v>
      </c>
      <c r="E3014" s="126" t="s">
        <v>11332</v>
      </c>
      <c r="F3014" s="123" t="s">
        <v>30</v>
      </c>
      <c r="G3014" s="123" t="s">
        <v>30</v>
      </c>
      <c r="H3014" s="123" t="s">
        <v>51</v>
      </c>
      <c r="I3014" s="126" t="s">
        <v>1424</v>
      </c>
      <c r="J3014" s="123" t="s">
        <v>11333</v>
      </c>
      <c r="K3014" s="123" t="s">
        <v>11331</v>
      </c>
      <c r="L3014" s="131" t="s">
        <v>100</v>
      </c>
      <c r="M3014" s="135" t="s">
        <v>845</v>
      </c>
      <c r="N3014" s="123" t="s">
        <v>845</v>
      </c>
    </row>
    <row r="3015" spans="2:14" hidden="1" x14ac:dyDescent="0.25">
      <c r="B3015" s="120">
        <v>3012</v>
      </c>
      <c r="C3015" s="123">
        <v>10805325513</v>
      </c>
      <c r="D3015" s="126" t="s">
        <v>11334</v>
      </c>
      <c r="E3015" s="126" t="s">
        <v>11335</v>
      </c>
      <c r="F3015" s="123" t="s">
        <v>30</v>
      </c>
      <c r="G3015" s="123" t="s">
        <v>30</v>
      </c>
      <c r="H3015" s="123" t="s">
        <v>45</v>
      </c>
      <c r="I3015" s="126" t="s">
        <v>1701</v>
      </c>
      <c r="J3015" s="123" t="s">
        <v>11336</v>
      </c>
      <c r="K3015" s="123" t="s">
        <v>11337</v>
      </c>
      <c r="L3015" s="131" t="s">
        <v>100</v>
      </c>
      <c r="M3015" s="135" t="s">
        <v>845</v>
      </c>
      <c r="N3015" s="123" t="s">
        <v>845</v>
      </c>
    </row>
    <row r="3016" spans="2:14" hidden="1" x14ac:dyDescent="0.25">
      <c r="B3016" s="120">
        <v>3013</v>
      </c>
      <c r="C3016" s="123">
        <v>10100504532</v>
      </c>
      <c r="D3016" s="126" t="s">
        <v>11338</v>
      </c>
      <c r="E3016" s="126" t="s">
        <v>11339</v>
      </c>
      <c r="F3016" s="123" t="s">
        <v>30</v>
      </c>
      <c r="G3016" s="123" t="s">
        <v>30</v>
      </c>
      <c r="H3016" s="123" t="s">
        <v>52</v>
      </c>
      <c r="I3016" s="126" t="s">
        <v>9625</v>
      </c>
      <c r="J3016" s="123" t="s">
        <v>11340</v>
      </c>
      <c r="K3016" s="123" t="s">
        <v>11338</v>
      </c>
      <c r="L3016" s="131" t="s">
        <v>100</v>
      </c>
      <c r="M3016" s="135" t="s">
        <v>845</v>
      </c>
      <c r="N3016" s="123" t="s">
        <v>845</v>
      </c>
    </row>
    <row r="3017" spans="2:14" hidden="1" x14ac:dyDescent="0.25">
      <c r="B3017" s="120">
        <v>3014</v>
      </c>
      <c r="C3017" s="123">
        <v>10429245023</v>
      </c>
      <c r="D3017" s="126" t="s">
        <v>11341</v>
      </c>
      <c r="E3017" s="126" t="s">
        <v>11342</v>
      </c>
      <c r="F3017" s="123" t="s">
        <v>30</v>
      </c>
      <c r="G3017" s="123" t="s">
        <v>30</v>
      </c>
      <c r="H3017" s="123" t="s">
        <v>65</v>
      </c>
      <c r="I3017" s="126" t="s">
        <v>1499</v>
      </c>
      <c r="J3017" s="123" t="s">
        <v>11343</v>
      </c>
      <c r="K3017" s="123" t="s">
        <v>11341</v>
      </c>
      <c r="L3017" s="131" t="s">
        <v>100</v>
      </c>
      <c r="M3017" s="135" t="s">
        <v>845</v>
      </c>
      <c r="N3017" s="123" t="s">
        <v>845</v>
      </c>
    </row>
    <row r="3018" spans="2:14" hidden="1" x14ac:dyDescent="0.25">
      <c r="B3018" s="120">
        <v>3015</v>
      </c>
      <c r="C3018" s="123">
        <v>10157255245</v>
      </c>
      <c r="D3018" s="126" t="s">
        <v>11344</v>
      </c>
      <c r="E3018" s="126" t="s">
        <v>11345</v>
      </c>
      <c r="F3018" s="123" t="s">
        <v>30</v>
      </c>
      <c r="G3018" s="123" t="s">
        <v>170</v>
      </c>
      <c r="H3018" s="123" t="s">
        <v>171</v>
      </c>
      <c r="I3018" s="126" t="s">
        <v>11346</v>
      </c>
      <c r="J3018" s="123" t="s">
        <v>11347</v>
      </c>
      <c r="K3018" s="123" t="s">
        <v>11344</v>
      </c>
      <c r="L3018" s="131" t="s">
        <v>100</v>
      </c>
      <c r="M3018" s="135" t="s">
        <v>845</v>
      </c>
      <c r="N3018" s="123" t="s">
        <v>845</v>
      </c>
    </row>
    <row r="3019" spans="2:14" hidden="1" x14ac:dyDescent="0.25">
      <c r="B3019" s="120">
        <v>3016</v>
      </c>
      <c r="C3019" s="123">
        <v>10105300501</v>
      </c>
      <c r="D3019" s="126" t="s">
        <v>11348</v>
      </c>
      <c r="E3019" s="126" t="s">
        <v>11349</v>
      </c>
      <c r="F3019" s="123" t="s">
        <v>30</v>
      </c>
      <c r="G3019" s="123" t="s">
        <v>30</v>
      </c>
      <c r="H3019" s="123" t="s">
        <v>45</v>
      </c>
      <c r="I3019" s="126" t="s">
        <v>1931</v>
      </c>
      <c r="J3019" s="123" t="s">
        <v>11350</v>
      </c>
      <c r="K3019" s="123" t="s">
        <v>11351</v>
      </c>
      <c r="L3019" s="131" t="s">
        <v>100</v>
      </c>
      <c r="M3019" s="135" t="s">
        <v>845</v>
      </c>
      <c r="N3019" s="123" t="s">
        <v>845</v>
      </c>
    </row>
    <row r="3020" spans="2:14" hidden="1" x14ac:dyDescent="0.25">
      <c r="B3020" s="120">
        <v>3017</v>
      </c>
      <c r="C3020" s="123">
        <v>10076475771</v>
      </c>
      <c r="D3020" s="126" t="s">
        <v>11352</v>
      </c>
      <c r="E3020" s="126" t="s">
        <v>11353</v>
      </c>
      <c r="F3020" s="123" t="s">
        <v>30</v>
      </c>
      <c r="G3020" s="123" t="s">
        <v>30</v>
      </c>
      <c r="H3020" s="123" t="s">
        <v>75</v>
      </c>
      <c r="I3020" s="126" t="s">
        <v>1963</v>
      </c>
      <c r="J3020" s="123" t="s">
        <v>11354</v>
      </c>
      <c r="K3020" s="123" t="s">
        <v>11355</v>
      </c>
      <c r="L3020" s="131" t="s">
        <v>100</v>
      </c>
      <c r="M3020" s="135" t="s">
        <v>845</v>
      </c>
      <c r="N3020" s="123" t="s">
        <v>845</v>
      </c>
    </row>
    <row r="3021" spans="2:14" hidden="1" x14ac:dyDescent="0.25">
      <c r="B3021" s="120">
        <v>3018</v>
      </c>
      <c r="C3021" s="123">
        <v>10442504321</v>
      </c>
      <c r="D3021" s="126" t="s">
        <v>11356</v>
      </c>
      <c r="E3021" s="126" t="s">
        <v>11357</v>
      </c>
      <c r="F3021" s="123" t="s">
        <v>30</v>
      </c>
      <c r="G3021" s="123" t="s">
        <v>30</v>
      </c>
      <c r="H3021" s="123" t="s">
        <v>38</v>
      </c>
      <c r="I3021" s="126" t="s">
        <v>1936</v>
      </c>
      <c r="J3021" s="123" t="s">
        <v>11358</v>
      </c>
      <c r="K3021" s="123" t="s">
        <v>11356</v>
      </c>
      <c r="L3021" s="131" t="s">
        <v>100</v>
      </c>
      <c r="M3021" s="135" t="s">
        <v>845</v>
      </c>
      <c r="N3021" s="123" t="s">
        <v>845</v>
      </c>
    </row>
    <row r="3022" spans="2:14" hidden="1" x14ac:dyDescent="0.25">
      <c r="B3022" s="120">
        <v>3019</v>
      </c>
      <c r="C3022" s="123">
        <v>10477949466</v>
      </c>
      <c r="D3022" s="126" t="s">
        <v>11359</v>
      </c>
      <c r="E3022" s="126" t="s">
        <v>11360</v>
      </c>
      <c r="F3022" s="123" t="s">
        <v>30</v>
      </c>
      <c r="G3022" s="123" t="s">
        <v>30</v>
      </c>
      <c r="H3022" s="123" t="s">
        <v>72</v>
      </c>
      <c r="I3022" s="126" t="s">
        <v>1984</v>
      </c>
      <c r="J3022" s="123" t="s">
        <v>11361</v>
      </c>
      <c r="K3022" s="123" t="s">
        <v>11359</v>
      </c>
      <c r="L3022" s="131" t="s">
        <v>100</v>
      </c>
      <c r="M3022" s="135" t="s">
        <v>845</v>
      </c>
      <c r="N3022" s="123" t="s">
        <v>845</v>
      </c>
    </row>
    <row r="3023" spans="2:14" hidden="1" x14ac:dyDescent="0.25">
      <c r="B3023" s="120">
        <v>3020</v>
      </c>
      <c r="C3023" s="123">
        <v>10201126954</v>
      </c>
      <c r="D3023" s="126" t="s">
        <v>11362</v>
      </c>
      <c r="E3023" s="126" t="s">
        <v>11363</v>
      </c>
      <c r="F3023" s="123" t="s">
        <v>67</v>
      </c>
      <c r="G3023" s="123" t="s">
        <v>67</v>
      </c>
      <c r="H3023" s="123" t="s">
        <v>134</v>
      </c>
      <c r="I3023" s="126" t="s">
        <v>1424</v>
      </c>
      <c r="J3023" s="123" t="s">
        <v>11364</v>
      </c>
      <c r="K3023" s="123" t="s">
        <v>11362</v>
      </c>
      <c r="L3023" s="131" t="s">
        <v>100</v>
      </c>
      <c r="M3023" s="135" t="s">
        <v>845</v>
      </c>
      <c r="N3023" s="123" t="s">
        <v>845</v>
      </c>
    </row>
    <row r="3024" spans="2:14" hidden="1" x14ac:dyDescent="0.25">
      <c r="B3024" s="120">
        <v>3021</v>
      </c>
      <c r="C3024" s="123">
        <v>10705213092</v>
      </c>
      <c r="D3024" s="126" t="s">
        <v>11365</v>
      </c>
      <c r="E3024" s="126" t="s">
        <v>11366</v>
      </c>
      <c r="F3024" s="123" t="s">
        <v>30</v>
      </c>
      <c r="G3024" s="123" t="s">
        <v>30</v>
      </c>
      <c r="H3024" s="123" t="s">
        <v>41</v>
      </c>
      <c r="I3024" s="126" t="s">
        <v>1737</v>
      </c>
      <c r="J3024" s="123" t="s">
        <v>11367</v>
      </c>
      <c r="K3024" s="123" t="s">
        <v>11365</v>
      </c>
      <c r="L3024" s="131" t="s">
        <v>100</v>
      </c>
      <c r="M3024" s="135" t="s">
        <v>845</v>
      </c>
      <c r="N3024" s="123" t="s">
        <v>845</v>
      </c>
    </row>
    <row r="3025" spans="2:14" hidden="1" x14ac:dyDescent="0.25">
      <c r="B3025" s="120">
        <v>3022</v>
      </c>
      <c r="C3025" s="123">
        <v>10741183078</v>
      </c>
      <c r="D3025" s="126" t="s">
        <v>11368</v>
      </c>
      <c r="E3025" s="126" t="s">
        <v>11369</v>
      </c>
      <c r="F3025" s="123" t="s">
        <v>30</v>
      </c>
      <c r="G3025" s="123" t="s">
        <v>30</v>
      </c>
      <c r="H3025" s="123" t="s">
        <v>51</v>
      </c>
      <c r="I3025" s="126" t="s">
        <v>1706</v>
      </c>
      <c r="J3025" s="123" t="s">
        <v>11370</v>
      </c>
      <c r="K3025" s="123" t="s">
        <v>11368</v>
      </c>
      <c r="L3025" s="131" t="s">
        <v>100</v>
      </c>
      <c r="M3025" s="135" t="s">
        <v>845</v>
      </c>
      <c r="N3025" s="123" t="s">
        <v>845</v>
      </c>
    </row>
    <row r="3026" spans="2:14" hidden="1" x14ac:dyDescent="0.25">
      <c r="B3026" s="120">
        <v>3023</v>
      </c>
      <c r="C3026" s="123">
        <v>10759222968</v>
      </c>
      <c r="D3026" s="126" t="s">
        <v>11371</v>
      </c>
      <c r="E3026" s="126" t="s">
        <v>11372</v>
      </c>
      <c r="F3026" s="123" t="s">
        <v>30</v>
      </c>
      <c r="G3026" s="123" t="s">
        <v>30</v>
      </c>
      <c r="H3026" s="123" t="s">
        <v>43</v>
      </c>
      <c r="I3026" s="126" t="s">
        <v>1931</v>
      </c>
      <c r="J3026" s="123" t="s">
        <v>11373</v>
      </c>
      <c r="K3026" s="123" t="s">
        <v>11371</v>
      </c>
      <c r="L3026" s="131" t="s">
        <v>100</v>
      </c>
      <c r="M3026" s="135" t="s">
        <v>845</v>
      </c>
      <c r="N3026" s="123" t="s">
        <v>845</v>
      </c>
    </row>
    <row r="3027" spans="2:14" hidden="1" x14ac:dyDescent="0.25">
      <c r="B3027" s="120">
        <v>3024</v>
      </c>
      <c r="C3027" s="123">
        <v>10418677011</v>
      </c>
      <c r="D3027" s="126" t="s">
        <v>11374</v>
      </c>
      <c r="E3027" s="126" t="s">
        <v>11375</v>
      </c>
      <c r="F3027" s="123" t="s">
        <v>30</v>
      </c>
      <c r="G3027" s="123" t="s">
        <v>30</v>
      </c>
      <c r="H3027" s="123" t="s">
        <v>50</v>
      </c>
      <c r="I3027" s="126" t="s">
        <v>1737</v>
      </c>
      <c r="J3027" s="123" t="s">
        <v>11376</v>
      </c>
      <c r="K3027" s="123" t="s">
        <v>11374</v>
      </c>
      <c r="L3027" s="131" t="s">
        <v>100</v>
      </c>
      <c r="M3027" s="135" t="s">
        <v>845</v>
      </c>
      <c r="N3027" s="123" t="s">
        <v>845</v>
      </c>
    </row>
    <row r="3028" spans="2:14" hidden="1" x14ac:dyDescent="0.25">
      <c r="B3028" s="120">
        <v>3025</v>
      </c>
      <c r="C3028" s="123">
        <v>10735289239</v>
      </c>
      <c r="D3028" s="126" t="s">
        <v>11377</v>
      </c>
      <c r="E3028" s="126" t="s">
        <v>11378</v>
      </c>
      <c r="F3028" s="123" t="s">
        <v>30</v>
      </c>
      <c r="G3028" s="123" t="s">
        <v>30</v>
      </c>
      <c r="H3028" s="123" t="s">
        <v>110</v>
      </c>
      <c r="I3028" s="126" t="s">
        <v>1949</v>
      </c>
      <c r="J3028" s="123" t="s">
        <v>11379</v>
      </c>
      <c r="K3028" s="123" t="s">
        <v>11380</v>
      </c>
      <c r="L3028" s="131" t="s">
        <v>100</v>
      </c>
      <c r="M3028" s="135" t="s">
        <v>845</v>
      </c>
      <c r="N3028" s="123" t="s">
        <v>845</v>
      </c>
    </row>
    <row r="3029" spans="2:14" hidden="1" x14ac:dyDescent="0.25">
      <c r="B3029" s="120">
        <v>3026</v>
      </c>
      <c r="C3029" s="123">
        <v>10768040678</v>
      </c>
      <c r="D3029" s="126" t="s">
        <v>11381</v>
      </c>
      <c r="E3029" s="126" t="s">
        <v>11382</v>
      </c>
      <c r="F3029" s="123" t="s">
        <v>30</v>
      </c>
      <c r="G3029" s="123" t="s">
        <v>30</v>
      </c>
      <c r="H3029" s="123" t="s">
        <v>30</v>
      </c>
      <c r="I3029" s="126" t="s">
        <v>1507</v>
      </c>
      <c r="J3029" s="123" t="s">
        <v>11383</v>
      </c>
      <c r="K3029" s="123" t="s">
        <v>11381</v>
      </c>
      <c r="L3029" s="131" t="s">
        <v>100</v>
      </c>
      <c r="M3029" s="135" t="s">
        <v>845</v>
      </c>
      <c r="N3029" s="123" t="s">
        <v>845</v>
      </c>
    </row>
    <row r="3030" spans="2:14" hidden="1" x14ac:dyDescent="0.25">
      <c r="B3030" s="120">
        <v>3027</v>
      </c>
      <c r="C3030" s="123">
        <v>10479873653</v>
      </c>
      <c r="D3030" s="126" t="s">
        <v>11384</v>
      </c>
      <c r="E3030" s="126" t="s">
        <v>11385</v>
      </c>
      <c r="F3030" s="123" t="s">
        <v>30</v>
      </c>
      <c r="G3030" s="123" t="s">
        <v>30</v>
      </c>
      <c r="H3030" s="123" t="s">
        <v>38</v>
      </c>
      <c r="I3030" s="126" t="s">
        <v>1931</v>
      </c>
      <c r="J3030" s="123" t="s">
        <v>11386</v>
      </c>
      <c r="K3030" s="123" t="s">
        <v>11384</v>
      </c>
      <c r="L3030" s="131" t="s">
        <v>100</v>
      </c>
      <c r="M3030" s="135" t="s">
        <v>845</v>
      </c>
      <c r="N3030" s="123" t="s">
        <v>845</v>
      </c>
    </row>
    <row r="3031" spans="2:14" hidden="1" x14ac:dyDescent="0.25">
      <c r="B3031" s="120">
        <v>3028</v>
      </c>
      <c r="C3031" s="123">
        <v>10476635158</v>
      </c>
      <c r="D3031" s="126" t="s">
        <v>11387</v>
      </c>
      <c r="E3031" s="126" t="s">
        <v>11388</v>
      </c>
      <c r="F3031" s="123" t="s">
        <v>30</v>
      </c>
      <c r="G3031" s="123" t="s">
        <v>30</v>
      </c>
      <c r="H3031" s="123" t="s">
        <v>51</v>
      </c>
      <c r="I3031" s="126" t="s">
        <v>1701</v>
      </c>
      <c r="J3031" s="123" t="s">
        <v>11389</v>
      </c>
      <c r="K3031" s="123" t="s">
        <v>11387</v>
      </c>
      <c r="L3031" s="131" t="s">
        <v>100</v>
      </c>
      <c r="M3031" s="135" t="s">
        <v>845</v>
      </c>
      <c r="N3031" s="123" t="s">
        <v>845</v>
      </c>
    </row>
    <row r="3032" spans="2:14" hidden="1" x14ac:dyDescent="0.25">
      <c r="B3032" s="120">
        <v>3029</v>
      </c>
      <c r="C3032" s="123">
        <v>10774316031</v>
      </c>
      <c r="D3032" s="126" t="s">
        <v>11390</v>
      </c>
      <c r="E3032" s="126" t="s">
        <v>11391</v>
      </c>
      <c r="F3032" s="123" t="s">
        <v>30</v>
      </c>
      <c r="G3032" s="123" t="s">
        <v>31</v>
      </c>
      <c r="H3032" s="123" t="s">
        <v>9381</v>
      </c>
      <c r="I3032" s="126" t="s">
        <v>1701</v>
      </c>
      <c r="J3032" s="123" t="s">
        <v>11392</v>
      </c>
      <c r="K3032" s="123" t="s">
        <v>11390</v>
      </c>
      <c r="L3032" s="131" t="s">
        <v>100</v>
      </c>
      <c r="M3032" s="135" t="s">
        <v>845</v>
      </c>
      <c r="N3032" s="123" t="s">
        <v>845</v>
      </c>
    </row>
    <row r="3033" spans="2:14" hidden="1" x14ac:dyDescent="0.25">
      <c r="B3033" s="120">
        <v>3030</v>
      </c>
      <c r="C3033" s="123">
        <v>10451033871</v>
      </c>
      <c r="D3033" s="126" t="s">
        <v>11393</v>
      </c>
      <c r="E3033" s="126" t="s">
        <v>11394</v>
      </c>
      <c r="F3033" s="123" t="s">
        <v>30</v>
      </c>
      <c r="G3033" s="123" t="s">
        <v>30</v>
      </c>
      <c r="H3033" s="123" t="s">
        <v>40</v>
      </c>
      <c r="I3033" s="126" t="s">
        <v>1701</v>
      </c>
      <c r="J3033" s="123" t="s">
        <v>11395</v>
      </c>
      <c r="K3033" s="123" t="s">
        <v>11393</v>
      </c>
      <c r="L3033" s="131" t="s">
        <v>100</v>
      </c>
      <c r="M3033" s="135" t="s">
        <v>845</v>
      </c>
      <c r="N3033" s="123" t="s">
        <v>845</v>
      </c>
    </row>
    <row r="3034" spans="2:14" hidden="1" x14ac:dyDescent="0.25">
      <c r="B3034" s="120">
        <v>3031</v>
      </c>
      <c r="C3034" s="123">
        <v>10450034873</v>
      </c>
      <c r="D3034" s="126" t="s">
        <v>11396</v>
      </c>
      <c r="E3034" s="126" t="s">
        <v>11397</v>
      </c>
      <c r="F3034" s="123" t="s">
        <v>30</v>
      </c>
      <c r="G3034" s="123" t="s">
        <v>30</v>
      </c>
      <c r="H3034" s="123" t="s">
        <v>75</v>
      </c>
      <c r="I3034" s="126" t="s">
        <v>1952</v>
      </c>
      <c r="J3034" s="123" t="s">
        <v>11398</v>
      </c>
      <c r="K3034" s="123" t="s">
        <v>11399</v>
      </c>
      <c r="L3034" s="131" t="s">
        <v>100</v>
      </c>
      <c r="M3034" s="135" t="s">
        <v>845</v>
      </c>
      <c r="N3034" s="123" t="s">
        <v>845</v>
      </c>
    </row>
    <row r="3035" spans="2:14" hidden="1" x14ac:dyDescent="0.25">
      <c r="B3035" s="120">
        <v>3032</v>
      </c>
      <c r="C3035" s="123">
        <v>10426949941</v>
      </c>
      <c r="D3035" s="126" t="s">
        <v>11400</v>
      </c>
      <c r="E3035" s="126" t="s">
        <v>11401</v>
      </c>
      <c r="F3035" s="123" t="s">
        <v>30</v>
      </c>
      <c r="G3035" s="123" t="s">
        <v>30</v>
      </c>
      <c r="H3035" s="123" t="s">
        <v>75</v>
      </c>
      <c r="I3035" s="126" t="s">
        <v>1932</v>
      </c>
      <c r="J3035" s="123" t="s">
        <v>11402</v>
      </c>
      <c r="K3035" s="123" t="s">
        <v>11403</v>
      </c>
      <c r="L3035" s="131" t="s">
        <v>100</v>
      </c>
      <c r="M3035" s="135" t="s">
        <v>845</v>
      </c>
      <c r="N3035" s="123" t="s">
        <v>845</v>
      </c>
    </row>
    <row r="3036" spans="2:14" hidden="1" x14ac:dyDescent="0.25">
      <c r="B3036" s="120">
        <v>3033</v>
      </c>
      <c r="C3036" s="123">
        <v>10445760281</v>
      </c>
      <c r="D3036" s="126" t="s">
        <v>11404</v>
      </c>
      <c r="E3036" s="126" t="s">
        <v>11405</v>
      </c>
      <c r="F3036" s="123" t="s">
        <v>30</v>
      </c>
      <c r="G3036" s="123" t="s">
        <v>30</v>
      </c>
      <c r="H3036" s="123" t="s">
        <v>58</v>
      </c>
      <c r="I3036" s="126" t="s">
        <v>1701</v>
      </c>
      <c r="J3036" s="123" t="s">
        <v>11406</v>
      </c>
      <c r="K3036" s="123" t="s">
        <v>11404</v>
      </c>
      <c r="L3036" s="131" t="s">
        <v>100</v>
      </c>
      <c r="M3036" s="135" t="s">
        <v>845</v>
      </c>
      <c r="N3036" s="123" t="s">
        <v>845</v>
      </c>
    </row>
    <row r="3037" spans="2:14" hidden="1" x14ac:dyDescent="0.25">
      <c r="B3037" s="120">
        <v>3034</v>
      </c>
      <c r="C3037" s="123">
        <v>10328787739</v>
      </c>
      <c r="D3037" s="126" t="s">
        <v>11407</v>
      </c>
      <c r="E3037" s="126" t="s">
        <v>11408</v>
      </c>
      <c r="F3037" s="123" t="s">
        <v>30</v>
      </c>
      <c r="G3037" s="123" t="s">
        <v>30</v>
      </c>
      <c r="H3037" s="123" t="s">
        <v>88</v>
      </c>
      <c r="I3037" s="126" t="s">
        <v>11409</v>
      </c>
      <c r="J3037" s="123" t="s">
        <v>11410</v>
      </c>
      <c r="K3037" s="123" t="s">
        <v>11407</v>
      </c>
      <c r="L3037" s="131" t="s">
        <v>100</v>
      </c>
      <c r="M3037" s="135" t="s">
        <v>845</v>
      </c>
      <c r="N3037" s="123" t="s">
        <v>845</v>
      </c>
    </row>
    <row r="3038" spans="2:14" hidden="1" x14ac:dyDescent="0.25">
      <c r="B3038" s="120">
        <v>3035</v>
      </c>
      <c r="C3038" s="123">
        <v>10321173344</v>
      </c>
      <c r="D3038" s="126" t="s">
        <v>11411</v>
      </c>
      <c r="E3038" s="126" t="s">
        <v>11412</v>
      </c>
      <c r="F3038" s="123" t="s">
        <v>30</v>
      </c>
      <c r="G3038" s="123" t="s">
        <v>30</v>
      </c>
      <c r="H3038" s="123" t="s">
        <v>58</v>
      </c>
      <c r="I3038" s="126" t="s">
        <v>1960</v>
      </c>
      <c r="J3038" s="123" t="s">
        <v>11413</v>
      </c>
      <c r="K3038" s="123" t="s">
        <v>11411</v>
      </c>
      <c r="L3038" s="131" t="s">
        <v>100</v>
      </c>
      <c r="M3038" s="135" t="s">
        <v>845</v>
      </c>
      <c r="N3038" s="123" t="s">
        <v>845</v>
      </c>
    </row>
    <row r="3039" spans="2:14" hidden="1" x14ac:dyDescent="0.25">
      <c r="B3039" s="120">
        <v>3036</v>
      </c>
      <c r="C3039" s="123">
        <v>10080746500</v>
      </c>
      <c r="D3039" s="126" t="s">
        <v>11414</v>
      </c>
      <c r="E3039" s="126" t="s">
        <v>11415</v>
      </c>
      <c r="F3039" s="123" t="s">
        <v>30</v>
      </c>
      <c r="G3039" s="123" t="s">
        <v>30</v>
      </c>
      <c r="H3039" s="123" t="s">
        <v>72</v>
      </c>
      <c r="I3039" s="126" t="s">
        <v>1377</v>
      </c>
      <c r="J3039" s="123" t="s">
        <v>11416</v>
      </c>
      <c r="K3039" s="123" t="s">
        <v>11414</v>
      </c>
      <c r="L3039" s="131" t="s">
        <v>100</v>
      </c>
      <c r="M3039" s="135" t="s">
        <v>845</v>
      </c>
      <c r="N3039" s="123" t="s">
        <v>845</v>
      </c>
    </row>
    <row r="3040" spans="2:14" hidden="1" x14ac:dyDescent="0.25">
      <c r="B3040" s="120">
        <v>3037</v>
      </c>
      <c r="C3040" s="123">
        <v>10444175767</v>
      </c>
      <c r="D3040" s="126" t="s">
        <v>11417</v>
      </c>
      <c r="E3040" s="126" t="s">
        <v>11418</v>
      </c>
      <c r="F3040" s="123" t="s">
        <v>30</v>
      </c>
      <c r="G3040" s="123" t="s">
        <v>30</v>
      </c>
      <c r="H3040" s="123" t="s">
        <v>72</v>
      </c>
      <c r="I3040" s="126" t="s">
        <v>1931</v>
      </c>
      <c r="J3040" s="123" t="s">
        <v>11419</v>
      </c>
      <c r="K3040" s="123" t="s">
        <v>11420</v>
      </c>
      <c r="L3040" s="131" t="s">
        <v>100</v>
      </c>
      <c r="M3040" s="135" t="s">
        <v>845</v>
      </c>
      <c r="N3040" s="123" t="s">
        <v>845</v>
      </c>
    </row>
    <row r="3041" spans="2:14" hidden="1" x14ac:dyDescent="0.25">
      <c r="B3041" s="120">
        <v>3038</v>
      </c>
      <c r="C3041" s="123">
        <v>10096071324</v>
      </c>
      <c r="D3041" s="126" t="s">
        <v>11421</v>
      </c>
      <c r="E3041" s="126" t="s">
        <v>11422</v>
      </c>
      <c r="F3041" s="123" t="s">
        <v>30</v>
      </c>
      <c r="G3041" s="123" t="s">
        <v>30</v>
      </c>
      <c r="H3041" s="123" t="s">
        <v>30</v>
      </c>
      <c r="I3041" s="126" t="s">
        <v>1450</v>
      </c>
      <c r="J3041" s="123" t="s">
        <v>11423</v>
      </c>
      <c r="K3041" s="123" t="s">
        <v>11421</v>
      </c>
      <c r="L3041" s="131" t="s">
        <v>100</v>
      </c>
      <c r="M3041" s="135" t="s">
        <v>845</v>
      </c>
      <c r="N3041" s="123" t="s">
        <v>845</v>
      </c>
    </row>
    <row r="3042" spans="2:14" hidden="1" x14ac:dyDescent="0.25">
      <c r="B3042" s="120">
        <v>3039</v>
      </c>
      <c r="C3042" s="123">
        <v>10754267726</v>
      </c>
      <c r="D3042" s="126" t="s">
        <v>11424</v>
      </c>
      <c r="E3042" s="126" t="s">
        <v>11425</v>
      </c>
      <c r="F3042" s="123" t="s">
        <v>30</v>
      </c>
      <c r="G3042" s="123" t="s">
        <v>30</v>
      </c>
      <c r="H3042" s="123" t="s">
        <v>30</v>
      </c>
      <c r="I3042" s="126" t="s">
        <v>1507</v>
      </c>
      <c r="J3042" s="123" t="s">
        <v>11426</v>
      </c>
      <c r="K3042" s="123" t="s">
        <v>11424</v>
      </c>
      <c r="L3042" s="131" t="s">
        <v>100</v>
      </c>
      <c r="M3042" s="135" t="s">
        <v>845</v>
      </c>
      <c r="N3042" s="123" t="s">
        <v>845</v>
      </c>
    </row>
    <row r="3043" spans="2:14" hidden="1" x14ac:dyDescent="0.25">
      <c r="B3043" s="120">
        <v>3040</v>
      </c>
      <c r="C3043" s="123">
        <v>10730307077</v>
      </c>
      <c r="D3043" s="126" t="s">
        <v>11427</v>
      </c>
      <c r="E3043" s="126" t="s">
        <v>11428</v>
      </c>
      <c r="F3043" s="123" t="s">
        <v>30</v>
      </c>
      <c r="G3043" s="123" t="s">
        <v>30</v>
      </c>
      <c r="H3043" s="123" t="s">
        <v>80</v>
      </c>
      <c r="I3043" s="126" t="s">
        <v>1950</v>
      </c>
      <c r="J3043" s="123" t="s">
        <v>11429</v>
      </c>
      <c r="K3043" s="123" t="s">
        <v>11430</v>
      </c>
      <c r="L3043" s="131" t="s">
        <v>100</v>
      </c>
      <c r="M3043" s="135" t="s">
        <v>845</v>
      </c>
      <c r="N3043" s="123" t="s">
        <v>845</v>
      </c>
    </row>
    <row r="3044" spans="2:14" hidden="1" x14ac:dyDescent="0.25">
      <c r="B3044" s="120">
        <v>3041</v>
      </c>
      <c r="C3044" s="123">
        <v>10430528632</v>
      </c>
      <c r="D3044" s="126" t="s">
        <v>11431</v>
      </c>
      <c r="E3044" s="126" t="s">
        <v>11432</v>
      </c>
      <c r="F3044" s="123" t="s">
        <v>30</v>
      </c>
      <c r="G3044" s="123" t="s">
        <v>30</v>
      </c>
      <c r="H3044" s="123" t="s">
        <v>38</v>
      </c>
      <c r="I3044" s="126" t="s">
        <v>9970</v>
      </c>
      <c r="J3044" s="123" t="s">
        <v>11433</v>
      </c>
      <c r="K3044" s="123" t="s">
        <v>11434</v>
      </c>
      <c r="L3044" s="131" t="s">
        <v>100</v>
      </c>
      <c r="M3044" s="135" t="s">
        <v>845</v>
      </c>
      <c r="N3044" s="123" t="s">
        <v>845</v>
      </c>
    </row>
    <row r="3045" spans="2:14" hidden="1" x14ac:dyDescent="0.25">
      <c r="B3045" s="120">
        <v>3042</v>
      </c>
      <c r="C3045" s="123">
        <v>10402778224</v>
      </c>
      <c r="D3045" s="126" t="s">
        <v>11435</v>
      </c>
      <c r="E3045" s="126" t="s">
        <v>11436</v>
      </c>
      <c r="F3045" s="123" t="s">
        <v>30</v>
      </c>
      <c r="G3045" s="123" t="s">
        <v>30</v>
      </c>
      <c r="H3045" s="123" t="s">
        <v>38</v>
      </c>
      <c r="I3045" s="126" t="s">
        <v>1936</v>
      </c>
      <c r="J3045" s="123" t="s">
        <v>11437</v>
      </c>
      <c r="K3045" s="123" t="s">
        <v>11435</v>
      </c>
      <c r="L3045" s="131" t="s">
        <v>100</v>
      </c>
      <c r="M3045" s="135" t="s">
        <v>845</v>
      </c>
      <c r="N3045" s="123" t="s">
        <v>845</v>
      </c>
    </row>
    <row r="3046" spans="2:14" hidden="1" x14ac:dyDescent="0.25">
      <c r="B3046" s="120">
        <v>3043</v>
      </c>
      <c r="C3046" s="123">
        <v>10258589292</v>
      </c>
      <c r="D3046" s="126" t="s">
        <v>11438</v>
      </c>
      <c r="E3046" s="126" t="s">
        <v>11439</v>
      </c>
      <c r="F3046" s="123" t="s">
        <v>67</v>
      </c>
      <c r="G3046" s="123" t="s">
        <v>67</v>
      </c>
      <c r="H3046" s="123" t="s">
        <v>67</v>
      </c>
      <c r="I3046" s="126" t="s">
        <v>11440</v>
      </c>
      <c r="J3046" s="123" t="s">
        <v>11441</v>
      </c>
      <c r="K3046" s="123" t="s">
        <v>11438</v>
      </c>
      <c r="L3046" s="131" t="s">
        <v>100</v>
      </c>
      <c r="M3046" s="135" t="s">
        <v>845</v>
      </c>
      <c r="N3046" s="123" t="s">
        <v>845</v>
      </c>
    </row>
    <row r="3047" spans="2:14" hidden="1" x14ac:dyDescent="0.25">
      <c r="B3047" s="120">
        <v>3044</v>
      </c>
      <c r="C3047" s="123">
        <v>10444633099</v>
      </c>
      <c r="D3047" s="126" t="s">
        <v>11442</v>
      </c>
      <c r="E3047" s="126" t="s">
        <v>11443</v>
      </c>
      <c r="F3047" s="123" t="s">
        <v>93</v>
      </c>
      <c r="G3047" s="123" t="s">
        <v>11444</v>
      </c>
      <c r="H3047" s="123" t="s">
        <v>11444</v>
      </c>
      <c r="I3047" s="126" t="s">
        <v>1398</v>
      </c>
      <c r="J3047" s="123" t="s">
        <v>11445</v>
      </c>
      <c r="K3047" s="123" t="s">
        <v>11442</v>
      </c>
      <c r="L3047" s="131" t="s">
        <v>100</v>
      </c>
      <c r="M3047" s="135" t="s">
        <v>845</v>
      </c>
      <c r="N3047" s="123" t="s">
        <v>845</v>
      </c>
    </row>
    <row r="3048" spans="2:14" hidden="1" x14ac:dyDescent="0.25">
      <c r="B3048" s="120">
        <v>3045</v>
      </c>
      <c r="C3048" s="123">
        <v>10476504231</v>
      </c>
      <c r="D3048" s="126" t="s">
        <v>11446</v>
      </c>
      <c r="E3048" s="126" t="s">
        <v>11447</v>
      </c>
      <c r="F3048" s="123" t="s">
        <v>30</v>
      </c>
      <c r="G3048" s="123" t="s">
        <v>30</v>
      </c>
      <c r="H3048" s="123" t="s">
        <v>37</v>
      </c>
      <c r="I3048" s="126" t="s">
        <v>1701</v>
      </c>
      <c r="J3048" s="123" t="s">
        <v>11448</v>
      </c>
      <c r="K3048" s="123" t="s">
        <v>11446</v>
      </c>
      <c r="L3048" s="131" t="s">
        <v>100</v>
      </c>
      <c r="M3048" s="135" t="s">
        <v>845</v>
      </c>
      <c r="N3048" s="123" t="s">
        <v>845</v>
      </c>
    </row>
    <row r="3049" spans="2:14" hidden="1" x14ac:dyDescent="0.25">
      <c r="B3049" s="120">
        <v>3046</v>
      </c>
      <c r="C3049" s="123">
        <v>10478655881</v>
      </c>
      <c r="D3049" s="126" t="s">
        <v>11449</v>
      </c>
      <c r="E3049" s="126" t="s">
        <v>11450</v>
      </c>
      <c r="F3049" s="123" t="s">
        <v>30</v>
      </c>
      <c r="G3049" s="123" t="s">
        <v>30</v>
      </c>
      <c r="H3049" s="123" t="s">
        <v>50</v>
      </c>
      <c r="I3049" s="126" t="s">
        <v>1701</v>
      </c>
      <c r="J3049" s="123" t="s">
        <v>11451</v>
      </c>
      <c r="K3049" s="123" t="s">
        <v>11449</v>
      </c>
      <c r="L3049" s="131" t="s">
        <v>100</v>
      </c>
      <c r="M3049" s="135" t="s">
        <v>845</v>
      </c>
      <c r="N3049" s="123" t="s">
        <v>845</v>
      </c>
    </row>
    <row r="3050" spans="2:14" hidden="1" x14ac:dyDescent="0.25">
      <c r="B3050" s="120">
        <v>3047</v>
      </c>
      <c r="C3050" s="123">
        <v>10103740598</v>
      </c>
      <c r="D3050" s="126" t="s">
        <v>11452</v>
      </c>
      <c r="E3050" s="126" t="s">
        <v>11453</v>
      </c>
      <c r="F3050" s="123" t="s">
        <v>30</v>
      </c>
      <c r="G3050" s="123" t="s">
        <v>30</v>
      </c>
      <c r="H3050" s="123" t="s">
        <v>72</v>
      </c>
      <c r="I3050" s="126" t="s">
        <v>1805</v>
      </c>
      <c r="J3050" s="123" t="s">
        <v>11454</v>
      </c>
      <c r="K3050" s="123" t="s">
        <v>11455</v>
      </c>
      <c r="L3050" s="131" t="s">
        <v>100</v>
      </c>
      <c r="M3050" s="135" t="s">
        <v>845</v>
      </c>
      <c r="N3050" s="123" t="s">
        <v>845</v>
      </c>
    </row>
    <row r="3051" spans="2:14" hidden="1" x14ac:dyDescent="0.25">
      <c r="B3051" s="120">
        <v>3048</v>
      </c>
      <c r="C3051" s="123">
        <v>10099046231</v>
      </c>
      <c r="D3051" s="126" t="s">
        <v>11456</v>
      </c>
      <c r="E3051" s="126" t="s">
        <v>11457</v>
      </c>
      <c r="F3051" s="123" t="s">
        <v>30</v>
      </c>
      <c r="G3051" s="123" t="s">
        <v>30</v>
      </c>
      <c r="H3051" s="123" t="s">
        <v>72</v>
      </c>
      <c r="I3051" s="126" t="s">
        <v>1701</v>
      </c>
      <c r="J3051" s="123" t="s">
        <v>11458</v>
      </c>
      <c r="K3051" s="123" t="s">
        <v>11459</v>
      </c>
      <c r="L3051" s="131" t="s">
        <v>100</v>
      </c>
      <c r="M3051" s="135" t="s">
        <v>845</v>
      </c>
      <c r="N3051" s="123" t="s">
        <v>845</v>
      </c>
    </row>
    <row r="3052" spans="2:14" hidden="1" x14ac:dyDescent="0.25">
      <c r="B3052" s="120">
        <v>3049</v>
      </c>
      <c r="C3052" s="123">
        <v>10458072766</v>
      </c>
      <c r="D3052" s="126" t="s">
        <v>11460</v>
      </c>
      <c r="E3052" s="126" t="s">
        <v>11461</v>
      </c>
      <c r="F3052" s="123" t="s">
        <v>30</v>
      </c>
      <c r="G3052" s="123" t="s">
        <v>30</v>
      </c>
      <c r="H3052" s="123" t="s">
        <v>50</v>
      </c>
      <c r="I3052" s="126" t="s">
        <v>1809</v>
      </c>
      <c r="J3052" s="123" t="s">
        <v>11462</v>
      </c>
      <c r="K3052" s="123" t="s">
        <v>11460</v>
      </c>
      <c r="L3052" s="131" t="s">
        <v>100</v>
      </c>
      <c r="M3052" s="135" t="s">
        <v>845</v>
      </c>
      <c r="N3052" s="123" t="s">
        <v>845</v>
      </c>
    </row>
    <row r="3053" spans="2:14" hidden="1" x14ac:dyDescent="0.25">
      <c r="B3053" s="120">
        <v>3050</v>
      </c>
      <c r="C3053" s="123">
        <v>10479242769</v>
      </c>
      <c r="D3053" s="126" t="s">
        <v>11463</v>
      </c>
      <c r="E3053" s="126" t="s">
        <v>11464</v>
      </c>
      <c r="F3053" s="123" t="s">
        <v>30</v>
      </c>
      <c r="G3053" s="123" t="s">
        <v>30</v>
      </c>
      <c r="H3053" s="123" t="s">
        <v>60</v>
      </c>
      <c r="I3053" s="126" t="s">
        <v>101</v>
      </c>
      <c r="J3053" s="123" t="s">
        <v>11465</v>
      </c>
      <c r="K3053" s="123" t="s">
        <v>11463</v>
      </c>
      <c r="L3053" s="131" t="s">
        <v>100</v>
      </c>
      <c r="M3053" s="135" t="s">
        <v>845</v>
      </c>
      <c r="N3053" s="123" t="s">
        <v>845</v>
      </c>
    </row>
    <row r="3054" spans="2:14" hidden="1" x14ac:dyDescent="0.25">
      <c r="B3054" s="120">
        <v>3051</v>
      </c>
      <c r="C3054" s="123">
        <v>10257730374</v>
      </c>
      <c r="D3054" s="126" t="s">
        <v>11466</v>
      </c>
      <c r="E3054" s="126" t="s">
        <v>11467</v>
      </c>
      <c r="F3054" s="123" t="s">
        <v>30</v>
      </c>
      <c r="G3054" s="123" t="s">
        <v>30</v>
      </c>
      <c r="H3054" s="123" t="s">
        <v>39</v>
      </c>
      <c r="I3054" s="126" t="s">
        <v>1706</v>
      </c>
      <c r="J3054" s="123" t="s">
        <v>11468</v>
      </c>
      <c r="K3054" s="123" t="s">
        <v>11466</v>
      </c>
      <c r="L3054" s="131" t="s">
        <v>100</v>
      </c>
      <c r="M3054" s="135" t="s">
        <v>845</v>
      </c>
      <c r="N3054" s="123" t="s">
        <v>845</v>
      </c>
    </row>
    <row r="3055" spans="2:14" hidden="1" x14ac:dyDescent="0.25">
      <c r="B3055" s="120">
        <v>3052</v>
      </c>
      <c r="C3055" s="123">
        <v>10062127908</v>
      </c>
      <c r="D3055" s="126" t="s">
        <v>11469</v>
      </c>
      <c r="E3055" s="126" t="s">
        <v>11470</v>
      </c>
      <c r="F3055" s="123" t="s">
        <v>30</v>
      </c>
      <c r="G3055" s="123" t="s">
        <v>30</v>
      </c>
      <c r="H3055" s="123" t="s">
        <v>30</v>
      </c>
      <c r="I3055" s="126" t="s">
        <v>1564</v>
      </c>
      <c r="J3055" s="123" t="s">
        <v>11471</v>
      </c>
      <c r="K3055" s="123" t="s">
        <v>11469</v>
      </c>
      <c r="L3055" s="131" t="s">
        <v>100</v>
      </c>
      <c r="M3055" s="135" t="s">
        <v>845</v>
      </c>
      <c r="N3055" s="123" t="s">
        <v>845</v>
      </c>
    </row>
    <row r="3056" spans="2:14" hidden="1" x14ac:dyDescent="0.25">
      <c r="B3056" s="120">
        <v>3053</v>
      </c>
      <c r="C3056" s="123">
        <v>10463257952</v>
      </c>
      <c r="D3056" s="126" t="s">
        <v>11472</v>
      </c>
      <c r="E3056" s="126" t="s">
        <v>11473</v>
      </c>
      <c r="F3056" s="123" t="s">
        <v>30</v>
      </c>
      <c r="G3056" s="123" t="s">
        <v>30</v>
      </c>
      <c r="H3056" s="123" t="s">
        <v>88</v>
      </c>
      <c r="I3056" s="126" t="s">
        <v>1805</v>
      </c>
      <c r="J3056" s="123" t="s">
        <v>11474</v>
      </c>
      <c r="K3056" s="123" t="s">
        <v>11475</v>
      </c>
      <c r="L3056" s="131" t="s">
        <v>100</v>
      </c>
      <c r="M3056" s="135" t="s">
        <v>845</v>
      </c>
      <c r="N3056" s="123" t="s">
        <v>845</v>
      </c>
    </row>
    <row r="3057" spans="2:14" hidden="1" x14ac:dyDescent="0.25">
      <c r="B3057" s="120">
        <v>3054</v>
      </c>
      <c r="C3057" s="123">
        <v>10460605143</v>
      </c>
      <c r="D3057" s="126" t="s">
        <v>11476</v>
      </c>
      <c r="E3057" s="126" t="s">
        <v>11477</v>
      </c>
      <c r="F3057" s="123" t="s">
        <v>30</v>
      </c>
      <c r="G3057" s="123" t="s">
        <v>30</v>
      </c>
      <c r="H3057" s="123" t="s">
        <v>45</v>
      </c>
      <c r="I3057" s="126" t="s">
        <v>263</v>
      </c>
      <c r="J3057" s="123" t="s">
        <v>11478</v>
      </c>
      <c r="K3057" s="123" t="s">
        <v>11476</v>
      </c>
      <c r="L3057" s="131" t="s">
        <v>100</v>
      </c>
      <c r="M3057" s="135" t="s">
        <v>845</v>
      </c>
      <c r="N3057" s="123" t="s">
        <v>845</v>
      </c>
    </row>
    <row r="3058" spans="2:14" hidden="1" x14ac:dyDescent="0.25">
      <c r="B3058" s="120">
        <v>3055</v>
      </c>
      <c r="C3058" s="123">
        <v>10032353989</v>
      </c>
      <c r="D3058" s="126" t="s">
        <v>11479</v>
      </c>
      <c r="E3058" s="126" t="s">
        <v>11480</v>
      </c>
      <c r="F3058" s="123" t="s">
        <v>30</v>
      </c>
      <c r="G3058" s="123" t="s">
        <v>30</v>
      </c>
      <c r="H3058" s="123" t="s">
        <v>72</v>
      </c>
      <c r="I3058" s="126" t="s">
        <v>1737</v>
      </c>
      <c r="J3058" s="123" t="s">
        <v>11481</v>
      </c>
      <c r="K3058" s="123" t="s">
        <v>11479</v>
      </c>
      <c r="L3058" s="131" t="s">
        <v>100</v>
      </c>
      <c r="M3058" s="135" t="s">
        <v>845</v>
      </c>
      <c r="N3058" s="123" t="s">
        <v>845</v>
      </c>
    </row>
    <row r="3059" spans="2:14" hidden="1" x14ac:dyDescent="0.25">
      <c r="B3059" s="120">
        <v>3056</v>
      </c>
      <c r="C3059" s="123">
        <v>10738774685</v>
      </c>
      <c r="D3059" s="126" t="s">
        <v>11482</v>
      </c>
      <c r="E3059" s="126" t="s">
        <v>11483</v>
      </c>
      <c r="F3059" s="123" t="s">
        <v>30</v>
      </c>
      <c r="G3059" s="123" t="s">
        <v>168</v>
      </c>
      <c r="H3059" s="123" t="s">
        <v>177</v>
      </c>
      <c r="I3059" s="126" t="s">
        <v>1950</v>
      </c>
      <c r="J3059" s="123" t="s">
        <v>11484</v>
      </c>
      <c r="K3059" s="123" t="s">
        <v>11482</v>
      </c>
      <c r="L3059" s="131" t="s">
        <v>100</v>
      </c>
      <c r="M3059" s="135" t="s">
        <v>845</v>
      </c>
      <c r="N3059" s="123" t="s">
        <v>845</v>
      </c>
    </row>
    <row r="3060" spans="2:14" hidden="1" x14ac:dyDescent="0.25">
      <c r="B3060" s="120">
        <v>3057</v>
      </c>
      <c r="C3060" s="123">
        <v>10455640518</v>
      </c>
      <c r="D3060" s="126" t="s">
        <v>11485</v>
      </c>
      <c r="E3060" s="126" t="s">
        <v>11486</v>
      </c>
      <c r="F3060" s="123" t="s">
        <v>30</v>
      </c>
      <c r="G3060" s="123" t="s">
        <v>30</v>
      </c>
      <c r="H3060" s="123" t="s">
        <v>45</v>
      </c>
      <c r="I3060" s="126" t="s">
        <v>1938</v>
      </c>
      <c r="J3060" s="123" t="s">
        <v>11487</v>
      </c>
      <c r="K3060" s="123" t="s">
        <v>11485</v>
      </c>
      <c r="L3060" s="131" t="s">
        <v>100</v>
      </c>
      <c r="M3060" s="135" t="s">
        <v>845</v>
      </c>
      <c r="N3060" s="123" t="s">
        <v>845</v>
      </c>
    </row>
    <row r="3061" spans="2:14" hidden="1" x14ac:dyDescent="0.25">
      <c r="B3061" s="120">
        <v>3058</v>
      </c>
      <c r="C3061" s="123">
        <v>10068937677</v>
      </c>
      <c r="D3061" s="126" t="s">
        <v>11488</v>
      </c>
      <c r="E3061" s="126" t="s">
        <v>11489</v>
      </c>
      <c r="F3061" s="123" t="s">
        <v>30</v>
      </c>
      <c r="G3061" s="123" t="s">
        <v>30</v>
      </c>
      <c r="H3061" s="123" t="s">
        <v>58</v>
      </c>
      <c r="I3061" s="126" t="s">
        <v>1655</v>
      </c>
      <c r="J3061" s="123" t="s">
        <v>11490</v>
      </c>
      <c r="K3061" s="123" t="s">
        <v>11488</v>
      </c>
      <c r="L3061" s="131" t="s">
        <v>100</v>
      </c>
      <c r="M3061" s="135" t="s">
        <v>845</v>
      </c>
      <c r="N3061" s="123" t="s">
        <v>845</v>
      </c>
    </row>
    <row r="3062" spans="2:14" hidden="1" x14ac:dyDescent="0.25">
      <c r="B3062" s="120">
        <v>3059</v>
      </c>
      <c r="C3062" s="123">
        <v>10701895628</v>
      </c>
      <c r="D3062" s="126" t="s">
        <v>11491</v>
      </c>
      <c r="E3062" s="126" t="s">
        <v>11492</v>
      </c>
      <c r="F3062" s="123" t="s">
        <v>30</v>
      </c>
      <c r="G3062" s="123" t="s">
        <v>30</v>
      </c>
      <c r="H3062" s="123" t="s">
        <v>52</v>
      </c>
      <c r="I3062" s="126" t="s">
        <v>1424</v>
      </c>
      <c r="J3062" s="123" t="s">
        <v>11493</v>
      </c>
      <c r="K3062" s="123" t="s">
        <v>11491</v>
      </c>
      <c r="L3062" s="131" t="s">
        <v>100</v>
      </c>
      <c r="M3062" s="135" t="s">
        <v>845</v>
      </c>
      <c r="N3062" s="123" t="s">
        <v>845</v>
      </c>
    </row>
    <row r="3063" spans="2:14" hidden="1" x14ac:dyDescent="0.25">
      <c r="B3063" s="120">
        <v>3060</v>
      </c>
      <c r="C3063" s="123">
        <v>10294152810</v>
      </c>
      <c r="D3063" s="126" t="s">
        <v>11494</v>
      </c>
      <c r="E3063" s="126" t="s">
        <v>11495</v>
      </c>
      <c r="F3063" s="123" t="s">
        <v>30</v>
      </c>
      <c r="G3063" s="123" t="s">
        <v>30</v>
      </c>
      <c r="H3063" s="123" t="s">
        <v>60</v>
      </c>
      <c r="I3063" s="126" t="s">
        <v>1950</v>
      </c>
      <c r="J3063" s="123" t="s">
        <v>11496</v>
      </c>
      <c r="K3063" s="123" t="s">
        <v>11494</v>
      </c>
      <c r="L3063" s="131" t="s">
        <v>100</v>
      </c>
      <c r="M3063" s="135" t="s">
        <v>845</v>
      </c>
      <c r="N3063" s="123" t="s">
        <v>845</v>
      </c>
    </row>
    <row r="3064" spans="2:14" hidden="1" x14ac:dyDescent="0.25">
      <c r="B3064" s="120">
        <v>3061</v>
      </c>
      <c r="C3064" s="123">
        <v>10449704164</v>
      </c>
      <c r="D3064" s="126" t="s">
        <v>11497</v>
      </c>
      <c r="E3064" s="126" t="s">
        <v>11498</v>
      </c>
      <c r="F3064" s="123" t="s">
        <v>30</v>
      </c>
      <c r="G3064" s="123" t="s">
        <v>30</v>
      </c>
      <c r="H3064" s="123" t="s">
        <v>50</v>
      </c>
      <c r="I3064" s="126" t="s">
        <v>1958</v>
      </c>
      <c r="J3064" s="123" t="s">
        <v>11499</v>
      </c>
      <c r="K3064" s="123" t="s">
        <v>11500</v>
      </c>
      <c r="L3064" s="131" t="s">
        <v>100</v>
      </c>
      <c r="M3064" s="135" t="s">
        <v>845</v>
      </c>
      <c r="N3064" s="123" t="s">
        <v>845</v>
      </c>
    </row>
    <row r="3065" spans="2:14" hidden="1" x14ac:dyDescent="0.25">
      <c r="B3065" s="120">
        <v>3062</v>
      </c>
      <c r="C3065" s="123">
        <v>10432700858</v>
      </c>
      <c r="D3065" s="126" t="s">
        <v>11501</v>
      </c>
      <c r="E3065" s="126" t="s">
        <v>11502</v>
      </c>
      <c r="F3065" s="123" t="s">
        <v>30</v>
      </c>
      <c r="G3065" s="123" t="s">
        <v>30</v>
      </c>
      <c r="H3065" s="123" t="s">
        <v>75</v>
      </c>
      <c r="I3065" s="126" t="s">
        <v>1931</v>
      </c>
      <c r="J3065" s="123" t="s">
        <v>11503</v>
      </c>
      <c r="K3065" s="123" t="s">
        <v>11501</v>
      </c>
      <c r="L3065" s="131" t="s">
        <v>100</v>
      </c>
      <c r="M3065" s="135" t="s">
        <v>845</v>
      </c>
      <c r="N3065" s="123" t="s">
        <v>845</v>
      </c>
    </row>
    <row r="3066" spans="2:14" hidden="1" x14ac:dyDescent="0.25">
      <c r="B3066" s="120">
        <v>3063</v>
      </c>
      <c r="C3066" s="123">
        <v>10484365330</v>
      </c>
      <c r="D3066" s="126" t="s">
        <v>11504</v>
      </c>
      <c r="E3066" s="126" t="s">
        <v>11505</v>
      </c>
      <c r="F3066" s="123" t="s">
        <v>30</v>
      </c>
      <c r="G3066" s="123" t="s">
        <v>30</v>
      </c>
      <c r="H3066" s="123" t="s">
        <v>58</v>
      </c>
      <c r="I3066" s="126" t="s">
        <v>1499</v>
      </c>
      <c r="J3066" s="123" t="s">
        <v>11506</v>
      </c>
      <c r="K3066" s="123" t="s">
        <v>11504</v>
      </c>
      <c r="L3066" s="131" t="s">
        <v>100</v>
      </c>
      <c r="M3066" s="135" t="s">
        <v>845</v>
      </c>
      <c r="N3066" s="123" t="s">
        <v>845</v>
      </c>
    </row>
    <row r="3067" spans="2:14" hidden="1" x14ac:dyDescent="0.25">
      <c r="B3067" s="120">
        <v>3064</v>
      </c>
      <c r="C3067" s="123">
        <v>10452635904</v>
      </c>
      <c r="D3067" s="126" t="s">
        <v>11507</v>
      </c>
      <c r="E3067" s="126" t="s">
        <v>11508</v>
      </c>
      <c r="F3067" s="123" t="s">
        <v>30</v>
      </c>
      <c r="G3067" s="123" t="s">
        <v>30</v>
      </c>
      <c r="H3067" s="123" t="s">
        <v>58</v>
      </c>
      <c r="I3067" s="126" t="s">
        <v>11509</v>
      </c>
      <c r="J3067" s="123" t="s">
        <v>11510</v>
      </c>
      <c r="K3067" s="123" t="s">
        <v>11507</v>
      </c>
      <c r="L3067" s="131" t="s">
        <v>100</v>
      </c>
      <c r="M3067" s="135" t="s">
        <v>845</v>
      </c>
      <c r="N3067" s="123" t="s">
        <v>845</v>
      </c>
    </row>
    <row r="3068" spans="2:14" hidden="1" x14ac:dyDescent="0.25">
      <c r="B3068" s="120">
        <v>3065</v>
      </c>
      <c r="C3068" s="123">
        <v>10108170102</v>
      </c>
      <c r="D3068" s="126" t="s">
        <v>11511</v>
      </c>
      <c r="E3068" s="126" t="s">
        <v>11512</v>
      </c>
      <c r="F3068" s="123" t="s">
        <v>30</v>
      </c>
      <c r="G3068" s="123" t="s">
        <v>30</v>
      </c>
      <c r="H3068" s="123" t="s">
        <v>41</v>
      </c>
      <c r="I3068" s="126" t="s">
        <v>1701</v>
      </c>
      <c r="J3068" s="123" t="s">
        <v>11513</v>
      </c>
      <c r="K3068" s="123" t="s">
        <v>11511</v>
      </c>
      <c r="L3068" s="131" t="s">
        <v>100</v>
      </c>
      <c r="M3068" s="135" t="s">
        <v>845</v>
      </c>
      <c r="N3068" s="123" t="s">
        <v>845</v>
      </c>
    </row>
    <row r="3069" spans="2:14" hidden="1" x14ac:dyDescent="0.25">
      <c r="B3069" s="120">
        <v>3066</v>
      </c>
      <c r="C3069" s="123">
        <v>10425871035</v>
      </c>
      <c r="D3069" s="126" t="s">
        <v>11514</v>
      </c>
      <c r="E3069" s="126" t="s">
        <v>11515</v>
      </c>
      <c r="F3069" s="123" t="s">
        <v>30</v>
      </c>
      <c r="G3069" s="123" t="s">
        <v>30</v>
      </c>
      <c r="H3069" s="123" t="s">
        <v>72</v>
      </c>
      <c r="I3069" s="126" t="s">
        <v>1701</v>
      </c>
      <c r="J3069" s="123" t="s">
        <v>11516</v>
      </c>
      <c r="K3069" s="123" t="s">
        <v>11514</v>
      </c>
      <c r="L3069" s="131" t="s">
        <v>100</v>
      </c>
      <c r="M3069" s="135" t="s">
        <v>845</v>
      </c>
      <c r="N3069" s="123" t="s">
        <v>845</v>
      </c>
    </row>
    <row r="3070" spans="2:14" hidden="1" x14ac:dyDescent="0.25">
      <c r="B3070" s="120">
        <v>3067</v>
      </c>
      <c r="C3070" s="123">
        <v>10157432503</v>
      </c>
      <c r="D3070" s="126" t="s">
        <v>11517</v>
      </c>
      <c r="E3070" s="126" t="s">
        <v>11518</v>
      </c>
      <c r="F3070" s="123" t="s">
        <v>30</v>
      </c>
      <c r="G3070" s="123" t="s">
        <v>170</v>
      </c>
      <c r="H3070" s="123" t="s">
        <v>174</v>
      </c>
      <c r="I3070" s="126" t="s">
        <v>11519</v>
      </c>
      <c r="J3070" s="123" t="s">
        <v>11520</v>
      </c>
      <c r="K3070" s="123" t="s">
        <v>11517</v>
      </c>
      <c r="L3070" s="131" t="s">
        <v>100</v>
      </c>
      <c r="M3070" s="135" t="s">
        <v>845</v>
      </c>
      <c r="N3070" s="123" t="s">
        <v>845</v>
      </c>
    </row>
    <row r="3071" spans="2:14" hidden="1" x14ac:dyDescent="0.25">
      <c r="B3071" s="120">
        <v>3068</v>
      </c>
      <c r="C3071" s="123">
        <v>10427354879</v>
      </c>
      <c r="D3071" s="126" t="s">
        <v>11521</v>
      </c>
      <c r="E3071" s="126" t="s">
        <v>11522</v>
      </c>
      <c r="F3071" s="123" t="s">
        <v>30</v>
      </c>
      <c r="G3071" s="123" t="s">
        <v>30</v>
      </c>
      <c r="H3071" s="123" t="s">
        <v>43</v>
      </c>
      <c r="I3071" s="126" t="s">
        <v>1424</v>
      </c>
      <c r="J3071" s="123" t="s">
        <v>11523</v>
      </c>
      <c r="K3071" s="123" t="s">
        <v>11521</v>
      </c>
      <c r="L3071" s="131" t="s">
        <v>100</v>
      </c>
      <c r="M3071" s="135" t="s">
        <v>845</v>
      </c>
      <c r="N3071" s="123" t="s">
        <v>845</v>
      </c>
    </row>
    <row r="3072" spans="2:14" hidden="1" x14ac:dyDescent="0.25">
      <c r="B3072" s="120">
        <v>3069</v>
      </c>
      <c r="C3072" s="123">
        <v>10701049301</v>
      </c>
      <c r="D3072" s="126" t="s">
        <v>11524</v>
      </c>
      <c r="E3072" s="126" t="s">
        <v>11525</v>
      </c>
      <c r="F3072" s="123" t="s">
        <v>30</v>
      </c>
      <c r="G3072" s="123" t="s">
        <v>30</v>
      </c>
      <c r="H3072" s="123" t="s">
        <v>50</v>
      </c>
      <c r="I3072" s="126" t="s">
        <v>9099</v>
      </c>
      <c r="J3072" s="123" t="s">
        <v>11526</v>
      </c>
      <c r="K3072" s="123" t="s">
        <v>11524</v>
      </c>
      <c r="L3072" s="131" t="s">
        <v>100</v>
      </c>
      <c r="M3072" s="135" t="s">
        <v>845</v>
      </c>
      <c r="N3072" s="123" t="s">
        <v>845</v>
      </c>
    </row>
    <row r="3073" spans="2:14" hidden="1" x14ac:dyDescent="0.25">
      <c r="B3073" s="120">
        <v>3070</v>
      </c>
      <c r="C3073" s="123">
        <v>10458021541</v>
      </c>
      <c r="D3073" s="126" t="s">
        <v>11527</v>
      </c>
      <c r="E3073" s="126" t="s">
        <v>11528</v>
      </c>
      <c r="F3073" s="123" t="s">
        <v>30</v>
      </c>
      <c r="G3073" s="123" t="s">
        <v>30</v>
      </c>
      <c r="H3073" s="123" t="s">
        <v>43</v>
      </c>
      <c r="I3073" s="126" t="s">
        <v>1983</v>
      </c>
      <c r="J3073" s="123" t="s">
        <v>11529</v>
      </c>
      <c r="K3073" s="123" t="s">
        <v>11527</v>
      </c>
      <c r="L3073" s="131" t="s">
        <v>100</v>
      </c>
      <c r="M3073" s="135" t="s">
        <v>845</v>
      </c>
      <c r="N3073" s="123" t="s">
        <v>845</v>
      </c>
    </row>
    <row r="3074" spans="2:14" hidden="1" x14ac:dyDescent="0.25">
      <c r="B3074" s="120">
        <v>3071</v>
      </c>
      <c r="C3074" s="123">
        <v>10470923381</v>
      </c>
      <c r="D3074" s="126" t="s">
        <v>11530</v>
      </c>
      <c r="E3074" s="126" t="s">
        <v>11531</v>
      </c>
      <c r="F3074" s="123" t="s">
        <v>30</v>
      </c>
      <c r="G3074" s="123" t="s">
        <v>30</v>
      </c>
      <c r="H3074" s="123" t="s">
        <v>52</v>
      </c>
      <c r="I3074" s="126" t="s">
        <v>1701</v>
      </c>
      <c r="J3074" s="123" t="s">
        <v>11532</v>
      </c>
      <c r="K3074" s="123" t="s">
        <v>11530</v>
      </c>
      <c r="L3074" s="131" t="s">
        <v>100</v>
      </c>
      <c r="M3074" s="135" t="s">
        <v>845</v>
      </c>
      <c r="N3074" s="123" t="s">
        <v>845</v>
      </c>
    </row>
    <row r="3075" spans="2:14" hidden="1" x14ac:dyDescent="0.25">
      <c r="B3075" s="120">
        <v>3072</v>
      </c>
      <c r="C3075" s="123">
        <v>10438097959</v>
      </c>
      <c r="D3075" s="126" t="s">
        <v>11533</v>
      </c>
      <c r="E3075" s="126" t="s">
        <v>11534</v>
      </c>
      <c r="F3075" s="123" t="s">
        <v>30</v>
      </c>
      <c r="G3075" s="123" t="s">
        <v>48</v>
      </c>
      <c r="H3075" s="123" t="s">
        <v>155</v>
      </c>
      <c r="I3075" s="126" t="s">
        <v>1931</v>
      </c>
      <c r="J3075" s="123" t="s">
        <v>11535</v>
      </c>
      <c r="K3075" s="123" t="s">
        <v>11533</v>
      </c>
      <c r="L3075" s="131" t="s">
        <v>100</v>
      </c>
      <c r="M3075" s="135" t="s">
        <v>845</v>
      </c>
      <c r="N3075" s="123" t="s">
        <v>845</v>
      </c>
    </row>
    <row r="3076" spans="2:14" hidden="1" x14ac:dyDescent="0.25">
      <c r="B3076" s="120">
        <v>3073</v>
      </c>
      <c r="C3076" s="123">
        <v>10766780160</v>
      </c>
      <c r="D3076" s="126" t="s">
        <v>11536</v>
      </c>
      <c r="E3076" s="126" t="s">
        <v>11537</v>
      </c>
      <c r="F3076" s="123" t="s">
        <v>30</v>
      </c>
      <c r="G3076" s="123" t="s">
        <v>30</v>
      </c>
      <c r="H3076" s="123" t="s">
        <v>123</v>
      </c>
      <c r="I3076" s="126" t="s">
        <v>1706</v>
      </c>
      <c r="J3076" s="123" t="s">
        <v>11538</v>
      </c>
      <c r="K3076" s="123" t="s">
        <v>11539</v>
      </c>
      <c r="L3076" s="131" t="s">
        <v>100</v>
      </c>
      <c r="M3076" s="135" t="s">
        <v>845</v>
      </c>
      <c r="N3076" s="123" t="s">
        <v>845</v>
      </c>
    </row>
    <row r="3077" spans="2:14" hidden="1" x14ac:dyDescent="0.25">
      <c r="B3077" s="120">
        <v>3074</v>
      </c>
      <c r="C3077" s="123">
        <v>10416470613</v>
      </c>
      <c r="D3077" s="126" t="s">
        <v>11540</v>
      </c>
      <c r="E3077" s="126" t="s">
        <v>11541</v>
      </c>
      <c r="F3077" s="123" t="s">
        <v>30</v>
      </c>
      <c r="G3077" s="123" t="s">
        <v>30</v>
      </c>
      <c r="H3077" s="123" t="s">
        <v>34</v>
      </c>
      <c r="I3077" s="126" t="s">
        <v>1701</v>
      </c>
      <c r="J3077" s="123" t="s">
        <v>11542</v>
      </c>
      <c r="K3077" s="123" t="s">
        <v>11540</v>
      </c>
      <c r="L3077" s="131" t="s">
        <v>100</v>
      </c>
      <c r="M3077" s="135" t="s">
        <v>845</v>
      </c>
      <c r="N3077" s="123" t="s">
        <v>845</v>
      </c>
    </row>
    <row r="3078" spans="2:14" hidden="1" x14ac:dyDescent="0.25">
      <c r="B3078" s="120">
        <v>3075</v>
      </c>
      <c r="C3078" s="123">
        <v>10100881905</v>
      </c>
      <c r="D3078" s="126" t="s">
        <v>11543</v>
      </c>
      <c r="E3078" s="126" t="s">
        <v>11544</v>
      </c>
      <c r="F3078" s="123" t="s">
        <v>30</v>
      </c>
      <c r="G3078" s="123" t="s">
        <v>30</v>
      </c>
      <c r="H3078" s="123" t="s">
        <v>41</v>
      </c>
      <c r="I3078" s="126" t="s">
        <v>1643</v>
      </c>
      <c r="J3078" s="123" t="s">
        <v>11545</v>
      </c>
      <c r="K3078" s="123" t="s">
        <v>11546</v>
      </c>
      <c r="L3078" s="131" t="s">
        <v>100</v>
      </c>
      <c r="M3078" s="135" t="s">
        <v>845</v>
      </c>
      <c r="N3078" s="123" t="s">
        <v>845</v>
      </c>
    </row>
    <row r="3079" spans="2:14" hidden="1" x14ac:dyDescent="0.25">
      <c r="B3079" s="120">
        <v>3076</v>
      </c>
      <c r="C3079" s="123">
        <v>10721527374</v>
      </c>
      <c r="D3079" s="126" t="s">
        <v>11547</v>
      </c>
      <c r="E3079" s="126" t="s">
        <v>11548</v>
      </c>
      <c r="F3079" s="123" t="s">
        <v>30</v>
      </c>
      <c r="G3079" s="123" t="s">
        <v>30</v>
      </c>
      <c r="H3079" s="123" t="s">
        <v>52</v>
      </c>
      <c r="I3079" s="126" t="s">
        <v>1701</v>
      </c>
      <c r="J3079" s="123" t="s">
        <v>11549</v>
      </c>
      <c r="K3079" s="123" t="s">
        <v>11547</v>
      </c>
      <c r="L3079" s="131" t="s">
        <v>100</v>
      </c>
      <c r="M3079" s="135" t="s">
        <v>845</v>
      </c>
      <c r="N3079" s="123" t="s">
        <v>845</v>
      </c>
    </row>
    <row r="3080" spans="2:14" hidden="1" x14ac:dyDescent="0.25">
      <c r="B3080" s="120">
        <v>3077</v>
      </c>
      <c r="C3080" s="123">
        <v>10068528556</v>
      </c>
      <c r="D3080" s="126" t="s">
        <v>11550</v>
      </c>
      <c r="E3080" s="126" t="s">
        <v>11551</v>
      </c>
      <c r="F3080" s="123" t="s">
        <v>30</v>
      </c>
      <c r="G3080" s="123" t="s">
        <v>30</v>
      </c>
      <c r="H3080" s="123" t="s">
        <v>72</v>
      </c>
      <c r="I3080" s="126" t="s">
        <v>1939</v>
      </c>
      <c r="J3080" s="123" t="s">
        <v>11552</v>
      </c>
      <c r="K3080" s="123" t="s">
        <v>11550</v>
      </c>
      <c r="L3080" s="131" t="s">
        <v>100</v>
      </c>
      <c r="M3080" s="135" t="s">
        <v>845</v>
      </c>
      <c r="N3080" s="123" t="s">
        <v>845</v>
      </c>
    </row>
    <row r="3081" spans="2:14" hidden="1" x14ac:dyDescent="0.25">
      <c r="B3081" s="120">
        <v>3078</v>
      </c>
      <c r="C3081" s="123">
        <v>10434754190</v>
      </c>
      <c r="D3081" s="126" t="s">
        <v>11553</v>
      </c>
      <c r="E3081" s="126" t="s">
        <v>11554</v>
      </c>
      <c r="F3081" s="123" t="s">
        <v>30</v>
      </c>
      <c r="G3081" s="123" t="s">
        <v>30</v>
      </c>
      <c r="H3081" s="123" t="s">
        <v>30</v>
      </c>
      <c r="I3081" s="126" t="s">
        <v>1944</v>
      </c>
      <c r="J3081" s="123" t="s">
        <v>11555</v>
      </c>
      <c r="K3081" s="123" t="s">
        <v>11556</v>
      </c>
      <c r="L3081" s="131" t="s">
        <v>100</v>
      </c>
      <c r="M3081" s="135" t="s">
        <v>845</v>
      </c>
      <c r="N3081" s="123" t="s">
        <v>845</v>
      </c>
    </row>
    <row r="3082" spans="2:14" hidden="1" x14ac:dyDescent="0.25">
      <c r="B3082" s="120">
        <v>3079</v>
      </c>
      <c r="C3082" s="123">
        <v>10422292646</v>
      </c>
      <c r="D3082" s="126" t="s">
        <v>11557</v>
      </c>
      <c r="E3082" s="126" t="s">
        <v>11558</v>
      </c>
      <c r="F3082" s="123" t="s">
        <v>30</v>
      </c>
      <c r="G3082" s="123" t="s">
        <v>30</v>
      </c>
      <c r="H3082" s="123" t="s">
        <v>51</v>
      </c>
      <c r="I3082" s="126" t="s">
        <v>1564</v>
      </c>
      <c r="J3082" s="123" t="s">
        <v>11559</v>
      </c>
      <c r="K3082" s="123" t="s">
        <v>11557</v>
      </c>
      <c r="L3082" s="131" t="s">
        <v>100</v>
      </c>
      <c r="M3082" s="135" t="s">
        <v>845</v>
      </c>
      <c r="N3082" s="123" t="s">
        <v>845</v>
      </c>
    </row>
    <row r="3083" spans="2:14" hidden="1" x14ac:dyDescent="0.25">
      <c r="B3083" s="120">
        <v>3080</v>
      </c>
      <c r="C3083" s="123">
        <v>10068364146</v>
      </c>
      <c r="D3083" s="126" t="s">
        <v>11560</v>
      </c>
      <c r="E3083" s="126" t="s">
        <v>11561</v>
      </c>
      <c r="F3083" s="123" t="s">
        <v>30</v>
      </c>
      <c r="G3083" s="123" t="s">
        <v>30</v>
      </c>
      <c r="H3083" s="123" t="s">
        <v>58</v>
      </c>
      <c r="I3083" s="126" t="s">
        <v>1701</v>
      </c>
      <c r="J3083" s="123" t="s">
        <v>11562</v>
      </c>
      <c r="K3083" s="123" t="s">
        <v>11560</v>
      </c>
      <c r="L3083" s="131" t="s">
        <v>100</v>
      </c>
      <c r="M3083" s="135" t="s">
        <v>845</v>
      </c>
      <c r="N3083" s="123" t="s">
        <v>845</v>
      </c>
    </row>
    <row r="3084" spans="2:14" hidden="1" x14ac:dyDescent="0.25">
      <c r="B3084" s="120">
        <v>3081</v>
      </c>
      <c r="C3084" s="123">
        <v>10459926360</v>
      </c>
      <c r="D3084" s="126" t="s">
        <v>11563</v>
      </c>
      <c r="E3084" s="126" t="s">
        <v>11564</v>
      </c>
      <c r="F3084" s="123" t="s">
        <v>30</v>
      </c>
      <c r="G3084" s="123" t="s">
        <v>30</v>
      </c>
      <c r="H3084" s="123" t="s">
        <v>50</v>
      </c>
      <c r="I3084" s="126" t="s">
        <v>1727</v>
      </c>
      <c r="J3084" s="123" t="s">
        <v>11565</v>
      </c>
      <c r="K3084" s="123" t="s">
        <v>11563</v>
      </c>
      <c r="L3084" s="131" t="s">
        <v>100</v>
      </c>
      <c r="M3084" s="135" t="s">
        <v>845</v>
      </c>
      <c r="N3084" s="123" t="s">
        <v>845</v>
      </c>
    </row>
    <row r="3085" spans="2:14" hidden="1" x14ac:dyDescent="0.25">
      <c r="B3085" s="120">
        <v>3082</v>
      </c>
      <c r="C3085" s="123">
        <v>10460381172</v>
      </c>
      <c r="D3085" s="126" t="s">
        <v>11566</v>
      </c>
      <c r="E3085" s="126" t="s">
        <v>11567</v>
      </c>
      <c r="F3085" s="123" t="s">
        <v>30</v>
      </c>
      <c r="G3085" s="123" t="s">
        <v>30</v>
      </c>
      <c r="H3085" s="123" t="s">
        <v>50</v>
      </c>
      <c r="I3085" s="126" t="s">
        <v>1701</v>
      </c>
      <c r="J3085" s="123" t="s">
        <v>11568</v>
      </c>
      <c r="K3085" s="123" t="s">
        <v>11566</v>
      </c>
      <c r="L3085" s="131" t="s">
        <v>100</v>
      </c>
      <c r="M3085" s="135" t="s">
        <v>845</v>
      </c>
      <c r="N3085" s="123" t="s">
        <v>845</v>
      </c>
    </row>
    <row r="3086" spans="2:14" hidden="1" x14ac:dyDescent="0.25">
      <c r="B3086" s="120">
        <v>3083</v>
      </c>
      <c r="C3086" s="123">
        <v>10158640011</v>
      </c>
      <c r="D3086" s="126" t="s">
        <v>11569</v>
      </c>
      <c r="E3086" s="126" t="s">
        <v>11570</v>
      </c>
      <c r="F3086" s="123" t="s">
        <v>30</v>
      </c>
      <c r="G3086" s="123" t="s">
        <v>168</v>
      </c>
      <c r="H3086" s="123" t="s">
        <v>168</v>
      </c>
      <c r="I3086" s="126" t="s">
        <v>1809</v>
      </c>
      <c r="J3086" s="123" t="s">
        <v>11571</v>
      </c>
      <c r="K3086" s="123" t="s">
        <v>11569</v>
      </c>
      <c r="L3086" s="131" t="s">
        <v>100</v>
      </c>
      <c r="M3086" s="135" t="s">
        <v>845</v>
      </c>
      <c r="N3086" s="123" t="s">
        <v>845</v>
      </c>
    </row>
    <row r="3087" spans="2:14" hidden="1" x14ac:dyDescent="0.25">
      <c r="B3087" s="120">
        <v>3084</v>
      </c>
      <c r="C3087" s="123">
        <v>10432697598</v>
      </c>
      <c r="D3087" s="126" t="s">
        <v>11572</v>
      </c>
      <c r="E3087" s="126" t="s">
        <v>11573</v>
      </c>
      <c r="F3087" s="123" t="s">
        <v>30</v>
      </c>
      <c r="G3087" s="123" t="s">
        <v>30</v>
      </c>
      <c r="H3087" s="123" t="s">
        <v>43</v>
      </c>
      <c r="I3087" s="126" t="s">
        <v>1564</v>
      </c>
      <c r="J3087" s="123" t="s">
        <v>11574</v>
      </c>
      <c r="K3087" s="123" t="s">
        <v>11572</v>
      </c>
      <c r="L3087" s="131" t="s">
        <v>100</v>
      </c>
      <c r="M3087" s="135" t="s">
        <v>845</v>
      </c>
      <c r="N3087" s="123" t="s">
        <v>845</v>
      </c>
    </row>
    <row r="3088" spans="2:14" hidden="1" x14ac:dyDescent="0.25">
      <c r="B3088" s="120">
        <v>3085</v>
      </c>
      <c r="C3088" s="123">
        <v>10426219633</v>
      </c>
      <c r="D3088" s="126" t="s">
        <v>11575</v>
      </c>
      <c r="E3088" s="126" t="s">
        <v>11576</v>
      </c>
      <c r="F3088" s="123" t="s">
        <v>30</v>
      </c>
      <c r="G3088" s="123" t="s">
        <v>30</v>
      </c>
      <c r="H3088" s="123" t="s">
        <v>72</v>
      </c>
      <c r="I3088" s="126" t="s">
        <v>1737</v>
      </c>
      <c r="J3088" s="123" t="s">
        <v>11577</v>
      </c>
      <c r="K3088" s="123" t="s">
        <v>11575</v>
      </c>
      <c r="L3088" s="131" t="s">
        <v>100</v>
      </c>
      <c r="M3088" s="135" t="s">
        <v>845</v>
      </c>
      <c r="N3088" s="123" t="s">
        <v>845</v>
      </c>
    </row>
    <row r="3089" spans="2:14" hidden="1" x14ac:dyDescent="0.25">
      <c r="B3089" s="120">
        <v>3086</v>
      </c>
      <c r="C3089" s="123">
        <v>10426935363</v>
      </c>
      <c r="D3089" s="126" t="s">
        <v>11578</v>
      </c>
      <c r="E3089" s="126" t="s">
        <v>11579</v>
      </c>
      <c r="F3089" s="123" t="s">
        <v>30</v>
      </c>
      <c r="G3089" s="123" t="s">
        <v>30</v>
      </c>
      <c r="H3089" s="123" t="s">
        <v>60</v>
      </c>
      <c r="I3089" s="126" t="s">
        <v>10025</v>
      </c>
      <c r="J3089" s="123" t="s">
        <v>11580</v>
      </c>
      <c r="K3089" s="123" t="s">
        <v>11578</v>
      </c>
      <c r="L3089" s="131" t="s">
        <v>100</v>
      </c>
      <c r="M3089" s="135" t="s">
        <v>845</v>
      </c>
      <c r="N3089" s="123" t="s">
        <v>845</v>
      </c>
    </row>
    <row r="3090" spans="2:14" hidden="1" x14ac:dyDescent="0.25">
      <c r="B3090" s="120">
        <v>3087</v>
      </c>
      <c r="C3090" s="123">
        <v>10403063164</v>
      </c>
      <c r="D3090" s="126" t="s">
        <v>11581</v>
      </c>
      <c r="E3090" s="126" t="s">
        <v>11582</v>
      </c>
      <c r="F3090" s="123" t="s">
        <v>30</v>
      </c>
      <c r="G3090" s="123" t="s">
        <v>170</v>
      </c>
      <c r="H3090" s="123" t="s">
        <v>173</v>
      </c>
      <c r="I3090" s="126" t="s">
        <v>1564</v>
      </c>
      <c r="J3090" s="123" t="s">
        <v>11583</v>
      </c>
      <c r="K3090" s="123" t="s">
        <v>11581</v>
      </c>
      <c r="L3090" s="131" t="s">
        <v>100</v>
      </c>
      <c r="M3090" s="135" t="s">
        <v>845</v>
      </c>
      <c r="N3090" s="123" t="s">
        <v>845</v>
      </c>
    </row>
    <row r="3091" spans="2:14" hidden="1" x14ac:dyDescent="0.25">
      <c r="B3091" s="120">
        <v>3088</v>
      </c>
      <c r="C3091" s="123">
        <v>10237139955</v>
      </c>
      <c r="D3091" s="126" t="s">
        <v>11584</v>
      </c>
      <c r="E3091" s="126" t="s">
        <v>11585</v>
      </c>
      <c r="F3091" s="123" t="s">
        <v>30</v>
      </c>
      <c r="G3091" s="123" t="s">
        <v>30</v>
      </c>
      <c r="H3091" s="123" t="s">
        <v>52</v>
      </c>
      <c r="I3091" s="126" t="s">
        <v>11586</v>
      </c>
      <c r="J3091" s="123" t="s">
        <v>11587</v>
      </c>
      <c r="K3091" s="123" t="s">
        <v>11584</v>
      </c>
      <c r="L3091" s="131" t="s">
        <v>100</v>
      </c>
      <c r="M3091" s="135" t="s">
        <v>845</v>
      </c>
      <c r="N3091" s="123" t="s">
        <v>845</v>
      </c>
    </row>
    <row r="3092" spans="2:14" hidden="1" x14ac:dyDescent="0.25">
      <c r="B3092" s="120">
        <v>3089</v>
      </c>
      <c r="C3092" s="123">
        <v>10061143675</v>
      </c>
      <c r="D3092" s="126" t="s">
        <v>11588</v>
      </c>
      <c r="E3092" s="126" t="s">
        <v>11589</v>
      </c>
      <c r="F3092" s="123" t="s">
        <v>30</v>
      </c>
      <c r="G3092" s="123" t="s">
        <v>30</v>
      </c>
      <c r="H3092" s="123" t="s">
        <v>30</v>
      </c>
      <c r="I3092" s="126" t="s">
        <v>1706</v>
      </c>
      <c r="J3092" s="123" t="s">
        <v>11590</v>
      </c>
      <c r="K3092" s="123" t="s">
        <v>11588</v>
      </c>
      <c r="L3092" s="131" t="s">
        <v>100</v>
      </c>
      <c r="M3092" s="135" t="s">
        <v>845</v>
      </c>
      <c r="N3092" s="123" t="s">
        <v>845</v>
      </c>
    </row>
    <row r="3093" spans="2:14" hidden="1" x14ac:dyDescent="0.25">
      <c r="B3093" s="120">
        <v>3090</v>
      </c>
      <c r="C3093" s="123">
        <v>10257142481</v>
      </c>
      <c r="D3093" s="126" t="s">
        <v>11591</v>
      </c>
      <c r="E3093" s="126" t="s">
        <v>11592</v>
      </c>
      <c r="F3093" s="123" t="s">
        <v>67</v>
      </c>
      <c r="G3093" s="123" t="s">
        <v>67</v>
      </c>
      <c r="H3093" s="123" t="s">
        <v>67</v>
      </c>
      <c r="I3093" s="126" t="s">
        <v>1701</v>
      </c>
      <c r="J3093" s="123" t="s">
        <v>11593</v>
      </c>
      <c r="K3093" s="123" t="s">
        <v>11591</v>
      </c>
      <c r="L3093" s="131" t="s">
        <v>100</v>
      </c>
      <c r="M3093" s="135" t="s">
        <v>845</v>
      </c>
      <c r="N3093" s="123" t="s">
        <v>845</v>
      </c>
    </row>
    <row r="3094" spans="2:14" hidden="1" x14ac:dyDescent="0.25">
      <c r="B3094" s="120">
        <v>3091</v>
      </c>
      <c r="C3094" s="123">
        <v>10409866790</v>
      </c>
      <c r="D3094" s="126" t="s">
        <v>11594</v>
      </c>
      <c r="E3094" s="126" t="s">
        <v>11595</v>
      </c>
      <c r="F3094" s="123" t="s">
        <v>30</v>
      </c>
      <c r="G3094" s="123" t="s">
        <v>30</v>
      </c>
      <c r="H3094" s="123" t="s">
        <v>58</v>
      </c>
      <c r="I3094" s="126" t="s">
        <v>1737</v>
      </c>
      <c r="J3094" s="123" t="s">
        <v>11596</v>
      </c>
      <c r="K3094" s="123" t="s">
        <v>11594</v>
      </c>
      <c r="L3094" s="131" t="s">
        <v>100</v>
      </c>
      <c r="M3094" s="135" t="s">
        <v>845</v>
      </c>
      <c r="N3094" s="123" t="s">
        <v>845</v>
      </c>
    </row>
    <row r="3095" spans="2:14" hidden="1" x14ac:dyDescent="0.25">
      <c r="B3095" s="120">
        <v>3092</v>
      </c>
      <c r="C3095" s="123">
        <v>10432493798</v>
      </c>
      <c r="D3095" s="126" t="s">
        <v>11597</v>
      </c>
      <c r="E3095" s="126" t="s">
        <v>11598</v>
      </c>
      <c r="F3095" s="123" t="s">
        <v>30</v>
      </c>
      <c r="G3095" s="123" t="s">
        <v>30</v>
      </c>
      <c r="H3095" s="123" t="s">
        <v>45</v>
      </c>
      <c r="I3095" s="126" t="s">
        <v>1478</v>
      </c>
      <c r="J3095" s="123" t="s">
        <v>11599</v>
      </c>
      <c r="K3095" s="123" t="s">
        <v>11600</v>
      </c>
      <c r="L3095" s="131" t="s">
        <v>100</v>
      </c>
      <c r="M3095" s="135" t="s">
        <v>845</v>
      </c>
      <c r="N3095" s="123" t="s">
        <v>845</v>
      </c>
    </row>
    <row r="3096" spans="2:14" hidden="1" x14ac:dyDescent="0.25">
      <c r="B3096" s="120">
        <v>3093</v>
      </c>
      <c r="C3096" s="123">
        <v>10097041062</v>
      </c>
      <c r="D3096" s="126" t="s">
        <v>11601</v>
      </c>
      <c r="E3096" s="126" t="s">
        <v>11602</v>
      </c>
      <c r="F3096" s="123" t="s">
        <v>30</v>
      </c>
      <c r="G3096" s="123" t="s">
        <v>30</v>
      </c>
      <c r="H3096" s="123" t="s">
        <v>30</v>
      </c>
      <c r="I3096" s="126" t="s">
        <v>1507</v>
      </c>
      <c r="J3096" s="123" t="s">
        <v>11603</v>
      </c>
      <c r="K3096" s="123" t="s">
        <v>11604</v>
      </c>
      <c r="L3096" s="131" t="s">
        <v>100</v>
      </c>
      <c r="M3096" s="135" t="s">
        <v>845</v>
      </c>
      <c r="N3096" s="123" t="s">
        <v>845</v>
      </c>
    </row>
    <row r="3097" spans="2:14" hidden="1" x14ac:dyDescent="0.25">
      <c r="B3097" s="120">
        <v>3094</v>
      </c>
      <c r="C3097" s="123">
        <v>10101543566</v>
      </c>
      <c r="D3097" s="126" t="s">
        <v>11605</v>
      </c>
      <c r="E3097" s="126" t="s">
        <v>11606</v>
      </c>
      <c r="F3097" s="123" t="s">
        <v>30</v>
      </c>
      <c r="G3097" s="123" t="s">
        <v>30</v>
      </c>
      <c r="H3097" s="123" t="s">
        <v>88</v>
      </c>
      <c r="I3097" s="126" t="s">
        <v>1706</v>
      </c>
      <c r="J3097" s="123" t="s">
        <v>11607</v>
      </c>
      <c r="K3097" s="123" t="s">
        <v>11605</v>
      </c>
      <c r="L3097" s="131" t="s">
        <v>100</v>
      </c>
      <c r="M3097" s="135" t="s">
        <v>845</v>
      </c>
      <c r="N3097" s="123" t="s">
        <v>845</v>
      </c>
    </row>
    <row r="3098" spans="2:14" hidden="1" x14ac:dyDescent="0.25">
      <c r="B3098" s="120">
        <v>3095</v>
      </c>
      <c r="C3098" s="123">
        <v>10087449993</v>
      </c>
      <c r="D3098" s="126" t="s">
        <v>11608</v>
      </c>
      <c r="E3098" s="126" t="s">
        <v>11609</v>
      </c>
      <c r="F3098" s="123" t="s">
        <v>30</v>
      </c>
      <c r="G3098" s="123" t="s">
        <v>30</v>
      </c>
      <c r="H3098" s="123" t="s">
        <v>397</v>
      </c>
      <c r="I3098" s="126" t="s">
        <v>1942</v>
      </c>
      <c r="J3098" s="123" t="s">
        <v>11610</v>
      </c>
      <c r="K3098" s="123" t="s">
        <v>11608</v>
      </c>
      <c r="L3098" s="131" t="s">
        <v>100</v>
      </c>
      <c r="M3098" s="135" t="s">
        <v>845</v>
      </c>
      <c r="N3098" s="123" t="s">
        <v>845</v>
      </c>
    </row>
    <row r="3099" spans="2:14" hidden="1" x14ac:dyDescent="0.25">
      <c r="B3099" s="120">
        <v>3096</v>
      </c>
      <c r="C3099" s="123">
        <v>10083226698</v>
      </c>
      <c r="D3099" s="126" t="s">
        <v>11611</v>
      </c>
      <c r="E3099" s="126" t="s">
        <v>11612</v>
      </c>
      <c r="F3099" s="123" t="s">
        <v>30</v>
      </c>
      <c r="G3099" s="123" t="s">
        <v>30</v>
      </c>
      <c r="H3099" s="123" t="s">
        <v>30</v>
      </c>
      <c r="I3099" s="126" t="s">
        <v>8825</v>
      </c>
      <c r="J3099" s="123" t="s">
        <v>11613</v>
      </c>
      <c r="K3099" s="123" t="s">
        <v>11611</v>
      </c>
      <c r="L3099" s="131" t="s">
        <v>100</v>
      </c>
      <c r="M3099" s="135" t="s">
        <v>845</v>
      </c>
      <c r="N3099" s="123" t="s">
        <v>845</v>
      </c>
    </row>
    <row r="3100" spans="2:14" hidden="1" x14ac:dyDescent="0.25">
      <c r="B3100" s="120">
        <v>3097</v>
      </c>
      <c r="C3100" s="123">
        <v>10456651912</v>
      </c>
      <c r="D3100" s="126" t="s">
        <v>11614</v>
      </c>
      <c r="E3100" s="126" t="s">
        <v>11615</v>
      </c>
      <c r="F3100" s="123" t="s">
        <v>30</v>
      </c>
      <c r="G3100" s="123" t="s">
        <v>30</v>
      </c>
      <c r="H3100" s="123" t="s">
        <v>51</v>
      </c>
      <c r="I3100" s="126" t="s">
        <v>1930</v>
      </c>
      <c r="J3100" s="123" t="s">
        <v>11616</v>
      </c>
      <c r="K3100" s="123" t="s">
        <v>11617</v>
      </c>
      <c r="L3100" s="131" t="s">
        <v>100</v>
      </c>
      <c r="M3100" s="135" t="s">
        <v>845</v>
      </c>
      <c r="N3100" s="123" t="s">
        <v>845</v>
      </c>
    </row>
    <row r="3101" spans="2:14" hidden="1" x14ac:dyDescent="0.25">
      <c r="B3101" s="120">
        <v>3098</v>
      </c>
      <c r="C3101" s="123">
        <v>10709031266</v>
      </c>
      <c r="D3101" s="126" t="s">
        <v>11618</v>
      </c>
      <c r="E3101" s="126" t="s">
        <v>11619</v>
      </c>
      <c r="F3101" s="123" t="s">
        <v>67</v>
      </c>
      <c r="G3101" s="123" t="s">
        <v>67</v>
      </c>
      <c r="H3101" s="123" t="s">
        <v>94</v>
      </c>
      <c r="I3101" s="126" t="s">
        <v>1424</v>
      </c>
      <c r="J3101" s="123" t="s">
        <v>11620</v>
      </c>
      <c r="K3101" s="123" t="s">
        <v>11618</v>
      </c>
      <c r="L3101" s="131" t="s">
        <v>100</v>
      </c>
      <c r="M3101" s="135" t="s">
        <v>845</v>
      </c>
      <c r="N3101" s="123" t="s">
        <v>845</v>
      </c>
    </row>
    <row r="3102" spans="2:14" hidden="1" x14ac:dyDescent="0.25">
      <c r="B3102" s="120">
        <v>3099</v>
      </c>
      <c r="C3102" s="123">
        <v>10488161518</v>
      </c>
      <c r="D3102" s="126" t="s">
        <v>11621</v>
      </c>
      <c r="E3102" s="126" t="s">
        <v>11622</v>
      </c>
      <c r="F3102" s="123" t="s">
        <v>30</v>
      </c>
      <c r="G3102" s="123" t="s">
        <v>30</v>
      </c>
      <c r="H3102" s="123" t="s">
        <v>50</v>
      </c>
      <c r="I3102" s="126" t="s">
        <v>1706</v>
      </c>
      <c r="J3102" s="123" t="s">
        <v>11623</v>
      </c>
      <c r="K3102" s="123" t="s">
        <v>11624</v>
      </c>
      <c r="L3102" s="131" t="s">
        <v>100</v>
      </c>
      <c r="M3102" s="135" t="s">
        <v>845</v>
      </c>
      <c r="N3102" s="123" t="s">
        <v>845</v>
      </c>
    </row>
    <row r="3103" spans="2:14" hidden="1" x14ac:dyDescent="0.25">
      <c r="B3103" s="120">
        <v>3100</v>
      </c>
      <c r="C3103" s="123">
        <v>10483838773</v>
      </c>
      <c r="D3103" s="126" t="s">
        <v>11625</v>
      </c>
      <c r="E3103" s="126" t="s">
        <v>11626</v>
      </c>
      <c r="F3103" s="123" t="s">
        <v>30</v>
      </c>
      <c r="G3103" s="123" t="s">
        <v>30</v>
      </c>
      <c r="H3103" s="123" t="s">
        <v>72</v>
      </c>
      <c r="I3103" s="126" t="s">
        <v>1706</v>
      </c>
      <c r="J3103" s="123" t="s">
        <v>11627</v>
      </c>
      <c r="K3103" s="123" t="s">
        <v>11625</v>
      </c>
      <c r="L3103" s="131" t="s">
        <v>100</v>
      </c>
      <c r="M3103" s="135" t="s">
        <v>845</v>
      </c>
      <c r="N3103" s="123" t="s">
        <v>845</v>
      </c>
    </row>
    <row r="3104" spans="2:14" hidden="1" x14ac:dyDescent="0.25">
      <c r="B3104" s="120">
        <v>3101</v>
      </c>
      <c r="C3104" s="123">
        <v>10160094091</v>
      </c>
      <c r="D3104" s="126" t="s">
        <v>11628</v>
      </c>
      <c r="E3104" s="126" t="s">
        <v>11629</v>
      </c>
      <c r="F3104" s="123" t="s">
        <v>30</v>
      </c>
      <c r="G3104" s="123" t="s">
        <v>30</v>
      </c>
      <c r="H3104" s="123" t="s">
        <v>30</v>
      </c>
      <c r="I3104" s="126" t="s">
        <v>1499</v>
      </c>
      <c r="J3104" s="123" t="s">
        <v>11630</v>
      </c>
      <c r="K3104" s="123" t="s">
        <v>11628</v>
      </c>
      <c r="L3104" s="131" t="s">
        <v>100</v>
      </c>
      <c r="M3104" s="135" t="s">
        <v>845</v>
      </c>
      <c r="N3104" s="123" t="s">
        <v>845</v>
      </c>
    </row>
    <row r="3105" spans="2:14" hidden="1" x14ac:dyDescent="0.25">
      <c r="B3105" s="120">
        <v>3102</v>
      </c>
      <c r="C3105" s="123">
        <v>10419278233</v>
      </c>
      <c r="D3105" s="126" t="s">
        <v>11631</v>
      </c>
      <c r="E3105" s="126" t="s">
        <v>11632</v>
      </c>
      <c r="F3105" s="123" t="s">
        <v>30</v>
      </c>
      <c r="G3105" s="123" t="s">
        <v>30</v>
      </c>
      <c r="H3105" s="123" t="s">
        <v>65</v>
      </c>
      <c r="I3105" s="126" t="s">
        <v>11633</v>
      </c>
      <c r="J3105" s="123" t="s">
        <v>11634</v>
      </c>
      <c r="K3105" s="123" t="s">
        <v>11635</v>
      </c>
      <c r="L3105" s="131" t="s">
        <v>100</v>
      </c>
      <c r="M3105" s="135" t="s">
        <v>845</v>
      </c>
      <c r="N3105" s="123" t="s">
        <v>845</v>
      </c>
    </row>
    <row r="3106" spans="2:14" hidden="1" x14ac:dyDescent="0.25">
      <c r="B3106" s="120">
        <v>3103</v>
      </c>
      <c r="C3106" s="123">
        <v>10420214206</v>
      </c>
      <c r="D3106" s="126" t="s">
        <v>11636</v>
      </c>
      <c r="E3106" s="126" t="s">
        <v>11637</v>
      </c>
      <c r="F3106" s="123" t="s">
        <v>30</v>
      </c>
      <c r="G3106" s="123" t="s">
        <v>30</v>
      </c>
      <c r="H3106" s="123" t="s">
        <v>72</v>
      </c>
      <c r="I3106" s="126" t="s">
        <v>1447</v>
      </c>
      <c r="J3106" s="123" t="s">
        <v>11638</v>
      </c>
      <c r="K3106" s="123" t="s">
        <v>11639</v>
      </c>
      <c r="L3106" s="131" t="s">
        <v>100</v>
      </c>
      <c r="M3106" s="135" t="s">
        <v>845</v>
      </c>
      <c r="N3106" s="123" t="s">
        <v>845</v>
      </c>
    </row>
    <row r="3107" spans="2:14" hidden="1" x14ac:dyDescent="0.25">
      <c r="B3107" s="120">
        <v>3104</v>
      </c>
      <c r="C3107" s="123">
        <v>10450486197</v>
      </c>
      <c r="D3107" s="126" t="s">
        <v>11640</v>
      </c>
      <c r="E3107" s="126" t="s">
        <v>11641</v>
      </c>
      <c r="F3107" s="123" t="s">
        <v>30</v>
      </c>
      <c r="G3107" s="123" t="s">
        <v>30</v>
      </c>
      <c r="H3107" s="123" t="s">
        <v>30</v>
      </c>
      <c r="I3107" s="126" t="s">
        <v>1930</v>
      </c>
      <c r="J3107" s="123" t="s">
        <v>11642</v>
      </c>
      <c r="K3107" s="123" t="s">
        <v>11643</v>
      </c>
      <c r="L3107" s="131" t="s">
        <v>100</v>
      </c>
      <c r="M3107" s="135" t="s">
        <v>845</v>
      </c>
      <c r="N3107" s="123" t="s">
        <v>845</v>
      </c>
    </row>
    <row r="3108" spans="2:14" hidden="1" x14ac:dyDescent="0.25">
      <c r="B3108" s="120">
        <v>3105</v>
      </c>
      <c r="C3108" s="123">
        <v>10322965252</v>
      </c>
      <c r="D3108" s="126" t="s">
        <v>11644</v>
      </c>
      <c r="E3108" s="126" t="s">
        <v>11645</v>
      </c>
      <c r="F3108" s="123" t="s">
        <v>30</v>
      </c>
      <c r="G3108" s="123" t="s">
        <v>30</v>
      </c>
      <c r="H3108" s="123" t="s">
        <v>58</v>
      </c>
      <c r="I3108" s="126" t="s">
        <v>9625</v>
      </c>
      <c r="J3108" s="123" t="s">
        <v>11646</v>
      </c>
      <c r="K3108" s="123" t="s">
        <v>11644</v>
      </c>
      <c r="L3108" s="131" t="s">
        <v>100</v>
      </c>
      <c r="M3108" s="135" t="s">
        <v>845</v>
      </c>
      <c r="N3108" s="123" t="s">
        <v>845</v>
      </c>
    </row>
    <row r="3109" spans="2:14" hidden="1" x14ac:dyDescent="0.25">
      <c r="B3109" s="120">
        <v>3106</v>
      </c>
      <c r="C3109" s="123">
        <v>10781098731</v>
      </c>
      <c r="D3109" s="126" t="s">
        <v>11647</v>
      </c>
      <c r="E3109" s="126" t="s">
        <v>11648</v>
      </c>
      <c r="F3109" s="123" t="s">
        <v>3637</v>
      </c>
      <c r="G3109" s="123" t="s">
        <v>3637</v>
      </c>
      <c r="H3109" s="123" t="s">
        <v>3637</v>
      </c>
      <c r="I3109" s="126" t="s">
        <v>1968</v>
      </c>
      <c r="J3109" s="123" t="s">
        <v>11649</v>
      </c>
      <c r="K3109" s="123" t="s">
        <v>11650</v>
      </c>
      <c r="L3109" s="131" t="s">
        <v>100</v>
      </c>
      <c r="M3109" s="135" t="s">
        <v>845</v>
      </c>
      <c r="N3109" s="123" t="s">
        <v>845</v>
      </c>
    </row>
    <row r="3110" spans="2:14" hidden="1" x14ac:dyDescent="0.25">
      <c r="B3110" s="120">
        <v>3107</v>
      </c>
      <c r="C3110" s="123">
        <v>10454251267</v>
      </c>
      <c r="D3110" s="126" t="s">
        <v>11651</v>
      </c>
      <c r="E3110" s="126" t="s">
        <v>11652</v>
      </c>
      <c r="F3110" s="123" t="s">
        <v>67</v>
      </c>
      <c r="G3110" s="123" t="s">
        <v>67</v>
      </c>
      <c r="H3110" s="123" t="s">
        <v>67</v>
      </c>
      <c r="I3110" s="126" t="s">
        <v>1551</v>
      </c>
      <c r="J3110" s="123" t="s">
        <v>11653</v>
      </c>
      <c r="K3110" s="123" t="s">
        <v>11651</v>
      </c>
      <c r="L3110" s="131" t="s">
        <v>100</v>
      </c>
      <c r="M3110" s="135" t="s">
        <v>845</v>
      </c>
      <c r="N3110" s="123" t="s">
        <v>845</v>
      </c>
    </row>
    <row r="3111" spans="2:14" hidden="1" x14ac:dyDescent="0.25">
      <c r="B3111" s="120">
        <v>3108</v>
      </c>
      <c r="C3111" s="123">
        <v>10466283849</v>
      </c>
      <c r="D3111" s="126" t="s">
        <v>11654</v>
      </c>
      <c r="E3111" s="126" t="s">
        <v>11655</v>
      </c>
      <c r="F3111" s="123" t="s">
        <v>30</v>
      </c>
      <c r="G3111" s="123" t="s">
        <v>31</v>
      </c>
      <c r="H3111" s="123" t="s">
        <v>32</v>
      </c>
      <c r="I3111" s="126" t="s">
        <v>1809</v>
      </c>
      <c r="J3111" s="123" t="s">
        <v>11656</v>
      </c>
      <c r="K3111" s="123" t="s">
        <v>11654</v>
      </c>
      <c r="L3111" s="131" t="s">
        <v>100</v>
      </c>
      <c r="M3111" s="135" t="s">
        <v>845</v>
      </c>
      <c r="N3111" s="123" t="s">
        <v>845</v>
      </c>
    </row>
    <row r="3112" spans="2:14" hidden="1" x14ac:dyDescent="0.25">
      <c r="B3112" s="120">
        <v>3109</v>
      </c>
      <c r="C3112" s="123">
        <v>10411171481</v>
      </c>
      <c r="D3112" s="126" t="s">
        <v>11657</v>
      </c>
      <c r="E3112" s="126" t="s">
        <v>11658</v>
      </c>
      <c r="F3112" s="123" t="s">
        <v>30</v>
      </c>
      <c r="G3112" s="123" t="s">
        <v>30</v>
      </c>
      <c r="H3112" s="123" t="s">
        <v>38</v>
      </c>
      <c r="I3112" s="126" t="s">
        <v>1936</v>
      </c>
      <c r="J3112" s="123" t="s">
        <v>11659</v>
      </c>
      <c r="K3112" s="123" t="s">
        <v>11660</v>
      </c>
      <c r="L3112" s="131" t="s">
        <v>100</v>
      </c>
      <c r="M3112" s="135" t="s">
        <v>845</v>
      </c>
      <c r="N3112" s="123" t="s">
        <v>845</v>
      </c>
    </row>
    <row r="3113" spans="2:14" hidden="1" x14ac:dyDescent="0.25">
      <c r="B3113" s="120">
        <v>3110</v>
      </c>
      <c r="C3113" s="123">
        <v>17391912963</v>
      </c>
      <c r="D3113" s="126" t="s">
        <v>11661</v>
      </c>
      <c r="E3113" s="126" t="s">
        <v>11662</v>
      </c>
      <c r="F3113" s="123" t="s">
        <v>67</v>
      </c>
      <c r="G3113" s="123" t="s">
        <v>67</v>
      </c>
      <c r="H3113" s="123" t="s">
        <v>67</v>
      </c>
      <c r="I3113" s="126" t="s">
        <v>10050</v>
      </c>
      <c r="J3113" s="123" t="s">
        <v>11663</v>
      </c>
      <c r="K3113" s="123" t="s">
        <v>11661</v>
      </c>
      <c r="L3113" s="131" t="s">
        <v>100</v>
      </c>
      <c r="M3113" s="135" t="s">
        <v>845</v>
      </c>
      <c r="N3113" s="123" t="s">
        <v>845</v>
      </c>
    </row>
    <row r="3114" spans="2:14" hidden="1" x14ac:dyDescent="0.25">
      <c r="B3114" s="120">
        <v>3111</v>
      </c>
      <c r="C3114" s="123">
        <v>10451423857</v>
      </c>
      <c r="D3114" s="126" t="s">
        <v>11664</v>
      </c>
      <c r="E3114" s="126" t="s">
        <v>11665</v>
      </c>
      <c r="F3114" s="123" t="s">
        <v>30</v>
      </c>
      <c r="G3114" s="123" t="s">
        <v>30</v>
      </c>
      <c r="H3114" s="123" t="s">
        <v>75</v>
      </c>
      <c r="I3114" s="126" t="s">
        <v>1970</v>
      </c>
      <c r="J3114" s="123" t="s">
        <v>11666</v>
      </c>
      <c r="K3114" s="123" t="s">
        <v>11664</v>
      </c>
      <c r="L3114" s="131" t="s">
        <v>100</v>
      </c>
      <c r="M3114" s="135" t="s">
        <v>845</v>
      </c>
      <c r="N3114" s="123" t="s">
        <v>845</v>
      </c>
    </row>
    <row r="3115" spans="2:14" hidden="1" x14ac:dyDescent="0.25">
      <c r="B3115" s="120">
        <v>3112</v>
      </c>
      <c r="C3115" s="123">
        <v>10206722156</v>
      </c>
      <c r="D3115" s="126" t="s">
        <v>11667</v>
      </c>
      <c r="E3115" s="126" t="s">
        <v>11668</v>
      </c>
      <c r="F3115" s="123" t="s">
        <v>30</v>
      </c>
      <c r="G3115" s="123" t="s">
        <v>30</v>
      </c>
      <c r="H3115" s="123" t="s">
        <v>45</v>
      </c>
      <c r="I3115" s="126" t="s">
        <v>10025</v>
      </c>
      <c r="J3115" s="123" t="s">
        <v>11669</v>
      </c>
      <c r="K3115" s="123" t="s">
        <v>11667</v>
      </c>
      <c r="L3115" s="131" t="s">
        <v>100</v>
      </c>
      <c r="M3115" s="135" t="s">
        <v>845</v>
      </c>
      <c r="N3115" s="123" t="s">
        <v>845</v>
      </c>
    </row>
    <row r="3116" spans="2:14" hidden="1" x14ac:dyDescent="0.25">
      <c r="B3116" s="120">
        <v>3113</v>
      </c>
      <c r="C3116" s="123">
        <v>10706691141</v>
      </c>
      <c r="D3116" s="126" t="s">
        <v>11670</v>
      </c>
      <c r="E3116" s="126" t="s">
        <v>11671</v>
      </c>
      <c r="F3116" s="123" t="s">
        <v>30</v>
      </c>
      <c r="G3116" s="123" t="s">
        <v>30</v>
      </c>
      <c r="H3116" s="123" t="s">
        <v>75</v>
      </c>
      <c r="I3116" s="126" t="s">
        <v>1701</v>
      </c>
      <c r="J3116" s="123" t="s">
        <v>11672</v>
      </c>
      <c r="K3116" s="123" t="s">
        <v>11670</v>
      </c>
      <c r="L3116" s="131" t="s">
        <v>100</v>
      </c>
      <c r="M3116" s="135" t="s">
        <v>845</v>
      </c>
      <c r="N3116" s="123" t="s">
        <v>845</v>
      </c>
    </row>
    <row r="3117" spans="2:14" hidden="1" x14ac:dyDescent="0.25">
      <c r="B3117" s="120">
        <v>3114</v>
      </c>
      <c r="C3117" s="123">
        <v>10154354081</v>
      </c>
      <c r="D3117" s="126" t="s">
        <v>11673</v>
      </c>
      <c r="E3117" s="126" t="s">
        <v>11674</v>
      </c>
      <c r="F3117" s="123" t="s">
        <v>30</v>
      </c>
      <c r="G3117" s="123" t="s">
        <v>31</v>
      </c>
      <c r="H3117" s="123" t="s">
        <v>32</v>
      </c>
      <c r="I3117" s="126" t="s">
        <v>1930</v>
      </c>
      <c r="J3117" s="123" t="s">
        <v>11675</v>
      </c>
      <c r="K3117" s="123" t="s">
        <v>11673</v>
      </c>
      <c r="L3117" s="131" t="s">
        <v>100</v>
      </c>
      <c r="M3117" s="135" t="s">
        <v>845</v>
      </c>
      <c r="N3117" s="123" t="s">
        <v>845</v>
      </c>
    </row>
    <row r="3118" spans="2:14" hidden="1" x14ac:dyDescent="0.25">
      <c r="B3118" s="120">
        <v>3115</v>
      </c>
      <c r="C3118" s="123">
        <v>10104245451</v>
      </c>
      <c r="D3118" s="126" t="s">
        <v>11676</v>
      </c>
      <c r="E3118" s="126" t="s">
        <v>11677</v>
      </c>
      <c r="F3118" s="123" t="s">
        <v>30</v>
      </c>
      <c r="G3118" s="123" t="s">
        <v>30</v>
      </c>
      <c r="H3118" s="123" t="s">
        <v>30</v>
      </c>
      <c r="I3118" s="126" t="s">
        <v>6746</v>
      </c>
      <c r="J3118" s="123" t="s">
        <v>11678</v>
      </c>
      <c r="K3118" s="123" t="s">
        <v>11676</v>
      </c>
      <c r="L3118" s="131" t="s">
        <v>100</v>
      </c>
      <c r="M3118" s="135" t="s">
        <v>845</v>
      </c>
      <c r="N3118" s="123" t="s">
        <v>845</v>
      </c>
    </row>
    <row r="3119" spans="2:14" hidden="1" x14ac:dyDescent="0.25">
      <c r="B3119" s="120">
        <v>3116</v>
      </c>
      <c r="C3119" s="123">
        <v>10094712438</v>
      </c>
      <c r="D3119" s="126" t="s">
        <v>11679</v>
      </c>
      <c r="E3119" s="126" t="s">
        <v>11680</v>
      </c>
      <c r="F3119" s="123" t="s">
        <v>30</v>
      </c>
      <c r="G3119" s="123" t="s">
        <v>30</v>
      </c>
      <c r="H3119" s="123" t="s">
        <v>50</v>
      </c>
      <c r="I3119" s="126" t="s">
        <v>1564</v>
      </c>
      <c r="J3119" s="123" t="s">
        <v>5681</v>
      </c>
      <c r="K3119" s="123" t="s">
        <v>11679</v>
      </c>
      <c r="L3119" s="131" t="s">
        <v>100</v>
      </c>
      <c r="M3119" s="135" t="s">
        <v>845</v>
      </c>
      <c r="N3119" s="123" t="s">
        <v>845</v>
      </c>
    </row>
    <row r="3120" spans="2:14" hidden="1" x14ac:dyDescent="0.25">
      <c r="B3120" s="120">
        <v>3117</v>
      </c>
      <c r="C3120" s="123">
        <v>10711162653</v>
      </c>
      <c r="D3120" s="126" t="s">
        <v>11681</v>
      </c>
      <c r="E3120" s="126" t="s">
        <v>11682</v>
      </c>
      <c r="F3120" s="123" t="s">
        <v>30</v>
      </c>
      <c r="G3120" s="123" t="s">
        <v>170</v>
      </c>
      <c r="H3120" s="123" t="s">
        <v>171</v>
      </c>
      <c r="I3120" s="126" t="s">
        <v>1478</v>
      </c>
      <c r="J3120" s="123" t="s">
        <v>11683</v>
      </c>
      <c r="K3120" s="123" t="s">
        <v>11681</v>
      </c>
      <c r="L3120" s="131" t="s">
        <v>100</v>
      </c>
      <c r="M3120" s="135" t="s">
        <v>845</v>
      </c>
      <c r="N3120" s="123" t="s">
        <v>845</v>
      </c>
    </row>
    <row r="3121" spans="2:14" hidden="1" x14ac:dyDescent="0.25">
      <c r="B3121" s="120">
        <v>3118</v>
      </c>
      <c r="C3121" s="123">
        <v>10732274974</v>
      </c>
      <c r="D3121" s="126" t="s">
        <v>11684</v>
      </c>
      <c r="E3121" s="126" t="s">
        <v>11685</v>
      </c>
      <c r="F3121" s="123" t="s">
        <v>30</v>
      </c>
      <c r="G3121" s="123" t="s">
        <v>30</v>
      </c>
      <c r="H3121" s="123" t="s">
        <v>50</v>
      </c>
      <c r="I3121" s="126" t="s">
        <v>1706</v>
      </c>
      <c r="J3121" s="123" t="s">
        <v>11686</v>
      </c>
      <c r="K3121" s="123" t="s">
        <v>11684</v>
      </c>
      <c r="L3121" s="131" t="s">
        <v>100</v>
      </c>
      <c r="M3121" s="135" t="s">
        <v>845</v>
      </c>
      <c r="N3121" s="123" t="s">
        <v>845</v>
      </c>
    </row>
    <row r="3122" spans="2:14" hidden="1" x14ac:dyDescent="0.25">
      <c r="B3122" s="120">
        <v>3119</v>
      </c>
      <c r="C3122" s="123">
        <v>10423084621</v>
      </c>
      <c r="D3122" s="126" t="s">
        <v>11687</v>
      </c>
      <c r="E3122" s="126" t="s">
        <v>11688</v>
      </c>
      <c r="F3122" s="123" t="s">
        <v>30</v>
      </c>
      <c r="G3122" s="123" t="s">
        <v>30</v>
      </c>
      <c r="H3122" s="123" t="s">
        <v>110</v>
      </c>
      <c r="I3122" s="126" t="s">
        <v>1701</v>
      </c>
      <c r="J3122" s="123" t="s">
        <v>11689</v>
      </c>
      <c r="K3122" s="123" t="s">
        <v>11687</v>
      </c>
      <c r="L3122" s="131" t="s">
        <v>100</v>
      </c>
      <c r="M3122" s="135" t="s">
        <v>845</v>
      </c>
      <c r="N3122" s="123" t="s">
        <v>845</v>
      </c>
    </row>
    <row r="3123" spans="2:14" hidden="1" x14ac:dyDescent="0.25">
      <c r="B3123" s="120">
        <v>3120</v>
      </c>
      <c r="C3123" s="123">
        <v>10069228696</v>
      </c>
      <c r="D3123" s="126" t="s">
        <v>11690</v>
      </c>
      <c r="E3123" s="126" t="s">
        <v>11691</v>
      </c>
      <c r="F3123" s="123" t="s">
        <v>30</v>
      </c>
      <c r="G3123" s="123" t="s">
        <v>30</v>
      </c>
      <c r="H3123" s="123" t="s">
        <v>75</v>
      </c>
      <c r="I3123" s="126" t="s">
        <v>10115</v>
      </c>
      <c r="J3123" s="123" t="s">
        <v>11692</v>
      </c>
      <c r="K3123" s="123" t="s">
        <v>11690</v>
      </c>
      <c r="L3123" s="131" t="s">
        <v>100</v>
      </c>
      <c r="M3123" s="135" t="s">
        <v>845</v>
      </c>
      <c r="N3123" s="123" t="s">
        <v>845</v>
      </c>
    </row>
    <row r="3124" spans="2:14" hidden="1" x14ac:dyDescent="0.25">
      <c r="B3124" s="120">
        <v>3121</v>
      </c>
      <c r="C3124" s="123">
        <v>10451752893</v>
      </c>
      <c r="D3124" s="126" t="s">
        <v>11693</v>
      </c>
      <c r="E3124" s="126" t="s">
        <v>11694</v>
      </c>
      <c r="F3124" s="123" t="s">
        <v>30</v>
      </c>
      <c r="G3124" s="123" t="s">
        <v>30</v>
      </c>
      <c r="H3124" s="123" t="s">
        <v>58</v>
      </c>
      <c r="I3124" s="126" t="s">
        <v>1950</v>
      </c>
      <c r="J3124" s="123" t="s">
        <v>11695</v>
      </c>
      <c r="K3124" s="123" t="s">
        <v>11693</v>
      </c>
      <c r="L3124" s="131" t="s">
        <v>100</v>
      </c>
      <c r="M3124" s="135" t="s">
        <v>845</v>
      </c>
      <c r="N3124" s="123" t="s">
        <v>845</v>
      </c>
    </row>
    <row r="3125" spans="2:14" hidden="1" x14ac:dyDescent="0.25">
      <c r="B3125" s="120">
        <v>3122</v>
      </c>
      <c r="C3125" s="123">
        <v>10207221410</v>
      </c>
      <c r="D3125" s="126" t="s">
        <v>11696</v>
      </c>
      <c r="E3125" s="126" t="s">
        <v>11697</v>
      </c>
      <c r="F3125" s="123" t="s">
        <v>30</v>
      </c>
      <c r="G3125" s="123" t="s">
        <v>30</v>
      </c>
      <c r="H3125" s="123" t="s">
        <v>51</v>
      </c>
      <c r="I3125" s="126" t="s">
        <v>8743</v>
      </c>
      <c r="J3125" s="123" t="s">
        <v>11698</v>
      </c>
      <c r="K3125" s="123" t="s">
        <v>11696</v>
      </c>
      <c r="L3125" s="131" t="s">
        <v>100</v>
      </c>
      <c r="M3125" s="135" t="s">
        <v>845</v>
      </c>
      <c r="N3125" s="123" t="s">
        <v>845</v>
      </c>
    </row>
    <row r="3126" spans="2:14" hidden="1" x14ac:dyDescent="0.25">
      <c r="B3126" s="120">
        <v>3123</v>
      </c>
      <c r="C3126" s="123">
        <v>10773427785</v>
      </c>
      <c r="D3126" s="126" t="s">
        <v>11699</v>
      </c>
      <c r="E3126" s="126" t="s">
        <v>11700</v>
      </c>
      <c r="F3126" s="123" t="s">
        <v>30</v>
      </c>
      <c r="G3126" s="123" t="s">
        <v>30</v>
      </c>
      <c r="H3126" s="123" t="s">
        <v>44</v>
      </c>
      <c r="I3126" s="126" t="s">
        <v>1499</v>
      </c>
      <c r="J3126" s="123" t="s">
        <v>11701</v>
      </c>
      <c r="K3126" s="123" t="s">
        <v>11699</v>
      </c>
      <c r="L3126" s="131" t="s">
        <v>100</v>
      </c>
      <c r="M3126" s="135" t="s">
        <v>845</v>
      </c>
      <c r="N3126" s="123" t="s">
        <v>845</v>
      </c>
    </row>
    <row r="3127" spans="2:14" hidden="1" x14ac:dyDescent="0.25">
      <c r="B3127" s="120">
        <v>3124</v>
      </c>
      <c r="C3127" s="123">
        <v>10160120407</v>
      </c>
      <c r="D3127" s="126" t="s">
        <v>11702</v>
      </c>
      <c r="E3127" s="126" t="s">
        <v>11703</v>
      </c>
      <c r="F3127" s="123" t="s">
        <v>30</v>
      </c>
      <c r="G3127" s="123" t="s">
        <v>54</v>
      </c>
      <c r="H3127" s="123" t="s">
        <v>54</v>
      </c>
      <c r="I3127" s="126" t="s">
        <v>9044</v>
      </c>
      <c r="J3127" s="123" t="s">
        <v>11704</v>
      </c>
      <c r="K3127" s="123" t="s">
        <v>11702</v>
      </c>
      <c r="L3127" s="131" t="s">
        <v>100</v>
      </c>
      <c r="M3127" s="135" t="s">
        <v>845</v>
      </c>
      <c r="N3127" s="123" t="s">
        <v>845</v>
      </c>
    </row>
    <row r="3128" spans="2:14" hidden="1" x14ac:dyDescent="0.25">
      <c r="B3128" s="120">
        <v>3125</v>
      </c>
      <c r="C3128" s="123">
        <v>10709186812</v>
      </c>
      <c r="D3128" s="126" t="s">
        <v>11705</v>
      </c>
      <c r="E3128" s="126" t="s">
        <v>11706</v>
      </c>
      <c r="F3128" s="123" t="s">
        <v>30</v>
      </c>
      <c r="G3128" s="123" t="s">
        <v>30</v>
      </c>
      <c r="H3128" s="123" t="s">
        <v>72</v>
      </c>
      <c r="I3128" s="126" t="s">
        <v>1701</v>
      </c>
      <c r="J3128" s="123" t="s">
        <v>11707</v>
      </c>
      <c r="K3128" s="123" t="s">
        <v>11705</v>
      </c>
      <c r="L3128" s="131" t="s">
        <v>100</v>
      </c>
      <c r="M3128" s="135" t="s">
        <v>845</v>
      </c>
      <c r="N3128" s="123" t="s">
        <v>845</v>
      </c>
    </row>
    <row r="3129" spans="2:14" hidden="1" x14ac:dyDescent="0.25">
      <c r="B3129" s="120">
        <v>3126</v>
      </c>
      <c r="C3129" s="123">
        <v>10725652459</v>
      </c>
      <c r="D3129" s="126" t="s">
        <v>11708</v>
      </c>
      <c r="E3129" s="126" t="s">
        <v>11709</v>
      </c>
      <c r="F3129" s="123" t="s">
        <v>67</v>
      </c>
      <c r="G3129" s="123" t="s">
        <v>67</v>
      </c>
      <c r="H3129" s="123" t="s">
        <v>94</v>
      </c>
      <c r="I3129" s="126" t="s">
        <v>11710</v>
      </c>
      <c r="J3129" s="123" t="s">
        <v>11711</v>
      </c>
      <c r="K3129" s="123" t="s">
        <v>11708</v>
      </c>
      <c r="L3129" s="131" t="s">
        <v>100</v>
      </c>
      <c r="M3129" s="135" t="s">
        <v>845</v>
      </c>
      <c r="N3129" s="123" t="s">
        <v>845</v>
      </c>
    </row>
    <row r="3130" spans="2:14" hidden="1" x14ac:dyDescent="0.25">
      <c r="B3130" s="120">
        <v>3127</v>
      </c>
      <c r="C3130" s="123">
        <v>10153854888</v>
      </c>
      <c r="D3130" s="126" t="s">
        <v>11712</v>
      </c>
      <c r="E3130" s="126" t="s">
        <v>11713</v>
      </c>
      <c r="F3130" s="123" t="s">
        <v>30</v>
      </c>
      <c r="G3130" s="123" t="s">
        <v>31</v>
      </c>
      <c r="H3130" s="123" t="s">
        <v>9381</v>
      </c>
      <c r="I3130" s="126" t="s">
        <v>1564</v>
      </c>
      <c r="J3130" s="123" t="s">
        <v>6166</v>
      </c>
      <c r="K3130" s="123" t="s">
        <v>11712</v>
      </c>
      <c r="L3130" s="131" t="s">
        <v>100</v>
      </c>
      <c r="M3130" s="135" t="s">
        <v>845</v>
      </c>
      <c r="N3130" s="123" t="s">
        <v>845</v>
      </c>
    </row>
    <row r="3131" spans="2:14" hidden="1" x14ac:dyDescent="0.25">
      <c r="B3131" s="120">
        <v>3128</v>
      </c>
      <c r="C3131" s="123">
        <v>10100496904</v>
      </c>
      <c r="D3131" s="126" t="s">
        <v>11714</v>
      </c>
      <c r="E3131" s="126" t="s">
        <v>11715</v>
      </c>
      <c r="F3131" s="123" t="s">
        <v>30</v>
      </c>
      <c r="G3131" s="123" t="s">
        <v>30</v>
      </c>
      <c r="H3131" s="123" t="s">
        <v>52</v>
      </c>
      <c r="I3131" s="126" t="s">
        <v>10787</v>
      </c>
      <c r="J3131" s="123" t="s">
        <v>11716</v>
      </c>
      <c r="K3131" s="123" t="s">
        <v>11714</v>
      </c>
      <c r="L3131" s="131" t="s">
        <v>100</v>
      </c>
      <c r="M3131" s="135" t="s">
        <v>845</v>
      </c>
      <c r="N3131" s="123" t="s">
        <v>845</v>
      </c>
    </row>
    <row r="3132" spans="2:14" hidden="1" x14ac:dyDescent="0.25">
      <c r="B3132" s="120">
        <v>3129</v>
      </c>
      <c r="C3132" s="123">
        <v>10311822221</v>
      </c>
      <c r="D3132" s="126" t="s">
        <v>11717</v>
      </c>
      <c r="E3132" s="126" t="s">
        <v>11718</v>
      </c>
      <c r="F3132" s="123" t="s">
        <v>67</v>
      </c>
      <c r="G3132" s="123" t="s">
        <v>67</v>
      </c>
      <c r="H3132" s="123" t="s">
        <v>94</v>
      </c>
      <c r="I3132" s="126" t="s">
        <v>1805</v>
      </c>
      <c r="J3132" s="123" t="s">
        <v>11719</v>
      </c>
      <c r="K3132" s="123" t="s">
        <v>11717</v>
      </c>
      <c r="L3132" s="131" t="s">
        <v>100</v>
      </c>
      <c r="M3132" s="135" t="s">
        <v>845</v>
      </c>
      <c r="N3132" s="123" t="s">
        <v>845</v>
      </c>
    </row>
    <row r="3133" spans="2:14" hidden="1" x14ac:dyDescent="0.25">
      <c r="B3133" s="120">
        <v>3130</v>
      </c>
      <c r="C3133" s="123">
        <v>10415852768</v>
      </c>
      <c r="D3133" s="126" t="s">
        <v>11720</v>
      </c>
      <c r="E3133" s="126" t="s">
        <v>11721</v>
      </c>
      <c r="F3133" s="123" t="s">
        <v>30</v>
      </c>
      <c r="G3133" s="123" t="s">
        <v>30</v>
      </c>
      <c r="H3133" s="123" t="s">
        <v>45</v>
      </c>
      <c r="I3133" s="126" t="s">
        <v>1701</v>
      </c>
      <c r="J3133" s="123" t="s">
        <v>11722</v>
      </c>
      <c r="K3133" s="123" t="s">
        <v>11720</v>
      </c>
      <c r="L3133" s="131" t="s">
        <v>100</v>
      </c>
      <c r="M3133" s="135" t="s">
        <v>845</v>
      </c>
      <c r="N3133" s="123" t="s">
        <v>845</v>
      </c>
    </row>
    <row r="3134" spans="2:14" hidden="1" x14ac:dyDescent="0.25">
      <c r="B3134" s="120">
        <v>3131</v>
      </c>
      <c r="C3134" s="123">
        <v>10154310555</v>
      </c>
      <c r="D3134" s="126" t="s">
        <v>11723</v>
      </c>
      <c r="E3134" s="126" t="s">
        <v>11724</v>
      </c>
      <c r="F3134" s="123" t="s">
        <v>30</v>
      </c>
      <c r="G3134" s="123" t="s">
        <v>31</v>
      </c>
      <c r="H3134" s="123" t="s">
        <v>139</v>
      </c>
      <c r="I3134" s="126" t="s">
        <v>1564</v>
      </c>
      <c r="J3134" s="123" t="s">
        <v>11725</v>
      </c>
      <c r="K3134" s="123" t="s">
        <v>11723</v>
      </c>
      <c r="L3134" s="131" t="s">
        <v>100</v>
      </c>
      <c r="M3134" s="135" t="s">
        <v>845</v>
      </c>
      <c r="N3134" s="123" t="s">
        <v>845</v>
      </c>
    </row>
    <row r="3135" spans="2:14" hidden="1" x14ac:dyDescent="0.25">
      <c r="B3135" s="120">
        <v>3132</v>
      </c>
      <c r="C3135" s="123">
        <v>10742016060</v>
      </c>
      <c r="D3135" s="126" t="s">
        <v>11726</v>
      </c>
      <c r="E3135" s="126" t="s">
        <v>11727</v>
      </c>
      <c r="F3135" s="123" t="s">
        <v>30</v>
      </c>
      <c r="G3135" s="123" t="s">
        <v>170</v>
      </c>
      <c r="H3135" s="123" t="s">
        <v>171</v>
      </c>
      <c r="I3135" s="126" t="s">
        <v>1464</v>
      </c>
      <c r="J3135" s="123" t="s">
        <v>11728</v>
      </c>
      <c r="K3135" s="123" t="s">
        <v>11726</v>
      </c>
      <c r="L3135" s="131" t="s">
        <v>100</v>
      </c>
      <c r="M3135" s="135" t="s">
        <v>845</v>
      </c>
      <c r="N3135" s="123" t="s">
        <v>845</v>
      </c>
    </row>
    <row r="3136" spans="2:14" hidden="1" x14ac:dyDescent="0.25">
      <c r="B3136" s="120">
        <v>3133</v>
      </c>
      <c r="C3136" s="123">
        <v>10465099475</v>
      </c>
      <c r="D3136" s="126" t="s">
        <v>11729</v>
      </c>
      <c r="E3136" s="126" t="s">
        <v>11730</v>
      </c>
      <c r="F3136" s="123" t="s">
        <v>30</v>
      </c>
      <c r="G3136" s="123" t="s">
        <v>31</v>
      </c>
      <c r="H3136" s="123" t="s">
        <v>139</v>
      </c>
      <c r="I3136" s="126" t="s">
        <v>1931</v>
      </c>
      <c r="J3136" s="123" t="s">
        <v>11731</v>
      </c>
      <c r="K3136" s="123" t="s">
        <v>11729</v>
      </c>
      <c r="L3136" s="131" t="s">
        <v>100</v>
      </c>
      <c r="M3136" s="135" t="s">
        <v>845</v>
      </c>
      <c r="N3136" s="123" t="s">
        <v>845</v>
      </c>
    </row>
    <row r="3137" spans="2:14" hidden="1" x14ac:dyDescent="0.25">
      <c r="B3137" s="120">
        <v>3134</v>
      </c>
      <c r="C3137" s="123">
        <v>10430405174</v>
      </c>
      <c r="D3137" s="126" t="s">
        <v>11732</v>
      </c>
      <c r="E3137" s="126" t="s">
        <v>11733</v>
      </c>
      <c r="F3137" s="123" t="s">
        <v>30</v>
      </c>
      <c r="G3137" s="123" t="s">
        <v>30</v>
      </c>
      <c r="H3137" s="123" t="s">
        <v>43</v>
      </c>
      <c r="I3137" s="126" t="s">
        <v>1424</v>
      </c>
      <c r="J3137" s="123" t="s">
        <v>11734</v>
      </c>
      <c r="K3137" s="123" t="s">
        <v>11732</v>
      </c>
      <c r="L3137" s="131" t="s">
        <v>100</v>
      </c>
      <c r="M3137" s="135" t="s">
        <v>845</v>
      </c>
      <c r="N3137" s="123" t="s">
        <v>845</v>
      </c>
    </row>
    <row r="3138" spans="2:14" hidden="1" x14ac:dyDescent="0.25">
      <c r="B3138" s="120">
        <v>3135</v>
      </c>
      <c r="C3138" s="123">
        <v>10447855742</v>
      </c>
      <c r="D3138" s="126" t="s">
        <v>11735</v>
      </c>
      <c r="E3138" s="126" t="s">
        <v>11736</v>
      </c>
      <c r="F3138" s="123" t="s">
        <v>30</v>
      </c>
      <c r="G3138" s="123" t="s">
        <v>31</v>
      </c>
      <c r="H3138" s="123" t="s">
        <v>149</v>
      </c>
      <c r="I3138" s="126" t="s">
        <v>1936</v>
      </c>
      <c r="J3138" s="123" t="s">
        <v>11737</v>
      </c>
      <c r="K3138" s="123" t="s">
        <v>11735</v>
      </c>
      <c r="L3138" s="131" t="s">
        <v>100</v>
      </c>
      <c r="M3138" s="135" t="s">
        <v>845</v>
      </c>
      <c r="N3138" s="123" t="s">
        <v>845</v>
      </c>
    </row>
    <row r="3139" spans="2:14" hidden="1" x14ac:dyDescent="0.25">
      <c r="B3139" s="120">
        <v>3136</v>
      </c>
      <c r="C3139" s="123">
        <v>10719773660</v>
      </c>
      <c r="D3139" s="126" t="s">
        <v>11738</v>
      </c>
      <c r="E3139" s="126" t="s">
        <v>11739</v>
      </c>
      <c r="F3139" s="123" t="s">
        <v>30</v>
      </c>
      <c r="G3139" s="123" t="s">
        <v>30</v>
      </c>
      <c r="H3139" s="123" t="s">
        <v>64</v>
      </c>
      <c r="I3139" s="126" t="s">
        <v>1737</v>
      </c>
      <c r="J3139" s="123" t="s">
        <v>11740</v>
      </c>
      <c r="K3139" s="123" t="s">
        <v>11738</v>
      </c>
      <c r="L3139" s="131" t="s">
        <v>100</v>
      </c>
      <c r="M3139" s="135" t="s">
        <v>845</v>
      </c>
      <c r="N3139" s="123" t="s">
        <v>845</v>
      </c>
    </row>
    <row r="3140" spans="2:14" hidden="1" x14ac:dyDescent="0.25">
      <c r="B3140" s="120">
        <v>3137</v>
      </c>
      <c r="C3140" s="123">
        <v>10702786091</v>
      </c>
      <c r="D3140" s="126" t="s">
        <v>11741</v>
      </c>
      <c r="E3140" s="126" t="s">
        <v>11742</v>
      </c>
      <c r="F3140" s="123" t="s">
        <v>30</v>
      </c>
      <c r="G3140" s="123" t="s">
        <v>30</v>
      </c>
      <c r="H3140" s="123" t="s">
        <v>79</v>
      </c>
      <c r="I3140" s="126" t="s">
        <v>9044</v>
      </c>
      <c r="J3140" s="123" t="s">
        <v>11743</v>
      </c>
      <c r="K3140" s="123" t="s">
        <v>11741</v>
      </c>
      <c r="L3140" s="131" t="s">
        <v>100</v>
      </c>
      <c r="M3140" s="135" t="s">
        <v>845</v>
      </c>
      <c r="N3140" s="123" t="s">
        <v>845</v>
      </c>
    </row>
    <row r="3141" spans="2:14" hidden="1" x14ac:dyDescent="0.25">
      <c r="B3141" s="120">
        <v>3138</v>
      </c>
      <c r="C3141" s="123">
        <v>10761223505</v>
      </c>
      <c r="D3141" s="126" t="s">
        <v>11744</v>
      </c>
      <c r="E3141" s="126" t="s">
        <v>11745</v>
      </c>
      <c r="F3141" s="123" t="s">
        <v>30</v>
      </c>
      <c r="G3141" s="123" t="s">
        <v>30</v>
      </c>
      <c r="H3141" s="123" t="s">
        <v>45</v>
      </c>
      <c r="I3141" s="126" t="s">
        <v>9769</v>
      </c>
      <c r="J3141" s="123" t="s">
        <v>11746</v>
      </c>
      <c r="K3141" s="123" t="s">
        <v>11744</v>
      </c>
      <c r="L3141" s="131" t="s">
        <v>100</v>
      </c>
      <c r="M3141" s="135" t="s">
        <v>845</v>
      </c>
      <c r="N3141" s="123" t="s">
        <v>845</v>
      </c>
    </row>
    <row r="3142" spans="2:14" hidden="1" x14ac:dyDescent="0.25">
      <c r="B3142" s="120">
        <v>3139</v>
      </c>
      <c r="C3142" s="123">
        <v>10435687909</v>
      </c>
      <c r="D3142" s="126" t="s">
        <v>11747</v>
      </c>
      <c r="E3142" s="126" t="s">
        <v>11748</v>
      </c>
      <c r="F3142" s="123" t="s">
        <v>30</v>
      </c>
      <c r="G3142" s="123" t="s">
        <v>30</v>
      </c>
      <c r="H3142" s="123" t="s">
        <v>38</v>
      </c>
      <c r="I3142" s="126" t="s">
        <v>9903</v>
      </c>
      <c r="J3142" s="123" t="s">
        <v>11749</v>
      </c>
      <c r="K3142" s="123" t="s">
        <v>11747</v>
      </c>
      <c r="L3142" s="131" t="s">
        <v>100</v>
      </c>
      <c r="M3142" s="135" t="s">
        <v>845</v>
      </c>
      <c r="N3142" s="123" t="s">
        <v>845</v>
      </c>
    </row>
    <row r="3143" spans="2:14" hidden="1" x14ac:dyDescent="0.25">
      <c r="B3143" s="120">
        <v>3140</v>
      </c>
      <c r="C3143" s="123">
        <v>10705409795</v>
      </c>
      <c r="D3143" s="126" t="s">
        <v>11750</v>
      </c>
      <c r="E3143" s="126" t="s">
        <v>11751</v>
      </c>
      <c r="F3143" s="123" t="s">
        <v>30</v>
      </c>
      <c r="G3143" s="123" t="s">
        <v>30</v>
      </c>
      <c r="H3143" s="123" t="s">
        <v>65</v>
      </c>
      <c r="I3143" s="126" t="s">
        <v>1701</v>
      </c>
      <c r="J3143" s="123" t="s">
        <v>11752</v>
      </c>
      <c r="K3143" s="123" t="s">
        <v>11750</v>
      </c>
      <c r="L3143" s="131" t="s">
        <v>100</v>
      </c>
      <c r="M3143" s="135" t="s">
        <v>845</v>
      </c>
      <c r="N3143" s="123" t="s">
        <v>845</v>
      </c>
    </row>
    <row r="3144" spans="2:14" hidden="1" x14ac:dyDescent="0.25">
      <c r="B3144" s="120">
        <v>3141</v>
      </c>
      <c r="C3144" s="123">
        <v>10716942177</v>
      </c>
      <c r="D3144" s="126" t="s">
        <v>11753</v>
      </c>
      <c r="E3144" s="126" t="s">
        <v>11754</v>
      </c>
      <c r="F3144" s="123" t="s">
        <v>30</v>
      </c>
      <c r="G3144" s="123" t="s">
        <v>30</v>
      </c>
      <c r="H3144" s="123" t="s">
        <v>43</v>
      </c>
      <c r="I3144" s="126" t="s">
        <v>10829</v>
      </c>
      <c r="J3144" s="123" t="s">
        <v>11755</v>
      </c>
      <c r="K3144" s="123" t="s">
        <v>11753</v>
      </c>
      <c r="L3144" s="131" t="s">
        <v>100</v>
      </c>
      <c r="M3144" s="135" t="s">
        <v>845</v>
      </c>
      <c r="N3144" s="123" t="s">
        <v>845</v>
      </c>
    </row>
    <row r="3145" spans="2:14" hidden="1" x14ac:dyDescent="0.25">
      <c r="B3145" s="120">
        <v>3142</v>
      </c>
      <c r="C3145" s="123">
        <v>10434918028</v>
      </c>
      <c r="D3145" s="126" t="s">
        <v>11756</v>
      </c>
      <c r="E3145" s="126" t="s">
        <v>11757</v>
      </c>
      <c r="F3145" s="123" t="s">
        <v>30</v>
      </c>
      <c r="G3145" s="123" t="s">
        <v>30</v>
      </c>
      <c r="H3145" s="123" t="s">
        <v>88</v>
      </c>
      <c r="I3145" s="126" t="s">
        <v>1701</v>
      </c>
      <c r="J3145" s="123" t="s">
        <v>11758</v>
      </c>
      <c r="K3145" s="123" t="s">
        <v>11756</v>
      </c>
      <c r="L3145" s="131" t="s">
        <v>100</v>
      </c>
      <c r="M3145" s="135" t="s">
        <v>845</v>
      </c>
      <c r="N3145" s="123" t="s">
        <v>845</v>
      </c>
    </row>
    <row r="3146" spans="2:14" hidden="1" x14ac:dyDescent="0.25">
      <c r="B3146" s="120">
        <v>3143</v>
      </c>
      <c r="C3146" s="123">
        <v>10087614765</v>
      </c>
      <c r="D3146" s="126" t="s">
        <v>11759</v>
      </c>
      <c r="E3146" s="126" t="s">
        <v>11760</v>
      </c>
      <c r="F3146" s="123" t="s">
        <v>30</v>
      </c>
      <c r="G3146" s="123" t="s">
        <v>170</v>
      </c>
      <c r="H3146" s="123" t="s">
        <v>171</v>
      </c>
      <c r="I3146" s="126" t="s">
        <v>8884</v>
      </c>
      <c r="J3146" s="123" t="s">
        <v>11761</v>
      </c>
      <c r="K3146" s="123" t="s">
        <v>11759</v>
      </c>
      <c r="L3146" s="131" t="s">
        <v>100</v>
      </c>
      <c r="M3146" s="135" t="s">
        <v>845</v>
      </c>
      <c r="N3146" s="123" t="s">
        <v>845</v>
      </c>
    </row>
    <row r="3147" spans="2:14" hidden="1" x14ac:dyDescent="0.25">
      <c r="B3147" s="120">
        <v>3144</v>
      </c>
      <c r="C3147" s="123">
        <v>10466163983</v>
      </c>
      <c r="D3147" s="126" t="s">
        <v>11762</v>
      </c>
      <c r="E3147" s="126" t="s">
        <v>11763</v>
      </c>
      <c r="F3147" s="123" t="s">
        <v>30</v>
      </c>
      <c r="G3147" s="123" t="s">
        <v>170</v>
      </c>
      <c r="H3147" s="123" t="s">
        <v>176</v>
      </c>
      <c r="I3147" s="126" t="s">
        <v>1706</v>
      </c>
      <c r="J3147" s="123" t="s">
        <v>11764</v>
      </c>
      <c r="K3147" s="123" t="s">
        <v>11765</v>
      </c>
      <c r="L3147" s="131" t="s">
        <v>100</v>
      </c>
      <c r="M3147" s="135" t="s">
        <v>845</v>
      </c>
      <c r="N3147" s="123" t="s">
        <v>845</v>
      </c>
    </row>
    <row r="3148" spans="2:14" hidden="1" x14ac:dyDescent="0.25">
      <c r="B3148" s="120">
        <v>3145</v>
      </c>
      <c r="C3148" s="123">
        <v>10407292168</v>
      </c>
      <c r="D3148" s="126" t="s">
        <v>11766</v>
      </c>
      <c r="E3148" s="126" t="s">
        <v>1424</v>
      </c>
      <c r="F3148" s="123" t="s">
        <v>30</v>
      </c>
      <c r="G3148" s="123" t="s">
        <v>30</v>
      </c>
      <c r="H3148" s="123" t="s">
        <v>68</v>
      </c>
      <c r="I3148" s="126" t="s">
        <v>1424</v>
      </c>
      <c r="J3148" s="123" t="s">
        <v>11767</v>
      </c>
      <c r="K3148" s="123" t="s">
        <v>11766</v>
      </c>
      <c r="L3148" s="131" t="s">
        <v>100</v>
      </c>
      <c r="M3148" s="135" t="s">
        <v>845</v>
      </c>
      <c r="N3148" s="123" t="s">
        <v>845</v>
      </c>
    </row>
    <row r="3149" spans="2:14" hidden="1" x14ac:dyDescent="0.25">
      <c r="B3149" s="120">
        <v>3146</v>
      </c>
      <c r="C3149" s="123">
        <v>10415250695</v>
      </c>
      <c r="D3149" s="126" t="s">
        <v>11768</v>
      </c>
      <c r="E3149" s="126" t="s">
        <v>11769</v>
      </c>
      <c r="F3149" s="123" t="s">
        <v>30</v>
      </c>
      <c r="G3149" s="123" t="s">
        <v>30</v>
      </c>
      <c r="H3149" s="123" t="s">
        <v>30</v>
      </c>
      <c r="I3149" s="126" t="s">
        <v>1507</v>
      </c>
      <c r="J3149" s="123" t="s">
        <v>11770</v>
      </c>
      <c r="K3149" s="123" t="s">
        <v>11771</v>
      </c>
      <c r="L3149" s="131" t="s">
        <v>100</v>
      </c>
      <c r="M3149" s="135" t="s">
        <v>845</v>
      </c>
      <c r="N3149" s="123" t="s">
        <v>845</v>
      </c>
    </row>
    <row r="3150" spans="2:14" hidden="1" x14ac:dyDescent="0.25">
      <c r="B3150" s="120">
        <v>3147</v>
      </c>
      <c r="C3150" s="123">
        <v>10452105051</v>
      </c>
      <c r="D3150" s="126" t="s">
        <v>11772</v>
      </c>
      <c r="E3150" s="126" t="s">
        <v>11773</v>
      </c>
      <c r="F3150" s="123" t="s">
        <v>30</v>
      </c>
      <c r="G3150" s="123" t="s">
        <v>48</v>
      </c>
      <c r="H3150" s="123" t="s">
        <v>705</v>
      </c>
      <c r="I3150" s="126" t="s">
        <v>1701</v>
      </c>
      <c r="J3150" s="123" t="s">
        <v>11774</v>
      </c>
      <c r="K3150" s="123" t="s">
        <v>11772</v>
      </c>
      <c r="L3150" s="131" t="s">
        <v>100</v>
      </c>
      <c r="M3150" s="135" t="s">
        <v>845</v>
      </c>
      <c r="N3150" s="123" t="s">
        <v>845</v>
      </c>
    </row>
    <row r="3151" spans="2:14" hidden="1" x14ac:dyDescent="0.25">
      <c r="B3151" s="120">
        <v>3148</v>
      </c>
      <c r="C3151" s="123">
        <v>15344449942</v>
      </c>
      <c r="D3151" s="126" t="s">
        <v>11775</v>
      </c>
      <c r="E3151" s="126" t="s">
        <v>11776</v>
      </c>
      <c r="F3151" s="123" t="s">
        <v>30</v>
      </c>
      <c r="G3151" s="123" t="s">
        <v>30</v>
      </c>
      <c r="H3151" s="123" t="s">
        <v>43</v>
      </c>
      <c r="I3151" s="126" t="s">
        <v>1701</v>
      </c>
      <c r="J3151" s="123" t="s">
        <v>11777</v>
      </c>
      <c r="K3151" s="123" t="s">
        <v>11775</v>
      </c>
      <c r="L3151" s="131" t="s">
        <v>100</v>
      </c>
      <c r="M3151" s="135" t="s">
        <v>845</v>
      </c>
      <c r="N3151" s="123" t="s">
        <v>845</v>
      </c>
    </row>
    <row r="3152" spans="2:14" hidden="1" x14ac:dyDescent="0.25">
      <c r="B3152" s="120">
        <v>3149</v>
      </c>
      <c r="C3152" s="123">
        <v>10764333085</v>
      </c>
      <c r="D3152" s="126" t="s">
        <v>11778</v>
      </c>
      <c r="E3152" s="126" t="s">
        <v>11779</v>
      </c>
      <c r="F3152" s="123" t="s">
        <v>30</v>
      </c>
      <c r="G3152" s="123" t="s">
        <v>30</v>
      </c>
      <c r="H3152" s="123" t="s">
        <v>43</v>
      </c>
      <c r="I3152" s="126" t="s">
        <v>1643</v>
      </c>
      <c r="J3152" s="123" t="s">
        <v>11780</v>
      </c>
      <c r="K3152" s="123" t="s">
        <v>11778</v>
      </c>
      <c r="L3152" s="131" t="s">
        <v>100</v>
      </c>
      <c r="M3152" s="135" t="s">
        <v>845</v>
      </c>
      <c r="N3152" s="123" t="s">
        <v>845</v>
      </c>
    </row>
    <row r="3153" spans="2:14" hidden="1" x14ac:dyDescent="0.25">
      <c r="B3153" s="120">
        <v>3150</v>
      </c>
      <c r="C3153" s="123">
        <v>10730894215</v>
      </c>
      <c r="D3153" s="126" t="s">
        <v>11781</v>
      </c>
      <c r="E3153" s="126" t="s">
        <v>11782</v>
      </c>
      <c r="F3153" s="123" t="s">
        <v>30</v>
      </c>
      <c r="G3153" s="123" t="s">
        <v>170</v>
      </c>
      <c r="H3153" s="123" t="s">
        <v>174</v>
      </c>
      <c r="I3153" s="126" t="s">
        <v>1701</v>
      </c>
      <c r="J3153" s="123" t="s">
        <v>11783</v>
      </c>
      <c r="K3153" s="123" t="s">
        <v>11781</v>
      </c>
      <c r="L3153" s="131" t="s">
        <v>100</v>
      </c>
      <c r="M3153" s="135" t="s">
        <v>845</v>
      </c>
      <c r="N3153" s="123" t="s">
        <v>845</v>
      </c>
    </row>
    <row r="3154" spans="2:14" hidden="1" x14ac:dyDescent="0.25">
      <c r="B3154" s="120">
        <v>3151</v>
      </c>
      <c r="C3154" s="123">
        <v>10427911859</v>
      </c>
      <c r="D3154" s="126" t="s">
        <v>11784</v>
      </c>
      <c r="E3154" s="126" t="s">
        <v>11785</v>
      </c>
      <c r="F3154" s="123" t="s">
        <v>30</v>
      </c>
      <c r="G3154" s="123" t="s">
        <v>30</v>
      </c>
      <c r="H3154" s="123" t="s">
        <v>37</v>
      </c>
      <c r="I3154" s="126" t="s">
        <v>1564</v>
      </c>
      <c r="J3154" s="123" t="s">
        <v>11786</v>
      </c>
      <c r="K3154" s="123" t="s">
        <v>11784</v>
      </c>
      <c r="L3154" s="131" t="s">
        <v>100</v>
      </c>
      <c r="M3154" s="135" t="s">
        <v>845</v>
      </c>
      <c r="N3154" s="123" t="s">
        <v>845</v>
      </c>
    </row>
    <row r="3155" spans="2:14" hidden="1" x14ac:dyDescent="0.25">
      <c r="B3155" s="120">
        <v>3152</v>
      </c>
      <c r="C3155" s="123">
        <v>10467012547</v>
      </c>
      <c r="D3155" s="126" t="s">
        <v>11787</v>
      </c>
      <c r="E3155" s="126" t="s">
        <v>11788</v>
      </c>
      <c r="F3155" s="123" t="s">
        <v>67</v>
      </c>
      <c r="G3155" s="123" t="s">
        <v>67</v>
      </c>
      <c r="H3155" s="123" t="s">
        <v>67</v>
      </c>
      <c r="I3155" s="126" t="s">
        <v>11789</v>
      </c>
      <c r="J3155" s="123" t="s">
        <v>11790</v>
      </c>
      <c r="K3155" s="123" t="s">
        <v>11787</v>
      </c>
      <c r="L3155" s="131" t="s">
        <v>100</v>
      </c>
      <c r="M3155" s="135" t="s">
        <v>845</v>
      </c>
      <c r="N3155" s="123" t="s">
        <v>845</v>
      </c>
    </row>
    <row r="3156" spans="2:14" hidden="1" x14ac:dyDescent="0.25">
      <c r="B3156" s="120">
        <v>3153</v>
      </c>
      <c r="C3156" s="123">
        <v>10104844079</v>
      </c>
      <c r="D3156" s="126" t="s">
        <v>11791</v>
      </c>
      <c r="E3156" s="126" t="s">
        <v>11792</v>
      </c>
      <c r="F3156" s="123" t="s">
        <v>30</v>
      </c>
      <c r="G3156" s="123" t="s">
        <v>54</v>
      </c>
      <c r="H3156" s="123" t="s">
        <v>54</v>
      </c>
      <c r="I3156" s="126" t="s">
        <v>9625</v>
      </c>
      <c r="J3156" s="123" t="s">
        <v>11793</v>
      </c>
      <c r="K3156" s="123" t="s">
        <v>11791</v>
      </c>
      <c r="L3156" s="131" t="s">
        <v>100</v>
      </c>
      <c r="M3156" s="135" t="s">
        <v>845</v>
      </c>
      <c r="N3156" s="123" t="s">
        <v>845</v>
      </c>
    </row>
    <row r="3157" spans="2:14" hidden="1" x14ac:dyDescent="0.25">
      <c r="B3157" s="120">
        <v>3154</v>
      </c>
      <c r="C3157" s="123">
        <v>10405504991</v>
      </c>
      <c r="D3157" s="126" t="s">
        <v>11794</v>
      </c>
      <c r="E3157" s="126" t="s">
        <v>11795</v>
      </c>
      <c r="F3157" s="123" t="s">
        <v>30</v>
      </c>
      <c r="G3157" s="123" t="s">
        <v>30</v>
      </c>
      <c r="H3157" s="123" t="s">
        <v>72</v>
      </c>
      <c r="I3157" s="126" t="s">
        <v>1939</v>
      </c>
      <c r="J3157" s="123" t="s">
        <v>11796</v>
      </c>
      <c r="K3157" s="123" t="s">
        <v>11794</v>
      </c>
      <c r="L3157" s="131" t="s">
        <v>100</v>
      </c>
      <c r="M3157" s="135" t="s">
        <v>845</v>
      </c>
      <c r="N3157" s="123" t="s">
        <v>845</v>
      </c>
    </row>
    <row r="3158" spans="2:14" hidden="1" x14ac:dyDescent="0.25">
      <c r="B3158" s="120">
        <v>3155</v>
      </c>
      <c r="C3158" s="123">
        <v>10700916982</v>
      </c>
      <c r="D3158" s="126" t="s">
        <v>11797</v>
      </c>
      <c r="E3158" s="126" t="s">
        <v>11798</v>
      </c>
      <c r="F3158" s="123" t="s">
        <v>30</v>
      </c>
      <c r="G3158" s="123" t="s">
        <v>30</v>
      </c>
      <c r="H3158" s="123" t="s">
        <v>52</v>
      </c>
      <c r="I3158" s="126" t="s">
        <v>1931</v>
      </c>
      <c r="J3158" s="123" t="s">
        <v>11799</v>
      </c>
      <c r="K3158" s="123" t="s">
        <v>11797</v>
      </c>
      <c r="L3158" s="131" t="s">
        <v>100</v>
      </c>
      <c r="M3158" s="135" t="s">
        <v>845</v>
      </c>
      <c r="N3158" s="123" t="s">
        <v>845</v>
      </c>
    </row>
    <row r="3159" spans="2:14" hidden="1" x14ac:dyDescent="0.25">
      <c r="B3159" s="120">
        <v>3156</v>
      </c>
      <c r="C3159" s="123">
        <v>10719561727</v>
      </c>
      <c r="D3159" s="126" t="s">
        <v>11800</v>
      </c>
      <c r="E3159" s="126" t="s">
        <v>11801</v>
      </c>
      <c r="F3159" s="123" t="s">
        <v>67</v>
      </c>
      <c r="G3159" s="123" t="s">
        <v>67</v>
      </c>
      <c r="H3159" s="123" t="s">
        <v>94</v>
      </c>
      <c r="I3159" s="126" t="s">
        <v>11802</v>
      </c>
      <c r="J3159" s="123" t="s">
        <v>11803</v>
      </c>
      <c r="K3159" s="123" t="s">
        <v>11800</v>
      </c>
      <c r="L3159" s="131" t="s">
        <v>100</v>
      </c>
      <c r="M3159" s="135" t="s">
        <v>845</v>
      </c>
      <c r="N3159" s="123" t="s">
        <v>845</v>
      </c>
    </row>
    <row r="3160" spans="2:14" hidden="1" x14ac:dyDescent="0.25">
      <c r="B3160" s="120">
        <v>3157</v>
      </c>
      <c r="C3160" s="123">
        <v>10475941930</v>
      </c>
      <c r="D3160" s="126" t="s">
        <v>11804</v>
      </c>
      <c r="E3160" s="126" t="s">
        <v>11805</v>
      </c>
      <c r="F3160" s="123" t="s">
        <v>30</v>
      </c>
      <c r="G3160" s="123" t="s">
        <v>30</v>
      </c>
      <c r="H3160" s="123" t="s">
        <v>45</v>
      </c>
      <c r="I3160" s="126" t="s">
        <v>1805</v>
      </c>
      <c r="J3160" s="123" t="s">
        <v>11806</v>
      </c>
      <c r="K3160" s="123" t="s">
        <v>11807</v>
      </c>
      <c r="L3160" s="131" t="s">
        <v>100</v>
      </c>
      <c r="M3160" s="135" t="s">
        <v>845</v>
      </c>
      <c r="N3160" s="123" t="s">
        <v>845</v>
      </c>
    </row>
    <row r="3161" spans="2:14" hidden="1" x14ac:dyDescent="0.25">
      <c r="B3161" s="120">
        <v>3158</v>
      </c>
      <c r="C3161" s="123">
        <v>10404476896</v>
      </c>
      <c r="D3161" s="126" t="s">
        <v>11808</v>
      </c>
      <c r="E3161" s="126" t="s">
        <v>11809</v>
      </c>
      <c r="F3161" s="123" t="s">
        <v>30</v>
      </c>
      <c r="G3161" s="123" t="s">
        <v>30</v>
      </c>
      <c r="H3161" s="123" t="s">
        <v>37</v>
      </c>
      <c r="I3161" s="126" t="s">
        <v>9340</v>
      </c>
      <c r="J3161" s="123" t="s">
        <v>11810</v>
      </c>
      <c r="K3161" s="123" t="s">
        <v>11808</v>
      </c>
      <c r="L3161" s="131" t="s">
        <v>100</v>
      </c>
      <c r="M3161" s="135" t="s">
        <v>845</v>
      </c>
      <c r="N3161" s="123" t="s">
        <v>845</v>
      </c>
    </row>
    <row r="3162" spans="2:14" hidden="1" x14ac:dyDescent="0.25">
      <c r="B3162" s="120">
        <v>3159</v>
      </c>
      <c r="C3162" s="123">
        <v>10406354071</v>
      </c>
      <c r="D3162" s="126" t="s">
        <v>11811</v>
      </c>
      <c r="E3162" s="126" t="s">
        <v>11812</v>
      </c>
      <c r="F3162" s="123" t="s">
        <v>30</v>
      </c>
      <c r="G3162" s="123" t="s">
        <v>54</v>
      </c>
      <c r="H3162" s="123" t="s">
        <v>55</v>
      </c>
      <c r="I3162" s="126" t="s">
        <v>1424</v>
      </c>
      <c r="J3162" s="123" t="s">
        <v>11813</v>
      </c>
      <c r="K3162" s="123" t="s">
        <v>11811</v>
      </c>
      <c r="L3162" s="131" t="s">
        <v>100</v>
      </c>
      <c r="M3162" s="135" t="s">
        <v>845</v>
      </c>
      <c r="N3162" s="123" t="s">
        <v>845</v>
      </c>
    </row>
    <row r="3163" spans="2:14" hidden="1" x14ac:dyDescent="0.25">
      <c r="B3163" s="120">
        <v>3160</v>
      </c>
      <c r="C3163" s="123">
        <v>10468943196</v>
      </c>
      <c r="D3163" s="126" t="s">
        <v>11814</v>
      </c>
      <c r="E3163" s="126" t="s">
        <v>11815</v>
      </c>
      <c r="F3163" s="123" t="s">
        <v>30</v>
      </c>
      <c r="G3163" s="123" t="s">
        <v>30</v>
      </c>
      <c r="H3163" s="123" t="s">
        <v>30</v>
      </c>
      <c r="I3163" s="126" t="s">
        <v>1706</v>
      </c>
      <c r="J3163" s="123" t="s">
        <v>11816</v>
      </c>
      <c r="K3163" s="123" t="s">
        <v>11817</v>
      </c>
      <c r="L3163" s="131" t="s">
        <v>100</v>
      </c>
      <c r="M3163" s="135" t="s">
        <v>845</v>
      </c>
      <c r="N3163" s="123" t="s">
        <v>845</v>
      </c>
    </row>
    <row r="3164" spans="2:14" hidden="1" x14ac:dyDescent="0.25">
      <c r="B3164" s="120">
        <v>3161</v>
      </c>
      <c r="C3164" s="123">
        <v>10107743460</v>
      </c>
      <c r="D3164" s="126" t="s">
        <v>11818</v>
      </c>
      <c r="E3164" s="126" t="s">
        <v>11819</v>
      </c>
      <c r="F3164" s="123" t="s">
        <v>30</v>
      </c>
      <c r="G3164" s="123" t="s">
        <v>30</v>
      </c>
      <c r="H3164" s="123" t="s">
        <v>113</v>
      </c>
      <c r="I3164" s="126" t="s">
        <v>1936</v>
      </c>
      <c r="J3164" s="123" t="s">
        <v>11820</v>
      </c>
      <c r="K3164" s="123" t="s">
        <v>11821</v>
      </c>
      <c r="L3164" s="131" t="s">
        <v>100</v>
      </c>
      <c r="M3164" s="135" t="s">
        <v>845</v>
      </c>
      <c r="N3164" s="123" t="s">
        <v>845</v>
      </c>
    </row>
    <row r="3165" spans="2:14" hidden="1" x14ac:dyDescent="0.25">
      <c r="B3165" s="120">
        <v>3162</v>
      </c>
      <c r="C3165" s="123">
        <v>10489094407</v>
      </c>
      <c r="D3165" s="126" t="s">
        <v>11822</v>
      </c>
      <c r="E3165" s="126" t="s">
        <v>11823</v>
      </c>
      <c r="F3165" s="123" t="s">
        <v>30</v>
      </c>
      <c r="G3165" s="123" t="s">
        <v>30</v>
      </c>
      <c r="H3165" s="123" t="s">
        <v>50</v>
      </c>
      <c r="I3165" s="126" t="s">
        <v>1424</v>
      </c>
      <c r="J3165" s="123" t="s">
        <v>11824</v>
      </c>
      <c r="K3165" s="123" t="s">
        <v>11825</v>
      </c>
      <c r="L3165" s="131" t="s">
        <v>100</v>
      </c>
      <c r="M3165" s="135" t="s">
        <v>845</v>
      </c>
      <c r="N3165" s="123" t="s">
        <v>845</v>
      </c>
    </row>
    <row r="3166" spans="2:14" hidden="1" x14ac:dyDescent="0.25">
      <c r="B3166" s="120">
        <v>3163</v>
      </c>
      <c r="C3166" s="123">
        <v>10002528539</v>
      </c>
      <c r="D3166" s="126" t="s">
        <v>11826</v>
      </c>
      <c r="E3166" s="126" t="s">
        <v>11827</v>
      </c>
      <c r="F3166" s="123" t="s">
        <v>30</v>
      </c>
      <c r="G3166" s="123" t="s">
        <v>54</v>
      </c>
      <c r="H3166" s="123" t="s">
        <v>54</v>
      </c>
      <c r="I3166" s="126" t="s">
        <v>1952</v>
      </c>
      <c r="J3166" s="123" t="s">
        <v>11828</v>
      </c>
      <c r="K3166" s="123" t="s">
        <v>11826</v>
      </c>
      <c r="L3166" s="131" t="s">
        <v>100</v>
      </c>
      <c r="M3166" s="135" t="s">
        <v>845</v>
      </c>
      <c r="N3166" s="123" t="s">
        <v>845</v>
      </c>
    </row>
    <row r="3167" spans="2:14" hidden="1" x14ac:dyDescent="0.25">
      <c r="B3167" s="120">
        <v>3164</v>
      </c>
      <c r="C3167" s="123">
        <v>10077617227</v>
      </c>
      <c r="D3167" s="126" t="s">
        <v>11829</v>
      </c>
      <c r="E3167" s="126" t="s">
        <v>11830</v>
      </c>
      <c r="F3167" s="123" t="s">
        <v>30</v>
      </c>
      <c r="G3167" s="123" t="s">
        <v>48</v>
      </c>
      <c r="H3167" s="123" t="s">
        <v>155</v>
      </c>
      <c r="I3167" s="126" t="s">
        <v>1701</v>
      </c>
      <c r="J3167" s="123" t="s">
        <v>11831</v>
      </c>
      <c r="K3167" s="123" t="s">
        <v>11829</v>
      </c>
      <c r="L3167" s="131" t="s">
        <v>100</v>
      </c>
      <c r="M3167" s="135" t="s">
        <v>845</v>
      </c>
      <c r="N3167" s="123" t="s">
        <v>845</v>
      </c>
    </row>
    <row r="3168" spans="2:14" hidden="1" x14ac:dyDescent="0.25">
      <c r="B3168" s="120">
        <v>3165</v>
      </c>
      <c r="C3168" s="123">
        <v>10270756030</v>
      </c>
      <c r="D3168" s="126" t="s">
        <v>11832</v>
      </c>
      <c r="E3168" s="126" t="s">
        <v>11833</v>
      </c>
      <c r="F3168" s="123" t="s">
        <v>67</v>
      </c>
      <c r="G3168" s="123" t="s">
        <v>67</v>
      </c>
      <c r="H3168" s="123" t="s">
        <v>67</v>
      </c>
      <c r="I3168" s="126" t="s">
        <v>1701</v>
      </c>
      <c r="J3168" s="123" t="s">
        <v>11834</v>
      </c>
      <c r="K3168" s="123" t="s">
        <v>11832</v>
      </c>
      <c r="L3168" s="131" t="s">
        <v>100</v>
      </c>
      <c r="M3168" s="135" t="s">
        <v>845</v>
      </c>
      <c r="N3168" s="123" t="s">
        <v>845</v>
      </c>
    </row>
    <row r="3169" spans="2:14" hidden="1" x14ac:dyDescent="0.25">
      <c r="B3169" s="120">
        <v>3166</v>
      </c>
      <c r="C3169" s="123">
        <v>10105422518</v>
      </c>
      <c r="D3169" s="126" t="s">
        <v>11835</v>
      </c>
      <c r="E3169" s="126" t="s">
        <v>11836</v>
      </c>
      <c r="F3169" s="123" t="s">
        <v>30</v>
      </c>
      <c r="G3169" s="123" t="s">
        <v>30</v>
      </c>
      <c r="H3169" s="123" t="s">
        <v>43</v>
      </c>
      <c r="I3169" s="126" t="s">
        <v>8825</v>
      </c>
      <c r="J3169" s="123" t="s">
        <v>11837</v>
      </c>
      <c r="K3169" s="123" t="s">
        <v>11835</v>
      </c>
      <c r="L3169" s="131" t="s">
        <v>100</v>
      </c>
      <c r="M3169" s="135" t="s">
        <v>845</v>
      </c>
      <c r="N3169" s="123" t="s">
        <v>845</v>
      </c>
    </row>
    <row r="3170" spans="2:14" hidden="1" x14ac:dyDescent="0.25">
      <c r="B3170" s="120">
        <v>3167</v>
      </c>
      <c r="C3170" s="123">
        <v>10075294471</v>
      </c>
      <c r="D3170" s="126" t="s">
        <v>11838</v>
      </c>
      <c r="E3170" s="126" t="s">
        <v>11839</v>
      </c>
      <c r="F3170" s="123" t="s">
        <v>30</v>
      </c>
      <c r="G3170" s="123" t="s">
        <v>30</v>
      </c>
      <c r="H3170" s="123" t="s">
        <v>43</v>
      </c>
      <c r="I3170" s="126" t="s">
        <v>1701</v>
      </c>
      <c r="J3170" s="123" t="s">
        <v>11840</v>
      </c>
      <c r="K3170" s="123" t="s">
        <v>11838</v>
      </c>
      <c r="L3170" s="131" t="s">
        <v>100</v>
      </c>
      <c r="M3170" s="135" t="s">
        <v>845</v>
      </c>
      <c r="N3170" s="123" t="s">
        <v>845</v>
      </c>
    </row>
    <row r="3171" spans="2:14" hidden="1" x14ac:dyDescent="0.25">
      <c r="B3171" s="120">
        <v>3168</v>
      </c>
      <c r="C3171" s="123">
        <v>10485818842</v>
      </c>
      <c r="D3171" s="126" t="s">
        <v>11841</v>
      </c>
      <c r="E3171" s="126" t="s">
        <v>11842</v>
      </c>
      <c r="F3171" s="123" t="s">
        <v>30</v>
      </c>
      <c r="G3171" s="123" t="s">
        <v>30</v>
      </c>
      <c r="H3171" s="123" t="s">
        <v>45</v>
      </c>
      <c r="I3171" s="126" t="s">
        <v>1931</v>
      </c>
      <c r="J3171" s="123" t="s">
        <v>11843</v>
      </c>
      <c r="K3171" s="123" t="s">
        <v>11841</v>
      </c>
      <c r="L3171" s="131" t="s">
        <v>100</v>
      </c>
      <c r="M3171" s="135" t="s">
        <v>845</v>
      </c>
      <c r="N3171" s="123" t="s">
        <v>845</v>
      </c>
    </row>
    <row r="3172" spans="2:14" hidden="1" x14ac:dyDescent="0.25">
      <c r="B3172" s="120">
        <v>3169</v>
      </c>
      <c r="C3172" s="123">
        <v>10467586667</v>
      </c>
      <c r="D3172" s="126" t="s">
        <v>11844</v>
      </c>
      <c r="E3172" s="126" t="s">
        <v>11845</v>
      </c>
      <c r="F3172" s="123" t="s">
        <v>30</v>
      </c>
      <c r="G3172" s="123" t="s">
        <v>30</v>
      </c>
      <c r="H3172" s="123" t="s">
        <v>43</v>
      </c>
      <c r="I3172" s="126" t="s">
        <v>11846</v>
      </c>
      <c r="J3172" s="123" t="s">
        <v>11847</v>
      </c>
      <c r="K3172" s="123" t="s">
        <v>11848</v>
      </c>
      <c r="L3172" s="131" t="s">
        <v>100</v>
      </c>
      <c r="M3172" s="135" t="s">
        <v>845</v>
      </c>
      <c r="N3172" s="123" t="s">
        <v>845</v>
      </c>
    </row>
    <row r="3173" spans="2:14" hidden="1" x14ac:dyDescent="0.25">
      <c r="B3173" s="120">
        <v>3170</v>
      </c>
      <c r="C3173" s="123">
        <v>10427716584</v>
      </c>
      <c r="D3173" s="126" t="s">
        <v>11849</v>
      </c>
      <c r="E3173" s="126" t="s">
        <v>11850</v>
      </c>
      <c r="F3173" s="123" t="s">
        <v>30</v>
      </c>
      <c r="G3173" s="123" t="s">
        <v>30</v>
      </c>
      <c r="H3173" s="123" t="s">
        <v>51</v>
      </c>
      <c r="I3173" s="126" t="s">
        <v>1701</v>
      </c>
      <c r="J3173" s="123" t="s">
        <v>11851</v>
      </c>
      <c r="K3173" s="123" t="s">
        <v>11849</v>
      </c>
      <c r="L3173" s="131" t="s">
        <v>100</v>
      </c>
      <c r="M3173" s="135" t="s">
        <v>845</v>
      </c>
      <c r="N3173" s="123" t="s">
        <v>845</v>
      </c>
    </row>
    <row r="3174" spans="2:14" hidden="1" x14ac:dyDescent="0.25">
      <c r="B3174" s="120">
        <v>3171</v>
      </c>
      <c r="C3174" s="123">
        <v>10460808826</v>
      </c>
      <c r="D3174" s="126" t="s">
        <v>11852</v>
      </c>
      <c r="E3174" s="126" t="s">
        <v>11853</v>
      </c>
      <c r="F3174" s="123" t="s">
        <v>30</v>
      </c>
      <c r="G3174" s="123" t="s">
        <v>30</v>
      </c>
      <c r="H3174" s="123" t="s">
        <v>58</v>
      </c>
      <c r="I3174" s="126" t="s">
        <v>1737</v>
      </c>
      <c r="J3174" s="123" t="s">
        <v>11854</v>
      </c>
      <c r="K3174" s="123" t="s">
        <v>11852</v>
      </c>
      <c r="L3174" s="131" t="s">
        <v>100</v>
      </c>
      <c r="M3174" s="135" t="s">
        <v>845</v>
      </c>
      <c r="N3174" s="123" t="s">
        <v>845</v>
      </c>
    </row>
    <row r="3175" spans="2:14" hidden="1" x14ac:dyDescent="0.25">
      <c r="B3175" s="120">
        <v>3172</v>
      </c>
      <c r="C3175" s="123">
        <v>10157280801</v>
      </c>
      <c r="D3175" s="126" t="s">
        <v>11855</v>
      </c>
      <c r="E3175" s="126" t="s">
        <v>11856</v>
      </c>
      <c r="F3175" s="123" t="s">
        <v>30</v>
      </c>
      <c r="G3175" s="123" t="s">
        <v>170</v>
      </c>
      <c r="H3175" s="123" t="s">
        <v>171</v>
      </c>
      <c r="I3175" s="126" t="s">
        <v>1941</v>
      </c>
      <c r="J3175" s="123" t="s">
        <v>11857</v>
      </c>
      <c r="K3175" s="123" t="s">
        <v>11855</v>
      </c>
      <c r="L3175" s="131" t="s">
        <v>100</v>
      </c>
      <c r="M3175" s="135" t="s">
        <v>845</v>
      </c>
      <c r="N3175" s="123" t="s">
        <v>845</v>
      </c>
    </row>
    <row r="3176" spans="2:14" hidden="1" x14ac:dyDescent="0.25">
      <c r="B3176" s="120">
        <v>3173</v>
      </c>
      <c r="C3176" s="123">
        <v>10401954720</v>
      </c>
      <c r="D3176" s="126" t="s">
        <v>11858</v>
      </c>
      <c r="E3176" s="126" t="s">
        <v>11859</v>
      </c>
      <c r="F3176" s="123" t="s">
        <v>30</v>
      </c>
      <c r="G3176" s="123" t="s">
        <v>170</v>
      </c>
      <c r="H3176" s="123" t="s">
        <v>171</v>
      </c>
      <c r="I3176" s="126" t="s">
        <v>1930</v>
      </c>
      <c r="J3176" s="123" t="s">
        <v>11860</v>
      </c>
      <c r="K3176" s="123" t="s">
        <v>11858</v>
      </c>
      <c r="L3176" s="131" t="s">
        <v>100</v>
      </c>
      <c r="M3176" s="135" t="s">
        <v>845</v>
      </c>
      <c r="N3176" s="123" t="s">
        <v>845</v>
      </c>
    </row>
    <row r="3177" spans="2:14" hidden="1" x14ac:dyDescent="0.25">
      <c r="B3177" s="120">
        <v>3174</v>
      </c>
      <c r="C3177" s="123">
        <v>10075685411</v>
      </c>
      <c r="D3177" s="126" t="s">
        <v>11861</v>
      </c>
      <c r="E3177" s="126" t="s">
        <v>11862</v>
      </c>
      <c r="F3177" s="123" t="s">
        <v>30</v>
      </c>
      <c r="G3177" s="123" t="s">
        <v>30</v>
      </c>
      <c r="H3177" s="123" t="s">
        <v>30</v>
      </c>
      <c r="I3177" s="126" t="s">
        <v>1930</v>
      </c>
      <c r="J3177" s="123" t="s">
        <v>11863</v>
      </c>
      <c r="K3177" s="123" t="s">
        <v>11861</v>
      </c>
      <c r="L3177" s="131" t="s">
        <v>100</v>
      </c>
      <c r="M3177" s="135" t="s">
        <v>845</v>
      </c>
      <c r="N3177" s="123" t="s">
        <v>845</v>
      </c>
    </row>
    <row r="3178" spans="2:14" hidden="1" x14ac:dyDescent="0.25">
      <c r="B3178" s="120">
        <v>3175</v>
      </c>
      <c r="C3178" s="123">
        <v>10753686385</v>
      </c>
      <c r="D3178" s="126" t="s">
        <v>11864</v>
      </c>
      <c r="E3178" s="126" t="s">
        <v>11865</v>
      </c>
      <c r="F3178" s="123" t="s">
        <v>30</v>
      </c>
      <c r="G3178" s="123" t="s">
        <v>30</v>
      </c>
      <c r="H3178" s="123" t="s">
        <v>43</v>
      </c>
      <c r="I3178" s="126" t="s">
        <v>1701</v>
      </c>
      <c r="J3178" s="123" t="s">
        <v>11866</v>
      </c>
      <c r="K3178" s="123" t="s">
        <v>11864</v>
      </c>
      <c r="L3178" s="131" t="s">
        <v>100</v>
      </c>
      <c r="M3178" s="135" t="s">
        <v>845</v>
      </c>
      <c r="N3178" s="123" t="s">
        <v>845</v>
      </c>
    </row>
    <row r="3179" spans="2:14" hidden="1" x14ac:dyDescent="0.25">
      <c r="B3179" s="120">
        <v>3176</v>
      </c>
      <c r="C3179" s="123">
        <v>10438899974</v>
      </c>
      <c r="D3179" s="126" t="s">
        <v>11867</v>
      </c>
      <c r="E3179" s="126" t="s">
        <v>11868</v>
      </c>
      <c r="F3179" s="123" t="s">
        <v>30</v>
      </c>
      <c r="G3179" s="123" t="s">
        <v>170</v>
      </c>
      <c r="H3179" s="123" t="s">
        <v>174</v>
      </c>
      <c r="I3179" s="126" t="s">
        <v>1424</v>
      </c>
      <c r="J3179" s="123" t="s">
        <v>11869</v>
      </c>
      <c r="K3179" s="123" t="s">
        <v>11867</v>
      </c>
      <c r="L3179" s="131" t="s">
        <v>100</v>
      </c>
      <c r="M3179" s="135" t="s">
        <v>845</v>
      </c>
      <c r="N3179" s="123" t="s">
        <v>845</v>
      </c>
    </row>
    <row r="3180" spans="2:14" hidden="1" x14ac:dyDescent="0.25">
      <c r="B3180" s="120">
        <v>3177</v>
      </c>
      <c r="C3180" s="123">
        <v>10752697090</v>
      </c>
      <c r="D3180" s="126" t="s">
        <v>11870</v>
      </c>
      <c r="E3180" s="126" t="s">
        <v>11871</v>
      </c>
      <c r="F3180" s="123" t="s">
        <v>30</v>
      </c>
      <c r="G3180" s="123" t="s">
        <v>31</v>
      </c>
      <c r="H3180" s="123" t="s">
        <v>139</v>
      </c>
      <c r="I3180" s="126" t="s">
        <v>11872</v>
      </c>
      <c r="J3180" s="123" t="s">
        <v>11873</v>
      </c>
      <c r="K3180" s="123" t="s">
        <v>11870</v>
      </c>
      <c r="L3180" s="131" t="s">
        <v>100</v>
      </c>
      <c r="M3180" s="135" t="s">
        <v>845</v>
      </c>
      <c r="N3180" s="123" t="s">
        <v>845</v>
      </c>
    </row>
    <row r="3181" spans="2:14" hidden="1" x14ac:dyDescent="0.25">
      <c r="B3181" s="120">
        <v>3178</v>
      </c>
      <c r="C3181" s="123">
        <v>10084579454</v>
      </c>
      <c r="D3181" s="126" t="s">
        <v>11874</v>
      </c>
      <c r="E3181" s="126" t="s">
        <v>11875</v>
      </c>
      <c r="F3181" s="123" t="s">
        <v>67</v>
      </c>
      <c r="G3181" s="123" t="s">
        <v>67</v>
      </c>
      <c r="H3181" s="123" t="s">
        <v>67</v>
      </c>
      <c r="I3181" s="126" t="s">
        <v>1939</v>
      </c>
      <c r="J3181" s="123" t="s">
        <v>11876</v>
      </c>
      <c r="K3181" s="123" t="s">
        <v>11874</v>
      </c>
      <c r="L3181" s="131" t="s">
        <v>100</v>
      </c>
      <c r="M3181" s="135" t="s">
        <v>845</v>
      </c>
      <c r="N3181" s="123" t="s">
        <v>845</v>
      </c>
    </row>
    <row r="3182" spans="2:14" hidden="1" x14ac:dyDescent="0.25">
      <c r="B3182" s="120">
        <v>3179</v>
      </c>
      <c r="C3182" s="123">
        <v>10471837593</v>
      </c>
      <c r="D3182" s="126" t="s">
        <v>11877</v>
      </c>
      <c r="E3182" s="126" t="s">
        <v>11878</v>
      </c>
      <c r="F3182" s="123" t="s">
        <v>30</v>
      </c>
      <c r="G3182" s="123" t="s">
        <v>30</v>
      </c>
      <c r="H3182" s="123" t="s">
        <v>50</v>
      </c>
      <c r="I3182" s="126" t="s">
        <v>1706</v>
      </c>
      <c r="J3182" s="123" t="s">
        <v>11879</v>
      </c>
      <c r="K3182" s="123" t="s">
        <v>11880</v>
      </c>
      <c r="L3182" s="131" t="s">
        <v>100</v>
      </c>
      <c r="M3182" s="135" t="s">
        <v>845</v>
      </c>
      <c r="N3182" s="123" t="s">
        <v>845</v>
      </c>
    </row>
    <row r="3183" spans="2:14" hidden="1" x14ac:dyDescent="0.25">
      <c r="B3183" s="120">
        <v>3180</v>
      </c>
      <c r="C3183" s="123">
        <v>10426432779</v>
      </c>
      <c r="D3183" s="126" t="s">
        <v>11881</v>
      </c>
      <c r="E3183" s="126" t="s">
        <v>11882</v>
      </c>
      <c r="F3183" s="123" t="s">
        <v>30</v>
      </c>
      <c r="G3183" s="123" t="s">
        <v>30</v>
      </c>
      <c r="H3183" s="123" t="s">
        <v>60</v>
      </c>
      <c r="I3183" s="126" t="s">
        <v>1701</v>
      </c>
      <c r="J3183" s="123" t="s">
        <v>11883</v>
      </c>
      <c r="K3183" s="123" t="s">
        <v>11881</v>
      </c>
      <c r="L3183" s="131" t="s">
        <v>100</v>
      </c>
      <c r="M3183" s="135" t="s">
        <v>845</v>
      </c>
      <c r="N3183" s="123" t="s">
        <v>845</v>
      </c>
    </row>
    <row r="3184" spans="2:14" hidden="1" x14ac:dyDescent="0.25">
      <c r="B3184" s="120">
        <v>3181</v>
      </c>
      <c r="C3184" s="123">
        <v>10413226177</v>
      </c>
      <c r="D3184" s="126" t="s">
        <v>11884</v>
      </c>
      <c r="E3184" s="126" t="s">
        <v>11885</v>
      </c>
      <c r="F3184" s="123" t="s">
        <v>30</v>
      </c>
      <c r="G3184" s="123" t="s">
        <v>30</v>
      </c>
      <c r="H3184" s="123" t="s">
        <v>30</v>
      </c>
      <c r="I3184" s="126" t="s">
        <v>1424</v>
      </c>
      <c r="J3184" s="123" t="s">
        <v>11886</v>
      </c>
      <c r="K3184" s="123" t="s">
        <v>11884</v>
      </c>
      <c r="L3184" s="131" t="s">
        <v>100</v>
      </c>
      <c r="M3184" s="135" t="s">
        <v>845</v>
      </c>
      <c r="N3184" s="123" t="s">
        <v>845</v>
      </c>
    </row>
    <row r="3185" spans="2:14" hidden="1" x14ac:dyDescent="0.25">
      <c r="B3185" s="120">
        <v>3182</v>
      </c>
      <c r="C3185" s="123">
        <v>10468447261</v>
      </c>
      <c r="D3185" s="126" t="s">
        <v>11887</v>
      </c>
      <c r="E3185" s="126" t="s">
        <v>11888</v>
      </c>
      <c r="F3185" s="123" t="s">
        <v>30</v>
      </c>
      <c r="G3185" s="123" t="s">
        <v>30</v>
      </c>
      <c r="H3185" s="123" t="s">
        <v>52</v>
      </c>
      <c r="I3185" s="126" t="s">
        <v>1701</v>
      </c>
      <c r="J3185" s="123" t="s">
        <v>11889</v>
      </c>
      <c r="K3185" s="123" t="s">
        <v>11887</v>
      </c>
      <c r="L3185" s="131" t="s">
        <v>100</v>
      </c>
      <c r="M3185" s="135" t="s">
        <v>845</v>
      </c>
      <c r="N3185" s="123" t="s">
        <v>845</v>
      </c>
    </row>
    <row r="3186" spans="2:14" hidden="1" x14ac:dyDescent="0.25">
      <c r="B3186" s="120">
        <v>3183</v>
      </c>
      <c r="C3186" s="123">
        <v>10702017829</v>
      </c>
      <c r="D3186" s="126" t="s">
        <v>11890</v>
      </c>
      <c r="E3186" s="126" t="s">
        <v>11891</v>
      </c>
      <c r="F3186" s="123" t="s">
        <v>30</v>
      </c>
      <c r="G3186" s="123" t="s">
        <v>30</v>
      </c>
      <c r="H3186" s="123" t="s">
        <v>64</v>
      </c>
      <c r="I3186" s="126" t="s">
        <v>1809</v>
      </c>
      <c r="J3186" s="123" t="s">
        <v>11892</v>
      </c>
      <c r="K3186" s="123" t="s">
        <v>11893</v>
      </c>
      <c r="L3186" s="131" t="s">
        <v>100</v>
      </c>
      <c r="M3186" s="135" t="s">
        <v>845</v>
      </c>
      <c r="N3186" s="123" t="s">
        <v>845</v>
      </c>
    </row>
    <row r="3187" spans="2:14" hidden="1" x14ac:dyDescent="0.25">
      <c r="B3187" s="120">
        <v>3184</v>
      </c>
      <c r="C3187" s="123">
        <v>10411874503</v>
      </c>
      <c r="D3187" s="126" t="s">
        <v>11894</v>
      </c>
      <c r="E3187" s="126" t="s">
        <v>11895</v>
      </c>
      <c r="F3187" s="123" t="s">
        <v>30</v>
      </c>
      <c r="G3187" s="123" t="s">
        <v>30</v>
      </c>
      <c r="H3187" s="123" t="s">
        <v>72</v>
      </c>
      <c r="I3187" s="126" t="s">
        <v>1950</v>
      </c>
      <c r="J3187" s="123" t="s">
        <v>11896</v>
      </c>
      <c r="K3187" s="123" t="s">
        <v>11894</v>
      </c>
      <c r="L3187" s="131" t="s">
        <v>100</v>
      </c>
      <c r="M3187" s="135" t="s">
        <v>845</v>
      </c>
      <c r="N3187" s="123" t="s">
        <v>845</v>
      </c>
    </row>
    <row r="3188" spans="2:14" hidden="1" x14ac:dyDescent="0.25">
      <c r="B3188" s="120">
        <v>3185</v>
      </c>
      <c r="C3188" s="123">
        <v>10447870334</v>
      </c>
      <c r="D3188" s="126" t="s">
        <v>11897</v>
      </c>
      <c r="E3188" s="126" t="s">
        <v>11898</v>
      </c>
      <c r="F3188" s="123" t="s">
        <v>30</v>
      </c>
      <c r="G3188" s="123" t="s">
        <v>30</v>
      </c>
      <c r="H3188" s="123" t="s">
        <v>45</v>
      </c>
      <c r="I3188" s="126" t="s">
        <v>1941</v>
      </c>
      <c r="J3188" s="123" t="s">
        <v>11899</v>
      </c>
      <c r="K3188" s="123" t="s">
        <v>11900</v>
      </c>
      <c r="L3188" s="131" t="s">
        <v>100</v>
      </c>
      <c r="M3188" s="135" t="s">
        <v>845</v>
      </c>
      <c r="N3188" s="123" t="s">
        <v>845</v>
      </c>
    </row>
    <row r="3189" spans="2:14" hidden="1" x14ac:dyDescent="0.25">
      <c r="B3189" s="120">
        <v>3186</v>
      </c>
      <c r="C3189" s="123">
        <v>10095199882</v>
      </c>
      <c r="D3189" s="126" t="s">
        <v>11901</v>
      </c>
      <c r="E3189" s="126" t="s">
        <v>11902</v>
      </c>
      <c r="F3189" s="123" t="s">
        <v>30</v>
      </c>
      <c r="G3189" s="123" t="s">
        <v>30</v>
      </c>
      <c r="H3189" s="123" t="s">
        <v>45</v>
      </c>
      <c r="I3189" s="126" t="s">
        <v>1701</v>
      </c>
      <c r="J3189" s="123" t="s">
        <v>11903</v>
      </c>
      <c r="K3189" s="123" t="s">
        <v>11901</v>
      </c>
      <c r="L3189" s="131" t="s">
        <v>100</v>
      </c>
      <c r="M3189" s="135" t="s">
        <v>845</v>
      </c>
      <c r="N3189" s="123" t="s">
        <v>845</v>
      </c>
    </row>
    <row r="3190" spans="2:14" hidden="1" x14ac:dyDescent="0.25">
      <c r="B3190" s="120">
        <v>3187</v>
      </c>
      <c r="C3190" s="123">
        <v>10422720621</v>
      </c>
      <c r="D3190" s="126" t="s">
        <v>11904</v>
      </c>
      <c r="E3190" s="126" t="s">
        <v>11905</v>
      </c>
      <c r="F3190" s="123" t="s">
        <v>30</v>
      </c>
      <c r="G3190" s="123" t="s">
        <v>30</v>
      </c>
      <c r="H3190" s="123" t="s">
        <v>43</v>
      </c>
      <c r="I3190" s="126" t="s">
        <v>1931</v>
      </c>
      <c r="J3190" s="123" t="s">
        <v>11906</v>
      </c>
      <c r="K3190" s="123" t="s">
        <v>11904</v>
      </c>
      <c r="L3190" s="131" t="s">
        <v>100</v>
      </c>
      <c r="M3190" s="135" t="s">
        <v>845</v>
      </c>
      <c r="N3190" s="123" t="s">
        <v>845</v>
      </c>
    </row>
    <row r="3191" spans="2:14" hidden="1" x14ac:dyDescent="0.25">
      <c r="B3191" s="120">
        <v>3188</v>
      </c>
      <c r="C3191" s="123">
        <v>10709889074</v>
      </c>
      <c r="D3191" s="126" t="s">
        <v>11907</v>
      </c>
      <c r="E3191" s="126" t="s">
        <v>11908</v>
      </c>
      <c r="F3191" s="123" t="s">
        <v>30</v>
      </c>
      <c r="G3191" s="123" t="s">
        <v>30</v>
      </c>
      <c r="H3191" s="123" t="s">
        <v>58</v>
      </c>
      <c r="I3191" s="126" t="s">
        <v>1701</v>
      </c>
      <c r="J3191" s="123" t="s">
        <v>11909</v>
      </c>
      <c r="K3191" s="123" t="s">
        <v>11910</v>
      </c>
      <c r="L3191" s="131" t="s">
        <v>100</v>
      </c>
      <c r="M3191" s="135" t="s">
        <v>845</v>
      </c>
      <c r="N3191" s="123" t="s">
        <v>845</v>
      </c>
    </row>
    <row r="3192" spans="2:14" hidden="1" x14ac:dyDescent="0.25">
      <c r="B3192" s="120">
        <v>3189</v>
      </c>
      <c r="C3192" s="123">
        <v>10156353286</v>
      </c>
      <c r="D3192" s="126" t="s">
        <v>11911</v>
      </c>
      <c r="E3192" s="126" t="s">
        <v>11912</v>
      </c>
      <c r="F3192" s="123" t="s">
        <v>30</v>
      </c>
      <c r="G3192" s="123" t="s">
        <v>168</v>
      </c>
      <c r="H3192" s="123" t="s">
        <v>168</v>
      </c>
      <c r="I3192" s="126" t="s">
        <v>1564</v>
      </c>
      <c r="J3192" s="123" t="s">
        <v>11913</v>
      </c>
      <c r="K3192" s="123" t="s">
        <v>11911</v>
      </c>
      <c r="L3192" s="131" t="s">
        <v>100</v>
      </c>
      <c r="M3192" s="135" t="s">
        <v>845</v>
      </c>
      <c r="N3192" s="123" t="s">
        <v>845</v>
      </c>
    </row>
    <row r="3193" spans="2:14" hidden="1" x14ac:dyDescent="0.25">
      <c r="B3193" s="120">
        <v>3190</v>
      </c>
      <c r="C3193" s="123">
        <v>17399758157</v>
      </c>
      <c r="D3193" s="126" t="s">
        <v>11914</v>
      </c>
      <c r="E3193" s="126" t="s">
        <v>11915</v>
      </c>
      <c r="F3193" s="123" t="s">
        <v>30</v>
      </c>
      <c r="G3193" s="123" t="s">
        <v>30</v>
      </c>
      <c r="H3193" s="123" t="s">
        <v>75</v>
      </c>
      <c r="I3193" s="126" t="s">
        <v>1930</v>
      </c>
      <c r="J3193" s="123" t="s">
        <v>11916</v>
      </c>
      <c r="K3193" s="123" t="s">
        <v>11914</v>
      </c>
      <c r="L3193" s="131" t="s">
        <v>100</v>
      </c>
      <c r="M3193" s="135" t="s">
        <v>845</v>
      </c>
      <c r="N3193" s="123" t="s">
        <v>845</v>
      </c>
    </row>
    <row r="3194" spans="2:14" hidden="1" x14ac:dyDescent="0.25">
      <c r="B3194" s="120">
        <v>3191</v>
      </c>
      <c r="C3194" s="123">
        <v>10068307649</v>
      </c>
      <c r="D3194" s="126" t="s">
        <v>11917</v>
      </c>
      <c r="E3194" s="126" t="s">
        <v>11918</v>
      </c>
      <c r="F3194" s="123" t="s">
        <v>30</v>
      </c>
      <c r="G3194" s="123" t="s">
        <v>30</v>
      </c>
      <c r="H3194" s="123" t="s">
        <v>58</v>
      </c>
      <c r="I3194" s="126" t="s">
        <v>8825</v>
      </c>
      <c r="J3194" s="123" t="s">
        <v>11919</v>
      </c>
      <c r="K3194" s="123" t="s">
        <v>11917</v>
      </c>
      <c r="L3194" s="131" t="s">
        <v>100</v>
      </c>
      <c r="M3194" s="135" t="s">
        <v>845</v>
      </c>
      <c r="N3194" s="123" t="s">
        <v>845</v>
      </c>
    </row>
    <row r="3195" spans="2:14" hidden="1" x14ac:dyDescent="0.25">
      <c r="B3195" s="120">
        <v>3192</v>
      </c>
      <c r="C3195" s="123">
        <v>10097763491</v>
      </c>
      <c r="D3195" s="126" t="s">
        <v>11920</v>
      </c>
      <c r="E3195" s="126" t="s">
        <v>11921</v>
      </c>
      <c r="F3195" s="123" t="s">
        <v>30</v>
      </c>
      <c r="G3195" s="123" t="s">
        <v>30</v>
      </c>
      <c r="H3195" s="123" t="s">
        <v>51</v>
      </c>
      <c r="I3195" s="126" t="s">
        <v>1398</v>
      </c>
      <c r="J3195" s="123" t="s">
        <v>11922</v>
      </c>
      <c r="K3195" s="123" t="s">
        <v>11920</v>
      </c>
      <c r="L3195" s="131" t="s">
        <v>100</v>
      </c>
      <c r="M3195" s="135" t="s">
        <v>845</v>
      </c>
      <c r="N3195" s="123" t="s">
        <v>845</v>
      </c>
    </row>
    <row r="3196" spans="2:14" hidden="1" x14ac:dyDescent="0.25">
      <c r="B3196" s="120">
        <v>3193</v>
      </c>
      <c r="C3196" s="123">
        <v>10258197289</v>
      </c>
      <c r="D3196" s="126" t="s">
        <v>11923</v>
      </c>
      <c r="E3196" s="126" t="s">
        <v>11924</v>
      </c>
      <c r="F3196" s="123" t="s">
        <v>67</v>
      </c>
      <c r="G3196" s="123" t="s">
        <v>67</v>
      </c>
      <c r="H3196" s="123" t="s">
        <v>134</v>
      </c>
      <c r="I3196" s="126" t="s">
        <v>1701</v>
      </c>
      <c r="J3196" s="123" t="s">
        <v>11925</v>
      </c>
      <c r="K3196" s="123" t="s">
        <v>11923</v>
      </c>
      <c r="L3196" s="131" t="s">
        <v>100</v>
      </c>
      <c r="M3196" s="135" t="s">
        <v>845</v>
      </c>
      <c r="N3196" s="123" t="s">
        <v>845</v>
      </c>
    </row>
    <row r="3197" spans="2:14" hidden="1" x14ac:dyDescent="0.25">
      <c r="B3197" s="120">
        <v>3194</v>
      </c>
      <c r="C3197" s="123">
        <v>10421123123</v>
      </c>
      <c r="D3197" s="126" t="s">
        <v>11926</v>
      </c>
      <c r="E3197" s="126" t="s">
        <v>11927</v>
      </c>
      <c r="F3197" s="123" t="s">
        <v>30</v>
      </c>
      <c r="G3197" s="123" t="s">
        <v>170</v>
      </c>
      <c r="H3197" s="123" t="s">
        <v>175</v>
      </c>
      <c r="I3197" s="126" t="s">
        <v>1956</v>
      </c>
      <c r="J3197" s="123" t="s">
        <v>11928</v>
      </c>
      <c r="K3197" s="123" t="s">
        <v>11926</v>
      </c>
      <c r="L3197" s="131" t="s">
        <v>100</v>
      </c>
      <c r="M3197" s="135" t="s">
        <v>845</v>
      </c>
      <c r="N3197" s="123" t="s">
        <v>845</v>
      </c>
    </row>
    <row r="3198" spans="2:14" hidden="1" x14ac:dyDescent="0.25">
      <c r="B3198" s="120">
        <v>3195</v>
      </c>
      <c r="C3198" s="123">
        <v>10461953226</v>
      </c>
      <c r="D3198" s="126" t="s">
        <v>11929</v>
      </c>
      <c r="E3198" s="126" t="s">
        <v>11930</v>
      </c>
      <c r="F3198" s="123" t="s">
        <v>30</v>
      </c>
      <c r="G3198" s="123" t="s">
        <v>30</v>
      </c>
      <c r="H3198" s="123" t="s">
        <v>50</v>
      </c>
      <c r="I3198" s="126" t="s">
        <v>11931</v>
      </c>
      <c r="J3198" s="123" t="s">
        <v>11932</v>
      </c>
      <c r="K3198" s="123" t="s">
        <v>11929</v>
      </c>
      <c r="L3198" s="131" t="s">
        <v>100</v>
      </c>
      <c r="M3198" s="135" t="s">
        <v>845</v>
      </c>
      <c r="N3198" s="123" t="s">
        <v>845</v>
      </c>
    </row>
    <row r="3199" spans="2:14" hidden="1" x14ac:dyDescent="0.25">
      <c r="B3199" s="120">
        <v>3196</v>
      </c>
      <c r="C3199" s="123">
        <v>10415214656</v>
      </c>
      <c r="D3199" s="126" t="s">
        <v>11933</v>
      </c>
      <c r="E3199" s="126" t="s">
        <v>11934</v>
      </c>
      <c r="F3199" s="123" t="s">
        <v>30</v>
      </c>
      <c r="G3199" s="123" t="s">
        <v>30</v>
      </c>
      <c r="H3199" s="123" t="s">
        <v>30</v>
      </c>
      <c r="I3199" s="126" t="s">
        <v>8884</v>
      </c>
      <c r="J3199" s="123" t="s">
        <v>11935</v>
      </c>
      <c r="K3199" s="123" t="s">
        <v>11936</v>
      </c>
      <c r="L3199" s="131" t="s">
        <v>100</v>
      </c>
      <c r="M3199" s="135" t="s">
        <v>845</v>
      </c>
      <c r="N3199" s="123" t="s">
        <v>845</v>
      </c>
    </row>
    <row r="3200" spans="2:14" hidden="1" x14ac:dyDescent="0.25">
      <c r="B3200" s="120">
        <v>3197</v>
      </c>
      <c r="C3200" s="123">
        <v>10450546211</v>
      </c>
      <c r="D3200" s="126" t="s">
        <v>11937</v>
      </c>
      <c r="E3200" s="126" t="s">
        <v>11938</v>
      </c>
      <c r="F3200" s="123" t="s">
        <v>30</v>
      </c>
      <c r="G3200" s="123" t="s">
        <v>30</v>
      </c>
      <c r="H3200" s="123" t="s">
        <v>30</v>
      </c>
      <c r="I3200" s="126" t="s">
        <v>8825</v>
      </c>
      <c r="J3200" s="123" t="s">
        <v>11939</v>
      </c>
      <c r="K3200" s="123" t="s">
        <v>11937</v>
      </c>
      <c r="L3200" s="131" t="s">
        <v>100</v>
      </c>
      <c r="M3200" s="135" t="s">
        <v>845</v>
      </c>
      <c r="N3200" s="123" t="s">
        <v>845</v>
      </c>
    </row>
    <row r="3201" spans="2:14" hidden="1" x14ac:dyDescent="0.25">
      <c r="B3201" s="120">
        <v>3198</v>
      </c>
      <c r="C3201" s="123">
        <v>10105927555</v>
      </c>
      <c r="D3201" s="126" t="s">
        <v>11940</v>
      </c>
      <c r="E3201" s="126" t="s">
        <v>11941</v>
      </c>
      <c r="F3201" s="123" t="s">
        <v>30</v>
      </c>
      <c r="G3201" s="123" t="s">
        <v>30</v>
      </c>
      <c r="H3201" s="123" t="s">
        <v>60</v>
      </c>
      <c r="I3201" s="126" t="s">
        <v>1940</v>
      </c>
      <c r="J3201" s="123" t="s">
        <v>11942</v>
      </c>
      <c r="K3201" s="123" t="s">
        <v>11943</v>
      </c>
      <c r="L3201" s="131" t="s">
        <v>100</v>
      </c>
      <c r="M3201" s="135" t="s">
        <v>845</v>
      </c>
      <c r="N3201" s="123" t="s">
        <v>845</v>
      </c>
    </row>
    <row r="3202" spans="2:14" hidden="1" x14ac:dyDescent="0.25">
      <c r="B3202" s="120">
        <v>3199</v>
      </c>
      <c r="C3202" s="123">
        <v>10448150441</v>
      </c>
      <c r="D3202" s="126" t="s">
        <v>11944</v>
      </c>
      <c r="E3202" s="126" t="s">
        <v>11945</v>
      </c>
      <c r="F3202" s="123" t="s">
        <v>30</v>
      </c>
      <c r="G3202" s="123" t="s">
        <v>30</v>
      </c>
      <c r="H3202" s="123" t="s">
        <v>64</v>
      </c>
      <c r="I3202" s="126" t="s">
        <v>1959</v>
      </c>
      <c r="J3202" s="123" t="s">
        <v>11946</v>
      </c>
      <c r="K3202" s="123" t="s">
        <v>11947</v>
      </c>
      <c r="L3202" s="131" t="s">
        <v>100</v>
      </c>
      <c r="M3202" s="135" t="s">
        <v>845</v>
      </c>
      <c r="N3202" s="123" t="s">
        <v>845</v>
      </c>
    </row>
    <row r="3203" spans="2:14" hidden="1" x14ac:dyDescent="0.25">
      <c r="B3203" s="120">
        <v>3200</v>
      </c>
      <c r="C3203" s="123">
        <v>10158531122</v>
      </c>
      <c r="D3203" s="126" t="s">
        <v>11948</v>
      </c>
      <c r="E3203" s="126" t="s">
        <v>11949</v>
      </c>
      <c r="F3203" s="123" t="s">
        <v>30</v>
      </c>
      <c r="G3203" s="123" t="s">
        <v>168</v>
      </c>
      <c r="H3203" s="123" t="s">
        <v>177</v>
      </c>
      <c r="I3203" s="126" t="s">
        <v>11950</v>
      </c>
      <c r="J3203" s="123" t="s">
        <v>11951</v>
      </c>
      <c r="K3203" s="123" t="s">
        <v>11952</v>
      </c>
      <c r="L3203" s="131" t="s">
        <v>100</v>
      </c>
      <c r="M3203" s="135" t="s">
        <v>845</v>
      </c>
      <c r="N3203" s="123" t="s">
        <v>845</v>
      </c>
    </row>
    <row r="3204" spans="2:14" hidden="1" x14ac:dyDescent="0.25">
      <c r="B3204" s="120">
        <v>3201</v>
      </c>
      <c r="C3204" s="123">
        <v>10474116544</v>
      </c>
      <c r="D3204" s="126" t="s">
        <v>11953</v>
      </c>
      <c r="E3204" s="126" t="s">
        <v>11954</v>
      </c>
      <c r="F3204" s="123" t="s">
        <v>30</v>
      </c>
      <c r="G3204" s="123" t="s">
        <v>30</v>
      </c>
      <c r="H3204" s="123" t="s">
        <v>85</v>
      </c>
      <c r="I3204" s="126" t="s">
        <v>1941</v>
      </c>
      <c r="J3204" s="123" t="s">
        <v>11955</v>
      </c>
      <c r="K3204" s="123" t="s">
        <v>11953</v>
      </c>
      <c r="L3204" s="131" t="s">
        <v>100</v>
      </c>
      <c r="M3204" s="135" t="s">
        <v>845</v>
      </c>
      <c r="N3204" s="123" t="s">
        <v>845</v>
      </c>
    </row>
    <row r="3205" spans="2:14" hidden="1" x14ac:dyDescent="0.25">
      <c r="B3205" s="120">
        <v>3202</v>
      </c>
      <c r="C3205" s="123">
        <v>10096411061</v>
      </c>
      <c r="D3205" s="126" t="s">
        <v>11956</v>
      </c>
      <c r="E3205" s="126" t="s">
        <v>11957</v>
      </c>
      <c r="F3205" s="123" t="s">
        <v>67</v>
      </c>
      <c r="G3205" s="123" t="s">
        <v>67</v>
      </c>
      <c r="H3205" s="123" t="s">
        <v>94</v>
      </c>
      <c r="I3205" s="126" t="s">
        <v>1940</v>
      </c>
      <c r="J3205" s="123" t="s">
        <v>11958</v>
      </c>
      <c r="K3205" s="123" t="s">
        <v>11959</v>
      </c>
      <c r="L3205" s="131" t="s">
        <v>100</v>
      </c>
      <c r="M3205" s="135" t="s">
        <v>845</v>
      </c>
      <c r="N3205" s="123" t="s">
        <v>845</v>
      </c>
    </row>
    <row r="3206" spans="2:14" hidden="1" x14ac:dyDescent="0.25">
      <c r="B3206" s="120">
        <v>3203</v>
      </c>
      <c r="C3206" s="123">
        <v>10736157344</v>
      </c>
      <c r="D3206" s="126" t="s">
        <v>11960</v>
      </c>
      <c r="E3206" s="126" t="s">
        <v>11961</v>
      </c>
      <c r="F3206" s="123" t="s">
        <v>30</v>
      </c>
      <c r="G3206" s="123" t="s">
        <v>30</v>
      </c>
      <c r="H3206" s="123" t="s">
        <v>52</v>
      </c>
      <c r="I3206" s="126" t="s">
        <v>1948</v>
      </c>
      <c r="J3206" s="123" t="s">
        <v>11962</v>
      </c>
      <c r="K3206" s="123" t="s">
        <v>11960</v>
      </c>
      <c r="L3206" s="131" t="s">
        <v>100</v>
      </c>
      <c r="M3206" s="135" t="s">
        <v>845</v>
      </c>
      <c r="N3206" s="123" t="s">
        <v>845</v>
      </c>
    </row>
    <row r="3207" spans="2:14" hidden="1" x14ac:dyDescent="0.25">
      <c r="B3207" s="120">
        <v>3204</v>
      </c>
      <c r="C3207" s="123">
        <v>10097148878</v>
      </c>
      <c r="D3207" s="126" t="s">
        <v>11963</v>
      </c>
      <c r="E3207" s="126" t="s">
        <v>11964</v>
      </c>
      <c r="F3207" s="123" t="s">
        <v>30</v>
      </c>
      <c r="G3207" s="123" t="s">
        <v>30</v>
      </c>
      <c r="H3207" s="123" t="s">
        <v>68</v>
      </c>
      <c r="I3207" s="126" t="s">
        <v>1209</v>
      </c>
      <c r="J3207" s="123" t="s">
        <v>11965</v>
      </c>
      <c r="K3207" s="123" t="s">
        <v>11963</v>
      </c>
      <c r="L3207" s="131" t="s">
        <v>100</v>
      </c>
      <c r="M3207" s="135" t="s">
        <v>845</v>
      </c>
      <c r="N3207" s="123" t="s">
        <v>845</v>
      </c>
    </row>
    <row r="3208" spans="2:14" hidden="1" x14ac:dyDescent="0.25">
      <c r="B3208" s="120">
        <v>3205</v>
      </c>
      <c r="C3208" s="123">
        <v>10233931743</v>
      </c>
      <c r="D3208" s="126" t="s">
        <v>11966</v>
      </c>
      <c r="E3208" s="126" t="s">
        <v>11967</v>
      </c>
      <c r="F3208" s="123" t="s">
        <v>30</v>
      </c>
      <c r="G3208" s="123" t="s">
        <v>30</v>
      </c>
      <c r="H3208" s="123" t="s">
        <v>60</v>
      </c>
      <c r="I3208" s="126" t="s">
        <v>1936</v>
      </c>
      <c r="J3208" s="123" t="s">
        <v>11968</v>
      </c>
      <c r="K3208" s="123" t="s">
        <v>11969</v>
      </c>
      <c r="L3208" s="131" t="s">
        <v>100</v>
      </c>
      <c r="M3208" s="135" t="s">
        <v>845</v>
      </c>
      <c r="N3208" s="123" t="s">
        <v>845</v>
      </c>
    </row>
    <row r="3209" spans="2:14" hidden="1" x14ac:dyDescent="0.25">
      <c r="B3209" s="120">
        <v>3206</v>
      </c>
      <c r="C3209" s="123">
        <v>10069469146</v>
      </c>
      <c r="D3209" s="126" t="s">
        <v>11970</v>
      </c>
      <c r="E3209" s="126" t="s">
        <v>11971</v>
      </c>
      <c r="F3209" s="123" t="s">
        <v>30</v>
      </c>
      <c r="G3209" s="123" t="s">
        <v>30</v>
      </c>
      <c r="H3209" s="123" t="s">
        <v>88</v>
      </c>
      <c r="I3209" s="126" t="s">
        <v>8659</v>
      </c>
      <c r="J3209" s="123" t="s">
        <v>11972</v>
      </c>
      <c r="K3209" s="123" t="s">
        <v>11970</v>
      </c>
      <c r="L3209" s="131" t="s">
        <v>100</v>
      </c>
      <c r="M3209" s="135" t="s">
        <v>845</v>
      </c>
      <c r="N3209" s="123" t="s">
        <v>845</v>
      </c>
    </row>
    <row r="3210" spans="2:14" hidden="1" x14ac:dyDescent="0.25">
      <c r="B3210" s="120">
        <v>3207</v>
      </c>
      <c r="C3210" s="123">
        <v>10415726495</v>
      </c>
      <c r="D3210" s="126" t="s">
        <v>11973</v>
      </c>
      <c r="E3210" s="126" t="s">
        <v>11974</v>
      </c>
      <c r="F3210" s="123" t="s">
        <v>30</v>
      </c>
      <c r="G3210" s="123" t="s">
        <v>30</v>
      </c>
      <c r="H3210" s="123" t="s">
        <v>60</v>
      </c>
      <c r="I3210" s="126" t="s">
        <v>1564</v>
      </c>
      <c r="J3210" s="123" t="s">
        <v>11975</v>
      </c>
      <c r="K3210" s="123" t="s">
        <v>11973</v>
      </c>
      <c r="L3210" s="131" t="s">
        <v>100</v>
      </c>
      <c r="M3210" s="135" t="s">
        <v>845</v>
      </c>
      <c r="N3210" s="123" t="s">
        <v>845</v>
      </c>
    </row>
    <row r="3211" spans="2:14" hidden="1" x14ac:dyDescent="0.25">
      <c r="B3211" s="120">
        <v>3208</v>
      </c>
      <c r="C3211" s="123">
        <v>10776378271</v>
      </c>
      <c r="D3211" s="126" t="s">
        <v>11976</v>
      </c>
      <c r="E3211" s="126" t="s">
        <v>11977</v>
      </c>
      <c r="F3211" s="123" t="s">
        <v>30</v>
      </c>
      <c r="G3211" s="123" t="s">
        <v>30</v>
      </c>
      <c r="H3211" s="123" t="s">
        <v>58</v>
      </c>
      <c r="I3211" s="126" t="s">
        <v>1424</v>
      </c>
      <c r="J3211" s="123" t="s">
        <v>11978</v>
      </c>
      <c r="K3211" s="123" t="s">
        <v>11976</v>
      </c>
      <c r="L3211" s="131" t="s">
        <v>100</v>
      </c>
      <c r="M3211" s="135" t="s">
        <v>845</v>
      </c>
      <c r="N3211" s="123" t="s">
        <v>845</v>
      </c>
    </row>
    <row r="3212" spans="2:14" hidden="1" x14ac:dyDescent="0.25">
      <c r="B3212" s="120">
        <v>3209</v>
      </c>
      <c r="C3212" s="123">
        <v>10080641490</v>
      </c>
      <c r="D3212" s="126" t="s">
        <v>11979</v>
      </c>
      <c r="E3212" s="126" t="s">
        <v>11980</v>
      </c>
      <c r="F3212" s="123" t="s">
        <v>30</v>
      </c>
      <c r="G3212" s="123" t="s">
        <v>30</v>
      </c>
      <c r="H3212" s="123" t="s">
        <v>30</v>
      </c>
      <c r="I3212" s="126" t="s">
        <v>1930</v>
      </c>
      <c r="J3212" s="123" t="s">
        <v>11981</v>
      </c>
      <c r="K3212" s="123" t="s">
        <v>11982</v>
      </c>
      <c r="L3212" s="131" t="s">
        <v>100</v>
      </c>
      <c r="M3212" s="135" t="s">
        <v>845</v>
      </c>
      <c r="N3212" s="123" t="s">
        <v>845</v>
      </c>
    </row>
    <row r="3213" spans="2:14" hidden="1" x14ac:dyDescent="0.25">
      <c r="B3213" s="120">
        <v>3210</v>
      </c>
      <c r="C3213" s="123">
        <v>10156171706</v>
      </c>
      <c r="D3213" s="126" t="s">
        <v>11983</v>
      </c>
      <c r="E3213" s="126" t="s">
        <v>11984</v>
      </c>
      <c r="F3213" s="123" t="s">
        <v>30</v>
      </c>
      <c r="G3213" s="123" t="s">
        <v>170</v>
      </c>
      <c r="H3213" s="123" t="s">
        <v>171</v>
      </c>
      <c r="I3213" s="126" t="s">
        <v>1955</v>
      </c>
      <c r="J3213" s="123" t="s">
        <v>11985</v>
      </c>
      <c r="K3213" s="123" t="s">
        <v>11983</v>
      </c>
      <c r="L3213" s="131" t="s">
        <v>100</v>
      </c>
      <c r="M3213" s="135" t="s">
        <v>845</v>
      </c>
      <c r="N3213" s="123" t="s">
        <v>845</v>
      </c>
    </row>
    <row r="3214" spans="2:14" hidden="1" x14ac:dyDescent="0.25">
      <c r="B3214" s="120">
        <v>3211</v>
      </c>
      <c r="C3214" s="123">
        <v>10429047078</v>
      </c>
      <c r="D3214" s="126" t="s">
        <v>11986</v>
      </c>
      <c r="E3214" s="126" t="s">
        <v>11987</v>
      </c>
      <c r="F3214" s="123" t="s">
        <v>30</v>
      </c>
      <c r="G3214" s="123" t="s">
        <v>30</v>
      </c>
      <c r="H3214" s="123" t="s">
        <v>37</v>
      </c>
      <c r="I3214" s="126" t="s">
        <v>1701</v>
      </c>
      <c r="J3214" s="123" t="s">
        <v>11988</v>
      </c>
      <c r="K3214" s="123" t="s">
        <v>11986</v>
      </c>
      <c r="L3214" s="131" t="s">
        <v>100</v>
      </c>
      <c r="M3214" s="135" t="s">
        <v>845</v>
      </c>
      <c r="N3214" s="123" t="s">
        <v>845</v>
      </c>
    </row>
    <row r="3215" spans="2:14" hidden="1" x14ac:dyDescent="0.25">
      <c r="B3215" s="120">
        <v>3212</v>
      </c>
      <c r="C3215" s="123">
        <v>10482201003</v>
      </c>
      <c r="D3215" s="126" t="s">
        <v>11989</v>
      </c>
      <c r="E3215" s="126" t="s">
        <v>11990</v>
      </c>
      <c r="F3215" s="123" t="s">
        <v>30</v>
      </c>
      <c r="G3215" s="123" t="s">
        <v>30</v>
      </c>
      <c r="H3215" s="123" t="s">
        <v>52</v>
      </c>
      <c r="I3215" s="126" t="s">
        <v>1701</v>
      </c>
      <c r="J3215" s="123" t="s">
        <v>11991</v>
      </c>
      <c r="K3215" s="123" t="s">
        <v>11989</v>
      </c>
      <c r="L3215" s="131" t="s">
        <v>100</v>
      </c>
      <c r="M3215" s="135" t="s">
        <v>845</v>
      </c>
      <c r="N3215" s="123" t="s">
        <v>845</v>
      </c>
    </row>
    <row r="3216" spans="2:14" hidden="1" x14ac:dyDescent="0.25">
      <c r="B3216" s="120">
        <v>3213</v>
      </c>
      <c r="C3216" s="123">
        <v>10079868171</v>
      </c>
      <c r="D3216" s="126" t="s">
        <v>11992</v>
      </c>
      <c r="E3216" s="126" t="s">
        <v>11993</v>
      </c>
      <c r="F3216" s="123" t="s">
        <v>30</v>
      </c>
      <c r="G3216" s="123" t="s">
        <v>30</v>
      </c>
      <c r="H3216" s="123" t="s">
        <v>75</v>
      </c>
      <c r="I3216" s="126" t="s">
        <v>1701</v>
      </c>
      <c r="J3216" s="123" t="s">
        <v>11994</v>
      </c>
      <c r="K3216" s="123" t="s">
        <v>11992</v>
      </c>
      <c r="L3216" s="131" t="s">
        <v>100</v>
      </c>
      <c r="M3216" s="135" t="s">
        <v>845</v>
      </c>
      <c r="N3216" s="123" t="s">
        <v>845</v>
      </c>
    </row>
    <row r="3217" spans="2:14" hidden="1" x14ac:dyDescent="0.25">
      <c r="B3217" s="120">
        <v>3214</v>
      </c>
      <c r="C3217" s="123">
        <v>10074933888</v>
      </c>
      <c r="D3217" s="126" t="s">
        <v>11995</v>
      </c>
      <c r="E3217" s="126" t="s">
        <v>11996</v>
      </c>
      <c r="F3217" s="123" t="s">
        <v>30</v>
      </c>
      <c r="G3217" s="123" t="s">
        <v>30</v>
      </c>
      <c r="H3217" s="123" t="s">
        <v>50</v>
      </c>
      <c r="I3217" s="126" t="s">
        <v>1936</v>
      </c>
      <c r="J3217" s="123" t="s">
        <v>11997</v>
      </c>
      <c r="K3217" s="123" t="s">
        <v>11995</v>
      </c>
      <c r="L3217" s="131" t="s">
        <v>100</v>
      </c>
      <c r="M3217" s="135" t="s">
        <v>845</v>
      </c>
      <c r="N3217" s="123" t="s">
        <v>845</v>
      </c>
    </row>
    <row r="3218" spans="2:14" hidden="1" x14ac:dyDescent="0.25">
      <c r="B3218" s="120">
        <v>3215</v>
      </c>
      <c r="C3218" s="123">
        <v>10102158437</v>
      </c>
      <c r="D3218" s="126" t="s">
        <v>11998</v>
      </c>
      <c r="E3218" s="126" t="s">
        <v>11999</v>
      </c>
      <c r="F3218" s="123" t="s">
        <v>30</v>
      </c>
      <c r="G3218" s="123" t="s">
        <v>30</v>
      </c>
      <c r="H3218" s="123" t="s">
        <v>58</v>
      </c>
      <c r="I3218" s="126" t="s">
        <v>12000</v>
      </c>
      <c r="J3218" s="123" t="s">
        <v>12001</v>
      </c>
      <c r="K3218" s="123" t="s">
        <v>11998</v>
      </c>
      <c r="L3218" s="131" t="s">
        <v>100</v>
      </c>
      <c r="M3218" s="135" t="s">
        <v>845</v>
      </c>
      <c r="N3218" s="123" t="s">
        <v>845</v>
      </c>
    </row>
    <row r="3219" spans="2:14" hidden="1" x14ac:dyDescent="0.25">
      <c r="B3219" s="120">
        <v>3216</v>
      </c>
      <c r="C3219" s="123">
        <v>10201134621</v>
      </c>
      <c r="D3219" s="126" t="s">
        <v>12002</v>
      </c>
      <c r="E3219" s="126" t="s">
        <v>12003</v>
      </c>
      <c r="F3219" s="123" t="s">
        <v>30</v>
      </c>
      <c r="G3219" s="123" t="s">
        <v>30</v>
      </c>
      <c r="H3219" s="123" t="s">
        <v>43</v>
      </c>
      <c r="I3219" s="126" t="s">
        <v>1737</v>
      </c>
      <c r="J3219" s="123" t="s">
        <v>12004</v>
      </c>
      <c r="K3219" s="123" t="s">
        <v>12002</v>
      </c>
      <c r="L3219" s="131" t="s">
        <v>100</v>
      </c>
      <c r="M3219" s="135" t="s">
        <v>845</v>
      </c>
      <c r="N3219" s="123" t="s">
        <v>845</v>
      </c>
    </row>
    <row r="3220" spans="2:14" hidden="1" x14ac:dyDescent="0.25">
      <c r="B3220" s="120">
        <v>3217</v>
      </c>
      <c r="C3220" s="123">
        <v>10448824051</v>
      </c>
      <c r="D3220" s="126" t="s">
        <v>12005</v>
      </c>
      <c r="E3220" s="126" t="s">
        <v>12006</v>
      </c>
      <c r="F3220" s="123" t="s">
        <v>30</v>
      </c>
      <c r="G3220" s="123" t="s">
        <v>170</v>
      </c>
      <c r="H3220" s="123" t="s">
        <v>175</v>
      </c>
      <c r="I3220" s="126" t="s">
        <v>1805</v>
      </c>
      <c r="J3220" s="123" t="s">
        <v>12007</v>
      </c>
      <c r="K3220" s="123" t="s">
        <v>12008</v>
      </c>
      <c r="L3220" s="131" t="s">
        <v>100</v>
      </c>
      <c r="M3220" s="135" t="s">
        <v>845</v>
      </c>
      <c r="N3220" s="123" t="s">
        <v>845</v>
      </c>
    </row>
    <row r="3221" spans="2:14" hidden="1" x14ac:dyDescent="0.25">
      <c r="B3221" s="120">
        <v>3218</v>
      </c>
      <c r="C3221" s="123">
        <v>10228881703</v>
      </c>
      <c r="D3221" s="126" t="s">
        <v>12009</v>
      </c>
      <c r="E3221" s="126" t="s">
        <v>12010</v>
      </c>
      <c r="F3221" s="123" t="s">
        <v>30</v>
      </c>
      <c r="G3221" s="123" t="s">
        <v>30</v>
      </c>
      <c r="H3221" s="123" t="s">
        <v>45</v>
      </c>
      <c r="I3221" s="126" t="s">
        <v>1398</v>
      </c>
      <c r="J3221" s="123" t="s">
        <v>12011</v>
      </c>
      <c r="K3221" s="123" t="s">
        <v>12009</v>
      </c>
      <c r="L3221" s="131" t="s">
        <v>100</v>
      </c>
      <c r="M3221" s="135" t="s">
        <v>845</v>
      </c>
      <c r="N3221" s="123" t="s">
        <v>845</v>
      </c>
    </row>
    <row r="3222" spans="2:14" hidden="1" x14ac:dyDescent="0.25">
      <c r="B3222" s="120">
        <v>3219</v>
      </c>
      <c r="C3222" s="123">
        <v>10472046361</v>
      </c>
      <c r="D3222" s="126" t="s">
        <v>12012</v>
      </c>
      <c r="E3222" s="126" t="s">
        <v>12013</v>
      </c>
      <c r="F3222" s="123" t="s">
        <v>30</v>
      </c>
      <c r="G3222" s="123" t="s">
        <v>30</v>
      </c>
      <c r="H3222" s="123" t="s">
        <v>43</v>
      </c>
      <c r="I3222" s="126" t="s">
        <v>1424</v>
      </c>
      <c r="J3222" s="123" t="s">
        <v>12014</v>
      </c>
      <c r="K3222" s="123" t="s">
        <v>12015</v>
      </c>
      <c r="L3222" s="131" t="s">
        <v>100</v>
      </c>
      <c r="M3222" s="135" t="s">
        <v>845</v>
      </c>
      <c r="N3222" s="123" t="s">
        <v>845</v>
      </c>
    </row>
    <row r="3223" spans="2:14" hidden="1" x14ac:dyDescent="0.25">
      <c r="B3223" s="120">
        <v>3220</v>
      </c>
      <c r="C3223" s="123">
        <v>10403851308</v>
      </c>
      <c r="D3223" s="126" t="s">
        <v>12016</v>
      </c>
      <c r="E3223" s="126" t="s">
        <v>12017</v>
      </c>
      <c r="F3223" s="123" t="s">
        <v>67</v>
      </c>
      <c r="G3223" s="123" t="s">
        <v>67</v>
      </c>
      <c r="H3223" s="123" t="s">
        <v>67</v>
      </c>
      <c r="I3223" s="126" t="s">
        <v>1424</v>
      </c>
      <c r="J3223" s="123" t="s">
        <v>12018</v>
      </c>
      <c r="K3223" s="123" t="s">
        <v>12019</v>
      </c>
      <c r="L3223" s="131" t="s">
        <v>100</v>
      </c>
      <c r="M3223" s="135" t="s">
        <v>845</v>
      </c>
      <c r="N3223" s="123" t="s">
        <v>845</v>
      </c>
    </row>
    <row r="3224" spans="2:14" hidden="1" x14ac:dyDescent="0.25">
      <c r="B3224" s="120">
        <v>3221</v>
      </c>
      <c r="C3224" s="123">
        <v>10423280676</v>
      </c>
      <c r="D3224" s="126" t="s">
        <v>12020</v>
      </c>
      <c r="E3224" s="126" t="s">
        <v>12021</v>
      </c>
      <c r="F3224" s="123" t="s">
        <v>30</v>
      </c>
      <c r="G3224" s="123" t="s">
        <v>30</v>
      </c>
      <c r="H3224" s="123" t="s">
        <v>72</v>
      </c>
      <c r="I3224" s="126" t="s">
        <v>1564</v>
      </c>
      <c r="J3224" s="123" t="s">
        <v>12022</v>
      </c>
      <c r="K3224" s="123" t="s">
        <v>12020</v>
      </c>
      <c r="L3224" s="131" t="s">
        <v>100</v>
      </c>
      <c r="M3224" s="135" t="s">
        <v>845</v>
      </c>
      <c r="N3224" s="123" t="s">
        <v>845</v>
      </c>
    </row>
    <row r="3225" spans="2:14" hidden="1" x14ac:dyDescent="0.25">
      <c r="B3225" s="120">
        <v>3222</v>
      </c>
      <c r="C3225" s="123">
        <v>10215626127</v>
      </c>
      <c r="D3225" s="126" t="s">
        <v>12023</v>
      </c>
      <c r="E3225" s="126" t="s">
        <v>12024</v>
      </c>
      <c r="F3225" s="123" t="s">
        <v>30</v>
      </c>
      <c r="G3225" s="123" t="s">
        <v>30</v>
      </c>
      <c r="H3225" s="123" t="s">
        <v>51</v>
      </c>
      <c r="I3225" s="126" t="s">
        <v>1931</v>
      </c>
      <c r="J3225" s="123" t="s">
        <v>12025</v>
      </c>
      <c r="K3225" s="123" t="s">
        <v>12023</v>
      </c>
      <c r="L3225" s="131" t="s">
        <v>100</v>
      </c>
      <c r="M3225" s="135" t="s">
        <v>845</v>
      </c>
      <c r="N3225" s="123" t="s">
        <v>845</v>
      </c>
    </row>
    <row r="3226" spans="2:14" hidden="1" x14ac:dyDescent="0.25">
      <c r="B3226" s="120">
        <v>3223</v>
      </c>
      <c r="C3226" s="123">
        <v>10408010212</v>
      </c>
      <c r="D3226" s="126" t="s">
        <v>12026</v>
      </c>
      <c r="E3226" s="126" t="s">
        <v>12027</v>
      </c>
      <c r="F3226" s="123" t="s">
        <v>30</v>
      </c>
      <c r="G3226" s="123" t="s">
        <v>30</v>
      </c>
      <c r="H3226" s="123" t="s">
        <v>41</v>
      </c>
      <c r="I3226" s="126" t="s">
        <v>1701</v>
      </c>
      <c r="J3226" s="123" t="s">
        <v>12028</v>
      </c>
      <c r="K3226" s="123" t="s">
        <v>12026</v>
      </c>
      <c r="L3226" s="131" t="s">
        <v>100</v>
      </c>
      <c r="M3226" s="135" t="s">
        <v>845</v>
      </c>
      <c r="N3226" s="123" t="s">
        <v>845</v>
      </c>
    </row>
    <row r="3227" spans="2:14" hidden="1" x14ac:dyDescent="0.25">
      <c r="B3227" s="120">
        <v>3224</v>
      </c>
      <c r="C3227" s="123">
        <v>10420789799</v>
      </c>
      <c r="D3227" s="126" t="s">
        <v>12029</v>
      </c>
      <c r="E3227" s="126" t="s">
        <v>12030</v>
      </c>
      <c r="F3227" s="123" t="s">
        <v>30</v>
      </c>
      <c r="G3227" s="123" t="s">
        <v>30</v>
      </c>
      <c r="H3227" s="123" t="s">
        <v>68</v>
      </c>
      <c r="I3227" s="126" t="s">
        <v>101</v>
      </c>
      <c r="J3227" s="123" t="s">
        <v>12031</v>
      </c>
      <c r="K3227" s="123" t="s">
        <v>12029</v>
      </c>
      <c r="L3227" s="131" t="s">
        <v>100</v>
      </c>
      <c r="M3227" s="135" t="s">
        <v>845</v>
      </c>
      <c r="N3227" s="123" t="s">
        <v>845</v>
      </c>
    </row>
    <row r="3228" spans="2:14" hidden="1" x14ac:dyDescent="0.25">
      <c r="B3228" s="120">
        <v>3225</v>
      </c>
      <c r="C3228" s="123">
        <v>10400505875</v>
      </c>
      <c r="D3228" s="126" t="s">
        <v>12032</v>
      </c>
      <c r="E3228" s="126" t="s">
        <v>12033</v>
      </c>
      <c r="F3228" s="123" t="s">
        <v>30</v>
      </c>
      <c r="G3228" s="123" t="s">
        <v>30</v>
      </c>
      <c r="H3228" s="123" t="s">
        <v>43</v>
      </c>
      <c r="I3228" s="126" t="s">
        <v>8743</v>
      </c>
      <c r="J3228" s="123" t="s">
        <v>12034</v>
      </c>
      <c r="K3228" s="123" t="s">
        <v>12032</v>
      </c>
      <c r="L3228" s="131" t="s">
        <v>100</v>
      </c>
      <c r="M3228" s="135" t="s">
        <v>845</v>
      </c>
      <c r="N3228" s="123" t="s">
        <v>845</v>
      </c>
    </row>
    <row r="3229" spans="2:14" hidden="1" x14ac:dyDescent="0.25">
      <c r="B3229" s="120">
        <v>3226</v>
      </c>
      <c r="C3229" s="123">
        <v>10482039419</v>
      </c>
      <c r="D3229" s="126" t="s">
        <v>12035</v>
      </c>
      <c r="E3229" s="126" t="s">
        <v>12036</v>
      </c>
      <c r="F3229" s="123" t="s">
        <v>30</v>
      </c>
      <c r="G3229" s="123" t="s">
        <v>30</v>
      </c>
      <c r="H3229" s="123" t="s">
        <v>52</v>
      </c>
      <c r="I3229" s="126" t="s">
        <v>1701</v>
      </c>
      <c r="J3229" s="123" t="s">
        <v>12037</v>
      </c>
      <c r="K3229" s="123" t="s">
        <v>12035</v>
      </c>
      <c r="L3229" s="131" t="s">
        <v>100</v>
      </c>
      <c r="M3229" s="135" t="s">
        <v>845</v>
      </c>
      <c r="N3229" s="123" t="s">
        <v>845</v>
      </c>
    </row>
    <row r="3230" spans="2:14" hidden="1" x14ac:dyDescent="0.25">
      <c r="B3230" s="120">
        <v>3227</v>
      </c>
      <c r="C3230" s="123">
        <v>10101266678</v>
      </c>
      <c r="D3230" s="126" t="s">
        <v>12038</v>
      </c>
      <c r="E3230" s="126" t="s">
        <v>12039</v>
      </c>
      <c r="F3230" s="123" t="s">
        <v>30</v>
      </c>
      <c r="G3230" s="123" t="s">
        <v>30</v>
      </c>
      <c r="H3230" s="123" t="s">
        <v>75</v>
      </c>
      <c r="I3230" s="126" t="s">
        <v>1737</v>
      </c>
      <c r="J3230" s="123" t="s">
        <v>12040</v>
      </c>
      <c r="K3230" s="123" t="s">
        <v>12038</v>
      </c>
      <c r="L3230" s="131" t="s">
        <v>100</v>
      </c>
      <c r="M3230" s="135" t="s">
        <v>845</v>
      </c>
      <c r="N3230" s="123" t="s">
        <v>845</v>
      </c>
    </row>
    <row r="3231" spans="2:14" hidden="1" x14ac:dyDescent="0.25">
      <c r="B3231" s="120">
        <v>3228</v>
      </c>
      <c r="C3231" s="123">
        <v>10401597307</v>
      </c>
      <c r="D3231" s="126" t="s">
        <v>12041</v>
      </c>
      <c r="E3231" s="126" t="s">
        <v>12042</v>
      </c>
      <c r="F3231" s="123" t="s">
        <v>30</v>
      </c>
      <c r="G3231" s="123" t="s">
        <v>30</v>
      </c>
      <c r="H3231" s="123" t="s">
        <v>41</v>
      </c>
      <c r="I3231" s="126" t="s">
        <v>1960</v>
      </c>
      <c r="J3231" s="123" t="s">
        <v>12043</v>
      </c>
      <c r="K3231" s="123" t="s">
        <v>12041</v>
      </c>
      <c r="L3231" s="131" t="s">
        <v>100</v>
      </c>
      <c r="M3231" s="135" t="s">
        <v>845</v>
      </c>
      <c r="N3231" s="123" t="s">
        <v>845</v>
      </c>
    </row>
    <row r="3232" spans="2:14" hidden="1" x14ac:dyDescent="0.25">
      <c r="B3232" s="120">
        <v>3229</v>
      </c>
      <c r="C3232" s="123">
        <v>10100447911</v>
      </c>
      <c r="D3232" s="126" t="s">
        <v>12044</v>
      </c>
      <c r="E3232" s="126" t="s">
        <v>12045</v>
      </c>
      <c r="F3232" s="123" t="s">
        <v>30</v>
      </c>
      <c r="G3232" s="123" t="s">
        <v>30</v>
      </c>
      <c r="H3232" s="123" t="s">
        <v>79</v>
      </c>
      <c r="I3232" s="126" t="s">
        <v>1737</v>
      </c>
      <c r="J3232" s="123" t="s">
        <v>12046</v>
      </c>
      <c r="K3232" s="123" t="s">
        <v>12044</v>
      </c>
      <c r="L3232" s="131" t="s">
        <v>100</v>
      </c>
      <c r="M3232" s="135" t="s">
        <v>845</v>
      </c>
      <c r="N3232" s="123" t="s">
        <v>845</v>
      </c>
    </row>
    <row r="3233" spans="2:14" hidden="1" x14ac:dyDescent="0.25">
      <c r="B3233" s="120">
        <v>3230</v>
      </c>
      <c r="C3233" s="123">
        <v>10060004493</v>
      </c>
      <c r="D3233" s="126" t="s">
        <v>12047</v>
      </c>
      <c r="E3233" s="126" t="s">
        <v>12048</v>
      </c>
      <c r="F3233" s="123" t="s">
        <v>30</v>
      </c>
      <c r="G3233" s="123" t="s">
        <v>30</v>
      </c>
      <c r="H3233" s="123" t="s">
        <v>79</v>
      </c>
      <c r="I3233" s="126" t="s">
        <v>1424</v>
      </c>
      <c r="J3233" s="123" t="s">
        <v>12049</v>
      </c>
      <c r="K3233" s="123" t="s">
        <v>12050</v>
      </c>
      <c r="L3233" s="131" t="s">
        <v>100</v>
      </c>
      <c r="M3233" s="135" t="s">
        <v>845</v>
      </c>
      <c r="N3233" s="123" t="s">
        <v>845</v>
      </c>
    </row>
    <row r="3234" spans="2:14" hidden="1" x14ac:dyDescent="0.25">
      <c r="B3234" s="120">
        <v>3231</v>
      </c>
      <c r="C3234" s="123">
        <v>10107305985</v>
      </c>
      <c r="D3234" s="126" t="s">
        <v>12051</v>
      </c>
      <c r="E3234" s="126" t="s">
        <v>12052</v>
      </c>
      <c r="F3234" s="123" t="s">
        <v>30</v>
      </c>
      <c r="G3234" s="123" t="s">
        <v>30</v>
      </c>
      <c r="H3234" s="123" t="s">
        <v>74</v>
      </c>
      <c r="I3234" s="126" t="s">
        <v>1365</v>
      </c>
      <c r="J3234" s="123" t="s">
        <v>12053</v>
      </c>
      <c r="K3234" s="123" t="s">
        <v>12051</v>
      </c>
      <c r="L3234" s="131" t="s">
        <v>100</v>
      </c>
      <c r="M3234" s="135" t="s">
        <v>845</v>
      </c>
      <c r="N3234" s="123" t="s">
        <v>845</v>
      </c>
    </row>
    <row r="3235" spans="2:14" hidden="1" x14ac:dyDescent="0.25">
      <c r="B3235" s="120">
        <v>3232</v>
      </c>
      <c r="C3235" s="123">
        <v>10100946250</v>
      </c>
      <c r="D3235" s="126" t="s">
        <v>12054</v>
      </c>
      <c r="E3235" s="126" t="s">
        <v>12055</v>
      </c>
      <c r="F3235" s="123" t="s">
        <v>30</v>
      </c>
      <c r="G3235" s="123" t="s">
        <v>30</v>
      </c>
      <c r="H3235" s="123" t="s">
        <v>60</v>
      </c>
      <c r="I3235" s="126" t="s">
        <v>8743</v>
      </c>
      <c r="J3235" s="123" t="s">
        <v>12056</v>
      </c>
      <c r="K3235" s="123" t="s">
        <v>12057</v>
      </c>
      <c r="L3235" s="131" t="s">
        <v>100</v>
      </c>
      <c r="M3235" s="135" t="s">
        <v>845</v>
      </c>
      <c r="N3235" s="123" t="s">
        <v>845</v>
      </c>
    </row>
    <row r="3236" spans="2:14" hidden="1" x14ac:dyDescent="0.25">
      <c r="B3236" s="120">
        <v>3233</v>
      </c>
      <c r="C3236" s="123">
        <v>10701739049</v>
      </c>
      <c r="D3236" s="126" t="s">
        <v>12058</v>
      </c>
      <c r="E3236" s="126" t="s">
        <v>12059</v>
      </c>
      <c r="F3236" s="123" t="s">
        <v>30</v>
      </c>
      <c r="G3236" s="123" t="s">
        <v>30</v>
      </c>
      <c r="H3236" s="123" t="s">
        <v>38</v>
      </c>
      <c r="I3236" s="126" t="s">
        <v>1950</v>
      </c>
      <c r="J3236" s="123" t="s">
        <v>12060</v>
      </c>
      <c r="K3236" s="123" t="s">
        <v>12058</v>
      </c>
      <c r="L3236" s="131" t="s">
        <v>100</v>
      </c>
      <c r="M3236" s="135" t="s">
        <v>845</v>
      </c>
      <c r="N3236" s="123" t="s">
        <v>845</v>
      </c>
    </row>
    <row r="3237" spans="2:14" hidden="1" x14ac:dyDescent="0.25">
      <c r="B3237" s="120">
        <v>3234</v>
      </c>
      <c r="C3237" s="123">
        <v>10432034327</v>
      </c>
      <c r="D3237" s="126" t="s">
        <v>12061</v>
      </c>
      <c r="E3237" s="126" t="s">
        <v>12062</v>
      </c>
      <c r="F3237" s="123" t="s">
        <v>30</v>
      </c>
      <c r="G3237" s="123" t="s">
        <v>31</v>
      </c>
      <c r="H3237" s="123" t="s">
        <v>9381</v>
      </c>
      <c r="I3237" s="126" t="s">
        <v>1931</v>
      </c>
      <c r="J3237" s="123" t="s">
        <v>12063</v>
      </c>
      <c r="K3237" s="123" t="s">
        <v>12061</v>
      </c>
      <c r="L3237" s="131" t="s">
        <v>100</v>
      </c>
      <c r="M3237" s="135" t="s">
        <v>845</v>
      </c>
      <c r="N3237" s="123" t="s">
        <v>845</v>
      </c>
    </row>
    <row r="3238" spans="2:14" hidden="1" x14ac:dyDescent="0.25">
      <c r="B3238" s="120">
        <v>3235</v>
      </c>
      <c r="C3238" s="123">
        <v>10702888005</v>
      </c>
      <c r="D3238" s="126" t="s">
        <v>12064</v>
      </c>
      <c r="E3238" s="126" t="s">
        <v>12065</v>
      </c>
      <c r="F3238" s="123" t="s">
        <v>30</v>
      </c>
      <c r="G3238" s="123" t="s">
        <v>30</v>
      </c>
      <c r="H3238" s="123" t="s">
        <v>58</v>
      </c>
      <c r="I3238" s="126" t="s">
        <v>1737</v>
      </c>
      <c r="J3238" s="123" t="s">
        <v>12066</v>
      </c>
      <c r="K3238" s="123" t="s">
        <v>12064</v>
      </c>
      <c r="L3238" s="131" t="s">
        <v>100</v>
      </c>
      <c r="M3238" s="135" t="s">
        <v>845</v>
      </c>
      <c r="N3238" s="123" t="s">
        <v>845</v>
      </c>
    </row>
    <row r="3239" spans="2:14" hidden="1" x14ac:dyDescent="0.25">
      <c r="B3239" s="120">
        <v>3236</v>
      </c>
      <c r="C3239" s="123">
        <v>10198708891</v>
      </c>
      <c r="D3239" s="126" t="s">
        <v>12067</v>
      </c>
      <c r="E3239" s="126" t="s">
        <v>12068</v>
      </c>
      <c r="F3239" s="123" t="s">
        <v>30</v>
      </c>
      <c r="G3239" s="123" t="s">
        <v>30</v>
      </c>
      <c r="H3239" s="123" t="s">
        <v>88</v>
      </c>
      <c r="I3239" s="126" t="s">
        <v>12069</v>
      </c>
      <c r="J3239" s="123" t="s">
        <v>12070</v>
      </c>
      <c r="K3239" s="123" t="s">
        <v>12067</v>
      </c>
      <c r="L3239" s="131" t="s">
        <v>100</v>
      </c>
      <c r="M3239" s="135" t="s">
        <v>845</v>
      </c>
      <c r="N3239" s="123" t="s">
        <v>845</v>
      </c>
    </row>
    <row r="3240" spans="2:14" hidden="1" x14ac:dyDescent="0.25">
      <c r="B3240" s="120">
        <v>3237</v>
      </c>
      <c r="C3240" s="123">
        <v>10074940345</v>
      </c>
      <c r="D3240" s="126" t="s">
        <v>12071</v>
      </c>
      <c r="E3240" s="126" t="s">
        <v>12072</v>
      </c>
      <c r="F3240" s="123" t="s">
        <v>30</v>
      </c>
      <c r="G3240" s="123" t="s">
        <v>30</v>
      </c>
      <c r="H3240" s="123" t="s">
        <v>41</v>
      </c>
      <c r="I3240" s="126" t="s">
        <v>101</v>
      </c>
      <c r="J3240" s="123" t="s">
        <v>12073</v>
      </c>
      <c r="K3240" s="123" t="s">
        <v>12071</v>
      </c>
      <c r="L3240" s="131" t="s">
        <v>100</v>
      </c>
      <c r="M3240" s="135" t="s">
        <v>845</v>
      </c>
      <c r="N3240" s="123" t="s">
        <v>845</v>
      </c>
    </row>
    <row r="3241" spans="2:14" hidden="1" x14ac:dyDescent="0.25">
      <c r="B3241" s="120">
        <v>3238</v>
      </c>
      <c r="C3241" s="123">
        <v>10100709045</v>
      </c>
      <c r="D3241" s="126" t="s">
        <v>12074</v>
      </c>
      <c r="E3241" s="126" t="s">
        <v>12075</v>
      </c>
      <c r="F3241" s="123" t="s">
        <v>30</v>
      </c>
      <c r="G3241" s="123" t="s">
        <v>30</v>
      </c>
      <c r="H3241" s="123" t="s">
        <v>51</v>
      </c>
      <c r="I3241" s="126" t="s">
        <v>1424</v>
      </c>
      <c r="J3241" s="123" t="s">
        <v>12076</v>
      </c>
      <c r="K3241" s="123" t="s">
        <v>12074</v>
      </c>
      <c r="L3241" s="131" t="s">
        <v>100</v>
      </c>
      <c r="M3241" s="135" t="s">
        <v>845</v>
      </c>
      <c r="N3241" s="123" t="s">
        <v>845</v>
      </c>
    </row>
    <row r="3242" spans="2:14" hidden="1" x14ac:dyDescent="0.25">
      <c r="B3242" s="120">
        <v>3239</v>
      </c>
      <c r="C3242" s="123">
        <v>10774640164</v>
      </c>
      <c r="D3242" s="126" t="s">
        <v>12077</v>
      </c>
      <c r="E3242" s="126" t="s">
        <v>12078</v>
      </c>
      <c r="F3242" s="123" t="s">
        <v>30</v>
      </c>
      <c r="G3242" s="123" t="s">
        <v>31</v>
      </c>
      <c r="H3242" s="123" t="s">
        <v>150</v>
      </c>
      <c r="I3242" s="126" t="s">
        <v>1701</v>
      </c>
      <c r="J3242" s="123" t="s">
        <v>12079</v>
      </c>
      <c r="K3242" s="123" t="s">
        <v>12077</v>
      </c>
      <c r="L3242" s="131" t="s">
        <v>100</v>
      </c>
      <c r="M3242" s="135" t="s">
        <v>845</v>
      </c>
      <c r="N3242" s="123" t="s">
        <v>845</v>
      </c>
    </row>
    <row r="3243" spans="2:14" hidden="1" x14ac:dyDescent="0.25">
      <c r="B3243" s="120">
        <v>3240</v>
      </c>
      <c r="C3243" s="123">
        <v>10080287262</v>
      </c>
      <c r="D3243" s="126" t="s">
        <v>12080</v>
      </c>
      <c r="E3243" s="126" t="s">
        <v>12081</v>
      </c>
      <c r="F3243" s="123" t="s">
        <v>30</v>
      </c>
      <c r="G3243" s="123" t="s">
        <v>30</v>
      </c>
      <c r="H3243" s="123" t="s">
        <v>64</v>
      </c>
      <c r="I3243" s="126" t="s">
        <v>1701</v>
      </c>
      <c r="J3243" s="123" t="s">
        <v>12082</v>
      </c>
      <c r="K3243" s="123" t="s">
        <v>12080</v>
      </c>
      <c r="L3243" s="131" t="s">
        <v>100</v>
      </c>
      <c r="M3243" s="135" t="s">
        <v>845</v>
      </c>
      <c r="N3243" s="123" t="s">
        <v>845</v>
      </c>
    </row>
    <row r="3244" spans="2:14" hidden="1" x14ac:dyDescent="0.25">
      <c r="B3244" s="120">
        <v>3241</v>
      </c>
      <c r="C3244" s="123">
        <v>10418282946</v>
      </c>
      <c r="D3244" s="126" t="s">
        <v>12083</v>
      </c>
      <c r="E3244" s="126" t="s">
        <v>12084</v>
      </c>
      <c r="F3244" s="123" t="s">
        <v>30</v>
      </c>
      <c r="G3244" s="123" t="s">
        <v>170</v>
      </c>
      <c r="H3244" s="123" t="s">
        <v>174</v>
      </c>
      <c r="I3244" s="126" t="s">
        <v>1701</v>
      </c>
      <c r="J3244" s="123" t="s">
        <v>12085</v>
      </c>
      <c r="K3244" s="123" t="s">
        <v>12086</v>
      </c>
      <c r="L3244" s="131" t="s">
        <v>100</v>
      </c>
      <c r="M3244" s="135" t="s">
        <v>845</v>
      </c>
      <c r="N3244" s="123" t="s">
        <v>845</v>
      </c>
    </row>
    <row r="3245" spans="2:14" hidden="1" x14ac:dyDescent="0.25">
      <c r="B3245" s="120">
        <v>3242</v>
      </c>
      <c r="C3245" s="123">
        <v>10760762925</v>
      </c>
      <c r="D3245" s="126" t="s">
        <v>12087</v>
      </c>
      <c r="E3245" s="126" t="s">
        <v>12088</v>
      </c>
      <c r="F3245" s="123" t="s">
        <v>30</v>
      </c>
      <c r="G3245" s="123" t="s">
        <v>30</v>
      </c>
      <c r="H3245" s="123" t="s">
        <v>60</v>
      </c>
      <c r="I3245" s="126" t="s">
        <v>56</v>
      </c>
      <c r="J3245" s="123" t="s">
        <v>12089</v>
      </c>
      <c r="K3245" s="123" t="s">
        <v>12090</v>
      </c>
      <c r="L3245" s="131" t="s">
        <v>100</v>
      </c>
      <c r="M3245" s="135" t="s">
        <v>845</v>
      </c>
      <c r="N3245" s="123" t="s">
        <v>845</v>
      </c>
    </row>
    <row r="3246" spans="2:14" hidden="1" x14ac:dyDescent="0.25">
      <c r="B3246" s="120">
        <v>3243</v>
      </c>
      <c r="C3246" s="123">
        <v>10414955571</v>
      </c>
      <c r="D3246" s="126" t="s">
        <v>12091</v>
      </c>
      <c r="E3246" s="126" t="s">
        <v>12092</v>
      </c>
      <c r="F3246" s="123" t="s">
        <v>30</v>
      </c>
      <c r="G3246" s="123" t="s">
        <v>170</v>
      </c>
      <c r="H3246" s="123" t="s">
        <v>170</v>
      </c>
      <c r="I3246" s="126" t="s">
        <v>1942</v>
      </c>
      <c r="J3246" s="123" t="s">
        <v>12093</v>
      </c>
      <c r="K3246" s="123" t="s">
        <v>12094</v>
      </c>
      <c r="L3246" s="131" t="s">
        <v>100</v>
      </c>
      <c r="M3246" s="135" t="s">
        <v>845</v>
      </c>
      <c r="N3246" s="123" t="s">
        <v>845</v>
      </c>
    </row>
    <row r="3247" spans="2:14" hidden="1" x14ac:dyDescent="0.25">
      <c r="B3247" s="120">
        <v>3244</v>
      </c>
      <c r="C3247" s="123">
        <v>10479203186</v>
      </c>
      <c r="D3247" s="126" t="s">
        <v>12095</v>
      </c>
      <c r="E3247" s="126" t="s">
        <v>12096</v>
      </c>
      <c r="F3247" s="123" t="s">
        <v>30</v>
      </c>
      <c r="G3247" s="123" t="s">
        <v>168</v>
      </c>
      <c r="H3247" s="123" t="s">
        <v>168</v>
      </c>
      <c r="I3247" s="126" t="s">
        <v>1950</v>
      </c>
      <c r="J3247" s="123" t="s">
        <v>12097</v>
      </c>
      <c r="K3247" s="123" t="s">
        <v>12095</v>
      </c>
      <c r="L3247" s="131" t="s">
        <v>100</v>
      </c>
      <c r="M3247" s="135" t="s">
        <v>845</v>
      </c>
      <c r="N3247" s="123" t="s">
        <v>845</v>
      </c>
    </row>
    <row r="3248" spans="2:14" hidden="1" x14ac:dyDescent="0.25">
      <c r="B3248" s="120">
        <v>3245</v>
      </c>
      <c r="C3248" s="123">
        <v>10701212954</v>
      </c>
      <c r="D3248" s="126" t="s">
        <v>12098</v>
      </c>
      <c r="E3248" s="126" t="s">
        <v>12099</v>
      </c>
      <c r="F3248" s="123" t="s">
        <v>30</v>
      </c>
      <c r="G3248" s="123" t="s">
        <v>168</v>
      </c>
      <c r="H3248" s="123" t="s">
        <v>168</v>
      </c>
      <c r="I3248" s="126" t="s">
        <v>1701</v>
      </c>
      <c r="J3248" s="123" t="s">
        <v>12100</v>
      </c>
      <c r="K3248" s="123" t="s">
        <v>12098</v>
      </c>
      <c r="L3248" s="131" t="s">
        <v>100</v>
      </c>
      <c r="M3248" s="135" t="s">
        <v>845</v>
      </c>
      <c r="N3248" s="123" t="s">
        <v>845</v>
      </c>
    </row>
    <row r="3249" spans="2:14" hidden="1" x14ac:dyDescent="0.25">
      <c r="B3249" s="120">
        <v>3246</v>
      </c>
      <c r="C3249" s="123">
        <v>10702207776</v>
      </c>
      <c r="D3249" s="126" t="s">
        <v>12101</v>
      </c>
      <c r="E3249" s="126" t="s">
        <v>12102</v>
      </c>
      <c r="F3249" s="123" t="s">
        <v>30</v>
      </c>
      <c r="G3249" s="123" t="s">
        <v>30</v>
      </c>
      <c r="H3249" s="123" t="s">
        <v>88</v>
      </c>
      <c r="I3249" s="126" t="s">
        <v>8659</v>
      </c>
      <c r="J3249" s="123" t="s">
        <v>12103</v>
      </c>
      <c r="K3249" s="123" t="s">
        <v>12101</v>
      </c>
      <c r="L3249" s="131" t="s">
        <v>100</v>
      </c>
      <c r="M3249" s="135" t="s">
        <v>845</v>
      </c>
      <c r="N3249" s="123" t="s">
        <v>845</v>
      </c>
    </row>
    <row r="3250" spans="2:14" hidden="1" x14ac:dyDescent="0.25">
      <c r="B3250" s="120">
        <v>3247</v>
      </c>
      <c r="C3250" s="123">
        <v>10103809784</v>
      </c>
      <c r="D3250" s="126" t="s">
        <v>12104</v>
      </c>
      <c r="E3250" s="126" t="s">
        <v>12105</v>
      </c>
      <c r="F3250" s="123" t="s">
        <v>30</v>
      </c>
      <c r="G3250" s="123" t="s">
        <v>30</v>
      </c>
      <c r="H3250" s="123" t="s">
        <v>45</v>
      </c>
      <c r="I3250" s="126" t="s">
        <v>1701</v>
      </c>
      <c r="J3250" s="123" t="s">
        <v>12106</v>
      </c>
      <c r="K3250" s="123" t="s">
        <v>12104</v>
      </c>
      <c r="L3250" s="131" t="s">
        <v>100</v>
      </c>
      <c r="M3250" s="135" t="s">
        <v>845</v>
      </c>
      <c r="N3250" s="123" t="s">
        <v>845</v>
      </c>
    </row>
    <row r="3251" spans="2:14" hidden="1" x14ac:dyDescent="0.25">
      <c r="B3251" s="120">
        <v>3248</v>
      </c>
      <c r="C3251" s="123">
        <v>10442574583</v>
      </c>
      <c r="D3251" s="126" t="s">
        <v>12107</v>
      </c>
      <c r="E3251" s="126" t="s">
        <v>12108</v>
      </c>
      <c r="F3251" s="123" t="s">
        <v>30</v>
      </c>
      <c r="G3251" s="123" t="s">
        <v>30</v>
      </c>
      <c r="H3251" s="123" t="s">
        <v>75</v>
      </c>
      <c r="I3251" s="126" t="s">
        <v>1701</v>
      </c>
      <c r="J3251" s="123" t="s">
        <v>12109</v>
      </c>
      <c r="K3251" s="123" t="s">
        <v>12107</v>
      </c>
      <c r="L3251" s="131" t="s">
        <v>100</v>
      </c>
      <c r="M3251" s="135" t="s">
        <v>845</v>
      </c>
      <c r="N3251" s="123" t="s">
        <v>845</v>
      </c>
    </row>
    <row r="3252" spans="2:14" hidden="1" x14ac:dyDescent="0.25">
      <c r="B3252" s="120">
        <v>3249</v>
      </c>
      <c r="C3252" s="123">
        <v>10434600923</v>
      </c>
      <c r="D3252" s="126" t="s">
        <v>12110</v>
      </c>
      <c r="E3252" s="126" t="s">
        <v>12111</v>
      </c>
      <c r="F3252" s="123" t="s">
        <v>30</v>
      </c>
      <c r="G3252" s="123" t="s">
        <v>30</v>
      </c>
      <c r="H3252" s="123" t="s">
        <v>103</v>
      </c>
      <c r="I3252" s="126" t="s">
        <v>1950</v>
      </c>
      <c r="J3252" s="123" t="s">
        <v>12112</v>
      </c>
      <c r="K3252" s="123" t="s">
        <v>12110</v>
      </c>
      <c r="L3252" s="131" t="s">
        <v>100</v>
      </c>
      <c r="M3252" s="135" t="s">
        <v>845</v>
      </c>
      <c r="N3252" s="123" t="s">
        <v>845</v>
      </c>
    </row>
    <row r="3253" spans="2:14" hidden="1" x14ac:dyDescent="0.25">
      <c r="B3253" s="120">
        <v>3250</v>
      </c>
      <c r="C3253" s="123">
        <v>10160231993</v>
      </c>
      <c r="D3253" s="126" t="s">
        <v>12113</v>
      </c>
      <c r="E3253" s="126" t="s">
        <v>12114</v>
      </c>
      <c r="F3253" s="123" t="s">
        <v>30</v>
      </c>
      <c r="G3253" s="123" t="s">
        <v>54</v>
      </c>
      <c r="H3253" s="123" t="s">
        <v>54</v>
      </c>
      <c r="I3253" s="126" t="s">
        <v>1936</v>
      </c>
      <c r="J3253" s="123" t="s">
        <v>12115</v>
      </c>
      <c r="K3253" s="123" t="s">
        <v>12113</v>
      </c>
      <c r="L3253" s="131" t="s">
        <v>100</v>
      </c>
      <c r="M3253" s="135" t="s">
        <v>845</v>
      </c>
      <c r="N3253" s="123" t="s">
        <v>845</v>
      </c>
    </row>
    <row r="3254" spans="2:14" hidden="1" x14ac:dyDescent="0.25">
      <c r="B3254" s="120">
        <v>3251</v>
      </c>
      <c r="C3254" s="123">
        <v>10719162881</v>
      </c>
      <c r="D3254" s="126" t="s">
        <v>12116</v>
      </c>
      <c r="E3254" s="126" t="s">
        <v>12117</v>
      </c>
      <c r="F3254" s="123" t="s">
        <v>30</v>
      </c>
      <c r="G3254" s="123" t="s">
        <v>168</v>
      </c>
      <c r="H3254" s="123" t="s">
        <v>187</v>
      </c>
      <c r="I3254" s="126" t="s">
        <v>1944</v>
      </c>
      <c r="J3254" s="123" t="s">
        <v>12118</v>
      </c>
      <c r="K3254" s="123" t="s">
        <v>12116</v>
      </c>
      <c r="L3254" s="131" t="s">
        <v>100</v>
      </c>
      <c r="M3254" s="135" t="s">
        <v>845</v>
      </c>
      <c r="N3254" s="123" t="s">
        <v>845</v>
      </c>
    </row>
    <row r="3255" spans="2:14" hidden="1" x14ac:dyDescent="0.25">
      <c r="B3255" s="120">
        <v>3252</v>
      </c>
      <c r="C3255" s="123">
        <v>10422902720</v>
      </c>
      <c r="D3255" s="126" t="s">
        <v>12119</v>
      </c>
      <c r="E3255" s="126" t="s">
        <v>12120</v>
      </c>
      <c r="F3255" s="123" t="s">
        <v>30</v>
      </c>
      <c r="G3255" s="123" t="s">
        <v>30</v>
      </c>
      <c r="H3255" s="123" t="s">
        <v>50</v>
      </c>
      <c r="I3255" s="126" t="s">
        <v>1701</v>
      </c>
      <c r="J3255" s="123" t="s">
        <v>12121</v>
      </c>
      <c r="K3255" s="123" t="s">
        <v>12119</v>
      </c>
      <c r="L3255" s="131" t="s">
        <v>100</v>
      </c>
      <c r="M3255" s="135" t="s">
        <v>845</v>
      </c>
      <c r="N3255" s="123" t="s">
        <v>845</v>
      </c>
    </row>
    <row r="3256" spans="2:14" hidden="1" x14ac:dyDescent="0.25">
      <c r="B3256" s="120">
        <v>3253</v>
      </c>
      <c r="C3256" s="123">
        <v>10157447195</v>
      </c>
      <c r="D3256" s="126" t="s">
        <v>12122</v>
      </c>
      <c r="E3256" s="126" t="s">
        <v>12123</v>
      </c>
      <c r="F3256" s="123" t="s">
        <v>30</v>
      </c>
      <c r="G3256" s="123" t="s">
        <v>170</v>
      </c>
      <c r="H3256" s="123" t="s">
        <v>170</v>
      </c>
      <c r="I3256" s="126" t="s">
        <v>8884</v>
      </c>
      <c r="J3256" s="123" t="s">
        <v>12124</v>
      </c>
      <c r="K3256" s="123" t="s">
        <v>12122</v>
      </c>
      <c r="L3256" s="131" t="s">
        <v>100</v>
      </c>
      <c r="M3256" s="135" t="s">
        <v>845</v>
      </c>
      <c r="N3256" s="123" t="s">
        <v>845</v>
      </c>
    </row>
    <row r="3257" spans="2:14" hidden="1" x14ac:dyDescent="0.25">
      <c r="B3257" s="120">
        <v>3254</v>
      </c>
      <c r="C3257" s="123">
        <v>10068148729</v>
      </c>
      <c r="D3257" s="126" t="s">
        <v>12125</v>
      </c>
      <c r="E3257" s="126" t="s">
        <v>12126</v>
      </c>
      <c r="F3257" s="123" t="s">
        <v>67</v>
      </c>
      <c r="G3257" s="123" t="s">
        <v>67</v>
      </c>
      <c r="H3257" s="123" t="s">
        <v>143</v>
      </c>
      <c r="I3257" s="126" t="s">
        <v>1701</v>
      </c>
      <c r="J3257" s="123" t="s">
        <v>12127</v>
      </c>
      <c r="K3257" s="123" t="s">
        <v>12125</v>
      </c>
      <c r="L3257" s="131" t="s">
        <v>100</v>
      </c>
      <c r="M3257" s="135" t="s">
        <v>845</v>
      </c>
      <c r="N3257" s="123" t="s">
        <v>845</v>
      </c>
    </row>
    <row r="3258" spans="2:14" hidden="1" x14ac:dyDescent="0.25">
      <c r="B3258" s="120">
        <v>3255</v>
      </c>
      <c r="C3258" s="123">
        <v>10409830159</v>
      </c>
      <c r="D3258" s="126" t="s">
        <v>12128</v>
      </c>
      <c r="E3258" s="126" t="s">
        <v>12129</v>
      </c>
      <c r="F3258" s="123" t="s">
        <v>30</v>
      </c>
      <c r="G3258" s="123" t="s">
        <v>30</v>
      </c>
      <c r="H3258" s="123" t="s">
        <v>30</v>
      </c>
      <c r="I3258" s="126" t="s">
        <v>8659</v>
      </c>
      <c r="J3258" s="123" t="s">
        <v>12130</v>
      </c>
      <c r="K3258" s="123" t="s">
        <v>12128</v>
      </c>
      <c r="L3258" s="131" t="s">
        <v>100</v>
      </c>
      <c r="M3258" s="135" t="s">
        <v>845</v>
      </c>
      <c r="N3258" s="123" t="s">
        <v>845</v>
      </c>
    </row>
    <row r="3259" spans="2:14" hidden="1" x14ac:dyDescent="0.25">
      <c r="B3259" s="120">
        <v>3256</v>
      </c>
      <c r="C3259" s="123">
        <v>10258110531</v>
      </c>
      <c r="D3259" s="126" t="s">
        <v>12131</v>
      </c>
      <c r="E3259" s="126" t="s">
        <v>12132</v>
      </c>
      <c r="F3259" s="123" t="s">
        <v>30</v>
      </c>
      <c r="G3259" s="123" t="s">
        <v>30</v>
      </c>
      <c r="H3259" s="123" t="s">
        <v>68</v>
      </c>
      <c r="I3259" s="126" t="s">
        <v>2460</v>
      </c>
      <c r="J3259" s="123" t="s">
        <v>12133</v>
      </c>
      <c r="K3259" s="123" t="s">
        <v>12134</v>
      </c>
      <c r="L3259" s="131" t="s">
        <v>100</v>
      </c>
      <c r="M3259" s="135" t="s">
        <v>845</v>
      </c>
      <c r="N3259" s="123" t="s">
        <v>845</v>
      </c>
    </row>
    <row r="3260" spans="2:14" hidden="1" x14ac:dyDescent="0.25">
      <c r="B3260" s="120">
        <v>3257</v>
      </c>
      <c r="C3260" s="123">
        <v>10099179509</v>
      </c>
      <c r="D3260" s="126" t="s">
        <v>12135</v>
      </c>
      <c r="E3260" s="126" t="s">
        <v>12136</v>
      </c>
      <c r="F3260" s="123" t="s">
        <v>30</v>
      </c>
      <c r="G3260" s="123" t="s">
        <v>30</v>
      </c>
      <c r="H3260" s="123" t="s">
        <v>58</v>
      </c>
      <c r="I3260" s="126" t="s">
        <v>1805</v>
      </c>
      <c r="J3260" s="123" t="s">
        <v>12137</v>
      </c>
      <c r="K3260" s="123" t="s">
        <v>12138</v>
      </c>
      <c r="L3260" s="131" t="s">
        <v>100</v>
      </c>
      <c r="M3260" s="135" t="s">
        <v>845</v>
      </c>
      <c r="N3260" s="123" t="s">
        <v>845</v>
      </c>
    </row>
    <row r="3261" spans="2:14" hidden="1" x14ac:dyDescent="0.25">
      <c r="B3261" s="120">
        <v>3258</v>
      </c>
      <c r="C3261" s="123">
        <v>10074717808</v>
      </c>
      <c r="D3261" s="126" t="s">
        <v>12139</v>
      </c>
      <c r="E3261" s="126" t="s">
        <v>12140</v>
      </c>
      <c r="F3261" s="123" t="s">
        <v>30</v>
      </c>
      <c r="G3261" s="123" t="s">
        <v>30</v>
      </c>
      <c r="H3261" s="123" t="s">
        <v>88</v>
      </c>
      <c r="I3261" s="126" t="s">
        <v>1564</v>
      </c>
      <c r="J3261" s="123" t="s">
        <v>12141</v>
      </c>
      <c r="K3261" s="123" t="s">
        <v>12139</v>
      </c>
      <c r="L3261" s="131" t="s">
        <v>100</v>
      </c>
      <c r="M3261" s="135" t="s">
        <v>845</v>
      </c>
      <c r="N3261" s="123" t="s">
        <v>845</v>
      </c>
    </row>
    <row r="3262" spans="2:14" hidden="1" x14ac:dyDescent="0.25">
      <c r="B3262" s="120">
        <v>3259</v>
      </c>
      <c r="C3262" s="123">
        <v>10404888451</v>
      </c>
      <c r="D3262" s="126" t="s">
        <v>12142</v>
      </c>
      <c r="E3262" s="126" t="s">
        <v>12143</v>
      </c>
      <c r="F3262" s="123" t="s">
        <v>30</v>
      </c>
      <c r="G3262" s="123" t="s">
        <v>30</v>
      </c>
      <c r="H3262" s="123" t="s">
        <v>38</v>
      </c>
      <c r="I3262" s="126" t="s">
        <v>1930</v>
      </c>
      <c r="J3262" s="123" t="s">
        <v>12144</v>
      </c>
      <c r="K3262" s="123" t="s">
        <v>12145</v>
      </c>
      <c r="L3262" s="131" t="s">
        <v>100</v>
      </c>
      <c r="M3262" s="135" t="s">
        <v>845</v>
      </c>
      <c r="N3262" s="123" t="s">
        <v>845</v>
      </c>
    </row>
    <row r="3263" spans="2:14" hidden="1" x14ac:dyDescent="0.25">
      <c r="B3263" s="120">
        <v>3260</v>
      </c>
      <c r="C3263" s="123">
        <v>10401649137</v>
      </c>
      <c r="D3263" s="126" t="s">
        <v>12146</v>
      </c>
      <c r="E3263" s="126" t="s">
        <v>12147</v>
      </c>
      <c r="F3263" s="123" t="s">
        <v>30</v>
      </c>
      <c r="G3263" s="123" t="s">
        <v>30</v>
      </c>
      <c r="H3263" s="123" t="s">
        <v>72</v>
      </c>
      <c r="I3263" s="126" t="s">
        <v>9625</v>
      </c>
      <c r="J3263" s="123" t="s">
        <v>12148</v>
      </c>
      <c r="K3263" s="123" t="s">
        <v>12146</v>
      </c>
      <c r="L3263" s="131" t="s">
        <v>100</v>
      </c>
      <c r="M3263" s="135" t="s">
        <v>845</v>
      </c>
      <c r="N3263" s="123" t="s">
        <v>845</v>
      </c>
    </row>
    <row r="3264" spans="2:14" hidden="1" x14ac:dyDescent="0.25">
      <c r="B3264" s="120">
        <v>3261</v>
      </c>
      <c r="C3264" s="123">
        <v>10481472356</v>
      </c>
      <c r="D3264" s="126" t="s">
        <v>12149</v>
      </c>
      <c r="E3264" s="126" t="s">
        <v>12150</v>
      </c>
      <c r="F3264" s="123" t="s">
        <v>30</v>
      </c>
      <c r="G3264" s="123" t="s">
        <v>168</v>
      </c>
      <c r="H3264" s="123" t="s">
        <v>168</v>
      </c>
      <c r="I3264" s="126" t="s">
        <v>1561</v>
      </c>
      <c r="J3264" s="123" t="s">
        <v>12151</v>
      </c>
      <c r="K3264" s="123" t="s">
        <v>12149</v>
      </c>
      <c r="L3264" s="131" t="s">
        <v>100</v>
      </c>
      <c r="M3264" s="135" t="s">
        <v>845</v>
      </c>
      <c r="N3264" s="123" t="s">
        <v>845</v>
      </c>
    </row>
    <row r="3265" spans="2:14" hidden="1" x14ac:dyDescent="0.25">
      <c r="B3265" s="120">
        <v>3262</v>
      </c>
      <c r="C3265" s="123">
        <v>10095639718</v>
      </c>
      <c r="D3265" s="126" t="s">
        <v>12152</v>
      </c>
      <c r="E3265" s="126" t="s">
        <v>12153</v>
      </c>
      <c r="F3265" s="123" t="s">
        <v>30</v>
      </c>
      <c r="G3265" s="123" t="s">
        <v>30</v>
      </c>
      <c r="H3265" s="123" t="s">
        <v>43</v>
      </c>
      <c r="I3265" s="126" t="s">
        <v>1931</v>
      </c>
      <c r="J3265" s="123" t="s">
        <v>12154</v>
      </c>
      <c r="K3265" s="123" t="s">
        <v>12152</v>
      </c>
      <c r="L3265" s="131" t="s">
        <v>100</v>
      </c>
      <c r="M3265" s="135" t="s">
        <v>845</v>
      </c>
      <c r="N3265" s="123" t="s">
        <v>845</v>
      </c>
    </row>
    <row r="3266" spans="2:14" hidden="1" x14ac:dyDescent="0.25">
      <c r="B3266" s="120">
        <v>3263</v>
      </c>
      <c r="C3266" s="123">
        <v>10097480431</v>
      </c>
      <c r="D3266" s="126" t="s">
        <v>12155</v>
      </c>
      <c r="E3266" s="126" t="s">
        <v>12156</v>
      </c>
      <c r="F3266" s="123" t="s">
        <v>30</v>
      </c>
      <c r="G3266" s="123" t="s">
        <v>30</v>
      </c>
      <c r="H3266" s="123" t="s">
        <v>50</v>
      </c>
      <c r="I3266" s="126" t="s">
        <v>1950</v>
      </c>
      <c r="J3266" s="123" t="s">
        <v>12157</v>
      </c>
      <c r="K3266" s="123" t="s">
        <v>12155</v>
      </c>
      <c r="L3266" s="131" t="s">
        <v>100</v>
      </c>
      <c r="M3266" s="135" t="s">
        <v>845</v>
      </c>
      <c r="N3266" s="123" t="s">
        <v>845</v>
      </c>
    </row>
    <row r="3267" spans="2:14" hidden="1" x14ac:dyDescent="0.25">
      <c r="B3267" s="120">
        <v>3264</v>
      </c>
      <c r="C3267" s="123">
        <v>10406600420</v>
      </c>
      <c r="D3267" s="126" t="s">
        <v>12158</v>
      </c>
      <c r="E3267" s="126" t="s">
        <v>12159</v>
      </c>
      <c r="F3267" s="123" t="s">
        <v>30</v>
      </c>
      <c r="G3267" s="123" t="s">
        <v>170</v>
      </c>
      <c r="H3267" s="123" t="s">
        <v>171</v>
      </c>
      <c r="I3267" s="126" t="s">
        <v>1528</v>
      </c>
      <c r="J3267" s="123" t="s">
        <v>12160</v>
      </c>
      <c r="K3267" s="123" t="s">
        <v>12161</v>
      </c>
      <c r="L3267" s="131" t="s">
        <v>100</v>
      </c>
      <c r="M3267" s="135" t="s">
        <v>845</v>
      </c>
      <c r="N3267" s="123" t="s">
        <v>845</v>
      </c>
    </row>
    <row r="3268" spans="2:14" hidden="1" x14ac:dyDescent="0.25">
      <c r="B3268" s="120">
        <v>3265</v>
      </c>
      <c r="C3268" s="123">
        <v>10429381423</v>
      </c>
      <c r="D3268" s="126" t="s">
        <v>12162</v>
      </c>
      <c r="E3268" s="126" t="s">
        <v>12163</v>
      </c>
      <c r="F3268" s="123" t="s">
        <v>30</v>
      </c>
      <c r="G3268" s="123" t="s">
        <v>30</v>
      </c>
      <c r="H3268" s="123" t="s">
        <v>152</v>
      </c>
      <c r="I3268" s="126" t="s">
        <v>12164</v>
      </c>
      <c r="J3268" s="123" t="s">
        <v>12165</v>
      </c>
      <c r="K3268" s="123" t="s">
        <v>12166</v>
      </c>
      <c r="L3268" s="131" t="s">
        <v>100</v>
      </c>
      <c r="M3268" s="135" t="s">
        <v>845</v>
      </c>
      <c r="N3268" s="123" t="s">
        <v>845</v>
      </c>
    </row>
    <row r="3269" spans="2:14" hidden="1" x14ac:dyDescent="0.25">
      <c r="B3269" s="120">
        <v>3266</v>
      </c>
      <c r="C3269" s="123">
        <v>10085854378</v>
      </c>
      <c r="D3269" s="126" t="s">
        <v>12167</v>
      </c>
      <c r="E3269" s="126" t="s">
        <v>12168</v>
      </c>
      <c r="F3269" s="123" t="s">
        <v>30</v>
      </c>
      <c r="G3269" s="123" t="s">
        <v>30</v>
      </c>
      <c r="H3269" s="123" t="s">
        <v>45</v>
      </c>
      <c r="I3269" s="126" t="s">
        <v>1755</v>
      </c>
      <c r="J3269" s="123" t="s">
        <v>12169</v>
      </c>
      <c r="K3269" s="123" t="s">
        <v>12170</v>
      </c>
      <c r="L3269" s="131" t="s">
        <v>100</v>
      </c>
      <c r="M3269" s="135" t="s">
        <v>845</v>
      </c>
      <c r="N3269" s="123" t="s">
        <v>845</v>
      </c>
    </row>
    <row r="3270" spans="2:14" hidden="1" x14ac:dyDescent="0.25">
      <c r="B3270" s="120">
        <v>3267</v>
      </c>
      <c r="C3270" s="123">
        <v>10736995129</v>
      </c>
      <c r="D3270" s="126" t="s">
        <v>12171</v>
      </c>
      <c r="E3270" s="126" t="s">
        <v>12172</v>
      </c>
      <c r="F3270" s="123" t="s">
        <v>30</v>
      </c>
      <c r="G3270" s="123" t="s">
        <v>30</v>
      </c>
      <c r="H3270" s="123" t="s">
        <v>60</v>
      </c>
      <c r="I3270" s="126" t="s">
        <v>1931</v>
      </c>
      <c r="J3270" s="123" t="s">
        <v>12173</v>
      </c>
      <c r="K3270" s="123" t="s">
        <v>12171</v>
      </c>
      <c r="L3270" s="131" t="s">
        <v>100</v>
      </c>
      <c r="M3270" s="135" t="s">
        <v>845</v>
      </c>
      <c r="N3270" s="123" t="s">
        <v>845</v>
      </c>
    </row>
    <row r="3271" spans="2:14" hidden="1" x14ac:dyDescent="0.25">
      <c r="B3271" s="120">
        <v>3268</v>
      </c>
      <c r="C3271" s="123">
        <v>10770981781</v>
      </c>
      <c r="D3271" s="126" t="s">
        <v>12174</v>
      </c>
      <c r="E3271" s="126" t="s">
        <v>12175</v>
      </c>
      <c r="F3271" s="123" t="s">
        <v>30</v>
      </c>
      <c r="G3271" s="123" t="s">
        <v>30</v>
      </c>
      <c r="H3271" s="123" t="s">
        <v>72</v>
      </c>
      <c r="I3271" s="126" t="s">
        <v>1952</v>
      </c>
      <c r="J3271" s="123" t="s">
        <v>12176</v>
      </c>
      <c r="K3271" s="123" t="s">
        <v>12174</v>
      </c>
      <c r="L3271" s="131" t="s">
        <v>100</v>
      </c>
      <c r="M3271" s="135" t="s">
        <v>845</v>
      </c>
      <c r="N3271" s="123" t="s">
        <v>845</v>
      </c>
    </row>
    <row r="3272" spans="2:14" hidden="1" x14ac:dyDescent="0.25">
      <c r="B3272" s="120">
        <v>3269</v>
      </c>
      <c r="C3272" s="123">
        <v>10096827968</v>
      </c>
      <c r="D3272" s="126" t="s">
        <v>12177</v>
      </c>
      <c r="E3272" s="126" t="s">
        <v>12178</v>
      </c>
      <c r="F3272" s="123" t="s">
        <v>30</v>
      </c>
      <c r="G3272" s="123" t="s">
        <v>30</v>
      </c>
      <c r="H3272" s="123" t="s">
        <v>65</v>
      </c>
      <c r="I3272" s="126" t="s">
        <v>1701</v>
      </c>
      <c r="J3272" s="123" t="s">
        <v>12179</v>
      </c>
      <c r="K3272" s="123" t="s">
        <v>12177</v>
      </c>
      <c r="L3272" s="131" t="s">
        <v>100</v>
      </c>
      <c r="M3272" s="135" t="s">
        <v>845</v>
      </c>
      <c r="N3272" s="123" t="s">
        <v>845</v>
      </c>
    </row>
    <row r="3273" spans="2:14" hidden="1" x14ac:dyDescent="0.25">
      <c r="B3273" s="120">
        <v>3270</v>
      </c>
      <c r="C3273" s="123">
        <v>10100691804</v>
      </c>
      <c r="D3273" s="126" t="s">
        <v>12180</v>
      </c>
      <c r="E3273" s="126" t="s">
        <v>12181</v>
      </c>
      <c r="F3273" s="123" t="s">
        <v>30</v>
      </c>
      <c r="G3273" s="123" t="s">
        <v>30</v>
      </c>
      <c r="H3273" s="123" t="s">
        <v>58</v>
      </c>
      <c r="I3273" s="126" t="s">
        <v>1424</v>
      </c>
      <c r="J3273" s="123" t="s">
        <v>12182</v>
      </c>
      <c r="K3273" s="123" t="s">
        <v>12180</v>
      </c>
      <c r="L3273" s="131" t="s">
        <v>100</v>
      </c>
      <c r="M3273" s="135" t="s">
        <v>845</v>
      </c>
      <c r="N3273" s="123" t="s">
        <v>845</v>
      </c>
    </row>
    <row r="3274" spans="2:14" hidden="1" x14ac:dyDescent="0.25">
      <c r="B3274" s="120">
        <v>3271</v>
      </c>
      <c r="C3274" s="123">
        <v>10430941131</v>
      </c>
      <c r="D3274" s="126" t="s">
        <v>12183</v>
      </c>
      <c r="E3274" s="126" t="s">
        <v>12184</v>
      </c>
      <c r="F3274" s="123" t="s">
        <v>30</v>
      </c>
      <c r="G3274" s="123" t="s">
        <v>30</v>
      </c>
      <c r="H3274" s="123" t="s">
        <v>43</v>
      </c>
      <c r="I3274" s="126" t="s">
        <v>1737</v>
      </c>
      <c r="J3274" s="123" t="s">
        <v>12185</v>
      </c>
      <c r="K3274" s="123" t="s">
        <v>12183</v>
      </c>
      <c r="L3274" s="131" t="s">
        <v>100</v>
      </c>
      <c r="M3274" s="135" t="s">
        <v>845</v>
      </c>
      <c r="N3274" s="123" t="s">
        <v>845</v>
      </c>
    </row>
    <row r="3275" spans="2:14" hidden="1" x14ac:dyDescent="0.25">
      <c r="B3275" s="120">
        <v>3272</v>
      </c>
      <c r="C3275" s="123">
        <v>10449697893</v>
      </c>
      <c r="D3275" s="126" t="s">
        <v>12186</v>
      </c>
      <c r="E3275" s="126" t="s">
        <v>12187</v>
      </c>
      <c r="F3275" s="123" t="s">
        <v>30</v>
      </c>
      <c r="G3275" s="123" t="s">
        <v>30</v>
      </c>
      <c r="H3275" s="123" t="s">
        <v>34</v>
      </c>
      <c r="I3275" s="126" t="s">
        <v>1930</v>
      </c>
      <c r="J3275" s="123" t="s">
        <v>12188</v>
      </c>
      <c r="K3275" s="123" t="s">
        <v>12186</v>
      </c>
      <c r="L3275" s="131" t="s">
        <v>100</v>
      </c>
      <c r="M3275" s="135" t="s">
        <v>845</v>
      </c>
      <c r="N3275" s="123" t="s">
        <v>845</v>
      </c>
    </row>
    <row r="3276" spans="2:14" hidden="1" x14ac:dyDescent="0.25">
      <c r="B3276" s="120">
        <v>3273</v>
      </c>
      <c r="C3276" s="123">
        <v>10476934236</v>
      </c>
      <c r="D3276" s="126" t="s">
        <v>12189</v>
      </c>
      <c r="E3276" s="126" t="s">
        <v>12190</v>
      </c>
      <c r="F3276" s="123" t="s">
        <v>30</v>
      </c>
      <c r="G3276" s="123" t="s">
        <v>30</v>
      </c>
      <c r="H3276" s="123" t="s">
        <v>58</v>
      </c>
      <c r="I3276" s="126" t="s">
        <v>1701</v>
      </c>
      <c r="J3276" s="123" t="s">
        <v>12191</v>
      </c>
      <c r="K3276" s="123" t="s">
        <v>12189</v>
      </c>
      <c r="L3276" s="131" t="s">
        <v>100</v>
      </c>
      <c r="M3276" s="135" t="s">
        <v>845</v>
      </c>
      <c r="N3276" s="123" t="s">
        <v>845</v>
      </c>
    </row>
    <row r="3277" spans="2:14" hidden="1" x14ac:dyDescent="0.25">
      <c r="B3277" s="120">
        <v>3274</v>
      </c>
      <c r="C3277" s="123">
        <v>10739296582</v>
      </c>
      <c r="D3277" s="126" t="s">
        <v>12192</v>
      </c>
      <c r="E3277" s="126" t="s">
        <v>12193</v>
      </c>
      <c r="F3277" s="123" t="s">
        <v>30</v>
      </c>
      <c r="G3277" s="123" t="s">
        <v>30</v>
      </c>
      <c r="H3277" s="123" t="s">
        <v>72</v>
      </c>
      <c r="I3277" s="126" t="s">
        <v>10336</v>
      </c>
      <c r="J3277" s="123" t="s">
        <v>12194</v>
      </c>
      <c r="K3277" s="123" t="s">
        <v>12192</v>
      </c>
      <c r="L3277" s="131" t="s">
        <v>100</v>
      </c>
      <c r="M3277" s="135" t="s">
        <v>845</v>
      </c>
      <c r="N3277" s="123" t="s">
        <v>845</v>
      </c>
    </row>
    <row r="3278" spans="2:14" hidden="1" x14ac:dyDescent="0.25">
      <c r="B3278" s="120">
        <v>3275</v>
      </c>
      <c r="C3278" s="123">
        <v>10210758718</v>
      </c>
      <c r="D3278" s="126" t="s">
        <v>12195</v>
      </c>
      <c r="E3278" s="126" t="s">
        <v>12196</v>
      </c>
      <c r="F3278" s="123" t="s">
        <v>67</v>
      </c>
      <c r="G3278" s="123" t="s">
        <v>67</v>
      </c>
      <c r="H3278" s="123" t="s">
        <v>67</v>
      </c>
      <c r="I3278" s="126" t="s">
        <v>1931</v>
      </c>
      <c r="J3278" s="123" t="s">
        <v>12197</v>
      </c>
      <c r="K3278" s="123" t="s">
        <v>12198</v>
      </c>
      <c r="L3278" s="131" t="s">
        <v>100</v>
      </c>
      <c r="M3278" s="135" t="s">
        <v>845</v>
      </c>
      <c r="N3278" s="123" t="s">
        <v>845</v>
      </c>
    </row>
    <row r="3279" spans="2:14" hidden="1" x14ac:dyDescent="0.25">
      <c r="B3279" s="120">
        <v>3276</v>
      </c>
      <c r="C3279" s="123">
        <v>10453929464</v>
      </c>
      <c r="D3279" s="126" t="s">
        <v>12199</v>
      </c>
      <c r="E3279" s="126" t="s">
        <v>12200</v>
      </c>
      <c r="F3279" s="123" t="s">
        <v>30</v>
      </c>
      <c r="G3279" s="123" t="s">
        <v>30</v>
      </c>
      <c r="H3279" s="123" t="s">
        <v>52</v>
      </c>
      <c r="I3279" s="126" t="s">
        <v>1701</v>
      </c>
      <c r="J3279" s="123" t="s">
        <v>12201</v>
      </c>
      <c r="K3279" s="123" t="s">
        <v>12199</v>
      </c>
      <c r="L3279" s="131" t="s">
        <v>100</v>
      </c>
      <c r="M3279" s="135" t="s">
        <v>845</v>
      </c>
      <c r="N3279" s="123" t="s">
        <v>845</v>
      </c>
    </row>
    <row r="3280" spans="2:14" hidden="1" x14ac:dyDescent="0.25">
      <c r="B3280" s="120">
        <v>3277</v>
      </c>
      <c r="C3280" s="123">
        <v>10105511022</v>
      </c>
      <c r="D3280" s="126" t="s">
        <v>12202</v>
      </c>
      <c r="E3280" s="126" t="s">
        <v>12203</v>
      </c>
      <c r="F3280" s="123" t="s">
        <v>30</v>
      </c>
      <c r="G3280" s="123" t="s">
        <v>30</v>
      </c>
      <c r="H3280" s="123" t="s">
        <v>68</v>
      </c>
      <c r="I3280" s="126" t="s">
        <v>1962</v>
      </c>
      <c r="J3280" s="123" t="s">
        <v>12204</v>
      </c>
      <c r="K3280" s="123" t="s">
        <v>12202</v>
      </c>
      <c r="L3280" s="131" t="s">
        <v>100</v>
      </c>
      <c r="M3280" s="135" t="s">
        <v>845</v>
      </c>
      <c r="N3280" s="123" t="s">
        <v>845</v>
      </c>
    </row>
    <row r="3281" spans="2:14" hidden="1" x14ac:dyDescent="0.25">
      <c r="B3281" s="120">
        <v>3278</v>
      </c>
      <c r="C3281" s="123">
        <v>10454370851</v>
      </c>
      <c r="D3281" s="126" t="s">
        <v>12205</v>
      </c>
      <c r="E3281" s="126" t="s">
        <v>12206</v>
      </c>
      <c r="F3281" s="123" t="s">
        <v>30</v>
      </c>
      <c r="G3281" s="123" t="s">
        <v>30</v>
      </c>
      <c r="H3281" s="123" t="s">
        <v>72</v>
      </c>
      <c r="I3281" s="126" t="s">
        <v>1209</v>
      </c>
      <c r="J3281" s="123" t="s">
        <v>12207</v>
      </c>
      <c r="K3281" s="123" t="s">
        <v>12205</v>
      </c>
      <c r="L3281" s="131" t="s">
        <v>100</v>
      </c>
      <c r="M3281" s="135" t="s">
        <v>845</v>
      </c>
      <c r="N3281" s="123" t="s">
        <v>845</v>
      </c>
    </row>
    <row r="3282" spans="2:14" hidden="1" x14ac:dyDescent="0.25">
      <c r="B3282" s="120">
        <v>3279</v>
      </c>
      <c r="C3282" s="123">
        <v>10168078213</v>
      </c>
      <c r="D3282" s="126" t="s">
        <v>12208</v>
      </c>
      <c r="E3282" s="126" t="s">
        <v>12209</v>
      </c>
      <c r="F3282" s="123" t="s">
        <v>30</v>
      </c>
      <c r="G3282" s="123" t="s">
        <v>30</v>
      </c>
      <c r="H3282" s="123" t="s">
        <v>30</v>
      </c>
      <c r="I3282" s="126" t="s">
        <v>87</v>
      </c>
      <c r="J3282" s="123" t="s">
        <v>12210</v>
      </c>
      <c r="K3282" s="123" t="s">
        <v>12211</v>
      </c>
      <c r="L3282" s="131" t="s">
        <v>100</v>
      </c>
      <c r="M3282" s="135" t="s">
        <v>845</v>
      </c>
      <c r="N3282" s="123" t="s">
        <v>845</v>
      </c>
    </row>
    <row r="3283" spans="2:14" hidden="1" x14ac:dyDescent="0.25">
      <c r="B3283" s="120">
        <v>3280</v>
      </c>
      <c r="C3283" s="123">
        <v>10451086001</v>
      </c>
      <c r="D3283" s="126" t="s">
        <v>12212</v>
      </c>
      <c r="E3283" s="126" t="s">
        <v>12213</v>
      </c>
      <c r="F3283" s="123" t="s">
        <v>30</v>
      </c>
      <c r="G3283" s="123" t="s">
        <v>30</v>
      </c>
      <c r="H3283" s="123" t="s">
        <v>60</v>
      </c>
      <c r="I3283" s="126" t="s">
        <v>101</v>
      </c>
      <c r="J3283" s="123" t="s">
        <v>12214</v>
      </c>
      <c r="K3283" s="123" t="s">
        <v>12212</v>
      </c>
      <c r="L3283" s="131" t="s">
        <v>100</v>
      </c>
      <c r="M3283" s="135" t="s">
        <v>845</v>
      </c>
      <c r="N3283" s="123" t="s">
        <v>845</v>
      </c>
    </row>
    <row r="3284" spans="2:14" hidden="1" x14ac:dyDescent="0.25">
      <c r="B3284" s="120">
        <v>3281</v>
      </c>
      <c r="C3284" s="123">
        <v>10081778740</v>
      </c>
      <c r="D3284" s="126" t="s">
        <v>12215</v>
      </c>
      <c r="E3284" s="126" t="s">
        <v>12216</v>
      </c>
      <c r="F3284" s="123" t="s">
        <v>30</v>
      </c>
      <c r="G3284" s="123" t="s">
        <v>30</v>
      </c>
      <c r="H3284" s="123" t="s">
        <v>75</v>
      </c>
      <c r="I3284" s="126" t="s">
        <v>1950</v>
      </c>
      <c r="J3284" s="123" t="s">
        <v>12217</v>
      </c>
      <c r="K3284" s="123" t="s">
        <v>12215</v>
      </c>
      <c r="L3284" s="131" t="s">
        <v>100</v>
      </c>
      <c r="M3284" s="135" t="s">
        <v>845</v>
      </c>
      <c r="N3284" s="123" t="s">
        <v>845</v>
      </c>
    </row>
    <row r="3285" spans="2:14" hidden="1" x14ac:dyDescent="0.25">
      <c r="B3285" s="120">
        <v>3282</v>
      </c>
      <c r="C3285" s="123">
        <v>10405243909</v>
      </c>
      <c r="D3285" s="126" t="s">
        <v>12218</v>
      </c>
      <c r="E3285" s="126" t="s">
        <v>12219</v>
      </c>
      <c r="F3285" s="123" t="s">
        <v>30</v>
      </c>
      <c r="G3285" s="123" t="s">
        <v>30</v>
      </c>
      <c r="H3285" s="123" t="s">
        <v>50</v>
      </c>
      <c r="I3285" s="126" t="s">
        <v>1424</v>
      </c>
      <c r="J3285" s="123" t="s">
        <v>12220</v>
      </c>
      <c r="K3285" s="123" t="s">
        <v>12218</v>
      </c>
      <c r="L3285" s="131" t="s">
        <v>100</v>
      </c>
      <c r="M3285" s="135" t="s">
        <v>845</v>
      </c>
      <c r="N3285" s="123" t="s">
        <v>845</v>
      </c>
    </row>
    <row r="3286" spans="2:14" hidden="1" x14ac:dyDescent="0.25">
      <c r="B3286" s="120">
        <v>3283</v>
      </c>
      <c r="C3286" s="123">
        <v>10747613007</v>
      </c>
      <c r="D3286" s="126" t="s">
        <v>12221</v>
      </c>
      <c r="E3286" s="126" t="s">
        <v>12222</v>
      </c>
      <c r="F3286" s="123" t="s">
        <v>30</v>
      </c>
      <c r="G3286" s="123" t="s">
        <v>170</v>
      </c>
      <c r="H3286" s="123" t="s">
        <v>174</v>
      </c>
      <c r="I3286" s="126" t="s">
        <v>1478</v>
      </c>
      <c r="J3286" s="123" t="s">
        <v>12223</v>
      </c>
      <c r="K3286" s="123" t="s">
        <v>12224</v>
      </c>
      <c r="L3286" s="131" t="s">
        <v>100</v>
      </c>
      <c r="M3286" s="135" t="s">
        <v>845</v>
      </c>
      <c r="N3286" s="123" t="s">
        <v>845</v>
      </c>
    </row>
    <row r="3287" spans="2:14" hidden="1" x14ac:dyDescent="0.25">
      <c r="B3287" s="120">
        <v>3284</v>
      </c>
      <c r="C3287" s="123">
        <v>10333416374</v>
      </c>
      <c r="D3287" s="126" t="s">
        <v>12225</v>
      </c>
      <c r="E3287" s="126" t="s">
        <v>12226</v>
      </c>
      <c r="F3287" s="123" t="s">
        <v>30</v>
      </c>
      <c r="G3287" s="123" t="s">
        <v>30</v>
      </c>
      <c r="H3287" s="123" t="s">
        <v>72</v>
      </c>
      <c r="I3287" s="126" t="s">
        <v>1701</v>
      </c>
      <c r="J3287" s="123" t="s">
        <v>12227</v>
      </c>
      <c r="K3287" s="123" t="s">
        <v>12225</v>
      </c>
      <c r="L3287" s="131" t="s">
        <v>100</v>
      </c>
      <c r="M3287" s="135" t="s">
        <v>845</v>
      </c>
      <c r="N3287" s="123" t="s">
        <v>845</v>
      </c>
    </row>
    <row r="3288" spans="2:14" hidden="1" x14ac:dyDescent="0.25">
      <c r="B3288" s="120">
        <v>3285</v>
      </c>
      <c r="C3288" s="123">
        <v>10402008992</v>
      </c>
      <c r="D3288" s="126" t="s">
        <v>12228</v>
      </c>
      <c r="E3288" s="126" t="s">
        <v>12229</v>
      </c>
      <c r="F3288" s="123" t="s">
        <v>30</v>
      </c>
      <c r="G3288" s="123" t="s">
        <v>30</v>
      </c>
      <c r="H3288" s="123" t="s">
        <v>35</v>
      </c>
      <c r="I3288" s="126" t="s">
        <v>1942</v>
      </c>
      <c r="J3288" s="123" t="s">
        <v>12230</v>
      </c>
      <c r="K3288" s="123" t="s">
        <v>12228</v>
      </c>
      <c r="L3288" s="131" t="s">
        <v>100</v>
      </c>
      <c r="M3288" s="135" t="s">
        <v>845</v>
      </c>
      <c r="N3288" s="123" t="s">
        <v>845</v>
      </c>
    </row>
    <row r="3289" spans="2:14" hidden="1" x14ac:dyDescent="0.25">
      <c r="B3289" s="120">
        <v>3286</v>
      </c>
      <c r="C3289" s="123">
        <v>10705411901</v>
      </c>
      <c r="D3289" s="126" t="s">
        <v>12231</v>
      </c>
      <c r="E3289" s="126" t="s">
        <v>12232</v>
      </c>
      <c r="F3289" s="123" t="s">
        <v>30</v>
      </c>
      <c r="G3289" s="123" t="s">
        <v>30</v>
      </c>
      <c r="H3289" s="123" t="s">
        <v>30</v>
      </c>
      <c r="I3289" s="126" t="s">
        <v>1424</v>
      </c>
      <c r="J3289" s="123" t="s">
        <v>12233</v>
      </c>
      <c r="K3289" s="123" t="s">
        <v>12231</v>
      </c>
      <c r="L3289" s="131" t="s">
        <v>100</v>
      </c>
      <c r="M3289" s="135" t="s">
        <v>845</v>
      </c>
      <c r="N3289" s="123" t="s">
        <v>845</v>
      </c>
    </row>
    <row r="3290" spans="2:14" hidden="1" x14ac:dyDescent="0.25">
      <c r="B3290" s="120">
        <v>3287</v>
      </c>
      <c r="C3290" s="123">
        <v>10470908608</v>
      </c>
      <c r="D3290" s="126" t="s">
        <v>12234</v>
      </c>
      <c r="E3290" s="126" t="s">
        <v>12235</v>
      </c>
      <c r="F3290" s="123" t="s">
        <v>30</v>
      </c>
      <c r="G3290" s="123" t="s">
        <v>31</v>
      </c>
      <c r="H3290" s="123" t="s">
        <v>9381</v>
      </c>
      <c r="I3290" s="126" t="s">
        <v>1935</v>
      </c>
      <c r="J3290" s="123" t="s">
        <v>12236</v>
      </c>
      <c r="K3290" s="123" t="s">
        <v>12234</v>
      </c>
      <c r="L3290" s="131" t="s">
        <v>100</v>
      </c>
      <c r="M3290" s="135" t="s">
        <v>845</v>
      </c>
      <c r="N3290" s="123" t="s">
        <v>845</v>
      </c>
    </row>
    <row r="3291" spans="2:14" hidden="1" x14ac:dyDescent="0.25">
      <c r="B3291" s="120">
        <v>3288</v>
      </c>
      <c r="C3291" s="123">
        <v>10157425728</v>
      </c>
      <c r="D3291" s="126" t="s">
        <v>12237</v>
      </c>
      <c r="E3291" s="126" t="s">
        <v>12238</v>
      </c>
      <c r="F3291" s="123" t="s">
        <v>30</v>
      </c>
      <c r="G3291" s="123" t="s">
        <v>170</v>
      </c>
      <c r="H3291" s="123" t="s">
        <v>174</v>
      </c>
      <c r="I3291" s="126" t="s">
        <v>1564</v>
      </c>
      <c r="J3291" s="123" t="s">
        <v>12239</v>
      </c>
      <c r="K3291" s="123" t="s">
        <v>12237</v>
      </c>
      <c r="L3291" s="131" t="s">
        <v>100</v>
      </c>
      <c r="M3291" s="135" t="s">
        <v>845</v>
      </c>
      <c r="N3291" s="123" t="s">
        <v>845</v>
      </c>
    </row>
    <row r="3292" spans="2:14" hidden="1" x14ac:dyDescent="0.25">
      <c r="B3292" s="120">
        <v>3289</v>
      </c>
      <c r="C3292" s="123">
        <v>10098891752</v>
      </c>
      <c r="D3292" s="126" t="s">
        <v>12240</v>
      </c>
      <c r="E3292" s="126" t="s">
        <v>12241</v>
      </c>
      <c r="F3292" s="123" t="s">
        <v>30</v>
      </c>
      <c r="G3292" s="123" t="s">
        <v>30</v>
      </c>
      <c r="H3292" s="123" t="s">
        <v>72</v>
      </c>
      <c r="I3292" s="126" t="s">
        <v>1564</v>
      </c>
      <c r="J3292" s="123" t="s">
        <v>12242</v>
      </c>
      <c r="K3292" s="123" t="s">
        <v>12243</v>
      </c>
      <c r="L3292" s="131" t="s">
        <v>100</v>
      </c>
      <c r="M3292" s="135" t="s">
        <v>845</v>
      </c>
      <c r="N3292" s="123" t="s">
        <v>845</v>
      </c>
    </row>
    <row r="3293" spans="2:14" hidden="1" x14ac:dyDescent="0.25">
      <c r="B3293" s="120">
        <v>3290</v>
      </c>
      <c r="C3293" s="123">
        <v>10452711074</v>
      </c>
      <c r="D3293" s="126" t="s">
        <v>12244</v>
      </c>
      <c r="E3293" s="126" t="s">
        <v>12245</v>
      </c>
      <c r="F3293" s="123" t="s">
        <v>30</v>
      </c>
      <c r="G3293" s="123" t="s">
        <v>30</v>
      </c>
      <c r="H3293" s="123" t="s">
        <v>51</v>
      </c>
      <c r="I3293" s="126" t="s">
        <v>1424</v>
      </c>
      <c r="J3293" s="123" t="s">
        <v>12246</v>
      </c>
      <c r="K3293" s="123" t="s">
        <v>12244</v>
      </c>
      <c r="L3293" s="131" t="s">
        <v>100</v>
      </c>
      <c r="M3293" s="135" t="s">
        <v>845</v>
      </c>
      <c r="N3293" s="123" t="s">
        <v>845</v>
      </c>
    </row>
    <row r="3294" spans="2:14" hidden="1" x14ac:dyDescent="0.25">
      <c r="B3294" s="120">
        <v>3291</v>
      </c>
      <c r="C3294" s="123">
        <v>10456512751</v>
      </c>
      <c r="D3294" s="126" t="s">
        <v>12247</v>
      </c>
      <c r="E3294" s="126" t="s">
        <v>12248</v>
      </c>
      <c r="F3294" s="123" t="s">
        <v>30</v>
      </c>
      <c r="G3294" s="123" t="s">
        <v>170</v>
      </c>
      <c r="H3294" s="123" t="s">
        <v>171</v>
      </c>
      <c r="I3294" s="126" t="s">
        <v>1941</v>
      </c>
      <c r="J3294" s="123" t="s">
        <v>12249</v>
      </c>
      <c r="K3294" s="123" t="s">
        <v>12247</v>
      </c>
      <c r="L3294" s="131" t="s">
        <v>100</v>
      </c>
      <c r="M3294" s="135" t="s">
        <v>845</v>
      </c>
      <c r="N3294" s="123" t="s">
        <v>845</v>
      </c>
    </row>
    <row r="3295" spans="2:14" hidden="1" x14ac:dyDescent="0.25">
      <c r="B3295" s="120">
        <v>3292</v>
      </c>
      <c r="C3295" s="123">
        <v>10424806311</v>
      </c>
      <c r="D3295" s="126" t="s">
        <v>12250</v>
      </c>
      <c r="E3295" s="126" t="s">
        <v>12251</v>
      </c>
      <c r="F3295" s="123" t="s">
        <v>30</v>
      </c>
      <c r="G3295" s="123" t="s">
        <v>30</v>
      </c>
      <c r="H3295" s="123" t="s">
        <v>30</v>
      </c>
      <c r="I3295" s="126" t="s">
        <v>1930</v>
      </c>
      <c r="J3295" s="123" t="s">
        <v>12252</v>
      </c>
      <c r="K3295" s="123" t="s">
        <v>12250</v>
      </c>
      <c r="L3295" s="131" t="s">
        <v>100</v>
      </c>
      <c r="M3295" s="135" t="s">
        <v>845</v>
      </c>
      <c r="N3295" s="123" t="s">
        <v>845</v>
      </c>
    </row>
    <row r="3296" spans="2:14" hidden="1" x14ac:dyDescent="0.25">
      <c r="B3296" s="120">
        <v>3293</v>
      </c>
      <c r="C3296" s="123">
        <v>10476625888</v>
      </c>
      <c r="D3296" s="126" t="s">
        <v>12253</v>
      </c>
      <c r="E3296" s="126" t="s">
        <v>12254</v>
      </c>
      <c r="F3296" s="123" t="s">
        <v>30</v>
      </c>
      <c r="G3296" s="123" t="s">
        <v>30</v>
      </c>
      <c r="H3296" s="123" t="s">
        <v>72</v>
      </c>
      <c r="I3296" s="126" t="s">
        <v>1930</v>
      </c>
      <c r="J3296" s="123" t="s">
        <v>12255</v>
      </c>
      <c r="K3296" s="123" t="s">
        <v>12256</v>
      </c>
      <c r="L3296" s="131" t="s">
        <v>100</v>
      </c>
      <c r="M3296" s="135" t="s">
        <v>845</v>
      </c>
      <c r="N3296" s="123" t="s">
        <v>845</v>
      </c>
    </row>
    <row r="3297" spans="2:14" hidden="1" x14ac:dyDescent="0.25">
      <c r="B3297" s="120">
        <v>3294</v>
      </c>
      <c r="C3297" s="123">
        <v>10094419269</v>
      </c>
      <c r="D3297" s="126" t="s">
        <v>12257</v>
      </c>
      <c r="E3297" s="126" t="s">
        <v>12258</v>
      </c>
      <c r="F3297" s="123" t="s">
        <v>30</v>
      </c>
      <c r="G3297" s="123" t="s">
        <v>30</v>
      </c>
      <c r="H3297" s="123" t="s">
        <v>72</v>
      </c>
      <c r="I3297" s="126" t="s">
        <v>1931</v>
      </c>
      <c r="J3297" s="123" t="s">
        <v>12259</v>
      </c>
      <c r="K3297" s="123" t="s">
        <v>12257</v>
      </c>
      <c r="L3297" s="131" t="s">
        <v>100</v>
      </c>
      <c r="M3297" s="135" t="s">
        <v>845</v>
      </c>
      <c r="N3297" s="123" t="s">
        <v>845</v>
      </c>
    </row>
    <row r="3298" spans="2:14" hidden="1" x14ac:dyDescent="0.25">
      <c r="B3298" s="120">
        <v>3295</v>
      </c>
      <c r="C3298" s="123">
        <v>10424095384</v>
      </c>
      <c r="D3298" s="126" t="s">
        <v>12260</v>
      </c>
      <c r="E3298" s="126" t="s">
        <v>12261</v>
      </c>
      <c r="F3298" s="123" t="s">
        <v>30</v>
      </c>
      <c r="G3298" s="123" t="s">
        <v>30</v>
      </c>
      <c r="H3298" s="123" t="s">
        <v>30</v>
      </c>
      <c r="I3298" s="126" t="s">
        <v>1961</v>
      </c>
      <c r="J3298" s="123" t="s">
        <v>12262</v>
      </c>
      <c r="K3298" s="123" t="s">
        <v>12263</v>
      </c>
      <c r="L3298" s="131" t="s">
        <v>100</v>
      </c>
      <c r="M3298" s="135" t="s">
        <v>845</v>
      </c>
      <c r="N3298" s="123" t="s">
        <v>845</v>
      </c>
    </row>
    <row r="3299" spans="2:14" hidden="1" x14ac:dyDescent="0.25">
      <c r="B3299" s="120">
        <v>3296</v>
      </c>
      <c r="C3299" s="123">
        <v>10717919179</v>
      </c>
      <c r="D3299" s="126" t="s">
        <v>12264</v>
      </c>
      <c r="E3299" s="126" t="s">
        <v>12265</v>
      </c>
      <c r="F3299" s="123" t="s">
        <v>30</v>
      </c>
      <c r="G3299" s="123" t="s">
        <v>168</v>
      </c>
      <c r="H3299" s="123" t="s">
        <v>177</v>
      </c>
      <c r="I3299" s="126" t="s">
        <v>1930</v>
      </c>
      <c r="J3299" s="123" t="s">
        <v>12266</v>
      </c>
      <c r="K3299" s="123" t="s">
        <v>12264</v>
      </c>
      <c r="L3299" s="131" t="s">
        <v>100</v>
      </c>
      <c r="M3299" s="135" t="s">
        <v>845</v>
      </c>
      <c r="N3299" s="123" t="s">
        <v>845</v>
      </c>
    </row>
    <row r="3300" spans="2:14" hidden="1" x14ac:dyDescent="0.25">
      <c r="B3300" s="120">
        <v>3297</v>
      </c>
      <c r="C3300" s="123">
        <v>10454481033</v>
      </c>
      <c r="D3300" s="126" t="s">
        <v>12267</v>
      </c>
      <c r="E3300" s="126" t="s">
        <v>12268</v>
      </c>
      <c r="F3300" s="123" t="s">
        <v>30</v>
      </c>
      <c r="G3300" s="123" t="s">
        <v>168</v>
      </c>
      <c r="H3300" s="123" t="s">
        <v>180</v>
      </c>
      <c r="I3300" s="126" t="s">
        <v>1394</v>
      </c>
      <c r="J3300" s="123" t="s">
        <v>12269</v>
      </c>
      <c r="K3300" s="123" t="s">
        <v>12267</v>
      </c>
      <c r="L3300" s="131" t="s">
        <v>100</v>
      </c>
      <c r="M3300" s="135" t="s">
        <v>845</v>
      </c>
      <c r="N3300" s="123" t="s">
        <v>845</v>
      </c>
    </row>
    <row r="3301" spans="2:14" hidden="1" x14ac:dyDescent="0.25">
      <c r="B3301" s="120">
        <v>3298</v>
      </c>
      <c r="C3301" s="123">
        <v>10475597554</v>
      </c>
      <c r="D3301" s="126" t="s">
        <v>12270</v>
      </c>
      <c r="E3301" s="126" t="s">
        <v>12271</v>
      </c>
      <c r="F3301" s="123" t="s">
        <v>30</v>
      </c>
      <c r="G3301" s="123" t="s">
        <v>30</v>
      </c>
      <c r="H3301" s="123" t="s">
        <v>52</v>
      </c>
      <c r="I3301" s="126" t="s">
        <v>1931</v>
      </c>
      <c r="J3301" s="123" t="s">
        <v>12272</v>
      </c>
      <c r="K3301" s="123" t="s">
        <v>12270</v>
      </c>
      <c r="L3301" s="131" t="s">
        <v>100</v>
      </c>
      <c r="M3301" s="135" t="s">
        <v>845</v>
      </c>
      <c r="N3301" s="123" t="s">
        <v>845</v>
      </c>
    </row>
    <row r="3302" spans="2:14" hidden="1" x14ac:dyDescent="0.25">
      <c r="B3302" s="120">
        <v>3299</v>
      </c>
      <c r="C3302" s="123">
        <v>10088990841</v>
      </c>
      <c r="D3302" s="126" t="s">
        <v>12273</v>
      </c>
      <c r="E3302" s="126" t="s">
        <v>12274</v>
      </c>
      <c r="F3302" s="123" t="s">
        <v>30</v>
      </c>
      <c r="G3302" s="123" t="s">
        <v>30</v>
      </c>
      <c r="H3302" s="123" t="s">
        <v>60</v>
      </c>
      <c r="I3302" s="126" t="s">
        <v>12275</v>
      </c>
      <c r="J3302" s="123" t="s">
        <v>12276</v>
      </c>
      <c r="K3302" s="123" t="s">
        <v>12273</v>
      </c>
      <c r="L3302" s="131" t="s">
        <v>100</v>
      </c>
      <c r="M3302" s="135" t="s">
        <v>845</v>
      </c>
      <c r="N3302" s="123" t="s">
        <v>845</v>
      </c>
    </row>
    <row r="3303" spans="2:14" hidden="1" x14ac:dyDescent="0.25">
      <c r="B3303" s="120">
        <v>3300</v>
      </c>
      <c r="C3303" s="123">
        <v>10402386563</v>
      </c>
      <c r="D3303" s="126" t="s">
        <v>12277</v>
      </c>
      <c r="E3303" s="126" t="s">
        <v>12278</v>
      </c>
      <c r="F3303" s="123" t="s">
        <v>30</v>
      </c>
      <c r="G3303" s="123" t="s">
        <v>30</v>
      </c>
      <c r="H3303" s="123" t="s">
        <v>43</v>
      </c>
      <c r="I3303" s="126" t="s">
        <v>9625</v>
      </c>
      <c r="J3303" s="123" t="s">
        <v>12279</v>
      </c>
      <c r="K3303" s="123" t="s">
        <v>12277</v>
      </c>
      <c r="L3303" s="131" t="s">
        <v>100</v>
      </c>
      <c r="M3303" s="135" t="s">
        <v>845</v>
      </c>
      <c r="N3303" s="123" t="s">
        <v>845</v>
      </c>
    </row>
    <row r="3304" spans="2:14" hidden="1" x14ac:dyDescent="0.25">
      <c r="B3304" s="120">
        <v>3301</v>
      </c>
      <c r="C3304" s="123">
        <v>10720139508</v>
      </c>
      <c r="D3304" s="126" t="s">
        <v>12280</v>
      </c>
      <c r="E3304" s="126" t="s">
        <v>12281</v>
      </c>
      <c r="F3304" s="123" t="s">
        <v>30</v>
      </c>
      <c r="G3304" s="123" t="s">
        <v>30</v>
      </c>
      <c r="H3304" s="123" t="s">
        <v>40</v>
      </c>
      <c r="I3304" s="126" t="s">
        <v>1960</v>
      </c>
      <c r="J3304" s="123" t="s">
        <v>12282</v>
      </c>
      <c r="K3304" s="123" t="s">
        <v>12280</v>
      </c>
      <c r="L3304" s="131" t="s">
        <v>100</v>
      </c>
      <c r="M3304" s="135" t="s">
        <v>845</v>
      </c>
      <c r="N3304" s="123" t="s">
        <v>845</v>
      </c>
    </row>
    <row r="3305" spans="2:14" hidden="1" x14ac:dyDescent="0.25">
      <c r="B3305" s="120">
        <v>3302</v>
      </c>
      <c r="C3305" s="123">
        <v>10431506004</v>
      </c>
      <c r="D3305" s="126" t="s">
        <v>12283</v>
      </c>
      <c r="E3305" s="126" t="s">
        <v>12284</v>
      </c>
      <c r="F3305" s="123" t="s">
        <v>30</v>
      </c>
      <c r="G3305" s="123" t="s">
        <v>30</v>
      </c>
      <c r="H3305" s="123" t="s">
        <v>51</v>
      </c>
      <c r="I3305" s="126" t="s">
        <v>12285</v>
      </c>
      <c r="J3305" s="123" t="s">
        <v>12286</v>
      </c>
      <c r="K3305" s="123" t="s">
        <v>12283</v>
      </c>
      <c r="L3305" s="131" t="s">
        <v>100</v>
      </c>
      <c r="M3305" s="135" t="s">
        <v>845</v>
      </c>
      <c r="N3305" s="123" t="s">
        <v>845</v>
      </c>
    </row>
    <row r="3306" spans="2:14" hidden="1" x14ac:dyDescent="0.25">
      <c r="B3306" s="120">
        <v>3303</v>
      </c>
      <c r="C3306" s="123">
        <v>10741694510</v>
      </c>
      <c r="D3306" s="126" t="s">
        <v>12287</v>
      </c>
      <c r="E3306" s="126" t="s">
        <v>12288</v>
      </c>
      <c r="F3306" s="123" t="s">
        <v>30</v>
      </c>
      <c r="G3306" s="123" t="s">
        <v>30</v>
      </c>
      <c r="H3306" s="123" t="s">
        <v>50</v>
      </c>
      <c r="I3306" s="126" t="s">
        <v>1478</v>
      </c>
      <c r="J3306" s="123" t="s">
        <v>12289</v>
      </c>
      <c r="K3306" s="123" t="s">
        <v>12287</v>
      </c>
      <c r="L3306" s="131" t="s">
        <v>100</v>
      </c>
      <c r="M3306" s="135" t="s">
        <v>845</v>
      </c>
      <c r="N3306" s="123" t="s">
        <v>845</v>
      </c>
    </row>
    <row r="3307" spans="2:14" hidden="1" x14ac:dyDescent="0.25">
      <c r="B3307" s="120">
        <v>3304</v>
      </c>
      <c r="C3307" s="123">
        <v>10099758509</v>
      </c>
      <c r="D3307" s="126" t="s">
        <v>12290</v>
      </c>
      <c r="E3307" s="126" t="s">
        <v>12291</v>
      </c>
      <c r="F3307" s="123" t="s">
        <v>30</v>
      </c>
      <c r="G3307" s="123" t="s">
        <v>30</v>
      </c>
      <c r="H3307" s="123" t="s">
        <v>68</v>
      </c>
      <c r="I3307" s="126" t="s">
        <v>11346</v>
      </c>
      <c r="J3307" s="123" t="s">
        <v>12292</v>
      </c>
      <c r="K3307" s="123" t="s">
        <v>12290</v>
      </c>
      <c r="L3307" s="131" t="s">
        <v>100</v>
      </c>
      <c r="M3307" s="135" t="s">
        <v>845</v>
      </c>
      <c r="N3307" s="123" t="s">
        <v>845</v>
      </c>
    </row>
    <row r="3308" spans="2:14" hidden="1" x14ac:dyDescent="0.25">
      <c r="B3308" s="120">
        <v>3305</v>
      </c>
      <c r="C3308" s="123">
        <v>10158596232</v>
      </c>
      <c r="D3308" s="126" t="s">
        <v>12293</v>
      </c>
      <c r="E3308" s="126" t="s">
        <v>12294</v>
      </c>
      <c r="F3308" s="123" t="s">
        <v>30</v>
      </c>
      <c r="G3308" s="123" t="s">
        <v>168</v>
      </c>
      <c r="H3308" s="123" t="s">
        <v>168</v>
      </c>
      <c r="I3308" s="126" t="s">
        <v>1643</v>
      </c>
      <c r="J3308" s="123" t="s">
        <v>12295</v>
      </c>
      <c r="K3308" s="123" t="s">
        <v>12296</v>
      </c>
      <c r="L3308" s="131" t="s">
        <v>100</v>
      </c>
      <c r="M3308" s="135" t="s">
        <v>845</v>
      </c>
      <c r="N3308" s="123" t="s">
        <v>845</v>
      </c>
    </row>
    <row r="3309" spans="2:14" hidden="1" x14ac:dyDescent="0.25">
      <c r="B3309" s="120">
        <v>3306</v>
      </c>
      <c r="C3309" s="123">
        <v>10404503478</v>
      </c>
      <c r="D3309" s="126" t="s">
        <v>12297</v>
      </c>
      <c r="E3309" s="126" t="s">
        <v>12298</v>
      </c>
      <c r="F3309" s="123" t="s">
        <v>30</v>
      </c>
      <c r="G3309" s="123" t="s">
        <v>30</v>
      </c>
      <c r="H3309" s="123" t="s">
        <v>52</v>
      </c>
      <c r="I3309" s="126" t="s">
        <v>1701</v>
      </c>
      <c r="J3309" s="123" t="s">
        <v>12299</v>
      </c>
      <c r="K3309" s="123" t="s">
        <v>12297</v>
      </c>
      <c r="L3309" s="131" t="s">
        <v>100</v>
      </c>
      <c r="M3309" s="135" t="s">
        <v>845</v>
      </c>
      <c r="N3309" s="123" t="s">
        <v>845</v>
      </c>
    </row>
    <row r="3310" spans="2:14" hidden="1" x14ac:dyDescent="0.25">
      <c r="B3310" s="120">
        <v>3307</v>
      </c>
      <c r="C3310" s="123">
        <v>10484179404</v>
      </c>
      <c r="D3310" s="126" t="s">
        <v>12300</v>
      </c>
      <c r="E3310" s="126" t="s">
        <v>12301</v>
      </c>
      <c r="F3310" s="123" t="s">
        <v>30</v>
      </c>
      <c r="G3310" s="123" t="s">
        <v>30</v>
      </c>
      <c r="H3310" s="123" t="s">
        <v>60</v>
      </c>
      <c r="I3310" s="126" t="s">
        <v>1949</v>
      </c>
      <c r="J3310" s="123" t="s">
        <v>12302</v>
      </c>
      <c r="K3310" s="123" t="s">
        <v>12303</v>
      </c>
      <c r="L3310" s="131" t="s">
        <v>100</v>
      </c>
      <c r="M3310" s="135" t="s">
        <v>845</v>
      </c>
      <c r="N3310" s="123" t="s">
        <v>845</v>
      </c>
    </row>
    <row r="3311" spans="2:14" hidden="1" x14ac:dyDescent="0.25">
      <c r="B3311" s="120">
        <v>3308</v>
      </c>
      <c r="C3311" s="123">
        <v>10443112168</v>
      </c>
      <c r="D3311" s="126" t="s">
        <v>12304</v>
      </c>
      <c r="E3311" s="126" t="s">
        <v>12305</v>
      </c>
      <c r="F3311" s="123" t="s">
        <v>30</v>
      </c>
      <c r="G3311" s="123" t="s">
        <v>170</v>
      </c>
      <c r="H3311" s="123" t="s">
        <v>171</v>
      </c>
      <c r="I3311" s="126" t="s">
        <v>1499</v>
      </c>
      <c r="J3311" s="123" t="s">
        <v>12306</v>
      </c>
      <c r="K3311" s="123" t="s">
        <v>12307</v>
      </c>
      <c r="L3311" s="131" t="s">
        <v>100</v>
      </c>
      <c r="M3311" s="135" t="s">
        <v>845</v>
      </c>
      <c r="N3311" s="123" t="s">
        <v>845</v>
      </c>
    </row>
    <row r="3312" spans="2:14" hidden="1" x14ac:dyDescent="0.25">
      <c r="B3312" s="120">
        <v>3309</v>
      </c>
      <c r="C3312" s="123">
        <v>10096642348</v>
      </c>
      <c r="D3312" s="126" t="s">
        <v>12308</v>
      </c>
      <c r="E3312" s="126" t="s">
        <v>12309</v>
      </c>
      <c r="F3312" s="123" t="s">
        <v>30</v>
      </c>
      <c r="G3312" s="123" t="s">
        <v>30</v>
      </c>
      <c r="H3312" s="123" t="s">
        <v>41</v>
      </c>
      <c r="I3312" s="126" t="s">
        <v>1701</v>
      </c>
      <c r="J3312" s="123" t="s">
        <v>12310</v>
      </c>
      <c r="K3312" s="123" t="s">
        <v>12308</v>
      </c>
      <c r="L3312" s="131" t="s">
        <v>100</v>
      </c>
      <c r="M3312" s="135" t="s">
        <v>845</v>
      </c>
      <c r="N3312" s="123" t="s">
        <v>845</v>
      </c>
    </row>
    <row r="3313" spans="2:14" hidden="1" x14ac:dyDescent="0.25">
      <c r="B3313" s="120">
        <v>3310</v>
      </c>
      <c r="C3313" s="123">
        <v>10436136981</v>
      </c>
      <c r="D3313" s="126" t="s">
        <v>12311</v>
      </c>
      <c r="E3313" s="126" t="s">
        <v>12312</v>
      </c>
      <c r="F3313" s="123" t="s">
        <v>30</v>
      </c>
      <c r="G3313" s="123" t="s">
        <v>30</v>
      </c>
      <c r="H3313" s="123" t="s">
        <v>50</v>
      </c>
      <c r="I3313" s="126" t="s">
        <v>1961</v>
      </c>
      <c r="J3313" s="123" t="s">
        <v>6222</v>
      </c>
      <c r="K3313" s="123" t="s">
        <v>12313</v>
      </c>
      <c r="L3313" s="131" t="s">
        <v>100</v>
      </c>
      <c r="M3313" s="135" t="s">
        <v>845</v>
      </c>
      <c r="N3313" s="123" t="s">
        <v>845</v>
      </c>
    </row>
    <row r="3314" spans="2:14" hidden="1" x14ac:dyDescent="0.25">
      <c r="B3314" s="120">
        <v>3311</v>
      </c>
      <c r="C3314" s="123">
        <v>10417058708</v>
      </c>
      <c r="D3314" s="126" t="s">
        <v>12314</v>
      </c>
      <c r="E3314" s="126" t="s">
        <v>12315</v>
      </c>
      <c r="F3314" s="123" t="s">
        <v>30</v>
      </c>
      <c r="G3314" s="123" t="s">
        <v>30</v>
      </c>
      <c r="H3314" s="123" t="s">
        <v>68</v>
      </c>
      <c r="I3314" s="126" t="s">
        <v>1701</v>
      </c>
      <c r="J3314" s="123" t="s">
        <v>12316</v>
      </c>
      <c r="K3314" s="123" t="s">
        <v>12314</v>
      </c>
      <c r="L3314" s="131" t="s">
        <v>100</v>
      </c>
      <c r="M3314" s="135" t="s">
        <v>845</v>
      </c>
      <c r="N3314" s="123" t="s">
        <v>845</v>
      </c>
    </row>
    <row r="3315" spans="2:14" hidden="1" x14ac:dyDescent="0.25">
      <c r="B3315" s="120">
        <v>3312</v>
      </c>
      <c r="C3315" s="123">
        <v>10419917244</v>
      </c>
      <c r="D3315" s="126" t="s">
        <v>12317</v>
      </c>
      <c r="E3315" s="126" t="s">
        <v>12318</v>
      </c>
      <c r="F3315" s="123" t="s">
        <v>30</v>
      </c>
      <c r="G3315" s="123" t="s">
        <v>30</v>
      </c>
      <c r="H3315" s="123" t="s">
        <v>75</v>
      </c>
      <c r="I3315" s="126" t="s">
        <v>11931</v>
      </c>
      <c r="J3315" s="123" t="s">
        <v>12319</v>
      </c>
      <c r="K3315" s="123" t="s">
        <v>12317</v>
      </c>
      <c r="L3315" s="131" t="s">
        <v>100</v>
      </c>
      <c r="M3315" s="135" t="s">
        <v>845</v>
      </c>
      <c r="N3315" s="123" t="s">
        <v>845</v>
      </c>
    </row>
    <row r="3316" spans="2:14" hidden="1" x14ac:dyDescent="0.25">
      <c r="B3316" s="120">
        <v>3313</v>
      </c>
      <c r="C3316" s="123">
        <v>10407412562</v>
      </c>
      <c r="D3316" s="126" t="s">
        <v>12320</v>
      </c>
      <c r="E3316" s="126" t="s">
        <v>12321</v>
      </c>
      <c r="F3316" s="123" t="s">
        <v>30</v>
      </c>
      <c r="G3316" s="123" t="s">
        <v>30</v>
      </c>
      <c r="H3316" s="123" t="s">
        <v>79</v>
      </c>
      <c r="I3316" s="126" t="s">
        <v>1564</v>
      </c>
      <c r="J3316" s="123" t="s">
        <v>12322</v>
      </c>
      <c r="K3316" s="123" t="s">
        <v>12323</v>
      </c>
      <c r="L3316" s="131" t="s">
        <v>100</v>
      </c>
      <c r="M3316" s="135" t="s">
        <v>845</v>
      </c>
      <c r="N3316" s="123" t="s">
        <v>845</v>
      </c>
    </row>
    <row r="3317" spans="2:14" hidden="1" x14ac:dyDescent="0.25">
      <c r="B3317" s="120">
        <v>3314</v>
      </c>
      <c r="C3317" s="123">
        <v>10419209380</v>
      </c>
      <c r="D3317" s="126" t="s">
        <v>12324</v>
      </c>
      <c r="E3317" s="126" t="s">
        <v>12325</v>
      </c>
      <c r="F3317" s="123" t="s">
        <v>30</v>
      </c>
      <c r="G3317" s="123" t="s">
        <v>30</v>
      </c>
      <c r="H3317" s="123" t="s">
        <v>58</v>
      </c>
      <c r="I3317" s="126" t="s">
        <v>1564</v>
      </c>
      <c r="J3317" s="123" t="s">
        <v>12326</v>
      </c>
      <c r="K3317" s="123" t="s">
        <v>12324</v>
      </c>
      <c r="L3317" s="131" t="s">
        <v>100</v>
      </c>
      <c r="M3317" s="135" t="s">
        <v>845</v>
      </c>
      <c r="N3317" s="123" t="s">
        <v>845</v>
      </c>
    </row>
    <row r="3318" spans="2:14" hidden="1" x14ac:dyDescent="0.25">
      <c r="B3318" s="120">
        <v>3315</v>
      </c>
      <c r="C3318" s="123">
        <v>10154478090</v>
      </c>
      <c r="D3318" s="126" t="s">
        <v>12327</v>
      </c>
      <c r="E3318" s="126" t="s">
        <v>12328</v>
      </c>
      <c r="F3318" s="123" t="s">
        <v>30</v>
      </c>
      <c r="G3318" s="123" t="s">
        <v>30</v>
      </c>
      <c r="H3318" s="123" t="s">
        <v>45</v>
      </c>
      <c r="I3318" s="126" t="s">
        <v>1961</v>
      </c>
      <c r="J3318" s="123" t="s">
        <v>12329</v>
      </c>
      <c r="K3318" s="123" t="s">
        <v>12327</v>
      </c>
      <c r="L3318" s="131" t="s">
        <v>100</v>
      </c>
      <c r="M3318" s="135" t="s">
        <v>845</v>
      </c>
      <c r="N3318" s="123" t="s">
        <v>845</v>
      </c>
    </row>
    <row r="3319" spans="2:14" hidden="1" x14ac:dyDescent="0.25">
      <c r="B3319" s="120">
        <v>3316</v>
      </c>
      <c r="C3319" s="123">
        <v>10433904881</v>
      </c>
      <c r="D3319" s="126" t="s">
        <v>12330</v>
      </c>
      <c r="E3319" s="126" t="s">
        <v>12331</v>
      </c>
      <c r="F3319" s="123" t="s">
        <v>30</v>
      </c>
      <c r="G3319" s="123" t="s">
        <v>30</v>
      </c>
      <c r="H3319" s="123" t="s">
        <v>30</v>
      </c>
      <c r="I3319" s="126" t="s">
        <v>1941</v>
      </c>
      <c r="J3319" s="123" t="s">
        <v>12332</v>
      </c>
      <c r="K3319" s="123" t="s">
        <v>12330</v>
      </c>
      <c r="L3319" s="131" t="s">
        <v>100</v>
      </c>
      <c r="M3319" s="135" t="s">
        <v>845</v>
      </c>
      <c r="N3319" s="123" t="s">
        <v>845</v>
      </c>
    </row>
    <row r="3320" spans="2:14" hidden="1" x14ac:dyDescent="0.25">
      <c r="B3320" s="120">
        <v>3317</v>
      </c>
      <c r="C3320" s="123">
        <v>10442799399</v>
      </c>
      <c r="D3320" s="126" t="s">
        <v>12333</v>
      </c>
      <c r="E3320" s="126" t="s">
        <v>12334</v>
      </c>
      <c r="F3320" s="123" t="s">
        <v>30</v>
      </c>
      <c r="G3320" s="123" t="s">
        <v>48</v>
      </c>
      <c r="H3320" s="123" t="s">
        <v>155</v>
      </c>
      <c r="I3320" s="126" t="s">
        <v>1963</v>
      </c>
      <c r="J3320" s="123" t="s">
        <v>12335</v>
      </c>
      <c r="K3320" s="123" t="s">
        <v>12336</v>
      </c>
      <c r="L3320" s="131" t="s">
        <v>100</v>
      </c>
      <c r="M3320" s="135" t="s">
        <v>845</v>
      </c>
      <c r="N3320" s="123" t="s">
        <v>845</v>
      </c>
    </row>
    <row r="3321" spans="2:14" hidden="1" x14ac:dyDescent="0.25">
      <c r="B3321" s="120">
        <v>3318</v>
      </c>
      <c r="C3321" s="123">
        <v>10080812197</v>
      </c>
      <c r="D3321" s="126" t="s">
        <v>12337</v>
      </c>
      <c r="E3321" s="126" t="s">
        <v>12338</v>
      </c>
      <c r="F3321" s="123" t="s">
        <v>30</v>
      </c>
      <c r="G3321" s="123" t="s">
        <v>30</v>
      </c>
      <c r="H3321" s="123" t="s">
        <v>45</v>
      </c>
      <c r="I3321" s="126" t="s">
        <v>1931</v>
      </c>
      <c r="J3321" s="123" t="s">
        <v>12339</v>
      </c>
      <c r="K3321" s="123" t="s">
        <v>12337</v>
      </c>
      <c r="L3321" s="131" t="s">
        <v>100</v>
      </c>
      <c r="M3321" s="135" t="s">
        <v>845</v>
      </c>
      <c r="N3321" s="123" t="s">
        <v>845</v>
      </c>
    </row>
    <row r="3322" spans="2:14" hidden="1" x14ac:dyDescent="0.25">
      <c r="B3322" s="120">
        <v>3319</v>
      </c>
      <c r="C3322" s="123">
        <v>10329877626</v>
      </c>
      <c r="D3322" s="126" t="s">
        <v>12340</v>
      </c>
      <c r="E3322" s="126" t="s">
        <v>12341</v>
      </c>
      <c r="F3322" s="123" t="s">
        <v>30</v>
      </c>
      <c r="G3322" s="123" t="s">
        <v>30</v>
      </c>
      <c r="H3322" s="123" t="s">
        <v>45</v>
      </c>
      <c r="I3322" s="126" t="s">
        <v>1942</v>
      </c>
      <c r="J3322" s="123" t="s">
        <v>12342</v>
      </c>
      <c r="K3322" s="123" t="s">
        <v>12340</v>
      </c>
      <c r="L3322" s="131" t="s">
        <v>100</v>
      </c>
      <c r="M3322" s="135" t="s">
        <v>845</v>
      </c>
      <c r="N3322" s="123" t="s">
        <v>845</v>
      </c>
    </row>
    <row r="3323" spans="2:14" hidden="1" x14ac:dyDescent="0.25">
      <c r="B3323" s="120">
        <v>3320</v>
      </c>
      <c r="C3323" s="123">
        <v>10702539671</v>
      </c>
      <c r="D3323" s="126" t="s">
        <v>12343</v>
      </c>
      <c r="E3323" s="126" t="s">
        <v>12344</v>
      </c>
      <c r="F3323" s="123" t="s">
        <v>30</v>
      </c>
      <c r="G3323" s="123" t="s">
        <v>31</v>
      </c>
      <c r="H3323" s="123" t="s">
        <v>9381</v>
      </c>
      <c r="I3323" s="126" t="s">
        <v>12345</v>
      </c>
      <c r="J3323" s="123" t="s">
        <v>12346</v>
      </c>
      <c r="K3323" s="123" t="s">
        <v>12343</v>
      </c>
      <c r="L3323" s="131" t="s">
        <v>100</v>
      </c>
      <c r="M3323" s="135" t="s">
        <v>845</v>
      </c>
      <c r="N3323" s="123" t="s">
        <v>845</v>
      </c>
    </row>
    <row r="3324" spans="2:14" hidden="1" x14ac:dyDescent="0.25">
      <c r="B3324" s="120">
        <v>3321</v>
      </c>
      <c r="C3324" s="123">
        <v>10774987440</v>
      </c>
      <c r="D3324" s="126" t="s">
        <v>12347</v>
      </c>
      <c r="E3324" s="126" t="s">
        <v>12348</v>
      </c>
      <c r="F3324" s="123" t="s">
        <v>30</v>
      </c>
      <c r="G3324" s="123" t="s">
        <v>30</v>
      </c>
      <c r="H3324" s="123" t="s">
        <v>43</v>
      </c>
      <c r="I3324" s="126" t="s">
        <v>1931</v>
      </c>
      <c r="J3324" s="123" t="s">
        <v>12349</v>
      </c>
      <c r="K3324" s="123" t="s">
        <v>12350</v>
      </c>
      <c r="L3324" s="131" t="s">
        <v>100</v>
      </c>
      <c r="M3324" s="135" t="s">
        <v>845</v>
      </c>
      <c r="N3324" s="123" t="s">
        <v>845</v>
      </c>
    </row>
    <row r="3325" spans="2:14" hidden="1" x14ac:dyDescent="0.25">
      <c r="B3325" s="120">
        <v>3322</v>
      </c>
      <c r="C3325" s="123">
        <v>10336796461</v>
      </c>
      <c r="D3325" s="126" t="s">
        <v>12351</v>
      </c>
      <c r="E3325" s="126" t="s">
        <v>12352</v>
      </c>
      <c r="F3325" s="123" t="s">
        <v>30</v>
      </c>
      <c r="G3325" s="123" t="s">
        <v>30</v>
      </c>
      <c r="H3325" s="123" t="s">
        <v>50</v>
      </c>
      <c r="I3325" s="126" t="s">
        <v>12353</v>
      </c>
      <c r="J3325" s="123" t="s">
        <v>12354</v>
      </c>
      <c r="K3325" s="123" t="s">
        <v>12351</v>
      </c>
      <c r="L3325" s="131" t="s">
        <v>100</v>
      </c>
      <c r="M3325" s="135" t="s">
        <v>845</v>
      </c>
      <c r="N3325" s="123" t="s">
        <v>845</v>
      </c>
    </row>
    <row r="3326" spans="2:14" hidden="1" x14ac:dyDescent="0.25">
      <c r="B3326" s="120">
        <v>3323</v>
      </c>
      <c r="C3326" s="123">
        <v>10081137400</v>
      </c>
      <c r="D3326" s="126" t="s">
        <v>12355</v>
      </c>
      <c r="E3326" s="126" t="s">
        <v>12356</v>
      </c>
      <c r="F3326" s="123" t="s">
        <v>30</v>
      </c>
      <c r="G3326" s="123" t="s">
        <v>30</v>
      </c>
      <c r="H3326" s="123" t="s">
        <v>30</v>
      </c>
      <c r="I3326" s="126" t="s">
        <v>12357</v>
      </c>
      <c r="J3326" s="123" t="s">
        <v>12358</v>
      </c>
      <c r="K3326" s="123" t="s">
        <v>12359</v>
      </c>
      <c r="L3326" s="131" t="s">
        <v>100</v>
      </c>
      <c r="M3326" s="135" t="s">
        <v>845</v>
      </c>
      <c r="N3326" s="123" t="s">
        <v>845</v>
      </c>
    </row>
    <row r="3327" spans="2:14" hidden="1" x14ac:dyDescent="0.25">
      <c r="B3327" s="120">
        <v>3324</v>
      </c>
      <c r="C3327" s="123">
        <v>10086638547</v>
      </c>
      <c r="D3327" s="126" t="s">
        <v>12360</v>
      </c>
      <c r="E3327" s="126" t="s">
        <v>12361</v>
      </c>
      <c r="F3327" s="123" t="s">
        <v>30</v>
      </c>
      <c r="G3327" s="123" t="s">
        <v>30</v>
      </c>
      <c r="H3327" s="123" t="s">
        <v>88</v>
      </c>
      <c r="I3327" s="126" t="s">
        <v>1424</v>
      </c>
      <c r="J3327" s="123" t="s">
        <v>12362</v>
      </c>
      <c r="K3327" s="123" t="s">
        <v>12363</v>
      </c>
      <c r="L3327" s="131" t="s">
        <v>100</v>
      </c>
      <c r="M3327" s="135" t="s">
        <v>845</v>
      </c>
      <c r="N3327" s="123" t="s">
        <v>845</v>
      </c>
    </row>
    <row r="3328" spans="2:14" hidden="1" x14ac:dyDescent="0.25">
      <c r="B3328" s="120">
        <v>3325</v>
      </c>
      <c r="C3328" s="123">
        <v>10469477989</v>
      </c>
      <c r="D3328" s="126" t="s">
        <v>12364</v>
      </c>
      <c r="E3328" s="126" t="s">
        <v>12365</v>
      </c>
      <c r="F3328" s="123" t="s">
        <v>30</v>
      </c>
      <c r="G3328" s="123" t="s">
        <v>54</v>
      </c>
      <c r="H3328" s="123" t="s">
        <v>54</v>
      </c>
      <c r="I3328" s="126" t="s">
        <v>1701</v>
      </c>
      <c r="J3328" s="123" t="s">
        <v>12366</v>
      </c>
      <c r="K3328" s="123" t="s">
        <v>12364</v>
      </c>
      <c r="L3328" s="131" t="s">
        <v>100</v>
      </c>
      <c r="M3328" s="135" t="s">
        <v>845</v>
      </c>
      <c r="N3328" s="123" t="s">
        <v>845</v>
      </c>
    </row>
    <row r="3329" spans="2:14" hidden="1" x14ac:dyDescent="0.25">
      <c r="B3329" s="120">
        <v>3326</v>
      </c>
      <c r="C3329" s="123">
        <v>10753802121</v>
      </c>
      <c r="D3329" s="126" t="s">
        <v>12367</v>
      </c>
      <c r="E3329" s="126" t="s">
        <v>12368</v>
      </c>
      <c r="F3329" s="123" t="s">
        <v>30</v>
      </c>
      <c r="G3329" s="123" t="s">
        <v>168</v>
      </c>
      <c r="H3329" s="123" t="s">
        <v>168</v>
      </c>
      <c r="I3329" s="126" t="s">
        <v>1931</v>
      </c>
      <c r="J3329" s="123" t="s">
        <v>12369</v>
      </c>
      <c r="K3329" s="123" t="s">
        <v>12367</v>
      </c>
      <c r="L3329" s="131" t="s">
        <v>100</v>
      </c>
      <c r="M3329" s="135" t="s">
        <v>845</v>
      </c>
      <c r="N3329" s="123" t="s">
        <v>845</v>
      </c>
    </row>
    <row r="3330" spans="2:14" hidden="1" x14ac:dyDescent="0.25">
      <c r="B3330" s="120">
        <v>3327</v>
      </c>
      <c r="C3330" s="123">
        <v>10207284161</v>
      </c>
      <c r="D3330" s="126" t="s">
        <v>12370</v>
      </c>
      <c r="E3330" s="126" t="s">
        <v>12371</v>
      </c>
      <c r="F3330" s="123" t="s">
        <v>30</v>
      </c>
      <c r="G3330" s="123" t="s">
        <v>30</v>
      </c>
      <c r="H3330" s="123" t="s">
        <v>30</v>
      </c>
      <c r="I3330" s="126" t="s">
        <v>1930</v>
      </c>
      <c r="J3330" s="123" t="s">
        <v>12372</v>
      </c>
      <c r="K3330" s="123" t="s">
        <v>12370</v>
      </c>
      <c r="L3330" s="131" t="s">
        <v>100</v>
      </c>
      <c r="M3330" s="135" t="s">
        <v>845</v>
      </c>
      <c r="N3330" s="123" t="s">
        <v>845</v>
      </c>
    </row>
    <row r="3331" spans="2:14" hidden="1" x14ac:dyDescent="0.25">
      <c r="B3331" s="120">
        <v>3328</v>
      </c>
      <c r="C3331" s="123">
        <v>10160007562</v>
      </c>
      <c r="D3331" s="126" t="s">
        <v>12373</v>
      </c>
      <c r="E3331" s="126" t="s">
        <v>12374</v>
      </c>
      <c r="F3331" s="123" t="s">
        <v>30</v>
      </c>
      <c r="G3331" s="123" t="s">
        <v>54</v>
      </c>
      <c r="H3331" s="123" t="s">
        <v>54</v>
      </c>
      <c r="I3331" s="126" t="s">
        <v>1936</v>
      </c>
      <c r="J3331" s="123" t="s">
        <v>12375</v>
      </c>
      <c r="K3331" s="123" t="s">
        <v>12373</v>
      </c>
      <c r="L3331" s="131" t="s">
        <v>100</v>
      </c>
      <c r="M3331" s="135" t="s">
        <v>845</v>
      </c>
      <c r="N3331" s="123" t="s">
        <v>845</v>
      </c>
    </row>
    <row r="3332" spans="2:14" hidden="1" x14ac:dyDescent="0.25">
      <c r="B3332" s="120">
        <v>3329</v>
      </c>
      <c r="C3332" s="123">
        <v>10159972335</v>
      </c>
      <c r="D3332" s="126" t="s">
        <v>12376</v>
      </c>
      <c r="E3332" s="126" t="s">
        <v>12377</v>
      </c>
      <c r="F3332" s="123" t="s">
        <v>30</v>
      </c>
      <c r="G3332" s="123" t="s">
        <v>54</v>
      </c>
      <c r="H3332" s="123" t="s">
        <v>54</v>
      </c>
      <c r="I3332" s="126" t="s">
        <v>1950</v>
      </c>
      <c r="J3332" s="123" t="s">
        <v>12378</v>
      </c>
      <c r="K3332" s="123" t="s">
        <v>12379</v>
      </c>
      <c r="L3332" s="131" t="s">
        <v>100</v>
      </c>
      <c r="M3332" s="135" t="s">
        <v>845</v>
      </c>
      <c r="N3332" s="123" t="s">
        <v>845</v>
      </c>
    </row>
    <row r="3333" spans="2:14" hidden="1" x14ac:dyDescent="0.25">
      <c r="B3333" s="120">
        <v>3330</v>
      </c>
      <c r="C3333" s="123">
        <v>10153577159</v>
      </c>
      <c r="D3333" s="126" t="s">
        <v>12380</v>
      </c>
      <c r="E3333" s="126" t="s">
        <v>12381</v>
      </c>
      <c r="F3333" s="123" t="s">
        <v>30</v>
      </c>
      <c r="G3333" s="123" t="s">
        <v>31</v>
      </c>
      <c r="H3333" s="123" t="s">
        <v>139</v>
      </c>
      <c r="I3333" s="126" t="s">
        <v>1564</v>
      </c>
      <c r="J3333" s="123" t="s">
        <v>12382</v>
      </c>
      <c r="K3333" s="123" t="s">
        <v>12380</v>
      </c>
      <c r="L3333" s="131" t="s">
        <v>100</v>
      </c>
      <c r="M3333" s="135" t="s">
        <v>845</v>
      </c>
      <c r="N3333" s="123" t="s">
        <v>845</v>
      </c>
    </row>
    <row r="3334" spans="2:14" hidden="1" x14ac:dyDescent="0.25">
      <c r="B3334" s="120">
        <v>3331</v>
      </c>
      <c r="C3334" s="123">
        <v>10421212185</v>
      </c>
      <c r="D3334" s="126" t="s">
        <v>12383</v>
      </c>
      <c r="E3334" s="126" t="s">
        <v>12384</v>
      </c>
      <c r="F3334" s="123" t="s">
        <v>67</v>
      </c>
      <c r="G3334" s="123" t="s">
        <v>67</v>
      </c>
      <c r="H3334" s="123" t="s">
        <v>67</v>
      </c>
      <c r="I3334" s="126" t="s">
        <v>10025</v>
      </c>
      <c r="J3334" s="123" t="s">
        <v>12385</v>
      </c>
      <c r="K3334" s="123" t="s">
        <v>12386</v>
      </c>
      <c r="L3334" s="131" t="s">
        <v>100</v>
      </c>
      <c r="M3334" s="135" t="s">
        <v>845</v>
      </c>
      <c r="N3334" s="123" t="s">
        <v>845</v>
      </c>
    </row>
    <row r="3335" spans="2:14" hidden="1" x14ac:dyDescent="0.25">
      <c r="B3335" s="120">
        <v>3332</v>
      </c>
      <c r="C3335" s="123">
        <v>10107637503</v>
      </c>
      <c r="D3335" s="126" t="s">
        <v>12387</v>
      </c>
      <c r="E3335" s="126" t="s">
        <v>12388</v>
      </c>
      <c r="F3335" s="123" t="s">
        <v>30</v>
      </c>
      <c r="G3335" s="123" t="s">
        <v>30</v>
      </c>
      <c r="H3335" s="123" t="s">
        <v>127</v>
      </c>
      <c r="I3335" s="126" t="s">
        <v>8743</v>
      </c>
      <c r="J3335" s="123" t="s">
        <v>12389</v>
      </c>
      <c r="K3335" s="123" t="s">
        <v>12387</v>
      </c>
      <c r="L3335" s="131" t="s">
        <v>100</v>
      </c>
      <c r="M3335" s="135" t="s">
        <v>845</v>
      </c>
      <c r="N3335" s="123" t="s">
        <v>845</v>
      </c>
    </row>
    <row r="3336" spans="2:14" hidden="1" x14ac:dyDescent="0.25">
      <c r="B3336" s="120">
        <v>3333</v>
      </c>
      <c r="C3336" s="123">
        <v>10475606863</v>
      </c>
      <c r="D3336" s="126" t="s">
        <v>12390</v>
      </c>
      <c r="E3336" s="126" t="s">
        <v>12391</v>
      </c>
      <c r="F3336" s="123" t="s">
        <v>30</v>
      </c>
      <c r="G3336" s="123" t="s">
        <v>30</v>
      </c>
      <c r="H3336" s="123" t="s">
        <v>60</v>
      </c>
      <c r="I3336" s="126" t="s">
        <v>1930</v>
      </c>
      <c r="J3336" s="123" t="s">
        <v>12392</v>
      </c>
      <c r="K3336" s="123" t="s">
        <v>12390</v>
      </c>
      <c r="L3336" s="131" t="s">
        <v>100</v>
      </c>
      <c r="M3336" s="135" t="s">
        <v>845</v>
      </c>
      <c r="N3336" s="123" t="s">
        <v>845</v>
      </c>
    </row>
    <row r="3337" spans="2:14" hidden="1" x14ac:dyDescent="0.25">
      <c r="B3337" s="120">
        <v>3334</v>
      </c>
      <c r="C3337" s="123">
        <v>10181706053</v>
      </c>
      <c r="D3337" s="126" t="s">
        <v>12393</v>
      </c>
      <c r="E3337" s="126" t="s">
        <v>12394</v>
      </c>
      <c r="F3337" s="123" t="s">
        <v>30</v>
      </c>
      <c r="G3337" s="123" t="s">
        <v>30</v>
      </c>
      <c r="H3337" s="123" t="s">
        <v>88</v>
      </c>
      <c r="I3337" s="126" t="s">
        <v>1564</v>
      </c>
      <c r="J3337" s="123" t="s">
        <v>12395</v>
      </c>
      <c r="K3337" s="123" t="s">
        <v>12396</v>
      </c>
      <c r="L3337" s="131" t="s">
        <v>100</v>
      </c>
      <c r="M3337" s="135" t="s">
        <v>845</v>
      </c>
      <c r="N3337" s="123" t="s">
        <v>845</v>
      </c>
    </row>
    <row r="3338" spans="2:14" hidden="1" x14ac:dyDescent="0.25">
      <c r="B3338" s="120">
        <v>3335</v>
      </c>
      <c r="C3338" s="123">
        <v>10441397092</v>
      </c>
      <c r="D3338" s="126" t="s">
        <v>12397</v>
      </c>
      <c r="E3338" s="126" t="s">
        <v>12398</v>
      </c>
      <c r="F3338" s="123" t="s">
        <v>30</v>
      </c>
      <c r="G3338" s="123" t="s">
        <v>30</v>
      </c>
      <c r="H3338" s="123" t="s">
        <v>30</v>
      </c>
      <c r="I3338" s="126" t="s">
        <v>8825</v>
      </c>
      <c r="J3338" s="123" t="s">
        <v>12399</v>
      </c>
      <c r="K3338" s="123" t="s">
        <v>12397</v>
      </c>
      <c r="L3338" s="131" t="s">
        <v>100</v>
      </c>
      <c r="M3338" s="135" t="s">
        <v>845</v>
      </c>
      <c r="N3338" s="123" t="s">
        <v>845</v>
      </c>
    </row>
    <row r="3339" spans="2:14" hidden="1" x14ac:dyDescent="0.25">
      <c r="B3339" s="120">
        <v>3336</v>
      </c>
      <c r="C3339" s="123">
        <v>10405095519</v>
      </c>
      <c r="D3339" s="126" t="s">
        <v>12400</v>
      </c>
      <c r="E3339" s="126" t="s">
        <v>12401</v>
      </c>
      <c r="F3339" s="123" t="s">
        <v>30</v>
      </c>
      <c r="G3339" s="123" t="s">
        <v>30</v>
      </c>
      <c r="H3339" s="123" t="s">
        <v>50</v>
      </c>
      <c r="I3339" s="126" t="s">
        <v>1809</v>
      </c>
      <c r="J3339" s="123" t="s">
        <v>12402</v>
      </c>
      <c r="K3339" s="123" t="s">
        <v>12400</v>
      </c>
      <c r="L3339" s="131" t="s">
        <v>100</v>
      </c>
      <c r="M3339" s="135" t="s">
        <v>845</v>
      </c>
      <c r="N3339" s="123" t="s">
        <v>845</v>
      </c>
    </row>
    <row r="3340" spans="2:14" hidden="1" x14ac:dyDescent="0.25">
      <c r="B3340" s="120">
        <v>3337</v>
      </c>
      <c r="C3340" s="123">
        <v>10422990602</v>
      </c>
      <c r="D3340" s="126" t="s">
        <v>12403</v>
      </c>
      <c r="E3340" s="126" t="s">
        <v>12404</v>
      </c>
      <c r="F3340" s="123" t="s">
        <v>30</v>
      </c>
      <c r="G3340" s="123" t="s">
        <v>30</v>
      </c>
      <c r="H3340" s="123" t="s">
        <v>127</v>
      </c>
      <c r="I3340" s="126" t="s">
        <v>1973</v>
      </c>
      <c r="J3340" s="123" t="s">
        <v>12405</v>
      </c>
      <c r="K3340" s="123" t="s">
        <v>12406</v>
      </c>
      <c r="L3340" s="131" t="s">
        <v>100</v>
      </c>
      <c r="M3340" s="135" t="s">
        <v>845</v>
      </c>
      <c r="N3340" s="123" t="s">
        <v>845</v>
      </c>
    </row>
    <row r="3341" spans="2:14" hidden="1" x14ac:dyDescent="0.25">
      <c r="B3341" s="120">
        <v>3338</v>
      </c>
      <c r="C3341" s="123">
        <v>10257571381</v>
      </c>
      <c r="D3341" s="126" t="s">
        <v>12407</v>
      </c>
      <c r="E3341" s="126" t="s">
        <v>12408</v>
      </c>
      <c r="F3341" s="123" t="s">
        <v>67</v>
      </c>
      <c r="G3341" s="123" t="s">
        <v>67</v>
      </c>
      <c r="H3341" s="123" t="s">
        <v>94</v>
      </c>
      <c r="I3341" s="126" t="s">
        <v>6703</v>
      </c>
      <c r="J3341" s="123" t="s">
        <v>12409</v>
      </c>
      <c r="K3341" s="123" t="s">
        <v>12407</v>
      </c>
      <c r="L3341" s="131" t="s">
        <v>100</v>
      </c>
      <c r="M3341" s="135" t="s">
        <v>845</v>
      </c>
      <c r="N3341" s="123" t="s">
        <v>845</v>
      </c>
    </row>
    <row r="3342" spans="2:14" hidden="1" x14ac:dyDescent="0.25">
      <c r="B3342" s="120">
        <v>3339</v>
      </c>
      <c r="C3342" s="123">
        <v>10454097705</v>
      </c>
      <c r="D3342" s="126" t="s">
        <v>12410</v>
      </c>
      <c r="E3342" s="126" t="s">
        <v>12411</v>
      </c>
      <c r="F3342" s="123" t="s">
        <v>30</v>
      </c>
      <c r="G3342" s="123" t="s">
        <v>30</v>
      </c>
      <c r="H3342" s="123" t="s">
        <v>30</v>
      </c>
      <c r="I3342" s="126" t="s">
        <v>12412</v>
      </c>
      <c r="J3342" s="123" t="s">
        <v>12413</v>
      </c>
      <c r="K3342" s="123" t="s">
        <v>12414</v>
      </c>
      <c r="L3342" s="131" t="s">
        <v>100</v>
      </c>
      <c r="M3342" s="135" t="s">
        <v>845</v>
      </c>
      <c r="N3342" s="123" t="s">
        <v>845</v>
      </c>
    </row>
    <row r="3343" spans="2:14" hidden="1" x14ac:dyDescent="0.25">
      <c r="B3343" s="120">
        <v>3340</v>
      </c>
      <c r="C3343" s="123">
        <v>10425852502</v>
      </c>
      <c r="D3343" s="126" t="s">
        <v>12415</v>
      </c>
      <c r="E3343" s="126" t="s">
        <v>12416</v>
      </c>
      <c r="F3343" s="123" t="s">
        <v>30</v>
      </c>
      <c r="G3343" s="123" t="s">
        <v>30</v>
      </c>
      <c r="H3343" s="123" t="s">
        <v>43</v>
      </c>
      <c r="I3343" s="126" t="s">
        <v>1952</v>
      </c>
      <c r="J3343" s="123" t="s">
        <v>12417</v>
      </c>
      <c r="K3343" s="123" t="s">
        <v>12418</v>
      </c>
      <c r="L3343" s="131" t="s">
        <v>100</v>
      </c>
      <c r="M3343" s="135" t="s">
        <v>845</v>
      </c>
      <c r="N3343" s="123" t="s">
        <v>845</v>
      </c>
    </row>
    <row r="3344" spans="2:14" hidden="1" x14ac:dyDescent="0.25">
      <c r="B3344" s="120">
        <v>3341</v>
      </c>
      <c r="C3344" s="123">
        <v>10455534432</v>
      </c>
      <c r="D3344" s="126" t="s">
        <v>12419</v>
      </c>
      <c r="E3344" s="126" t="s">
        <v>12420</v>
      </c>
      <c r="F3344" s="123" t="s">
        <v>30</v>
      </c>
      <c r="G3344" s="123" t="s">
        <v>30</v>
      </c>
      <c r="H3344" s="123" t="s">
        <v>30</v>
      </c>
      <c r="I3344" s="126" t="s">
        <v>1424</v>
      </c>
      <c r="J3344" s="123" t="s">
        <v>12421</v>
      </c>
      <c r="K3344" s="123" t="s">
        <v>12419</v>
      </c>
      <c r="L3344" s="131" t="s">
        <v>100</v>
      </c>
      <c r="M3344" s="135" t="s">
        <v>845</v>
      </c>
      <c r="N3344" s="123" t="s">
        <v>845</v>
      </c>
    </row>
    <row r="3345" spans="2:14" hidden="1" x14ac:dyDescent="0.25">
      <c r="B3345" s="120">
        <v>3342</v>
      </c>
      <c r="C3345" s="123">
        <v>10083355943</v>
      </c>
      <c r="D3345" s="126" t="s">
        <v>12422</v>
      </c>
      <c r="E3345" s="126" t="s">
        <v>12423</v>
      </c>
      <c r="F3345" s="123" t="s">
        <v>30</v>
      </c>
      <c r="G3345" s="123" t="s">
        <v>30</v>
      </c>
      <c r="H3345" s="123" t="s">
        <v>41</v>
      </c>
      <c r="I3345" s="126" t="s">
        <v>1950</v>
      </c>
      <c r="J3345" s="123" t="s">
        <v>12424</v>
      </c>
      <c r="K3345" s="123" t="s">
        <v>12425</v>
      </c>
      <c r="L3345" s="131" t="s">
        <v>100</v>
      </c>
      <c r="M3345" s="135" t="s">
        <v>845</v>
      </c>
      <c r="N3345" s="123" t="s">
        <v>845</v>
      </c>
    </row>
    <row r="3346" spans="2:14" hidden="1" x14ac:dyDescent="0.25">
      <c r="B3346" s="120">
        <v>3343</v>
      </c>
      <c r="C3346" s="123">
        <v>10099862152</v>
      </c>
      <c r="D3346" s="126" t="s">
        <v>12426</v>
      </c>
      <c r="E3346" s="126" t="s">
        <v>12427</v>
      </c>
      <c r="F3346" s="123" t="s">
        <v>30</v>
      </c>
      <c r="G3346" s="123" t="s">
        <v>30</v>
      </c>
      <c r="H3346" s="123" t="s">
        <v>50</v>
      </c>
      <c r="I3346" s="126" t="s">
        <v>1701</v>
      </c>
      <c r="J3346" s="123" t="s">
        <v>12428</v>
      </c>
      <c r="K3346" s="123" t="s">
        <v>12426</v>
      </c>
      <c r="L3346" s="131" t="s">
        <v>100</v>
      </c>
      <c r="M3346" s="135" t="s">
        <v>845</v>
      </c>
      <c r="N3346" s="123" t="s">
        <v>845</v>
      </c>
    </row>
    <row r="3347" spans="2:14" hidden="1" x14ac:dyDescent="0.25">
      <c r="B3347" s="120">
        <v>3344</v>
      </c>
      <c r="C3347" s="123">
        <v>10442138007</v>
      </c>
      <c r="D3347" s="126" t="s">
        <v>12429</v>
      </c>
      <c r="E3347" s="126" t="s">
        <v>12430</v>
      </c>
      <c r="F3347" s="123" t="s">
        <v>30</v>
      </c>
      <c r="G3347" s="123" t="s">
        <v>30</v>
      </c>
      <c r="H3347" s="123" t="s">
        <v>68</v>
      </c>
      <c r="I3347" s="126" t="s">
        <v>12431</v>
      </c>
      <c r="J3347" s="123" t="s">
        <v>12432</v>
      </c>
      <c r="K3347" s="123" t="s">
        <v>12433</v>
      </c>
      <c r="L3347" s="131" t="s">
        <v>100</v>
      </c>
      <c r="M3347" s="135" t="s">
        <v>845</v>
      </c>
      <c r="N3347" s="123" t="s">
        <v>845</v>
      </c>
    </row>
    <row r="3348" spans="2:14" hidden="1" x14ac:dyDescent="0.25">
      <c r="B3348" s="120">
        <v>3345</v>
      </c>
      <c r="C3348" s="123">
        <v>10101192704</v>
      </c>
      <c r="D3348" s="126" t="s">
        <v>12434</v>
      </c>
      <c r="E3348" s="126" t="s">
        <v>12435</v>
      </c>
      <c r="F3348" s="123" t="s">
        <v>30</v>
      </c>
      <c r="G3348" s="123" t="s">
        <v>30</v>
      </c>
      <c r="H3348" s="123" t="s">
        <v>51</v>
      </c>
      <c r="I3348" s="126" t="s">
        <v>1424</v>
      </c>
      <c r="J3348" s="123" t="s">
        <v>12436</v>
      </c>
      <c r="K3348" s="123" t="s">
        <v>12434</v>
      </c>
      <c r="L3348" s="131" t="s">
        <v>100</v>
      </c>
      <c r="M3348" s="135" t="s">
        <v>845</v>
      </c>
      <c r="N3348" s="123" t="s">
        <v>845</v>
      </c>
    </row>
    <row r="3349" spans="2:14" hidden="1" x14ac:dyDescent="0.25">
      <c r="B3349" s="120">
        <v>3346</v>
      </c>
      <c r="C3349" s="123">
        <v>10720457283</v>
      </c>
      <c r="D3349" s="126" t="s">
        <v>12437</v>
      </c>
      <c r="E3349" s="126" t="s">
        <v>12438</v>
      </c>
      <c r="F3349" s="123" t="s">
        <v>30</v>
      </c>
      <c r="G3349" s="123" t="s">
        <v>30</v>
      </c>
      <c r="H3349" s="123" t="s">
        <v>60</v>
      </c>
      <c r="I3349" s="126" t="s">
        <v>1701</v>
      </c>
      <c r="J3349" s="123" t="s">
        <v>12439</v>
      </c>
      <c r="K3349" s="123" t="s">
        <v>12440</v>
      </c>
      <c r="L3349" s="131" t="s">
        <v>100</v>
      </c>
      <c r="M3349" s="135" t="s">
        <v>845</v>
      </c>
      <c r="N3349" s="123" t="s">
        <v>845</v>
      </c>
    </row>
    <row r="3350" spans="2:14" hidden="1" x14ac:dyDescent="0.25">
      <c r="B3350" s="120">
        <v>3347</v>
      </c>
      <c r="C3350" s="123">
        <v>10106874510</v>
      </c>
      <c r="D3350" s="126" t="s">
        <v>12441</v>
      </c>
      <c r="E3350" s="126" t="s">
        <v>12442</v>
      </c>
      <c r="F3350" s="123" t="s">
        <v>30</v>
      </c>
      <c r="G3350" s="123" t="s">
        <v>30</v>
      </c>
      <c r="H3350" s="123" t="s">
        <v>43</v>
      </c>
      <c r="I3350" s="126" t="s">
        <v>1374</v>
      </c>
      <c r="J3350" s="123" t="s">
        <v>12443</v>
      </c>
      <c r="K3350" s="123" t="s">
        <v>12441</v>
      </c>
      <c r="L3350" s="131" t="s">
        <v>100</v>
      </c>
      <c r="M3350" s="135" t="s">
        <v>845</v>
      </c>
      <c r="N3350" s="123" t="s">
        <v>845</v>
      </c>
    </row>
    <row r="3351" spans="2:14" hidden="1" x14ac:dyDescent="0.25">
      <c r="B3351" s="120">
        <v>3348</v>
      </c>
      <c r="C3351" s="123">
        <v>10069211394</v>
      </c>
      <c r="D3351" s="126" t="s">
        <v>12444</v>
      </c>
      <c r="E3351" s="126" t="s">
        <v>12445</v>
      </c>
      <c r="F3351" s="123" t="s">
        <v>30</v>
      </c>
      <c r="G3351" s="123" t="s">
        <v>30</v>
      </c>
      <c r="H3351" s="123" t="s">
        <v>72</v>
      </c>
      <c r="I3351" s="126" t="s">
        <v>2803</v>
      </c>
      <c r="J3351" s="123" t="s">
        <v>12446</v>
      </c>
      <c r="K3351" s="123" t="s">
        <v>12444</v>
      </c>
      <c r="L3351" s="131" t="s">
        <v>100</v>
      </c>
      <c r="M3351" s="135" t="s">
        <v>845</v>
      </c>
      <c r="N3351" s="123" t="s">
        <v>845</v>
      </c>
    </row>
    <row r="3352" spans="2:14" hidden="1" x14ac:dyDescent="0.25">
      <c r="B3352" s="120">
        <v>3349</v>
      </c>
      <c r="C3352" s="123">
        <v>10754010296</v>
      </c>
      <c r="D3352" s="126" t="s">
        <v>12447</v>
      </c>
      <c r="E3352" s="126" t="s">
        <v>12448</v>
      </c>
      <c r="F3352" s="123" t="s">
        <v>30</v>
      </c>
      <c r="G3352" s="123" t="s">
        <v>30</v>
      </c>
      <c r="H3352" s="123" t="s">
        <v>60</v>
      </c>
      <c r="I3352" s="126" t="s">
        <v>1551</v>
      </c>
      <c r="J3352" s="123" t="s">
        <v>12449</v>
      </c>
      <c r="K3352" s="123" t="s">
        <v>12447</v>
      </c>
      <c r="L3352" s="131" t="s">
        <v>100</v>
      </c>
      <c r="M3352" s="135" t="s">
        <v>845</v>
      </c>
      <c r="N3352" s="123" t="s">
        <v>845</v>
      </c>
    </row>
    <row r="3353" spans="2:14" hidden="1" x14ac:dyDescent="0.25">
      <c r="B3353" s="120">
        <v>3350</v>
      </c>
      <c r="C3353" s="123">
        <v>10108762867</v>
      </c>
      <c r="D3353" s="126" t="s">
        <v>12450</v>
      </c>
      <c r="E3353" s="126" t="s">
        <v>12451</v>
      </c>
      <c r="F3353" s="123" t="s">
        <v>30</v>
      </c>
      <c r="G3353" s="123" t="s">
        <v>30</v>
      </c>
      <c r="H3353" s="123" t="s">
        <v>40</v>
      </c>
      <c r="I3353" s="126" t="s">
        <v>1424</v>
      </c>
      <c r="J3353" s="123" t="s">
        <v>12452</v>
      </c>
      <c r="K3353" s="123" t="s">
        <v>12450</v>
      </c>
      <c r="L3353" s="131" t="s">
        <v>100</v>
      </c>
      <c r="M3353" s="135" t="s">
        <v>845</v>
      </c>
      <c r="N3353" s="123" t="s">
        <v>845</v>
      </c>
    </row>
    <row r="3354" spans="2:14" hidden="1" x14ac:dyDescent="0.25">
      <c r="B3354" s="120">
        <v>3351</v>
      </c>
      <c r="C3354" s="123">
        <v>10102506664</v>
      </c>
      <c r="D3354" s="126" t="s">
        <v>12453</v>
      </c>
      <c r="E3354" s="126" t="s">
        <v>12454</v>
      </c>
      <c r="F3354" s="123" t="s">
        <v>30</v>
      </c>
      <c r="G3354" s="123" t="s">
        <v>30</v>
      </c>
      <c r="H3354" s="123" t="s">
        <v>51</v>
      </c>
      <c r="I3354" s="126" t="s">
        <v>1706</v>
      </c>
      <c r="J3354" s="123" t="s">
        <v>12455</v>
      </c>
      <c r="K3354" s="123" t="s">
        <v>12456</v>
      </c>
      <c r="L3354" s="131" t="s">
        <v>100</v>
      </c>
      <c r="M3354" s="135" t="s">
        <v>845</v>
      </c>
      <c r="N3354" s="123" t="s">
        <v>845</v>
      </c>
    </row>
    <row r="3355" spans="2:14" hidden="1" x14ac:dyDescent="0.25">
      <c r="B3355" s="120">
        <v>3352</v>
      </c>
      <c r="C3355" s="123">
        <v>10737529628</v>
      </c>
      <c r="D3355" s="126" t="s">
        <v>12457</v>
      </c>
      <c r="E3355" s="126" t="s">
        <v>12458</v>
      </c>
      <c r="F3355" s="123" t="s">
        <v>30</v>
      </c>
      <c r="G3355" s="123" t="s">
        <v>30</v>
      </c>
      <c r="H3355" s="123" t="s">
        <v>79</v>
      </c>
      <c r="I3355" s="126" t="s">
        <v>1424</v>
      </c>
      <c r="J3355" s="123" t="s">
        <v>12459</v>
      </c>
      <c r="K3355" s="123" t="s">
        <v>12457</v>
      </c>
      <c r="L3355" s="131" t="s">
        <v>100</v>
      </c>
      <c r="M3355" s="135" t="s">
        <v>845</v>
      </c>
      <c r="N3355" s="123" t="s">
        <v>845</v>
      </c>
    </row>
    <row r="3356" spans="2:14" hidden="1" x14ac:dyDescent="0.25">
      <c r="B3356" s="120">
        <v>3353</v>
      </c>
      <c r="C3356" s="123">
        <v>10461330261</v>
      </c>
      <c r="D3356" s="126" t="s">
        <v>12460</v>
      </c>
      <c r="E3356" s="126" t="s">
        <v>12461</v>
      </c>
      <c r="F3356" s="123" t="s">
        <v>30</v>
      </c>
      <c r="G3356" s="123" t="s">
        <v>30</v>
      </c>
      <c r="H3356" s="123" t="s">
        <v>51</v>
      </c>
      <c r="I3356" s="126" t="s">
        <v>1424</v>
      </c>
      <c r="J3356" s="123" t="s">
        <v>12462</v>
      </c>
      <c r="K3356" s="123" t="s">
        <v>12460</v>
      </c>
      <c r="L3356" s="131" t="s">
        <v>100</v>
      </c>
      <c r="M3356" s="135" t="s">
        <v>845</v>
      </c>
      <c r="N3356" s="123" t="s">
        <v>845</v>
      </c>
    </row>
    <row r="3357" spans="2:14" hidden="1" x14ac:dyDescent="0.25">
      <c r="B3357" s="120">
        <v>3354</v>
      </c>
      <c r="C3357" s="123">
        <v>10414957884</v>
      </c>
      <c r="D3357" s="126" t="s">
        <v>12463</v>
      </c>
      <c r="E3357" s="126" t="s">
        <v>12464</v>
      </c>
      <c r="F3357" s="123" t="s">
        <v>30</v>
      </c>
      <c r="G3357" s="123" t="s">
        <v>30</v>
      </c>
      <c r="H3357" s="123" t="s">
        <v>60</v>
      </c>
      <c r="I3357" s="126" t="s">
        <v>1946</v>
      </c>
      <c r="J3357" s="123" t="s">
        <v>12465</v>
      </c>
      <c r="K3357" s="123" t="s">
        <v>12463</v>
      </c>
      <c r="L3357" s="131" t="s">
        <v>100</v>
      </c>
      <c r="M3357" s="135" t="s">
        <v>845</v>
      </c>
      <c r="N3357" s="123" t="s">
        <v>845</v>
      </c>
    </row>
    <row r="3358" spans="2:14" hidden="1" x14ac:dyDescent="0.25">
      <c r="B3358" s="120">
        <v>3355</v>
      </c>
      <c r="C3358" s="123">
        <v>10463888618</v>
      </c>
      <c r="D3358" s="126" t="s">
        <v>12466</v>
      </c>
      <c r="E3358" s="126" t="s">
        <v>12467</v>
      </c>
      <c r="F3358" s="123" t="s">
        <v>30</v>
      </c>
      <c r="G3358" s="123" t="s">
        <v>30</v>
      </c>
      <c r="H3358" s="123" t="s">
        <v>45</v>
      </c>
      <c r="I3358" s="126" t="s">
        <v>1936</v>
      </c>
      <c r="J3358" s="123" t="s">
        <v>12468</v>
      </c>
      <c r="K3358" s="123" t="s">
        <v>12469</v>
      </c>
      <c r="L3358" s="131" t="s">
        <v>100</v>
      </c>
      <c r="M3358" s="135" t="s">
        <v>845</v>
      </c>
      <c r="N3358" s="123" t="s">
        <v>845</v>
      </c>
    </row>
    <row r="3359" spans="2:14" hidden="1" x14ac:dyDescent="0.25">
      <c r="B3359" s="120">
        <v>3356</v>
      </c>
      <c r="C3359" s="123">
        <v>10086113606</v>
      </c>
      <c r="D3359" s="126" t="s">
        <v>12470</v>
      </c>
      <c r="E3359" s="126" t="s">
        <v>12471</v>
      </c>
      <c r="F3359" s="123" t="s">
        <v>30</v>
      </c>
      <c r="G3359" s="123" t="s">
        <v>30</v>
      </c>
      <c r="H3359" s="123" t="s">
        <v>72</v>
      </c>
      <c r="I3359" s="126" t="s">
        <v>8934</v>
      </c>
      <c r="J3359" s="123" t="s">
        <v>12472</v>
      </c>
      <c r="K3359" s="123" t="s">
        <v>12473</v>
      </c>
      <c r="L3359" s="131" t="s">
        <v>100</v>
      </c>
      <c r="M3359" s="135" t="s">
        <v>845</v>
      </c>
      <c r="N3359" s="123" t="s">
        <v>845</v>
      </c>
    </row>
    <row r="3360" spans="2:14" hidden="1" x14ac:dyDescent="0.25">
      <c r="B3360" s="120">
        <v>3357</v>
      </c>
      <c r="C3360" s="123">
        <v>10458248848</v>
      </c>
      <c r="D3360" s="126" t="s">
        <v>12474</v>
      </c>
      <c r="E3360" s="126" t="s">
        <v>12475</v>
      </c>
      <c r="F3360" s="123" t="s">
        <v>30</v>
      </c>
      <c r="G3360" s="123" t="s">
        <v>31</v>
      </c>
      <c r="H3360" s="123" t="s">
        <v>139</v>
      </c>
      <c r="I3360" s="126" t="s">
        <v>1930</v>
      </c>
      <c r="J3360" s="123" t="s">
        <v>12476</v>
      </c>
      <c r="K3360" s="123" t="s">
        <v>12474</v>
      </c>
      <c r="L3360" s="131" t="s">
        <v>100</v>
      </c>
      <c r="M3360" s="135" t="s">
        <v>845</v>
      </c>
      <c r="N3360" s="123" t="s">
        <v>845</v>
      </c>
    </row>
    <row r="3361" spans="2:14" hidden="1" x14ac:dyDescent="0.25">
      <c r="B3361" s="120">
        <v>3358</v>
      </c>
      <c r="C3361" s="123">
        <v>10801976030</v>
      </c>
      <c r="D3361" s="126" t="s">
        <v>12477</v>
      </c>
      <c r="E3361" s="126" t="s">
        <v>12478</v>
      </c>
      <c r="F3361" s="123" t="s">
        <v>30</v>
      </c>
      <c r="G3361" s="123" t="s">
        <v>30</v>
      </c>
      <c r="H3361" s="123" t="s">
        <v>68</v>
      </c>
      <c r="I3361" s="126" t="s">
        <v>8743</v>
      </c>
      <c r="J3361" s="123" t="s">
        <v>12479</v>
      </c>
      <c r="K3361" s="123" t="s">
        <v>12477</v>
      </c>
      <c r="L3361" s="131" t="s">
        <v>100</v>
      </c>
      <c r="M3361" s="135" t="s">
        <v>845</v>
      </c>
      <c r="N3361" s="123" t="s">
        <v>845</v>
      </c>
    </row>
    <row r="3362" spans="2:14" hidden="1" x14ac:dyDescent="0.25">
      <c r="B3362" s="120">
        <v>3359</v>
      </c>
      <c r="C3362" s="123">
        <v>10781963530</v>
      </c>
      <c r="D3362" s="126" t="s">
        <v>12480</v>
      </c>
      <c r="E3362" s="126" t="s">
        <v>12481</v>
      </c>
      <c r="F3362" s="123" t="s">
        <v>30</v>
      </c>
      <c r="G3362" s="123" t="s">
        <v>30</v>
      </c>
      <c r="H3362" s="123" t="s">
        <v>88</v>
      </c>
      <c r="I3362" s="126" t="s">
        <v>1930</v>
      </c>
      <c r="J3362" s="123" t="s">
        <v>12482</v>
      </c>
      <c r="K3362" s="123" t="s">
        <v>12483</v>
      </c>
      <c r="L3362" s="131" t="s">
        <v>100</v>
      </c>
      <c r="M3362" s="135" t="s">
        <v>845</v>
      </c>
      <c r="N3362" s="123" t="s">
        <v>845</v>
      </c>
    </row>
    <row r="3363" spans="2:14" hidden="1" x14ac:dyDescent="0.25">
      <c r="B3363" s="120">
        <v>3360</v>
      </c>
      <c r="C3363" s="123">
        <v>10468960279</v>
      </c>
      <c r="D3363" s="126" t="s">
        <v>12484</v>
      </c>
      <c r="E3363" s="126" t="s">
        <v>12485</v>
      </c>
      <c r="F3363" s="123" t="s">
        <v>30</v>
      </c>
      <c r="G3363" s="123" t="s">
        <v>30</v>
      </c>
      <c r="H3363" s="123" t="s">
        <v>88</v>
      </c>
      <c r="I3363" s="126" t="s">
        <v>9960</v>
      </c>
      <c r="J3363" s="123" t="s">
        <v>12486</v>
      </c>
      <c r="K3363" s="123" t="s">
        <v>12484</v>
      </c>
      <c r="L3363" s="131" t="s">
        <v>100</v>
      </c>
      <c r="M3363" s="135" t="s">
        <v>845</v>
      </c>
      <c r="N3363" s="123" t="s">
        <v>845</v>
      </c>
    </row>
    <row r="3364" spans="2:14" hidden="1" x14ac:dyDescent="0.25">
      <c r="B3364" s="120">
        <v>3361</v>
      </c>
      <c r="C3364" s="123">
        <v>10154272190</v>
      </c>
      <c r="D3364" s="126" t="s">
        <v>12487</v>
      </c>
      <c r="E3364" s="126" t="s">
        <v>12488</v>
      </c>
      <c r="F3364" s="123" t="s">
        <v>30</v>
      </c>
      <c r="G3364" s="123" t="s">
        <v>31</v>
      </c>
      <c r="H3364" s="123" t="s">
        <v>92</v>
      </c>
      <c r="I3364" s="126" t="s">
        <v>1701</v>
      </c>
      <c r="J3364" s="123" t="s">
        <v>12489</v>
      </c>
      <c r="K3364" s="123" t="s">
        <v>12487</v>
      </c>
      <c r="L3364" s="131" t="s">
        <v>100</v>
      </c>
      <c r="M3364" s="135" t="s">
        <v>845</v>
      </c>
      <c r="N3364" s="123" t="s">
        <v>845</v>
      </c>
    </row>
    <row r="3365" spans="2:14" hidden="1" x14ac:dyDescent="0.25">
      <c r="B3365" s="120">
        <v>3362</v>
      </c>
      <c r="C3365" s="123">
        <v>10156306946</v>
      </c>
      <c r="D3365" s="126" t="s">
        <v>12490</v>
      </c>
      <c r="E3365" s="126" t="s">
        <v>12491</v>
      </c>
      <c r="F3365" s="123" t="s">
        <v>30</v>
      </c>
      <c r="G3365" s="123" t="s">
        <v>168</v>
      </c>
      <c r="H3365" s="123" t="s">
        <v>168</v>
      </c>
      <c r="I3365" s="126" t="s">
        <v>1936</v>
      </c>
      <c r="J3365" s="123" t="s">
        <v>12492</v>
      </c>
      <c r="K3365" s="123" t="s">
        <v>12490</v>
      </c>
      <c r="L3365" s="131" t="s">
        <v>100</v>
      </c>
      <c r="M3365" s="135" t="s">
        <v>845</v>
      </c>
      <c r="N3365" s="123" t="s">
        <v>845</v>
      </c>
    </row>
    <row r="3366" spans="2:14" hidden="1" x14ac:dyDescent="0.25">
      <c r="B3366" s="120">
        <v>3363</v>
      </c>
      <c r="C3366" s="123">
        <v>10428750832</v>
      </c>
      <c r="D3366" s="126" t="s">
        <v>12493</v>
      </c>
      <c r="E3366" s="126" t="s">
        <v>12494</v>
      </c>
      <c r="F3366" s="123" t="s">
        <v>30</v>
      </c>
      <c r="G3366" s="123" t="s">
        <v>30</v>
      </c>
      <c r="H3366" s="123" t="s">
        <v>43</v>
      </c>
      <c r="I3366" s="126" t="s">
        <v>1424</v>
      </c>
      <c r="J3366" s="123" t="s">
        <v>12495</v>
      </c>
      <c r="K3366" s="123" t="s">
        <v>12493</v>
      </c>
      <c r="L3366" s="131" t="s">
        <v>100</v>
      </c>
      <c r="M3366" s="135" t="s">
        <v>845</v>
      </c>
      <c r="N3366" s="123" t="s">
        <v>845</v>
      </c>
    </row>
    <row r="3367" spans="2:14" hidden="1" x14ac:dyDescent="0.25">
      <c r="B3367" s="120">
        <v>3364</v>
      </c>
      <c r="C3367" s="123">
        <v>10432289686</v>
      </c>
      <c r="D3367" s="126" t="s">
        <v>12496</v>
      </c>
      <c r="E3367" s="126" t="s">
        <v>12497</v>
      </c>
      <c r="F3367" s="123" t="s">
        <v>30</v>
      </c>
      <c r="G3367" s="123" t="s">
        <v>31</v>
      </c>
      <c r="H3367" s="123" t="s">
        <v>9381</v>
      </c>
      <c r="I3367" s="126" t="s">
        <v>1655</v>
      </c>
      <c r="J3367" s="123" t="s">
        <v>12498</v>
      </c>
      <c r="K3367" s="123" t="s">
        <v>12496</v>
      </c>
      <c r="L3367" s="131" t="s">
        <v>100</v>
      </c>
      <c r="M3367" s="135" t="s">
        <v>845</v>
      </c>
      <c r="N3367" s="123" t="s">
        <v>845</v>
      </c>
    </row>
    <row r="3368" spans="2:14" hidden="1" x14ac:dyDescent="0.25">
      <c r="B3368" s="120">
        <v>3365</v>
      </c>
      <c r="C3368" s="123">
        <v>10479727045</v>
      </c>
      <c r="D3368" s="126" t="s">
        <v>12499</v>
      </c>
      <c r="E3368" s="126" t="s">
        <v>12500</v>
      </c>
      <c r="F3368" s="123" t="s">
        <v>30</v>
      </c>
      <c r="G3368" s="123" t="s">
        <v>30</v>
      </c>
      <c r="H3368" s="123" t="s">
        <v>85</v>
      </c>
      <c r="I3368" s="126" t="s">
        <v>1655</v>
      </c>
      <c r="J3368" s="123" t="s">
        <v>12501</v>
      </c>
      <c r="K3368" s="123" t="s">
        <v>12502</v>
      </c>
      <c r="L3368" s="131" t="s">
        <v>100</v>
      </c>
      <c r="M3368" s="135" t="s">
        <v>845</v>
      </c>
      <c r="N3368" s="123" t="s">
        <v>845</v>
      </c>
    </row>
    <row r="3369" spans="2:14" hidden="1" x14ac:dyDescent="0.25">
      <c r="B3369" s="120">
        <v>3366</v>
      </c>
      <c r="C3369" s="123">
        <v>10400964993</v>
      </c>
      <c r="D3369" s="126" t="s">
        <v>12503</v>
      </c>
      <c r="E3369" s="126" t="s">
        <v>12504</v>
      </c>
      <c r="F3369" s="123" t="s">
        <v>30</v>
      </c>
      <c r="G3369" s="123" t="s">
        <v>30</v>
      </c>
      <c r="H3369" s="123" t="s">
        <v>50</v>
      </c>
      <c r="I3369" s="126" t="s">
        <v>1701</v>
      </c>
      <c r="J3369" s="123" t="s">
        <v>12505</v>
      </c>
      <c r="K3369" s="123" t="s">
        <v>12503</v>
      </c>
      <c r="L3369" s="131" t="s">
        <v>100</v>
      </c>
      <c r="M3369" s="135" t="s">
        <v>845</v>
      </c>
      <c r="N3369" s="123" t="s">
        <v>845</v>
      </c>
    </row>
    <row r="3370" spans="2:14" hidden="1" x14ac:dyDescent="0.25">
      <c r="B3370" s="120">
        <v>3367</v>
      </c>
      <c r="C3370" s="123">
        <v>10096927075</v>
      </c>
      <c r="D3370" s="126" t="s">
        <v>12506</v>
      </c>
      <c r="E3370" s="126" t="s">
        <v>12507</v>
      </c>
      <c r="F3370" s="123" t="s">
        <v>30</v>
      </c>
      <c r="G3370" s="123" t="s">
        <v>30</v>
      </c>
      <c r="H3370" s="123" t="s">
        <v>64</v>
      </c>
      <c r="I3370" s="126" t="s">
        <v>1737</v>
      </c>
      <c r="J3370" s="123" t="s">
        <v>12508</v>
      </c>
      <c r="K3370" s="123" t="s">
        <v>12506</v>
      </c>
      <c r="L3370" s="131" t="s">
        <v>100</v>
      </c>
      <c r="M3370" s="135" t="s">
        <v>845</v>
      </c>
      <c r="N3370" s="123" t="s">
        <v>845</v>
      </c>
    </row>
    <row r="3371" spans="2:14" hidden="1" x14ac:dyDescent="0.25">
      <c r="B3371" s="120">
        <v>3368</v>
      </c>
      <c r="C3371" s="123">
        <v>10157343080</v>
      </c>
      <c r="D3371" s="126" t="s">
        <v>12509</v>
      </c>
      <c r="E3371" s="126" t="s">
        <v>12510</v>
      </c>
      <c r="F3371" s="123" t="s">
        <v>30</v>
      </c>
      <c r="G3371" s="123" t="s">
        <v>170</v>
      </c>
      <c r="H3371" s="123" t="s">
        <v>171</v>
      </c>
      <c r="I3371" s="126" t="s">
        <v>9625</v>
      </c>
      <c r="J3371" s="123" t="s">
        <v>12511</v>
      </c>
      <c r="K3371" s="123" t="s">
        <v>12509</v>
      </c>
      <c r="L3371" s="131" t="s">
        <v>100</v>
      </c>
      <c r="M3371" s="135" t="s">
        <v>845</v>
      </c>
      <c r="N3371" s="123" t="s">
        <v>845</v>
      </c>
    </row>
    <row r="3372" spans="2:14" hidden="1" x14ac:dyDescent="0.25">
      <c r="B3372" s="120">
        <v>3369</v>
      </c>
      <c r="C3372" s="123">
        <v>10755280998</v>
      </c>
      <c r="D3372" s="126" t="s">
        <v>12512</v>
      </c>
      <c r="E3372" s="126" t="s">
        <v>12513</v>
      </c>
      <c r="F3372" s="123" t="s">
        <v>30</v>
      </c>
      <c r="G3372" s="123" t="s">
        <v>30</v>
      </c>
      <c r="H3372" s="123" t="s">
        <v>37</v>
      </c>
      <c r="I3372" s="126" t="s">
        <v>1727</v>
      </c>
      <c r="J3372" s="123" t="s">
        <v>12514</v>
      </c>
      <c r="K3372" s="123" t="s">
        <v>12512</v>
      </c>
      <c r="L3372" s="131" t="s">
        <v>100</v>
      </c>
      <c r="M3372" s="135" t="s">
        <v>845</v>
      </c>
      <c r="N3372" s="123" t="s">
        <v>845</v>
      </c>
    </row>
    <row r="3373" spans="2:14" hidden="1" x14ac:dyDescent="0.25">
      <c r="B3373" s="120">
        <v>3370</v>
      </c>
      <c r="C3373" s="123">
        <v>10484108809</v>
      </c>
      <c r="D3373" s="126" t="s">
        <v>12515</v>
      </c>
      <c r="E3373" s="126" t="s">
        <v>12516</v>
      </c>
      <c r="F3373" s="123" t="s">
        <v>30</v>
      </c>
      <c r="G3373" s="123" t="s">
        <v>54</v>
      </c>
      <c r="H3373" s="123" t="s">
        <v>54</v>
      </c>
      <c r="I3373" s="126" t="s">
        <v>9402</v>
      </c>
      <c r="J3373" s="123" t="s">
        <v>12517</v>
      </c>
      <c r="K3373" s="123" t="s">
        <v>12518</v>
      </c>
      <c r="L3373" s="131" t="s">
        <v>100</v>
      </c>
      <c r="M3373" s="135" t="s">
        <v>845</v>
      </c>
      <c r="N3373" s="123" t="s">
        <v>845</v>
      </c>
    </row>
    <row r="3374" spans="2:14" hidden="1" x14ac:dyDescent="0.25">
      <c r="B3374" s="120">
        <v>3371</v>
      </c>
      <c r="C3374" s="123">
        <v>10702680862</v>
      </c>
      <c r="D3374" s="126" t="s">
        <v>12519</v>
      </c>
      <c r="E3374" s="126" t="s">
        <v>12520</v>
      </c>
      <c r="F3374" s="123" t="s">
        <v>30</v>
      </c>
      <c r="G3374" s="123" t="s">
        <v>31</v>
      </c>
      <c r="H3374" s="123" t="s">
        <v>32</v>
      </c>
      <c r="I3374" s="126" t="s">
        <v>1564</v>
      </c>
      <c r="J3374" s="123" t="s">
        <v>12521</v>
      </c>
      <c r="K3374" s="123" t="s">
        <v>12519</v>
      </c>
      <c r="L3374" s="131" t="s">
        <v>100</v>
      </c>
      <c r="M3374" s="135" t="s">
        <v>845</v>
      </c>
      <c r="N3374" s="123" t="s">
        <v>845</v>
      </c>
    </row>
    <row r="3375" spans="2:14" hidden="1" x14ac:dyDescent="0.25">
      <c r="B3375" s="120">
        <v>3372</v>
      </c>
      <c r="C3375" s="123">
        <v>10424282494</v>
      </c>
      <c r="D3375" s="126" t="s">
        <v>12522</v>
      </c>
      <c r="E3375" s="126" t="s">
        <v>12523</v>
      </c>
      <c r="F3375" s="123" t="s">
        <v>30</v>
      </c>
      <c r="G3375" s="123" t="s">
        <v>30</v>
      </c>
      <c r="H3375" s="123" t="s">
        <v>88</v>
      </c>
      <c r="I3375" s="126" t="s">
        <v>1701</v>
      </c>
      <c r="J3375" s="123" t="s">
        <v>12524</v>
      </c>
      <c r="K3375" s="123" t="s">
        <v>12522</v>
      </c>
      <c r="L3375" s="131" t="s">
        <v>100</v>
      </c>
      <c r="M3375" s="135" t="s">
        <v>845</v>
      </c>
      <c r="N3375" s="123" t="s">
        <v>845</v>
      </c>
    </row>
    <row r="3376" spans="2:14" hidden="1" x14ac:dyDescent="0.25">
      <c r="B3376" s="120">
        <v>3373</v>
      </c>
      <c r="C3376" s="123">
        <v>10408077627</v>
      </c>
      <c r="D3376" s="126" t="s">
        <v>12525</v>
      </c>
      <c r="E3376" s="126" t="s">
        <v>12526</v>
      </c>
      <c r="F3376" s="123" t="s">
        <v>30</v>
      </c>
      <c r="G3376" s="123" t="s">
        <v>30</v>
      </c>
      <c r="H3376" s="123" t="s">
        <v>75</v>
      </c>
      <c r="I3376" s="126" t="s">
        <v>1809</v>
      </c>
      <c r="J3376" s="123" t="s">
        <v>12527</v>
      </c>
      <c r="K3376" s="123" t="s">
        <v>12525</v>
      </c>
      <c r="L3376" s="131" t="s">
        <v>100</v>
      </c>
      <c r="M3376" s="135" t="s">
        <v>845</v>
      </c>
      <c r="N3376" s="123" t="s">
        <v>845</v>
      </c>
    </row>
    <row r="3377" spans="2:14" hidden="1" x14ac:dyDescent="0.25">
      <c r="B3377" s="120">
        <v>3374</v>
      </c>
      <c r="C3377" s="123">
        <v>10457387798</v>
      </c>
      <c r="D3377" s="126" t="s">
        <v>12528</v>
      </c>
      <c r="E3377" s="126" t="s">
        <v>12529</v>
      </c>
      <c r="F3377" s="123" t="s">
        <v>93</v>
      </c>
      <c r="G3377" s="123" t="s">
        <v>160</v>
      </c>
      <c r="H3377" s="123" t="s">
        <v>622</v>
      </c>
      <c r="I3377" s="126" t="s">
        <v>8897</v>
      </c>
      <c r="J3377" s="123" t="s">
        <v>12530</v>
      </c>
      <c r="K3377" s="123" t="s">
        <v>12528</v>
      </c>
      <c r="L3377" s="131" t="s">
        <v>100</v>
      </c>
      <c r="M3377" s="135" t="s">
        <v>845</v>
      </c>
      <c r="N3377" s="123" t="s">
        <v>845</v>
      </c>
    </row>
    <row r="3378" spans="2:14" hidden="1" x14ac:dyDescent="0.25">
      <c r="B3378" s="120">
        <v>3375</v>
      </c>
      <c r="C3378" s="123">
        <v>10159708158</v>
      </c>
      <c r="D3378" s="126" t="s">
        <v>12531</v>
      </c>
      <c r="E3378" s="126" t="s">
        <v>12532</v>
      </c>
      <c r="F3378" s="123" t="s">
        <v>30</v>
      </c>
      <c r="G3378" s="123" t="s">
        <v>54</v>
      </c>
      <c r="H3378" s="123" t="s">
        <v>54</v>
      </c>
      <c r="I3378" s="126" t="s">
        <v>1930</v>
      </c>
      <c r="J3378" s="123" t="s">
        <v>12533</v>
      </c>
      <c r="K3378" s="123" t="s">
        <v>12534</v>
      </c>
      <c r="L3378" s="131" t="s">
        <v>100</v>
      </c>
      <c r="M3378" s="135" t="s">
        <v>845</v>
      </c>
      <c r="N3378" s="123" t="s">
        <v>845</v>
      </c>
    </row>
    <row r="3379" spans="2:14" hidden="1" x14ac:dyDescent="0.25">
      <c r="B3379" s="120">
        <v>3376</v>
      </c>
      <c r="C3379" s="123">
        <v>10076395212</v>
      </c>
      <c r="D3379" s="126" t="s">
        <v>12535</v>
      </c>
      <c r="E3379" s="126" t="s">
        <v>12536</v>
      </c>
      <c r="F3379" s="123" t="s">
        <v>30</v>
      </c>
      <c r="G3379" s="123" t="s">
        <v>170</v>
      </c>
      <c r="H3379" s="123" t="s">
        <v>174</v>
      </c>
      <c r="I3379" s="126" t="s">
        <v>1962</v>
      </c>
      <c r="J3379" s="123" t="s">
        <v>12537</v>
      </c>
      <c r="K3379" s="123" t="s">
        <v>12535</v>
      </c>
      <c r="L3379" s="131" t="s">
        <v>100</v>
      </c>
      <c r="M3379" s="135" t="s">
        <v>845</v>
      </c>
      <c r="N3379" s="123" t="s">
        <v>845</v>
      </c>
    </row>
    <row r="3380" spans="2:14" hidden="1" x14ac:dyDescent="0.25">
      <c r="B3380" s="120">
        <v>3377</v>
      </c>
      <c r="C3380" s="123">
        <v>10422026091</v>
      </c>
      <c r="D3380" s="126" t="s">
        <v>12538</v>
      </c>
      <c r="E3380" s="126" t="s">
        <v>12539</v>
      </c>
      <c r="F3380" s="123" t="s">
        <v>30</v>
      </c>
      <c r="G3380" s="123" t="s">
        <v>30</v>
      </c>
      <c r="H3380" s="123" t="s">
        <v>58</v>
      </c>
      <c r="I3380" s="126" t="s">
        <v>1963</v>
      </c>
      <c r="J3380" s="123" t="s">
        <v>12540</v>
      </c>
      <c r="K3380" s="123" t="s">
        <v>12538</v>
      </c>
      <c r="L3380" s="131" t="s">
        <v>100</v>
      </c>
      <c r="M3380" s="135" t="s">
        <v>845</v>
      </c>
      <c r="N3380" s="123" t="s">
        <v>845</v>
      </c>
    </row>
    <row r="3381" spans="2:14" hidden="1" x14ac:dyDescent="0.25">
      <c r="B3381" s="120">
        <v>3378</v>
      </c>
      <c r="C3381" s="123">
        <v>10074966590</v>
      </c>
      <c r="D3381" s="126" t="s">
        <v>12541</v>
      </c>
      <c r="E3381" s="126" t="s">
        <v>12542</v>
      </c>
      <c r="F3381" s="123" t="s">
        <v>30</v>
      </c>
      <c r="G3381" s="123" t="s">
        <v>30</v>
      </c>
      <c r="H3381" s="123" t="s">
        <v>58</v>
      </c>
      <c r="I3381" s="126" t="s">
        <v>1424</v>
      </c>
      <c r="J3381" s="123" t="s">
        <v>12543</v>
      </c>
      <c r="K3381" s="123" t="s">
        <v>12541</v>
      </c>
      <c r="L3381" s="131" t="s">
        <v>100</v>
      </c>
      <c r="M3381" s="135" t="s">
        <v>845</v>
      </c>
      <c r="N3381" s="123" t="s">
        <v>845</v>
      </c>
    </row>
    <row r="3382" spans="2:14" hidden="1" x14ac:dyDescent="0.25">
      <c r="B3382" s="120">
        <v>3379</v>
      </c>
      <c r="C3382" s="123">
        <v>10096142558</v>
      </c>
      <c r="D3382" s="126" t="s">
        <v>12544</v>
      </c>
      <c r="E3382" s="126" t="s">
        <v>12545</v>
      </c>
      <c r="F3382" s="123" t="s">
        <v>30</v>
      </c>
      <c r="G3382" s="123" t="s">
        <v>30</v>
      </c>
      <c r="H3382" s="123" t="s">
        <v>30</v>
      </c>
      <c r="I3382" s="126" t="s">
        <v>8825</v>
      </c>
      <c r="J3382" s="123" t="s">
        <v>12546</v>
      </c>
      <c r="K3382" s="123" t="s">
        <v>12544</v>
      </c>
      <c r="L3382" s="131" t="s">
        <v>100</v>
      </c>
      <c r="M3382" s="135" t="s">
        <v>845</v>
      </c>
      <c r="N3382" s="123" t="s">
        <v>845</v>
      </c>
    </row>
    <row r="3383" spans="2:14" hidden="1" x14ac:dyDescent="0.25">
      <c r="B3383" s="120">
        <v>3380</v>
      </c>
      <c r="C3383" s="123">
        <v>10740892750</v>
      </c>
      <c r="D3383" s="126" t="s">
        <v>12547</v>
      </c>
      <c r="E3383" s="126" t="s">
        <v>12548</v>
      </c>
      <c r="F3383" s="123" t="s">
        <v>30</v>
      </c>
      <c r="G3383" s="123" t="s">
        <v>30</v>
      </c>
      <c r="H3383" s="123" t="s">
        <v>45</v>
      </c>
      <c r="I3383" s="126" t="s">
        <v>1957</v>
      </c>
      <c r="J3383" s="123" t="s">
        <v>12549</v>
      </c>
      <c r="K3383" s="123" t="s">
        <v>12547</v>
      </c>
      <c r="L3383" s="131" t="s">
        <v>100</v>
      </c>
      <c r="M3383" s="135" t="s">
        <v>845</v>
      </c>
      <c r="N3383" s="123" t="s">
        <v>845</v>
      </c>
    </row>
    <row r="3384" spans="2:14" hidden="1" x14ac:dyDescent="0.25">
      <c r="B3384" s="120">
        <v>3381</v>
      </c>
      <c r="C3384" s="123">
        <v>10158579354</v>
      </c>
      <c r="D3384" s="126" t="s">
        <v>12550</v>
      </c>
      <c r="E3384" s="126" t="s">
        <v>12551</v>
      </c>
      <c r="F3384" s="123" t="s">
        <v>30</v>
      </c>
      <c r="G3384" s="123" t="s">
        <v>168</v>
      </c>
      <c r="H3384" s="123" t="s">
        <v>168</v>
      </c>
      <c r="I3384" s="126" t="s">
        <v>1950</v>
      </c>
      <c r="J3384" s="123" t="s">
        <v>12552</v>
      </c>
      <c r="K3384" s="123" t="s">
        <v>12550</v>
      </c>
      <c r="L3384" s="131" t="s">
        <v>100</v>
      </c>
      <c r="M3384" s="135" t="s">
        <v>845</v>
      </c>
      <c r="N3384" s="123" t="s">
        <v>845</v>
      </c>
    </row>
    <row r="3385" spans="2:14" hidden="1" x14ac:dyDescent="0.25">
      <c r="B3385" s="120">
        <v>3382</v>
      </c>
      <c r="C3385" s="123">
        <v>10295476571</v>
      </c>
      <c r="D3385" s="126" t="s">
        <v>12553</v>
      </c>
      <c r="E3385" s="126" t="s">
        <v>12554</v>
      </c>
      <c r="F3385" s="123" t="s">
        <v>30</v>
      </c>
      <c r="G3385" s="123" t="s">
        <v>30</v>
      </c>
      <c r="H3385" s="123" t="s">
        <v>30</v>
      </c>
      <c r="I3385" s="126" t="s">
        <v>12555</v>
      </c>
      <c r="J3385" s="123" t="s">
        <v>12556</v>
      </c>
      <c r="K3385" s="123" t="s">
        <v>12553</v>
      </c>
      <c r="L3385" s="131" t="s">
        <v>100</v>
      </c>
      <c r="M3385" s="135" t="s">
        <v>845</v>
      </c>
      <c r="N3385" s="123" t="s">
        <v>845</v>
      </c>
    </row>
    <row r="3386" spans="2:14" hidden="1" x14ac:dyDescent="0.25">
      <c r="B3386" s="120">
        <v>3383</v>
      </c>
      <c r="C3386" s="123">
        <v>10419706171</v>
      </c>
      <c r="D3386" s="126" t="s">
        <v>12557</v>
      </c>
      <c r="E3386" s="126" t="s">
        <v>12558</v>
      </c>
      <c r="F3386" s="123" t="s">
        <v>30</v>
      </c>
      <c r="G3386" s="123" t="s">
        <v>30</v>
      </c>
      <c r="H3386" s="123" t="s">
        <v>51</v>
      </c>
      <c r="I3386" s="126" t="s">
        <v>1551</v>
      </c>
      <c r="J3386" s="123" t="s">
        <v>12559</v>
      </c>
      <c r="K3386" s="123" t="s">
        <v>12557</v>
      </c>
      <c r="L3386" s="131" t="s">
        <v>100</v>
      </c>
      <c r="M3386" s="135" t="s">
        <v>845</v>
      </c>
      <c r="N3386" s="123" t="s">
        <v>845</v>
      </c>
    </row>
    <row r="3387" spans="2:14" hidden="1" x14ac:dyDescent="0.25">
      <c r="B3387" s="120">
        <v>3384</v>
      </c>
      <c r="C3387" s="123">
        <v>10484593537</v>
      </c>
      <c r="D3387" s="126" t="s">
        <v>12560</v>
      </c>
      <c r="E3387" s="126" t="s">
        <v>12561</v>
      </c>
      <c r="F3387" s="123" t="s">
        <v>30</v>
      </c>
      <c r="G3387" s="123" t="s">
        <v>30</v>
      </c>
      <c r="H3387" s="123" t="s">
        <v>41</v>
      </c>
      <c r="I3387" s="126" t="s">
        <v>1737</v>
      </c>
      <c r="J3387" s="123" t="s">
        <v>12562</v>
      </c>
      <c r="K3387" s="123" t="s">
        <v>12560</v>
      </c>
      <c r="L3387" s="131" t="s">
        <v>100</v>
      </c>
      <c r="M3387" s="135" t="s">
        <v>845</v>
      </c>
      <c r="N3387" s="123" t="s">
        <v>845</v>
      </c>
    </row>
    <row r="3388" spans="2:14" hidden="1" x14ac:dyDescent="0.25">
      <c r="B3388" s="120">
        <v>3385</v>
      </c>
      <c r="C3388" s="123">
        <v>10754955169</v>
      </c>
      <c r="D3388" s="126" t="s">
        <v>12563</v>
      </c>
      <c r="E3388" s="126" t="s">
        <v>12564</v>
      </c>
      <c r="F3388" s="123" t="s">
        <v>30</v>
      </c>
      <c r="G3388" s="123" t="s">
        <v>30</v>
      </c>
      <c r="H3388" s="123" t="s">
        <v>68</v>
      </c>
      <c r="I3388" s="126" t="s">
        <v>1424</v>
      </c>
      <c r="J3388" s="123" t="s">
        <v>12565</v>
      </c>
      <c r="K3388" s="123" t="s">
        <v>12563</v>
      </c>
      <c r="L3388" s="131" t="s">
        <v>100</v>
      </c>
      <c r="M3388" s="135" t="s">
        <v>845</v>
      </c>
      <c r="N3388" s="123" t="s">
        <v>845</v>
      </c>
    </row>
    <row r="3389" spans="2:14" hidden="1" x14ac:dyDescent="0.25">
      <c r="B3389" s="120">
        <v>3386</v>
      </c>
      <c r="C3389" s="123">
        <v>10102602736</v>
      </c>
      <c r="D3389" s="126" t="s">
        <v>12566</v>
      </c>
      <c r="E3389" s="126" t="s">
        <v>12567</v>
      </c>
      <c r="F3389" s="123" t="s">
        <v>30</v>
      </c>
      <c r="G3389" s="123" t="s">
        <v>30</v>
      </c>
      <c r="H3389" s="123" t="s">
        <v>51</v>
      </c>
      <c r="I3389" s="126" t="s">
        <v>1424</v>
      </c>
      <c r="J3389" s="123" t="s">
        <v>12568</v>
      </c>
      <c r="K3389" s="123" t="s">
        <v>12566</v>
      </c>
      <c r="L3389" s="131" t="s">
        <v>100</v>
      </c>
      <c r="M3389" s="135" t="s">
        <v>845</v>
      </c>
      <c r="N3389" s="123" t="s">
        <v>845</v>
      </c>
    </row>
    <row r="3390" spans="2:14" hidden="1" x14ac:dyDescent="0.25">
      <c r="B3390" s="120">
        <v>3387</v>
      </c>
      <c r="C3390" s="123">
        <v>10096811808</v>
      </c>
      <c r="D3390" s="126" t="s">
        <v>12569</v>
      </c>
      <c r="E3390" s="126" t="s">
        <v>12570</v>
      </c>
      <c r="F3390" s="123" t="s">
        <v>30</v>
      </c>
      <c r="G3390" s="123" t="s">
        <v>30</v>
      </c>
      <c r="H3390" s="123" t="s">
        <v>51</v>
      </c>
      <c r="I3390" s="126" t="s">
        <v>1701</v>
      </c>
      <c r="J3390" s="123" t="s">
        <v>12571</v>
      </c>
      <c r="K3390" s="123" t="s">
        <v>12572</v>
      </c>
      <c r="L3390" s="131" t="s">
        <v>100</v>
      </c>
      <c r="M3390" s="135" t="s">
        <v>845</v>
      </c>
      <c r="N3390" s="123" t="s">
        <v>845</v>
      </c>
    </row>
    <row r="3391" spans="2:14" hidden="1" x14ac:dyDescent="0.25">
      <c r="B3391" s="120">
        <v>3388</v>
      </c>
      <c r="C3391" s="123">
        <v>10420055647</v>
      </c>
      <c r="D3391" s="126" t="s">
        <v>12573</v>
      </c>
      <c r="E3391" s="126" t="s">
        <v>12574</v>
      </c>
      <c r="F3391" s="123" t="s">
        <v>30</v>
      </c>
      <c r="G3391" s="123" t="s">
        <v>168</v>
      </c>
      <c r="H3391" s="123" t="s">
        <v>168</v>
      </c>
      <c r="I3391" s="126" t="s">
        <v>1564</v>
      </c>
      <c r="J3391" s="123" t="s">
        <v>12575</v>
      </c>
      <c r="K3391" s="123" t="s">
        <v>12573</v>
      </c>
      <c r="L3391" s="131" t="s">
        <v>100</v>
      </c>
      <c r="M3391" s="135" t="s">
        <v>845</v>
      </c>
      <c r="N3391" s="123" t="s">
        <v>845</v>
      </c>
    </row>
    <row r="3392" spans="2:14" hidden="1" x14ac:dyDescent="0.25">
      <c r="B3392" s="120">
        <v>3389</v>
      </c>
      <c r="C3392" s="123">
        <v>10403309368</v>
      </c>
      <c r="D3392" s="126" t="s">
        <v>12576</v>
      </c>
      <c r="E3392" s="126" t="s">
        <v>12577</v>
      </c>
      <c r="F3392" s="123" t="s">
        <v>67</v>
      </c>
      <c r="G3392" s="123" t="s">
        <v>67</v>
      </c>
      <c r="H3392" s="123" t="s">
        <v>67</v>
      </c>
      <c r="I3392" s="126" t="s">
        <v>1424</v>
      </c>
      <c r="J3392" s="123" t="s">
        <v>12578</v>
      </c>
      <c r="K3392" s="123" t="s">
        <v>12579</v>
      </c>
      <c r="L3392" s="131" t="s">
        <v>100</v>
      </c>
      <c r="M3392" s="135" t="s">
        <v>845</v>
      </c>
      <c r="N3392" s="123" t="s">
        <v>845</v>
      </c>
    </row>
    <row r="3393" spans="2:14" hidden="1" x14ac:dyDescent="0.25">
      <c r="B3393" s="120">
        <v>3390</v>
      </c>
      <c r="C3393" s="123">
        <v>10442446798</v>
      </c>
      <c r="D3393" s="126" t="s">
        <v>12580</v>
      </c>
      <c r="E3393" s="126" t="s">
        <v>12581</v>
      </c>
      <c r="F3393" s="123" t="s">
        <v>30</v>
      </c>
      <c r="G3393" s="123" t="s">
        <v>30</v>
      </c>
      <c r="H3393" s="123" t="s">
        <v>79</v>
      </c>
      <c r="I3393" s="126" t="s">
        <v>1931</v>
      </c>
      <c r="J3393" s="123" t="s">
        <v>12582</v>
      </c>
      <c r="K3393" s="123" t="s">
        <v>12580</v>
      </c>
      <c r="L3393" s="131" t="s">
        <v>100</v>
      </c>
      <c r="M3393" s="135" t="s">
        <v>845</v>
      </c>
      <c r="N3393" s="123" t="s">
        <v>845</v>
      </c>
    </row>
    <row r="3394" spans="2:14" hidden="1" x14ac:dyDescent="0.25">
      <c r="B3394" s="120">
        <v>3391</v>
      </c>
      <c r="C3394" s="123">
        <v>10096357767</v>
      </c>
      <c r="D3394" s="126" t="s">
        <v>12583</v>
      </c>
      <c r="E3394" s="126" t="s">
        <v>12584</v>
      </c>
      <c r="F3394" s="123" t="s">
        <v>30</v>
      </c>
      <c r="G3394" s="123" t="s">
        <v>30</v>
      </c>
      <c r="H3394" s="123" t="s">
        <v>72</v>
      </c>
      <c r="I3394" s="126" t="s">
        <v>1701</v>
      </c>
      <c r="J3394" s="123" t="s">
        <v>12585</v>
      </c>
      <c r="K3394" s="123" t="s">
        <v>12583</v>
      </c>
      <c r="L3394" s="131" t="s">
        <v>100</v>
      </c>
      <c r="M3394" s="135" t="s">
        <v>845</v>
      </c>
      <c r="N3394" s="123" t="s">
        <v>845</v>
      </c>
    </row>
    <row r="3395" spans="2:14" hidden="1" x14ac:dyDescent="0.25">
      <c r="B3395" s="120">
        <v>3392</v>
      </c>
      <c r="C3395" s="123">
        <v>10414986027</v>
      </c>
      <c r="D3395" s="126" t="s">
        <v>12586</v>
      </c>
      <c r="E3395" s="126" t="s">
        <v>12587</v>
      </c>
      <c r="F3395" s="123" t="s">
        <v>30</v>
      </c>
      <c r="G3395" s="123" t="s">
        <v>54</v>
      </c>
      <c r="H3395" s="123" t="s">
        <v>54</v>
      </c>
      <c r="I3395" s="126" t="s">
        <v>1931</v>
      </c>
      <c r="J3395" s="123" t="s">
        <v>12588</v>
      </c>
      <c r="K3395" s="123" t="s">
        <v>12586</v>
      </c>
      <c r="L3395" s="131" t="s">
        <v>100</v>
      </c>
      <c r="M3395" s="135" t="s">
        <v>845</v>
      </c>
      <c r="N3395" s="123" t="s">
        <v>845</v>
      </c>
    </row>
    <row r="3396" spans="2:14" hidden="1" x14ac:dyDescent="0.25">
      <c r="B3396" s="120">
        <v>3393</v>
      </c>
      <c r="C3396" s="123">
        <v>10426972251</v>
      </c>
      <c r="D3396" s="126" t="s">
        <v>12589</v>
      </c>
      <c r="E3396" s="126" t="s">
        <v>12590</v>
      </c>
      <c r="F3396" s="123" t="s">
        <v>30</v>
      </c>
      <c r="G3396" s="123" t="s">
        <v>54</v>
      </c>
      <c r="H3396" s="123" t="s">
        <v>54</v>
      </c>
      <c r="I3396" s="126" t="s">
        <v>1701</v>
      </c>
      <c r="J3396" s="123" t="s">
        <v>12591</v>
      </c>
      <c r="K3396" s="123" t="s">
        <v>12589</v>
      </c>
      <c r="L3396" s="131" t="s">
        <v>100</v>
      </c>
      <c r="M3396" s="135" t="s">
        <v>845</v>
      </c>
      <c r="N3396" s="123" t="s">
        <v>845</v>
      </c>
    </row>
    <row r="3397" spans="2:14" hidden="1" x14ac:dyDescent="0.25">
      <c r="B3397" s="120">
        <v>3394</v>
      </c>
      <c r="C3397" s="123">
        <v>10445142226</v>
      </c>
      <c r="D3397" s="126" t="s">
        <v>12592</v>
      </c>
      <c r="E3397" s="126" t="s">
        <v>12593</v>
      </c>
      <c r="F3397" s="123" t="s">
        <v>30</v>
      </c>
      <c r="G3397" s="123" t="s">
        <v>30</v>
      </c>
      <c r="H3397" s="123" t="s">
        <v>60</v>
      </c>
      <c r="I3397" s="126" t="s">
        <v>1930</v>
      </c>
      <c r="J3397" s="123" t="s">
        <v>12594</v>
      </c>
      <c r="K3397" s="123" t="s">
        <v>12595</v>
      </c>
      <c r="L3397" s="131" t="s">
        <v>100</v>
      </c>
      <c r="M3397" s="135" t="s">
        <v>845</v>
      </c>
      <c r="N3397" s="123" t="s">
        <v>845</v>
      </c>
    </row>
    <row r="3398" spans="2:14" hidden="1" x14ac:dyDescent="0.25">
      <c r="B3398" s="120">
        <v>3395</v>
      </c>
      <c r="C3398" s="123">
        <v>10285999133</v>
      </c>
      <c r="D3398" s="126" t="s">
        <v>12596</v>
      </c>
      <c r="E3398" s="126" t="s">
        <v>12597</v>
      </c>
      <c r="F3398" s="123" t="s">
        <v>30</v>
      </c>
      <c r="G3398" s="123" t="s">
        <v>30</v>
      </c>
      <c r="H3398" s="123" t="s">
        <v>45</v>
      </c>
      <c r="I3398" s="126" t="s">
        <v>1706</v>
      </c>
      <c r="J3398" s="123" t="s">
        <v>12598</v>
      </c>
      <c r="K3398" s="123" t="s">
        <v>12596</v>
      </c>
      <c r="L3398" s="131" t="s">
        <v>100</v>
      </c>
      <c r="M3398" s="135" t="s">
        <v>845</v>
      </c>
      <c r="N3398" s="123" t="s">
        <v>845</v>
      </c>
    </row>
    <row r="3399" spans="2:14" hidden="1" x14ac:dyDescent="0.25">
      <c r="B3399" s="120">
        <v>3396</v>
      </c>
      <c r="C3399" s="123">
        <v>10157208085</v>
      </c>
      <c r="D3399" s="126" t="s">
        <v>12599</v>
      </c>
      <c r="E3399" s="126" t="s">
        <v>12600</v>
      </c>
      <c r="F3399" s="123" t="s">
        <v>30</v>
      </c>
      <c r="G3399" s="123" t="s">
        <v>170</v>
      </c>
      <c r="H3399" s="123" t="s">
        <v>175</v>
      </c>
      <c r="I3399" s="126" t="s">
        <v>1551</v>
      </c>
      <c r="J3399" s="123" t="s">
        <v>12601</v>
      </c>
      <c r="K3399" s="123" t="s">
        <v>12599</v>
      </c>
      <c r="L3399" s="131" t="s">
        <v>100</v>
      </c>
      <c r="M3399" s="135" t="s">
        <v>845</v>
      </c>
      <c r="N3399" s="123" t="s">
        <v>845</v>
      </c>
    </row>
    <row r="3400" spans="2:14" hidden="1" x14ac:dyDescent="0.25">
      <c r="B3400" s="120">
        <v>3397</v>
      </c>
      <c r="C3400" s="123">
        <v>10754433952</v>
      </c>
      <c r="D3400" s="126" t="s">
        <v>12602</v>
      </c>
      <c r="E3400" s="126" t="s">
        <v>12603</v>
      </c>
      <c r="F3400" s="123" t="s">
        <v>30</v>
      </c>
      <c r="G3400" s="123" t="s">
        <v>54</v>
      </c>
      <c r="H3400" s="123" t="s">
        <v>54</v>
      </c>
      <c r="I3400" s="126" t="s">
        <v>1701</v>
      </c>
      <c r="J3400" s="123" t="s">
        <v>12604</v>
      </c>
      <c r="K3400" s="123" t="s">
        <v>12605</v>
      </c>
      <c r="L3400" s="131" t="s">
        <v>100</v>
      </c>
      <c r="M3400" s="135" t="s">
        <v>845</v>
      </c>
      <c r="N3400" s="123" t="s">
        <v>845</v>
      </c>
    </row>
    <row r="3401" spans="2:14" hidden="1" x14ac:dyDescent="0.25">
      <c r="B3401" s="120">
        <v>3398</v>
      </c>
      <c r="C3401" s="123">
        <v>15605692416</v>
      </c>
      <c r="D3401" s="126" t="s">
        <v>12606</v>
      </c>
      <c r="E3401" s="126" t="s">
        <v>12607</v>
      </c>
      <c r="F3401" s="123" t="s">
        <v>30</v>
      </c>
      <c r="G3401" s="123" t="s">
        <v>54</v>
      </c>
      <c r="H3401" s="123" t="s">
        <v>54</v>
      </c>
      <c r="I3401" s="126" t="s">
        <v>1441</v>
      </c>
      <c r="J3401" s="123" t="s">
        <v>12608</v>
      </c>
      <c r="K3401" s="123" t="s">
        <v>12606</v>
      </c>
      <c r="L3401" s="131" t="s">
        <v>100</v>
      </c>
      <c r="M3401" s="135" t="s">
        <v>845</v>
      </c>
      <c r="N3401" s="123" t="s">
        <v>845</v>
      </c>
    </row>
    <row r="3402" spans="2:14" hidden="1" x14ac:dyDescent="0.25">
      <c r="B3402" s="120">
        <v>3399</v>
      </c>
      <c r="C3402" s="123">
        <v>10257119608</v>
      </c>
      <c r="D3402" s="126" t="s">
        <v>12609</v>
      </c>
      <c r="E3402" s="126" t="s">
        <v>12610</v>
      </c>
      <c r="F3402" s="123" t="s">
        <v>67</v>
      </c>
      <c r="G3402" s="123" t="s">
        <v>67</v>
      </c>
      <c r="H3402" s="123" t="s">
        <v>94</v>
      </c>
      <c r="I3402" s="126" t="s">
        <v>1931</v>
      </c>
      <c r="J3402" s="123" t="s">
        <v>12611</v>
      </c>
      <c r="K3402" s="123" t="s">
        <v>12609</v>
      </c>
      <c r="L3402" s="131" t="s">
        <v>100</v>
      </c>
      <c r="M3402" s="135" t="s">
        <v>845</v>
      </c>
      <c r="N3402" s="123" t="s">
        <v>845</v>
      </c>
    </row>
    <row r="3403" spans="2:14" hidden="1" x14ac:dyDescent="0.25">
      <c r="B3403" s="120">
        <v>3400</v>
      </c>
      <c r="C3403" s="123">
        <v>10420789713</v>
      </c>
      <c r="D3403" s="126" t="s">
        <v>12612</v>
      </c>
      <c r="E3403" s="126" t="s">
        <v>12613</v>
      </c>
      <c r="F3403" s="123" t="s">
        <v>30</v>
      </c>
      <c r="G3403" s="123" t="s">
        <v>30</v>
      </c>
      <c r="H3403" s="123" t="s">
        <v>38</v>
      </c>
      <c r="I3403" s="126" t="s">
        <v>11586</v>
      </c>
      <c r="J3403" s="123" t="s">
        <v>12614</v>
      </c>
      <c r="K3403" s="123" t="s">
        <v>12615</v>
      </c>
      <c r="L3403" s="131" t="s">
        <v>100</v>
      </c>
      <c r="M3403" s="135" t="s">
        <v>845</v>
      </c>
      <c r="N3403" s="123" t="s">
        <v>845</v>
      </c>
    </row>
    <row r="3404" spans="2:14" hidden="1" x14ac:dyDescent="0.25">
      <c r="B3404" s="120">
        <v>3401</v>
      </c>
      <c r="C3404" s="123">
        <v>10104050595</v>
      </c>
      <c r="D3404" s="126" t="s">
        <v>12616</v>
      </c>
      <c r="E3404" s="126" t="s">
        <v>12617</v>
      </c>
      <c r="F3404" s="123" t="s">
        <v>30</v>
      </c>
      <c r="G3404" s="123" t="s">
        <v>30</v>
      </c>
      <c r="H3404" s="123" t="s">
        <v>58</v>
      </c>
      <c r="I3404" s="126" t="s">
        <v>1564</v>
      </c>
      <c r="J3404" s="123" t="s">
        <v>12618</v>
      </c>
      <c r="K3404" s="123" t="s">
        <v>12619</v>
      </c>
      <c r="L3404" s="131" t="s">
        <v>100</v>
      </c>
      <c r="M3404" s="135" t="s">
        <v>845</v>
      </c>
      <c r="N3404" s="123" t="s">
        <v>845</v>
      </c>
    </row>
    <row r="3405" spans="2:14" hidden="1" x14ac:dyDescent="0.25">
      <c r="B3405" s="120">
        <v>3402</v>
      </c>
      <c r="C3405" s="123">
        <v>10434777238</v>
      </c>
      <c r="D3405" s="126" t="s">
        <v>12620</v>
      </c>
      <c r="E3405" s="126" t="s">
        <v>12621</v>
      </c>
      <c r="F3405" s="123" t="s">
        <v>30</v>
      </c>
      <c r="G3405" s="123" t="s">
        <v>30</v>
      </c>
      <c r="H3405" s="123" t="s">
        <v>51</v>
      </c>
      <c r="I3405" s="126" t="s">
        <v>1564</v>
      </c>
      <c r="J3405" s="123" t="s">
        <v>12622</v>
      </c>
      <c r="K3405" s="123" t="s">
        <v>12620</v>
      </c>
      <c r="L3405" s="131" t="s">
        <v>100</v>
      </c>
      <c r="M3405" s="135" t="s">
        <v>845</v>
      </c>
      <c r="N3405" s="123" t="s">
        <v>845</v>
      </c>
    </row>
    <row r="3406" spans="2:14" hidden="1" x14ac:dyDescent="0.25">
      <c r="B3406" s="120">
        <v>3403</v>
      </c>
      <c r="C3406" s="123">
        <v>10470963951</v>
      </c>
      <c r="D3406" s="126" t="s">
        <v>12623</v>
      </c>
      <c r="E3406" s="126" t="s">
        <v>12624</v>
      </c>
      <c r="F3406" s="123" t="s">
        <v>30</v>
      </c>
      <c r="G3406" s="123" t="s">
        <v>30</v>
      </c>
      <c r="H3406" s="123" t="s">
        <v>34</v>
      </c>
      <c r="I3406" s="126" t="s">
        <v>1701</v>
      </c>
      <c r="J3406" s="123" t="s">
        <v>12625</v>
      </c>
      <c r="K3406" s="123" t="s">
        <v>12623</v>
      </c>
      <c r="L3406" s="131" t="s">
        <v>100</v>
      </c>
      <c r="M3406" s="135" t="s">
        <v>845</v>
      </c>
      <c r="N3406" s="123" t="s">
        <v>845</v>
      </c>
    </row>
    <row r="3407" spans="2:14" hidden="1" x14ac:dyDescent="0.25">
      <c r="B3407" s="120">
        <v>3404</v>
      </c>
      <c r="C3407" s="123">
        <v>10769385806</v>
      </c>
      <c r="D3407" s="126" t="s">
        <v>12626</v>
      </c>
      <c r="E3407" s="126" t="s">
        <v>12627</v>
      </c>
      <c r="F3407" s="123" t="s">
        <v>30</v>
      </c>
      <c r="G3407" s="123" t="s">
        <v>30</v>
      </c>
      <c r="H3407" s="123" t="s">
        <v>51</v>
      </c>
      <c r="I3407" s="126" t="s">
        <v>1701</v>
      </c>
      <c r="J3407" s="123" t="s">
        <v>12628</v>
      </c>
      <c r="K3407" s="123" t="s">
        <v>12626</v>
      </c>
      <c r="L3407" s="131" t="s">
        <v>100</v>
      </c>
      <c r="M3407" s="135" t="s">
        <v>845</v>
      </c>
      <c r="N3407" s="123" t="s">
        <v>845</v>
      </c>
    </row>
    <row r="3408" spans="2:14" hidden="1" x14ac:dyDescent="0.25">
      <c r="B3408" s="120">
        <v>3405</v>
      </c>
      <c r="C3408" s="123">
        <v>10101942690</v>
      </c>
      <c r="D3408" s="126" t="s">
        <v>12629</v>
      </c>
      <c r="E3408" s="126" t="s">
        <v>12630</v>
      </c>
      <c r="F3408" s="123" t="s">
        <v>30</v>
      </c>
      <c r="G3408" s="123" t="s">
        <v>30</v>
      </c>
      <c r="H3408" s="123" t="s">
        <v>45</v>
      </c>
      <c r="I3408" s="126" t="s">
        <v>1935</v>
      </c>
      <c r="J3408" s="123" t="s">
        <v>12631</v>
      </c>
      <c r="K3408" s="123" t="s">
        <v>12629</v>
      </c>
      <c r="L3408" s="131" t="s">
        <v>100</v>
      </c>
      <c r="M3408" s="135" t="s">
        <v>845</v>
      </c>
      <c r="N3408" s="123" t="s">
        <v>845</v>
      </c>
    </row>
    <row r="3409" spans="2:14" hidden="1" x14ac:dyDescent="0.25">
      <c r="B3409" s="120">
        <v>3406</v>
      </c>
      <c r="C3409" s="123">
        <v>10078839207</v>
      </c>
      <c r="D3409" s="126" t="s">
        <v>12632</v>
      </c>
      <c r="E3409" s="126" t="s">
        <v>12633</v>
      </c>
      <c r="F3409" s="123" t="s">
        <v>30</v>
      </c>
      <c r="G3409" s="123" t="s">
        <v>30</v>
      </c>
      <c r="H3409" s="123" t="s">
        <v>72</v>
      </c>
      <c r="I3409" s="126" t="s">
        <v>1737</v>
      </c>
      <c r="J3409" s="123" t="s">
        <v>12634</v>
      </c>
      <c r="K3409" s="123" t="s">
        <v>12632</v>
      </c>
      <c r="L3409" s="131" t="s">
        <v>100</v>
      </c>
      <c r="M3409" s="135" t="s">
        <v>845</v>
      </c>
      <c r="N3409" s="123" t="s">
        <v>845</v>
      </c>
    </row>
    <row r="3410" spans="2:14" hidden="1" x14ac:dyDescent="0.25">
      <c r="B3410" s="120">
        <v>3407</v>
      </c>
      <c r="C3410" s="123">
        <v>10457531970</v>
      </c>
      <c r="D3410" s="126" t="s">
        <v>12635</v>
      </c>
      <c r="E3410" s="126" t="s">
        <v>12636</v>
      </c>
      <c r="F3410" s="123" t="s">
        <v>30</v>
      </c>
      <c r="G3410" s="123" t="s">
        <v>30</v>
      </c>
      <c r="H3410" s="123" t="s">
        <v>41</v>
      </c>
      <c r="I3410" s="126" t="s">
        <v>1439</v>
      </c>
      <c r="J3410" s="123" t="s">
        <v>12637</v>
      </c>
      <c r="K3410" s="123" t="s">
        <v>12635</v>
      </c>
      <c r="L3410" s="131" t="s">
        <v>100</v>
      </c>
      <c r="M3410" s="135" t="s">
        <v>845</v>
      </c>
      <c r="N3410" s="123" t="s">
        <v>845</v>
      </c>
    </row>
    <row r="3411" spans="2:14" hidden="1" x14ac:dyDescent="0.25">
      <c r="B3411" s="120">
        <v>3408</v>
      </c>
      <c r="C3411" s="123">
        <v>10400776631</v>
      </c>
      <c r="D3411" s="126" t="s">
        <v>12638</v>
      </c>
      <c r="E3411" s="126" t="s">
        <v>12639</v>
      </c>
      <c r="F3411" s="123" t="s">
        <v>30</v>
      </c>
      <c r="G3411" s="123" t="s">
        <v>30</v>
      </c>
      <c r="H3411" s="123" t="s">
        <v>38</v>
      </c>
      <c r="I3411" s="126" t="s">
        <v>8743</v>
      </c>
      <c r="J3411" s="123" t="s">
        <v>12640</v>
      </c>
      <c r="K3411" s="123" t="s">
        <v>12638</v>
      </c>
      <c r="L3411" s="131" t="s">
        <v>100</v>
      </c>
      <c r="M3411" s="135" t="s">
        <v>845</v>
      </c>
      <c r="N3411" s="123" t="s">
        <v>845</v>
      </c>
    </row>
    <row r="3412" spans="2:14" hidden="1" x14ac:dyDescent="0.25">
      <c r="B3412" s="120">
        <v>3409</v>
      </c>
      <c r="C3412" s="123">
        <v>10462300781</v>
      </c>
      <c r="D3412" s="126" t="s">
        <v>12641</v>
      </c>
      <c r="E3412" s="126" t="s">
        <v>12642</v>
      </c>
      <c r="F3412" s="123" t="s">
        <v>30</v>
      </c>
      <c r="G3412" s="123" t="s">
        <v>30</v>
      </c>
      <c r="H3412" s="123" t="s">
        <v>38</v>
      </c>
      <c r="I3412" s="126" t="s">
        <v>1701</v>
      </c>
      <c r="J3412" s="123" t="s">
        <v>12643</v>
      </c>
      <c r="K3412" s="123" t="s">
        <v>12641</v>
      </c>
      <c r="L3412" s="131" t="s">
        <v>100</v>
      </c>
      <c r="M3412" s="135" t="s">
        <v>845</v>
      </c>
      <c r="N3412" s="123" t="s">
        <v>845</v>
      </c>
    </row>
    <row r="3413" spans="2:14" hidden="1" x14ac:dyDescent="0.25">
      <c r="B3413" s="120">
        <v>3410</v>
      </c>
      <c r="C3413" s="123">
        <v>10191982415</v>
      </c>
      <c r="D3413" s="126" t="s">
        <v>12644</v>
      </c>
      <c r="E3413" s="126" t="s">
        <v>12645</v>
      </c>
      <c r="F3413" s="123" t="s">
        <v>30</v>
      </c>
      <c r="G3413" s="123" t="s">
        <v>31</v>
      </c>
      <c r="H3413" s="123" t="s">
        <v>9381</v>
      </c>
      <c r="I3413" s="126" t="s">
        <v>3919</v>
      </c>
      <c r="J3413" s="123" t="s">
        <v>12646</v>
      </c>
      <c r="K3413" s="123" t="s">
        <v>12644</v>
      </c>
      <c r="L3413" s="131" t="s">
        <v>100</v>
      </c>
      <c r="M3413" s="135" t="s">
        <v>845</v>
      </c>
      <c r="N3413" s="123" t="s">
        <v>845</v>
      </c>
    </row>
    <row r="3414" spans="2:14" hidden="1" x14ac:dyDescent="0.25">
      <c r="B3414" s="120">
        <v>3411</v>
      </c>
      <c r="C3414" s="123">
        <v>10410612807</v>
      </c>
      <c r="D3414" s="126" t="s">
        <v>12647</v>
      </c>
      <c r="E3414" s="126" t="s">
        <v>12648</v>
      </c>
      <c r="F3414" s="123" t="s">
        <v>30</v>
      </c>
      <c r="G3414" s="123" t="s">
        <v>30</v>
      </c>
      <c r="H3414" s="123" t="s">
        <v>58</v>
      </c>
      <c r="I3414" s="126" t="s">
        <v>1737</v>
      </c>
      <c r="J3414" s="123" t="s">
        <v>12649</v>
      </c>
      <c r="K3414" s="123" t="s">
        <v>12647</v>
      </c>
      <c r="L3414" s="131" t="s">
        <v>100</v>
      </c>
      <c r="M3414" s="135" t="s">
        <v>845</v>
      </c>
      <c r="N3414" s="123" t="s">
        <v>845</v>
      </c>
    </row>
    <row r="3415" spans="2:14" hidden="1" x14ac:dyDescent="0.25">
      <c r="B3415" s="120">
        <v>3412</v>
      </c>
      <c r="C3415" s="123">
        <v>10071333618</v>
      </c>
      <c r="D3415" s="126" t="s">
        <v>12650</v>
      </c>
      <c r="E3415" s="126" t="s">
        <v>12651</v>
      </c>
      <c r="F3415" s="123" t="s">
        <v>67</v>
      </c>
      <c r="G3415" s="123" t="s">
        <v>67</v>
      </c>
      <c r="H3415" s="123" t="s">
        <v>67</v>
      </c>
      <c r="I3415" s="126" t="s">
        <v>8743</v>
      </c>
      <c r="J3415" s="123" t="s">
        <v>12652</v>
      </c>
      <c r="K3415" s="123" t="s">
        <v>12650</v>
      </c>
      <c r="L3415" s="131" t="s">
        <v>100</v>
      </c>
      <c r="M3415" s="135" t="s">
        <v>845</v>
      </c>
      <c r="N3415" s="123" t="s">
        <v>845</v>
      </c>
    </row>
    <row r="3416" spans="2:14" hidden="1" x14ac:dyDescent="0.25">
      <c r="B3416" s="120">
        <v>3413</v>
      </c>
      <c r="C3416" s="123">
        <v>10266858821</v>
      </c>
      <c r="D3416" s="126" t="s">
        <v>12653</v>
      </c>
      <c r="E3416" s="126" t="s">
        <v>12654</v>
      </c>
      <c r="F3416" s="123" t="s">
        <v>30</v>
      </c>
      <c r="G3416" s="123" t="s">
        <v>30</v>
      </c>
      <c r="H3416" s="123" t="s">
        <v>60</v>
      </c>
      <c r="I3416" s="126" t="s">
        <v>1946</v>
      </c>
      <c r="J3416" s="123" t="s">
        <v>12655</v>
      </c>
      <c r="K3416" s="123" t="s">
        <v>12653</v>
      </c>
      <c r="L3416" s="131" t="s">
        <v>100</v>
      </c>
      <c r="M3416" s="135" t="s">
        <v>845</v>
      </c>
      <c r="N3416" s="123" t="s">
        <v>845</v>
      </c>
    </row>
    <row r="3417" spans="2:14" hidden="1" x14ac:dyDescent="0.25">
      <c r="B3417" s="120">
        <v>3414</v>
      </c>
      <c r="C3417" s="123">
        <v>10082003636</v>
      </c>
      <c r="D3417" s="126" t="s">
        <v>12656</v>
      </c>
      <c r="E3417" s="126" t="s">
        <v>12657</v>
      </c>
      <c r="F3417" s="123" t="s">
        <v>30</v>
      </c>
      <c r="G3417" s="123" t="s">
        <v>31</v>
      </c>
      <c r="H3417" s="123" t="s">
        <v>12658</v>
      </c>
      <c r="I3417" s="126" t="s">
        <v>12659</v>
      </c>
      <c r="J3417" s="123" t="s">
        <v>12660</v>
      </c>
      <c r="K3417" s="123" t="s">
        <v>12656</v>
      </c>
      <c r="L3417" s="131" t="s">
        <v>100</v>
      </c>
      <c r="M3417" s="135" t="s">
        <v>845</v>
      </c>
      <c r="N3417" s="123" t="s">
        <v>845</v>
      </c>
    </row>
    <row r="3418" spans="2:14" hidden="1" x14ac:dyDescent="0.25">
      <c r="B3418" s="120">
        <v>3415</v>
      </c>
      <c r="C3418" s="123">
        <v>10407569968</v>
      </c>
      <c r="D3418" s="126" t="s">
        <v>12661</v>
      </c>
      <c r="E3418" s="126" t="s">
        <v>12662</v>
      </c>
      <c r="F3418" s="123" t="s">
        <v>30</v>
      </c>
      <c r="G3418" s="123" t="s">
        <v>30</v>
      </c>
      <c r="H3418" s="123" t="s">
        <v>50</v>
      </c>
      <c r="I3418" s="126" t="s">
        <v>1424</v>
      </c>
      <c r="J3418" s="123" t="s">
        <v>12663</v>
      </c>
      <c r="K3418" s="123" t="s">
        <v>12664</v>
      </c>
      <c r="L3418" s="131" t="s">
        <v>100</v>
      </c>
      <c r="M3418" s="135" t="s">
        <v>845</v>
      </c>
      <c r="N3418" s="123" t="s">
        <v>845</v>
      </c>
    </row>
    <row r="3419" spans="2:14" hidden="1" x14ac:dyDescent="0.25">
      <c r="B3419" s="120">
        <v>3416</v>
      </c>
      <c r="C3419" s="123">
        <v>10404618763</v>
      </c>
      <c r="D3419" s="126" t="s">
        <v>12665</v>
      </c>
      <c r="E3419" s="126" t="s">
        <v>12666</v>
      </c>
      <c r="F3419" s="123" t="s">
        <v>67</v>
      </c>
      <c r="G3419" s="123" t="s">
        <v>67</v>
      </c>
      <c r="H3419" s="123" t="s">
        <v>94</v>
      </c>
      <c r="I3419" s="126" t="s">
        <v>1701</v>
      </c>
      <c r="J3419" s="123" t="s">
        <v>12667</v>
      </c>
      <c r="K3419" s="123" t="s">
        <v>12665</v>
      </c>
      <c r="L3419" s="131" t="s">
        <v>100</v>
      </c>
      <c r="M3419" s="135" t="s">
        <v>845</v>
      </c>
      <c r="N3419" s="123" t="s">
        <v>845</v>
      </c>
    </row>
    <row r="3420" spans="2:14" hidden="1" x14ac:dyDescent="0.25">
      <c r="B3420" s="120">
        <v>3417</v>
      </c>
      <c r="C3420" s="123">
        <v>10157011745</v>
      </c>
      <c r="D3420" s="126" t="s">
        <v>12668</v>
      </c>
      <c r="E3420" s="126" t="s">
        <v>12669</v>
      </c>
      <c r="F3420" s="123" t="s">
        <v>30</v>
      </c>
      <c r="G3420" s="123" t="s">
        <v>168</v>
      </c>
      <c r="H3420" s="123" t="s">
        <v>168</v>
      </c>
      <c r="I3420" s="126" t="s">
        <v>11346</v>
      </c>
      <c r="J3420" s="123" t="s">
        <v>12670</v>
      </c>
      <c r="K3420" s="123" t="s">
        <v>12668</v>
      </c>
      <c r="L3420" s="131" t="s">
        <v>100</v>
      </c>
      <c r="M3420" s="135" t="s">
        <v>845</v>
      </c>
      <c r="N3420" s="123" t="s">
        <v>845</v>
      </c>
    </row>
    <row r="3421" spans="2:14" hidden="1" x14ac:dyDescent="0.25">
      <c r="B3421" s="120">
        <v>3418</v>
      </c>
      <c r="C3421" s="123">
        <v>10107072182</v>
      </c>
      <c r="D3421" s="126" t="s">
        <v>12671</v>
      </c>
      <c r="E3421" s="126" t="s">
        <v>12672</v>
      </c>
      <c r="F3421" s="123" t="s">
        <v>30</v>
      </c>
      <c r="G3421" s="123" t="s">
        <v>30</v>
      </c>
      <c r="H3421" s="123" t="s">
        <v>60</v>
      </c>
      <c r="I3421" s="126" t="s">
        <v>1424</v>
      </c>
      <c r="J3421" s="123" t="s">
        <v>12673</v>
      </c>
      <c r="K3421" s="123" t="s">
        <v>12674</v>
      </c>
      <c r="L3421" s="131" t="s">
        <v>100</v>
      </c>
      <c r="M3421" s="135" t="s">
        <v>845</v>
      </c>
      <c r="N3421" s="123" t="s">
        <v>845</v>
      </c>
    </row>
    <row r="3422" spans="2:14" hidden="1" x14ac:dyDescent="0.25">
      <c r="B3422" s="120">
        <v>3419</v>
      </c>
      <c r="C3422" s="123">
        <v>10412395404</v>
      </c>
      <c r="D3422" s="126" t="s">
        <v>12675</v>
      </c>
      <c r="E3422" s="126" t="s">
        <v>12676</v>
      </c>
      <c r="F3422" s="123" t="s">
        <v>30</v>
      </c>
      <c r="G3422" s="123" t="s">
        <v>170</v>
      </c>
      <c r="H3422" s="123" t="s">
        <v>174</v>
      </c>
      <c r="I3422" s="126" t="s">
        <v>1701</v>
      </c>
      <c r="J3422" s="123" t="s">
        <v>12677</v>
      </c>
      <c r="K3422" s="123" t="s">
        <v>12675</v>
      </c>
      <c r="L3422" s="131" t="s">
        <v>100</v>
      </c>
      <c r="M3422" s="135" t="s">
        <v>845</v>
      </c>
      <c r="N3422" s="123" t="s">
        <v>845</v>
      </c>
    </row>
    <row r="3423" spans="2:14" hidden="1" x14ac:dyDescent="0.25">
      <c r="B3423" s="120">
        <v>3420</v>
      </c>
      <c r="C3423" s="123">
        <v>10450353537</v>
      </c>
      <c r="D3423" s="126" t="s">
        <v>12678</v>
      </c>
      <c r="E3423" s="126" t="s">
        <v>12679</v>
      </c>
      <c r="F3423" s="123" t="s">
        <v>30</v>
      </c>
      <c r="G3423" s="123" t="s">
        <v>30</v>
      </c>
      <c r="H3423" s="123" t="s">
        <v>103</v>
      </c>
      <c r="I3423" s="126" t="s">
        <v>1950</v>
      </c>
      <c r="J3423" s="123" t="s">
        <v>12680</v>
      </c>
      <c r="K3423" s="123" t="s">
        <v>12678</v>
      </c>
      <c r="L3423" s="131" t="s">
        <v>100</v>
      </c>
      <c r="M3423" s="135" t="s">
        <v>845</v>
      </c>
      <c r="N3423" s="123" t="s">
        <v>845</v>
      </c>
    </row>
    <row r="3424" spans="2:14" hidden="1" x14ac:dyDescent="0.25">
      <c r="B3424" s="120">
        <v>3421</v>
      </c>
      <c r="C3424" s="123">
        <v>10157455805</v>
      </c>
      <c r="D3424" s="126" t="s">
        <v>12681</v>
      </c>
      <c r="E3424" s="126" t="s">
        <v>12682</v>
      </c>
      <c r="F3424" s="123" t="s">
        <v>30</v>
      </c>
      <c r="G3424" s="123" t="s">
        <v>181</v>
      </c>
      <c r="H3424" s="123" t="s">
        <v>181</v>
      </c>
      <c r="I3424" s="126" t="s">
        <v>1424</v>
      </c>
      <c r="J3424" s="123" t="s">
        <v>12683</v>
      </c>
      <c r="K3424" s="123" t="s">
        <v>12681</v>
      </c>
      <c r="L3424" s="131" t="s">
        <v>100</v>
      </c>
      <c r="M3424" s="135" t="s">
        <v>845</v>
      </c>
      <c r="N3424" s="123" t="s">
        <v>845</v>
      </c>
    </row>
    <row r="3425" spans="2:14" hidden="1" x14ac:dyDescent="0.25">
      <c r="B3425" s="120">
        <v>3422</v>
      </c>
      <c r="C3425" s="123">
        <v>10461329794</v>
      </c>
      <c r="D3425" s="126" t="s">
        <v>12684</v>
      </c>
      <c r="E3425" s="126" t="s">
        <v>12685</v>
      </c>
      <c r="F3425" s="123" t="s">
        <v>67</v>
      </c>
      <c r="G3425" s="123" t="s">
        <v>67</v>
      </c>
      <c r="H3425" s="123" t="s">
        <v>94</v>
      </c>
      <c r="I3425" s="126" t="s">
        <v>1957</v>
      </c>
      <c r="J3425" s="123" t="s">
        <v>12686</v>
      </c>
      <c r="K3425" s="123" t="s">
        <v>12687</v>
      </c>
      <c r="L3425" s="131" t="s">
        <v>100</v>
      </c>
      <c r="M3425" s="135" t="s">
        <v>845</v>
      </c>
      <c r="N3425" s="123" t="s">
        <v>845</v>
      </c>
    </row>
    <row r="3426" spans="2:14" hidden="1" x14ac:dyDescent="0.25">
      <c r="B3426" s="120">
        <v>3423</v>
      </c>
      <c r="C3426" s="123">
        <v>10801172691</v>
      </c>
      <c r="D3426" s="126" t="s">
        <v>12688</v>
      </c>
      <c r="E3426" s="126" t="s">
        <v>12689</v>
      </c>
      <c r="F3426" s="123" t="s">
        <v>30</v>
      </c>
      <c r="G3426" s="123" t="s">
        <v>30</v>
      </c>
      <c r="H3426" s="123" t="s">
        <v>72</v>
      </c>
      <c r="I3426" s="126" t="s">
        <v>1424</v>
      </c>
      <c r="J3426" s="123" t="s">
        <v>12690</v>
      </c>
      <c r="K3426" s="123" t="s">
        <v>12688</v>
      </c>
      <c r="L3426" s="131" t="s">
        <v>100</v>
      </c>
      <c r="M3426" s="135" t="s">
        <v>845</v>
      </c>
      <c r="N3426" s="123" t="s">
        <v>845</v>
      </c>
    </row>
    <row r="3427" spans="2:14" hidden="1" x14ac:dyDescent="0.25">
      <c r="B3427" s="120">
        <v>3424</v>
      </c>
      <c r="C3427" s="123">
        <v>10097084284</v>
      </c>
      <c r="D3427" s="126" t="s">
        <v>12691</v>
      </c>
      <c r="E3427" s="126" t="s">
        <v>12692</v>
      </c>
      <c r="F3427" s="123" t="s">
        <v>30</v>
      </c>
      <c r="G3427" s="123" t="s">
        <v>30</v>
      </c>
      <c r="H3427" s="123" t="s">
        <v>38</v>
      </c>
      <c r="I3427" s="126" t="s">
        <v>1930</v>
      </c>
      <c r="J3427" s="123" t="s">
        <v>12693</v>
      </c>
      <c r="K3427" s="123" t="s">
        <v>12691</v>
      </c>
      <c r="L3427" s="131" t="s">
        <v>100</v>
      </c>
      <c r="M3427" s="135" t="s">
        <v>845</v>
      </c>
      <c r="N3427" s="123" t="s">
        <v>845</v>
      </c>
    </row>
    <row r="3428" spans="2:14" hidden="1" x14ac:dyDescent="0.25">
      <c r="B3428" s="120">
        <v>3425</v>
      </c>
      <c r="C3428" s="123">
        <v>10270495571</v>
      </c>
      <c r="D3428" s="126" t="s">
        <v>12694</v>
      </c>
      <c r="E3428" s="126" t="s">
        <v>12695</v>
      </c>
      <c r="F3428" s="123" t="s">
        <v>30</v>
      </c>
      <c r="G3428" s="123" t="s">
        <v>30</v>
      </c>
      <c r="H3428" s="123" t="s">
        <v>58</v>
      </c>
      <c r="I3428" s="126" t="s">
        <v>1701</v>
      </c>
      <c r="J3428" s="123" t="s">
        <v>12696</v>
      </c>
      <c r="K3428" s="123" t="s">
        <v>12694</v>
      </c>
      <c r="L3428" s="131" t="s">
        <v>100</v>
      </c>
      <c r="M3428" s="135" t="s">
        <v>845</v>
      </c>
      <c r="N3428" s="123" t="s">
        <v>845</v>
      </c>
    </row>
    <row r="3429" spans="2:14" hidden="1" x14ac:dyDescent="0.25">
      <c r="B3429" s="120">
        <v>3426</v>
      </c>
      <c r="C3429" s="123">
        <v>10408906551</v>
      </c>
      <c r="D3429" s="126" t="s">
        <v>12697</v>
      </c>
      <c r="E3429" s="126" t="s">
        <v>12698</v>
      </c>
      <c r="F3429" s="123" t="s">
        <v>30</v>
      </c>
      <c r="G3429" s="123" t="s">
        <v>30</v>
      </c>
      <c r="H3429" s="123" t="s">
        <v>50</v>
      </c>
      <c r="I3429" s="126" t="s">
        <v>11220</v>
      </c>
      <c r="J3429" s="123" t="s">
        <v>12699</v>
      </c>
      <c r="K3429" s="123" t="s">
        <v>12697</v>
      </c>
      <c r="L3429" s="131" t="s">
        <v>100</v>
      </c>
      <c r="M3429" s="135" t="s">
        <v>845</v>
      </c>
      <c r="N3429" s="123" t="s">
        <v>845</v>
      </c>
    </row>
    <row r="3430" spans="2:14" hidden="1" x14ac:dyDescent="0.25">
      <c r="B3430" s="120">
        <v>3427</v>
      </c>
      <c r="C3430" s="123">
        <v>10095084155</v>
      </c>
      <c r="D3430" s="126" t="s">
        <v>12700</v>
      </c>
      <c r="E3430" s="126" t="s">
        <v>12701</v>
      </c>
      <c r="F3430" s="123" t="s">
        <v>30</v>
      </c>
      <c r="G3430" s="123" t="s">
        <v>30</v>
      </c>
      <c r="H3430" s="123" t="s">
        <v>79</v>
      </c>
      <c r="I3430" s="126" t="s">
        <v>12702</v>
      </c>
      <c r="J3430" s="123" t="s">
        <v>12703</v>
      </c>
      <c r="K3430" s="123" t="s">
        <v>12704</v>
      </c>
      <c r="L3430" s="131" t="s">
        <v>100</v>
      </c>
      <c r="M3430" s="135" t="s">
        <v>845</v>
      </c>
      <c r="N3430" s="123" t="s">
        <v>845</v>
      </c>
    </row>
    <row r="3431" spans="2:14" hidden="1" x14ac:dyDescent="0.25">
      <c r="B3431" s="120">
        <v>3428</v>
      </c>
      <c r="C3431" s="123">
        <v>10093435708</v>
      </c>
      <c r="D3431" s="126" t="s">
        <v>12705</v>
      </c>
      <c r="E3431" s="126" t="s">
        <v>12706</v>
      </c>
      <c r="F3431" s="123" t="s">
        <v>30</v>
      </c>
      <c r="G3431" s="123" t="s">
        <v>30</v>
      </c>
      <c r="H3431" s="123" t="s">
        <v>50</v>
      </c>
      <c r="I3431" s="126" t="s">
        <v>1947</v>
      </c>
      <c r="J3431" s="123" t="s">
        <v>12707</v>
      </c>
      <c r="K3431" s="123" t="s">
        <v>12705</v>
      </c>
      <c r="L3431" s="131" t="s">
        <v>100</v>
      </c>
      <c r="M3431" s="135" t="s">
        <v>845</v>
      </c>
      <c r="N3431" s="123" t="s">
        <v>845</v>
      </c>
    </row>
    <row r="3432" spans="2:14" hidden="1" x14ac:dyDescent="0.25">
      <c r="B3432" s="120">
        <v>3429</v>
      </c>
      <c r="C3432" s="123">
        <v>10098246997</v>
      </c>
      <c r="D3432" s="126" t="s">
        <v>12708</v>
      </c>
      <c r="E3432" s="126" t="s">
        <v>12709</v>
      </c>
      <c r="F3432" s="123" t="s">
        <v>30</v>
      </c>
      <c r="G3432" s="123" t="s">
        <v>30</v>
      </c>
      <c r="H3432" s="123" t="s">
        <v>37</v>
      </c>
      <c r="I3432" s="126" t="s">
        <v>1737</v>
      </c>
      <c r="J3432" s="123" t="s">
        <v>12710</v>
      </c>
      <c r="K3432" s="123" t="s">
        <v>12711</v>
      </c>
      <c r="L3432" s="131" t="s">
        <v>100</v>
      </c>
      <c r="M3432" s="135" t="s">
        <v>845</v>
      </c>
      <c r="N3432" s="123" t="s">
        <v>845</v>
      </c>
    </row>
    <row r="3433" spans="2:14" hidden="1" x14ac:dyDescent="0.25">
      <c r="B3433" s="120">
        <v>3430</v>
      </c>
      <c r="C3433" s="123">
        <v>10439091717</v>
      </c>
      <c r="D3433" s="126" t="s">
        <v>12712</v>
      </c>
      <c r="E3433" s="126" t="s">
        <v>12713</v>
      </c>
      <c r="F3433" s="123" t="s">
        <v>30</v>
      </c>
      <c r="G3433" s="123" t="s">
        <v>30</v>
      </c>
      <c r="H3433" s="123" t="s">
        <v>30</v>
      </c>
      <c r="I3433" s="126" t="s">
        <v>1564</v>
      </c>
      <c r="J3433" s="123" t="s">
        <v>12714</v>
      </c>
      <c r="K3433" s="123" t="s">
        <v>12715</v>
      </c>
      <c r="L3433" s="131" t="s">
        <v>100</v>
      </c>
      <c r="M3433" s="135" t="s">
        <v>845</v>
      </c>
      <c r="N3433" s="123" t="s">
        <v>845</v>
      </c>
    </row>
    <row r="3434" spans="2:14" hidden="1" x14ac:dyDescent="0.25">
      <c r="B3434" s="120">
        <v>3431</v>
      </c>
      <c r="C3434" s="123">
        <v>10104474841</v>
      </c>
      <c r="D3434" s="126" t="s">
        <v>12716</v>
      </c>
      <c r="E3434" s="126" t="s">
        <v>12717</v>
      </c>
      <c r="F3434" s="123" t="s">
        <v>30</v>
      </c>
      <c r="G3434" s="123" t="s">
        <v>30</v>
      </c>
      <c r="H3434" s="123" t="s">
        <v>60</v>
      </c>
      <c r="I3434" s="126" t="s">
        <v>1701</v>
      </c>
      <c r="J3434" s="123" t="s">
        <v>12718</v>
      </c>
      <c r="K3434" s="123" t="s">
        <v>12716</v>
      </c>
      <c r="L3434" s="131" t="s">
        <v>100</v>
      </c>
      <c r="M3434" s="135" t="s">
        <v>845</v>
      </c>
      <c r="N3434" s="123" t="s">
        <v>845</v>
      </c>
    </row>
    <row r="3435" spans="2:14" hidden="1" x14ac:dyDescent="0.25">
      <c r="B3435" s="120">
        <v>3432</v>
      </c>
      <c r="C3435" s="123">
        <v>10437239849</v>
      </c>
      <c r="D3435" s="126" t="s">
        <v>12719</v>
      </c>
      <c r="E3435" s="126" t="s">
        <v>12720</v>
      </c>
      <c r="F3435" s="123" t="s">
        <v>67</v>
      </c>
      <c r="G3435" s="123" t="s">
        <v>67</v>
      </c>
      <c r="H3435" s="123" t="s">
        <v>67</v>
      </c>
      <c r="I3435" s="126" t="s">
        <v>1564</v>
      </c>
      <c r="J3435" s="123" t="s">
        <v>12721</v>
      </c>
      <c r="K3435" s="123" t="s">
        <v>12719</v>
      </c>
      <c r="L3435" s="131" t="s">
        <v>100</v>
      </c>
      <c r="M3435" s="135" t="s">
        <v>845</v>
      </c>
      <c r="N3435" s="123" t="s">
        <v>845</v>
      </c>
    </row>
    <row r="3436" spans="2:14" hidden="1" x14ac:dyDescent="0.25">
      <c r="B3436" s="120">
        <v>3433</v>
      </c>
      <c r="C3436" s="123">
        <v>10418735738</v>
      </c>
      <c r="D3436" s="126" t="s">
        <v>12722</v>
      </c>
      <c r="E3436" s="126" t="s">
        <v>12723</v>
      </c>
      <c r="F3436" s="123" t="s">
        <v>30</v>
      </c>
      <c r="G3436" s="123" t="s">
        <v>30</v>
      </c>
      <c r="H3436" s="123" t="s">
        <v>51</v>
      </c>
      <c r="I3436" s="126" t="s">
        <v>12412</v>
      </c>
      <c r="J3436" s="123" t="s">
        <v>12724</v>
      </c>
      <c r="K3436" s="123" t="s">
        <v>12722</v>
      </c>
      <c r="L3436" s="131" t="s">
        <v>100</v>
      </c>
      <c r="M3436" s="135" t="s">
        <v>845</v>
      </c>
      <c r="N3436" s="123" t="s">
        <v>845</v>
      </c>
    </row>
    <row r="3437" spans="2:14" hidden="1" x14ac:dyDescent="0.25">
      <c r="B3437" s="120">
        <v>3434</v>
      </c>
      <c r="C3437" s="123">
        <v>10410032495</v>
      </c>
      <c r="D3437" s="126" t="s">
        <v>12725</v>
      </c>
      <c r="E3437" s="126" t="s">
        <v>12726</v>
      </c>
      <c r="F3437" s="123" t="s">
        <v>30</v>
      </c>
      <c r="G3437" s="123" t="s">
        <v>30</v>
      </c>
      <c r="H3437" s="123" t="s">
        <v>37</v>
      </c>
      <c r="I3437" s="126" t="s">
        <v>1424</v>
      </c>
      <c r="J3437" s="123" t="s">
        <v>12727</v>
      </c>
      <c r="K3437" s="123" t="s">
        <v>12728</v>
      </c>
      <c r="L3437" s="131" t="s">
        <v>100</v>
      </c>
      <c r="M3437" s="135" t="s">
        <v>845</v>
      </c>
      <c r="N3437" s="123" t="s">
        <v>845</v>
      </c>
    </row>
    <row r="3438" spans="2:14" hidden="1" x14ac:dyDescent="0.25">
      <c r="B3438" s="120">
        <v>3435</v>
      </c>
      <c r="C3438" s="123">
        <v>10416660781</v>
      </c>
      <c r="D3438" s="126" t="s">
        <v>12729</v>
      </c>
      <c r="E3438" s="126" t="s">
        <v>12730</v>
      </c>
      <c r="F3438" s="123" t="s">
        <v>30</v>
      </c>
      <c r="G3438" s="123" t="s">
        <v>170</v>
      </c>
      <c r="H3438" s="123" t="s">
        <v>171</v>
      </c>
      <c r="I3438" s="126" t="s">
        <v>12731</v>
      </c>
      <c r="J3438" s="123" t="s">
        <v>12732</v>
      </c>
      <c r="K3438" s="123" t="s">
        <v>12729</v>
      </c>
      <c r="L3438" s="131" t="s">
        <v>100</v>
      </c>
      <c r="M3438" s="135" t="s">
        <v>845</v>
      </c>
      <c r="N3438" s="123" t="s">
        <v>845</v>
      </c>
    </row>
    <row r="3439" spans="2:14" hidden="1" x14ac:dyDescent="0.25">
      <c r="B3439" s="120">
        <v>3436</v>
      </c>
      <c r="C3439" s="123">
        <v>10254028181</v>
      </c>
      <c r="D3439" s="126" t="s">
        <v>12733</v>
      </c>
      <c r="E3439" s="126" t="s">
        <v>12734</v>
      </c>
      <c r="F3439" s="123" t="s">
        <v>67</v>
      </c>
      <c r="G3439" s="123" t="s">
        <v>67</v>
      </c>
      <c r="H3439" s="123" t="s">
        <v>67</v>
      </c>
      <c r="I3439" s="126" t="s">
        <v>12735</v>
      </c>
      <c r="J3439" s="123" t="s">
        <v>12736</v>
      </c>
      <c r="K3439" s="123" t="s">
        <v>12733</v>
      </c>
      <c r="L3439" s="131" t="s">
        <v>100</v>
      </c>
      <c r="M3439" s="135" t="s">
        <v>845</v>
      </c>
      <c r="N3439" s="123" t="s">
        <v>845</v>
      </c>
    </row>
    <row r="3440" spans="2:14" hidden="1" x14ac:dyDescent="0.25">
      <c r="B3440" s="120">
        <v>3437</v>
      </c>
      <c r="C3440" s="123">
        <v>10471600615</v>
      </c>
      <c r="D3440" s="126" t="s">
        <v>12737</v>
      </c>
      <c r="E3440" s="126" t="s">
        <v>12738</v>
      </c>
      <c r="F3440" s="123" t="s">
        <v>30</v>
      </c>
      <c r="G3440" s="123" t="s">
        <v>170</v>
      </c>
      <c r="H3440" s="123" t="s">
        <v>174</v>
      </c>
      <c r="I3440" s="126" t="s">
        <v>1936</v>
      </c>
      <c r="J3440" s="123" t="s">
        <v>12739</v>
      </c>
      <c r="K3440" s="123" t="s">
        <v>12737</v>
      </c>
      <c r="L3440" s="131" t="s">
        <v>100</v>
      </c>
      <c r="M3440" s="135" t="s">
        <v>845</v>
      </c>
      <c r="N3440" s="123" t="s">
        <v>845</v>
      </c>
    </row>
    <row r="3441" spans="2:14" hidden="1" x14ac:dyDescent="0.25">
      <c r="B3441" s="120">
        <v>3438</v>
      </c>
      <c r="C3441" s="123">
        <v>10156291272</v>
      </c>
      <c r="D3441" s="126" t="s">
        <v>12740</v>
      </c>
      <c r="E3441" s="126" t="s">
        <v>12741</v>
      </c>
      <c r="F3441" s="123" t="s">
        <v>30</v>
      </c>
      <c r="G3441" s="123" t="s">
        <v>168</v>
      </c>
      <c r="H3441" s="123" t="s">
        <v>168</v>
      </c>
      <c r="I3441" s="126" t="s">
        <v>1936</v>
      </c>
      <c r="J3441" s="123" t="s">
        <v>12742</v>
      </c>
      <c r="K3441" s="123" t="s">
        <v>12743</v>
      </c>
      <c r="L3441" s="131" t="s">
        <v>100</v>
      </c>
      <c r="M3441" s="135" t="s">
        <v>845</v>
      </c>
      <c r="N3441" s="123" t="s">
        <v>845</v>
      </c>
    </row>
    <row r="3442" spans="2:14" hidden="1" x14ac:dyDescent="0.25">
      <c r="B3442" s="120">
        <v>3439</v>
      </c>
      <c r="C3442" s="123">
        <v>10437414527</v>
      </c>
      <c r="D3442" s="126" t="s">
        <v>12744</v>
      </c>
      <c r="E3442" s="126" t="s">
        <v>12745</v>
      </c>
      <c r="F3442" s="123" t="s">
        <v>30</v>
      </c>
      <c r="G3442" s="123" t="s">
        <v>30</v>
      </c>
      <c r="H3442" s="123" t="s">
        <v>51</v>
      </c>
      <c r="I3442" s="126" t="s">
        <v>1706</v>
      </c>
      <c r="J3442" s="123" t="s">
        <v>12746</v>
      </c>
      <c r="K3442" s="123" t="s">
        <v>12744</v>
      </c>
      <c r="L3442" s="131" t="s">
        <v>100</v>
      </c>
      <c r="M3442" s="135" t="s">
        <v>845</v>
      </c>
      <c r="N3442" s="123" t="s">
        <v>845</v>
      </c>
    </row>
    <row r="3443" spans="2:14" hidden="1" x14ac:dyDescent="0.25">
      <c r="B3443" s="120">
        <v>3440</v>
      </c>
      <c r="C3443" s="123">
        <v>10104644924</v>
      </c>
      <c r="D3443" s="126" t="s">
        <v>12747</v>
      </c>
      <c r="E3443" s="126" t="s">
        <v>12748</v>
      </c>
      <c r="F3443" s="123" t="s">
        <v>30</v>
      </c>
      <c r="G3443" s="123" t="s">
        <v>30</v>
      </c>
      <c r="H3443" s="123" t="s">
        <v>43</v>
      </c>
      <c r="I3443" s="126" t="s">
        <v>8743</v>
      </c>
      <c r="J3443" s="123" t="s">
        <v>12749</v>
      </c>
      <c r="K3443" s="123" t="s">
        <v>12747</v>
      </c>
      <c r="L3443" s="131" t="s">
        <v>100</v>
      </c>
      <c r="M3443" s="135" t="s">
        <v>845</v>
      </c>
      <c r="N3443" s="123" t="s">
        <v>845</v>
      </c>
    </row>
    <row r="3444" spans="2:14" hidden="1" x14ac:dyDescent="0.25">
      <c r="B3444" s="120">
        <v>3441</v>
      </c>
      <c r="C3444" s="123">
        <v>10107789915</v>
      </c>
      <c r="D3444" s="126" t="s">
        <v>12750</v>
      </c>
      <c r="E3444" s="126" t="s">
        <v>12751</v>
      </c>
      <c r="F3444" s="123" t="s">
        <v>30</v>
      </c>
      <c r="G3444" s="123" t="s">
        <v>30</v>
      </c>
      <c r="H3444" s="123" t="s">
        <v>75</v>
      </c>
      <c r="I3444" s="126" t="s">
        <v>8743</v>
      </c>
      <c r="J3444" s="123" t="s">
        <v>12752</v>
      </c>
      <c r="K3444" s="123" t="s">
        <v>12750</v>
      </c>
      <c r="L3444" s="131" t="s">
        <v>100</v>
      </c>
      <c r="M3444" s="135" t="s">
        <v>845</v>
      </c>
      <c r="N3444" s="123" t="s">
        <v>845</v>
      </c>
    </row>
    <row r="3445" spans="2:14" hidden="1" x14ac:dyDescent="0.25">
      <c r="B3445" s="120">
        <v>3442</v>
      </c>
      <c r="C3445" s="123">
        <v>10094100521</v>
      </c>
      <c r="D3445" s="126" t="s">
        <v>12753</v>
      </c>
      <c r="E3445" s="126" t="s">
        <v>12754</v>
      </c>
      <c r="F3445" s="123" t="s">
        <v>30</v>
      </c>
      <c r="G3445" s="123" t="s">
        <v>30</v>
      </c>
      <c r="H3445" s="123" t="s">
        <v>52</v>
      </c>
      <c r="I3445" s="126" t="s">
        <v>1499</v>
      </c>
      <c r="J3445" s="123" t="s">
        <v>12755</v>
      </c>
      <c r="K3445" s="123" t="s">
        <v>12756</v>
      </c>
      <c r="L3445" s="131" t="s">
        <v>100</v>
      </c>
      <c r="M3445" s="135" t="s">
        <v>845</v>
      </c>
      <c r="N3445" s="123" t="s">
        <v>845</v>
      </c>
    </row>
    <row r="3446" spans="2:14" hidden="1" x14ac:dyDescent="0.25">
      <c r="B3446" s="120">
        <v>3443</v>
      </c>
      <c r="C3446" s="123">
        <v>10732141427</v>
      </c>
      <c r="D3446" s="126" t="s">
        <v>12757</v>
      </c>
      <c r="E3446" s="126" t="s">
        <v>12758</v>
      </c>
      <c r="F3446" s="123" t="s">
        <v>3637</v>
      </c>
      <c r="G3446" s="123" t="s">
        <v>12759</v>
      </c>
      <c r="H3446" s="123" t="s">
        <v>12760</v>
      </c>
      <c r="I3446" s="126" t="s">
        <v>1701</v>
      </c>
      <c r="J3446" s="123" t="s">
        <v>12761</v>
      </c>
      <c r="K3446" s="123" t="s">
        <v>12757</v>
      </c>
      <c r="L3446" s="131" t="s">
        <v>100</v>
      </c>
      <c r="M3446" s="135" t="s">
        <v>845</v>
      </c>
      <c r="N3446" s="123" t="s">
        <v>845</v>
      </c>
    </row>
    <row r="3447" spans="2:14" hidden="1" x14ac:dyDescent="0.25">
      <c r="B3447" s="120">
        <v>3444</v>
      </c>
      <c r="C3447" s="123">
        <v>10100959661</v>
      </c>
      <c r="D3447" s="126" t="s">
        <v>12762</v>
      </c>
      <c r="E3447" s="126" t="s">
        <v>12763</v>
      </c>
      <c r="F3447" s="123" t="s">
        <v>30</v>
      </c>
      <c r="G3447" s="123" t="s">
        <v>30</v>
      </c>
      <c r="H3447" s="123" t="s">
        <v>85</v>
      </c>
      <c r="I3447" s="126" t="s">
        <v>10661</v>
      </c>
      <c r="J3447" s="123" t="s">
        <v>12764</v>
      </c>
      <c r="K3447" s="123" t="s">
        <v>12762</v>
      </c>
      <c r="L3447" s="131" t="s">
        <v>100</v>
      </c>
      <c r="M3447" s="135" t="s">
        <v>845</v>
      </c>
      <c r="N3447" s="123" t="s">
        <v>845</v>
      </c>
    </row>
    <row r="3448" spans="2:14" hidden="1" x14ac:dyDescent="0.25">
      <c r="B3448" s="120">
        <v>3445</v>
      </c>
      <c r="C3448" s="123">
        <v>10193229978</v>
      </c>
      <c r="D3448" s="126" t="s">
        <v>12765</v>
      </c>
      <c r="E3448" s="126" t="s">
        <v>12766</v>
      </c>
      <c r="F3448" s="123" t="s">
        <v>30</v>
      </c>
      <c r="G3448" s="123" t="s">
        <v>30</v>
      </c>
      <c r="H3448" s="123" t="s">
        <v>60</v>
      </c>
      <c r="I3448" s="126" t="s">
        <v>1936</v>
      </c>
      <c r="J3448" s="123" t="s">
        <v>12767</v>
      </c>
      <c r="K3448" s="123" t="s">
        <v>12768</v>
      </c>
      <c r="L3448" s="131" t="s">
        <v>100</v>
      </c>
      <c r="M3448" s="135" t="s">
        <v>845</v>
      </c>
      <c r="N3448" s="123" t="s">
        <v>845</v>
      </c>
    </row>
    <row r="3449" spans="2:14" hidden="1" x14ac:dyDescent="0.25">
      <c r="B3449" s="120">
        <v>3446</v>
      </c>
      <c r="C3449" s="123">
        <v>10479507622</v>
      </c>
      <c r="D3449" s="126" t="s">
        <v>12769</v>
      </c>
      <c r="E3449" s="126" t="s">
        <v>12770</v>
      </c>
      <c r="F3449" s="123" t="s">
        <v>30</v>
      </c>
      <c r="G3449" s="123" t="s">
        <v>30</v>
      </c>
      <c r="H3449" s="123" t="s">
        <v>250</v>
      </c>
      <c r="I3449" s="126" t="s">
        <v>9103</v>
      </c>
      <c r="J3449" s="123" t="s">
        <v>12771</v>
      </c>
      <c r="K3449" s="123" t="s">
        <v>12769</v>
      </c>
      <c r="L3449" s="131" t="s">
        <v>100</v>
      </c>
      <c r="M3449" s="135" t="s">
        <v>845</v>
      </c>
      <c r="N3449" s="123" t="s">
        <v>845</v>
      </c>
    </row>
    <row r="3450" spans="2:14" hidden="1" x14ac:dyDescent="0.25">
      <c r="B3450" s="120">
        <v>3447</v>
      </c>
      <c r="C3450" s="123">
        <v>10436778355</v>
      </c>
      <c r="D3450" s="126" t="s">
        <v>12772</v>
      </c>
      <c r="E3450" s="126" t="s">
        <v>12773</v>
      </c>
      <c r="F3450" s="123" t="s">
        <v>30</v>
      </c>
      <c r="G3450" s="123" t="s">
        <v>30</v>
      </c>
      <c r="H3450" s="123" t="s">
        <v>51</v>
      </c>
      <c r="I3450" s="126" t="s">
        <v>12774</v>
      </c>
      <c r="J3450" s="123" t="s">
        <v>12775</v>
      </c>
      <c r="K3450" s="123" t="s">
        <v>12776</v>
      </c>
      <c r="L3450" s="131" t="s">
        <v>100</v>
      </c>
      <c r="M3450" s="135" t="s">
        <v>845</v>
      </c>
      <c r="N3450" s="123" t="s">
        <v>845</v>
      </c>
    </row>
    <row r="3451" spans="2:14" hidden="1" x14ac:dyDescent="0.25">
      <c r="B3451" s="120">
        <v>3448</v>
      </c>
      <c r="C3451" s="123">
        <v>10422292395</v>
      </c>
      <c r="D3451" s="126" t="s">
        <v>12777</v>
      </c>
      <c r="E3451" s="126" t="s">
        <v>12778</v>
      </c>
      <c r="F3451" s="123" t="s">
        <v>30</v>
      </c>
      <c r="G3451" s="123" t="s">
        <v>30</v>
      </c>
      <c r="H3451" s="123" t="s">
        <v>45</v>
      </c>
      <c r="I3451" s="126" t="s">
        <v>1967</v>
      </c>
      <c r="J3451" s="123" t="s">
        <v>12779</v>
      </c>
      <c r="K3451" s="123" t="s">
        <v>12780</v>
      </c>
      <c r="L3451" s="131" t="s">
        <v>100</v>
      </c>
      <c r="M3451" s="135" t="s">
        <v>845</v>
      </c>
      <c r="N3451" s="123" t="s">
        <v>845</v>
      </c>
    </row>
    <row r="3452" spans="2:14" hidden="1" x14ac:dyDescent="0.25">
      <c r="B3452" s="120">
        <v>3449</v>
      </c>
      <c r="C3452" s="123">
        <v>10094281224</v>
      </c>
      <c r="D3452" s="126" t="s">
        <v>12781</v>
      </c>
      <c r="E3452" s="126" t="s">
        <v>12782</v>
      </c>
      <c r="F3452" s="123" t="s">
        <v>30</v>
      </c>
      <c r="G3452" s="123" t="s">
        <v>30</v>
      </c>
      <c r="H3452" s="123" t="s">
        <v>88</v>
      </c>
      <c r="I3452" s="126" t="s">
        <v>1930</v>
      </c>
      <c r="J3452" s="123" t="s">
        <v>12783</v>
      </c>
      <c r="K3452" s="123" t="s">
        <v>12784</v>
      </c>
      <c r="L3452" s="131" t="s">
        <v>100</v>
      </c>
      <c r="M3452" s="135" t="s">
        <v>845</v>
      </c>
      <c r="N3452" s="123" t="s">
        <v>845</v>
      </c>
    </row>
    <row r="3453" spans="2:14" hidden="1" x14ac:dyDescent="0.25">
      <c r="B3453" s="120">
        <v>3450</v>
      </c>
      <c r="C3453" s="123">
        <v>10412392219</v>
      </c>
      <c r="D3453" s="126" t="s">
        <v>12785</v>
      </c>
      <c r="E3453" s="126" t="s">
        <v>12786</v>
      </c>
      <c r="F3453" s="123" t="s">
        <v>30</v>
      </c>
      <c r="G3453" s="123" t="s">
        <v>30</v>
      </c>
      <c r="H3453" s="123" t="s">
        <v>34</v>
      </c>
      <c r="I3453" s="126" t="s">
        <v>1936</v>
      </c>
      <c r="J3453" s="123" t="s">
        <v>12787</v>
      </c>
      <c r="K3453" s="123" t="s">
        <v>12785</v>
      </c>
      <c r="L3453" s="131" t="s">
        <v>100</v>
      </c>
      <c r="M3453" s="135" t="s">
        <v>845</v>
      </c>
      <c r="N3453" s="123" t="s">
        <v>845</v>
      </c>
    </row>
    <row r="3454" spans="2:14" hidden="1" x14ac:dyDescent="0.25">
      <c r="B3454" s="120">
        <v>3451</v>
      </c>
      <c r="C3454" s="123">
        <v>10727337721</v>
      </c>
      <c r="D3454" s="126" t="s">
        <v>12788</v>
      </c>
      <c r="E3454" s="126" t="s">
        <v>12789</v>
      </c>
      <c r="F3454" s="123" t="s">
        <v>30</v>
      </c>
      <c r="G3454" s="123" t="s">
        <v>30</v>
      </c>
      <c r="H3454" s="123" t="s">
        <v>50</v>
      </c>
      <c r="I3454" s="126" t="s">
        <v>1441</v>
      </c>
      <c r="J3454" s="123" t="s">
        <v>12790</v>
      </c>
      <c r="K3454" s="123" t="s">
        <v>12788</v>
      </c>
      <c r="L3454" s="131" t="s">
        <v>100</v>
      </c>
      <c r="M3454" s="135" t="s">
        <v>845</v>
      </c>
      <c r="N3454" s="123" t="s">
        <v>845</v>
      </c>
    </row>
    <row r="3455" spans="2:14" hidden="1" x14ac:dyDescent="0.25">
      <c r="B3455" s="120">
        <v>3452</v>
      </c>
      <c r="C3455" s="123">
        <v>10775408222</v>
      </c>
      <c r="D3455" s="126" t="s">
        <v>12791</v>
      </c>
      <c r="E3455" s="126" t="s">
        <v>12792</v>
      </c>
      <c r="F3455" s="123" t="s">
        <v>30</v>
      </c>
      <c r="G3455" s="123" t="s">
        <v>30</v>
      </c>
      <c r="H3455" s="123" t="s">
        <v>30</v>
      </c>
      <c r="I3455" s="126" t="s">
        <v>1944</v>
      </c>
      <c r="J3455" s="123" t="s">
        <v>12793</v>
      </c>
      <c r="K3455" s="123" t="s">
        <v>12791</v>
      </c>
      <c r="L3455" s="131" t="s">
        <v>100</v>
      </c>
      <c r="M3455" s="135" t="s">
        <v>845</v>
      </c>
      <c r="N3455" s="123" t="s">
        <v>845</v>
      </c>
    </row>
    <row r="3456" spans="2:14" hidden="1" x14ac:dyDescent="0.25">
      <c r="B3456" s="120">
        <v>3453</v>
      </c>
      <c r="C3456" s="123">
        <v>10803746406</v>
      </c>
      <c r="D3456" s="126" t="s">
        <v>12794</v>
      </c>
      <c r="E3456" s="126" t="s">
        <v>12795</v>
      </c>
      <c r="F3456" s="123" t="s">
        <v>30</v>
      </c>
      <c r="G3456" s="123" t="s">
        <v>30</v>
      </c>
      <c r="H3456" s="123" t="s">
        <v>51</v>
      </c>
      <c r="I3456" s="126" t="s">
        <v>8743</v>
      </c>
      <c r="J3456" s="123" t="s">
        <v>12796</v>
      </c>
      <c r="K3456" s="123" t="s">
        <v>12794</v>
      </c>
      <c r="L3456" s="131" t="s">
        <v>100</v>
      </c>
      <c r="M3456" s="135" t="s">
        <v>845</v>
      </c>
      <c r="N3456" s="123" t="s">
        <v>845</v>
      </c>
    </row>
    <row r="3457" spans="2:14" hidden="1" x14ac:dyDescent="0.25">
      <c r="B3457" s="120">
        <v>3454</v>
      </c>
      <c r="C3457" s="123">
        <v>15425534685</v>
      </c>
      <c r="D3457" s="126" t="s">
        <v>12797</v>
      </c>
      <c r="E3457" s="126" t="s">
        <v>12798</v>
      </c>
      <c r="F3457" s="123" t="s">
        <v>30</v>
      </c>
      <c r="G3457" s="123" t="s">
        <v>30</v>
      </c>
      <c r="H3457" s="123" t="s">
        <v>103</v>
      </c>
      <c r="I3457" s="126" t="s">
        <v>1701</v>
      </c>
      <c r="J3457" s="123" t="s">
        <v>12799</v>
      </c>
      <c r="K3457" s="123" t="s">
        <v>12797</v>
      </c>
      <c r="L3457" s="131" t="s">
        <v>100</v>
      </c>
      <c r="M3457" s="135" t="s">
        <v>845</v>
      </c>
      <c r="N3457" s="123" t="s">
        <v>845</v>
      </c>
    </row>
    <row r="3458" spans="2:14" hidden="1" x14ac:dyDescent="0.25">
      <c r="B3458" s="120">
        <v>3455</v>
      </c>
      <c r="C3458" s="123">
        <v>10157625778</v>
      </c>
      <c r="D3458" s="126" t="s">
        <v>12800</v>
      </c>
      <c r="E3458" s="126" t="s">
        <v>12801</v>
      </c>
      <c r="F3458" s="123" t="s">
        <v>30</v>
      </c>
      <c r="G3458" s="123" t="s">
        <v>170</v>
      </c>
      <c r="H3458" s="123" t="s">
        <v>170</v>
      </c>
      <c r="I3458" s="126" t="s">
        <v>1935</v>
      </c>
      <c r="J3458" s="123" t="s">
        <v>12802</v>
      </c>
      <c r="K3458" s="123" t="s">
        <v>12800</v>
      </c>
      <c r="L3458" s="131" t="s">
        <v>100</v>
      </c>
      <c r="M3458" s="135" t="s">
        <v>845</v>
      </c>
      <c r="N3458" s="123" t="s">
        <v>845</v>
      </c>
    </row>
    <row r="3459" spans="2:14" hidden="1" x14ac:dyDescent="0.25">
      <c r="B3459" s="120">
        <v>3456</v>
      </c>
      <c r="C3459" s="123">
        <v>10448468289</v>
      </c>
      <c r="D3459" s="126" t="s">
        <v>12803</v>
      </c>
      <c r="E3459" s="126" t="s">
        <v>12804</v>
      </c>
      <c r="F3459" s="123" t="s">
        <v>30</v>
      </c>
      <c r="G3459" s="123" t="s">
        <v>168</v>
      </c>
      <c r="H3459" s="123" t="s">
        <v>168</v>
      </c>
      <c r="I3459" s="126" t="s">
        <v>1502</v>
      </c>
      <c r="J3459" s="123" t="s">
        <v>12805</v>
      </c>
      <c r="K3459" s="123" t="s">
        <v>12806</v>
      </c>
      <c r="L3459" s="131" t="s">
        <v>100</v>
      </c>
      <c r="M3459" s="135" t="s">
        <v>845</v>
      </c>
      <c r="N3459" s="123" t="s">
        <v>845</v>
      </c>
    </row>
    <row r="3460" spans="2:14" hidden="1" x14ac:dyDescent="0.25">
      <c r="B3460" s="120">
        <v>3457</v>
      </c>
      <c r="C3460" s="123">
        <v>10429886941</v>
      </c>
      <c r="D3460" s="126" t="s">
        <v>12807</v>
      </c>
      <c r="E3460" s="126" t="s">
        <v>12808</v>
      </c>
      <c r="F3460" s="123" t="s">
        <v>30</v>
      </c>
      <c r="G3460" s="123" t="s">
        <v>30</v>
      </c>
      <c r="H3460" s="123" t="s">
        <v>41</v>
      </c>
      <c r="I3460" s="126" t="s">
        <v>1941</v>
      </c>
      <c r="J3460" s="123" t="s">
        <v>12809</v>
      </c>
      <c r="K3460" s="123" t="s">
        <v>12810</v>
      </c>
      <c r="L3460" s="131" t="s">
        <v>100</v>
      </c>
      <c r="M3460" s="135" t="s">
        <v>845</v>
      </c>
      <c r="N3460" s="123" t="s">
        <v>845</v>
      </c>
    </row>
    <row r="3461" spans="2:14" hidden="1" x14ac:dyDescent="0.25">
      <c r="B3461" s="120">
        <v>3458</v>
      </c>
      <c r="C3461" s="123">
        <v>10763965533</v>
      </c>
      <c r="D3461" s="126" t="s">
        <v>12811</v>
      </c>
      <c r="E3461" s="126" t="s">
        <v>12812</v>
      </c>
      <c r="F3461" s="123" t="s">
        <v>30</v>
      </c>
      <c r="G3461" s="123" t="s">
        <v>30</v>
      </c>
      <c r="H3461" s="123" t="s">
        <v>45</v>
      </c>
      <c r="I3461" s="126" t="s">
        <v>1701</v>
      </c>
      <c r="J3461" s="123" t="s">
        <v>12813</v>
      </c>
      <c r="K3461" s="123" t="s">
        <v>12814</v>
      </c>
      <c r="L3461" s="131" t="s">
        <v>100</v>
      </c>
      <c r="M3461" s="135" t="s">
        <v>845</v>
      </c>
      <c r="N3461" s="123" t="s">
        <v>845</v>
      </c>
    </row>
    <row r="3462" spans="2:14" hidden="1" x14ac:dyDescent="0.25">
      <c r="B3462" s="120">
        <v>3459</v>
      </c>
      <c r="C3462" s="123">
        <v>10461399661</v>
      </c>
      <c r="D3462" s="126" t="s">
        <v>12815</v>
      </c>
      <c r="E3462" s="126" t="s">
        <v>12816</v>
      </c>
      <c r="F3462" s="123" t="s">
        <v>30</v>
      </c>
      <c r="G3462" s="123" t="s">
        <v>30</v>
      </c>
      <c r="H3462" s="123" t="s">
        <v>50</v>
      </c>
      <c r="I3462" s="126" t="s">
        <v>1950</v>
      </c>
      <c r="J3462" s="123" t="s">
        <v>12817</v>
      </c>
      <c r="K3462" s="123" t="s">
        <v>12815</v>
      </c>
      <c r="L3462" s="131" t="s">
        <v>100</v>
      </c>
      <c r="M3462" s="135" t="s">
        <v>845</v>
      </c>
      <c r="N3462" s="123" t="s">
        <v>845</v>
      </c>
    </row>
    <row r="3463" spans="2:14" hidden="1" x14ac:dyDescent="0.25">
      <c r="B3463" s="120">
        <v>3460</v>
      </c>
      <c r="C3463" s="123">
        <v>10423231861</v>
      </c>
      <c r="D3463" s="126" t="s">
        <v>12818</v>
      </c>
      <c r="E3463" s="126" t="s">
        <v>12819</v>
      </c>
      <c r="F3463" s="123" t="s">
        <v>30</v>
      </c>
      <c r="G3463" s="123" t="s">
        <v>54</v>
      </c>
      <c r="H3463" s="123" t="s">
        <v>54</v>
      </c>
      <c r="I3463" s="126" t="s">
        <v>1701</v>
      </c>
      <c r="J3463" s="123" t="s">
        <v>12820</v>
      </c>
      <c r="K3463" s="123" t="s">
        <v>12818</v>
      </c>
      <c r="L3463" s="131" t="s">
        <v>100</v>
      </c>
      <c r="M3463" s="135" t="s">
        <v>845</v>
      </c>
      <c r="N3463" s="123" t="s">
        <v>845</v>
      </c>
    </row>
    <row r="3464" spans="2:14" hidden="1" x14ac:dyDescent="0.25">
      <c r="B3464" s="120">
        <v>3461</v>
      </c>
      <c r="C3464" s="123">
        <v>10081824181</v>
      </c>
      <c r="D3464" s="126" t="s">
        <v>12821</v>
      </c>
      <c r="E3464" s="126" t="s">
        <v>12822</v>
      </c>
      <c r="F3464" s="123" t="s">
        <v>30</v>
      </c>
      <c r="G3464" s="123" t="s">
        <v>30</v>
      </c>
      <c r="H3464" s="123" t="s">
        <v>135</v>
      </c>
      <c r="I3464" s="126" t="s">
        <v>1954</v>
      </c>
      <c r="J3464" s="123" t="s">
        <v>12823</v>
      </c>
      <c r="K3464" s="123" t="s">
        <v>12824</v>
      </c>
      <c r="L3464" s="131" t="s">
        <v>100</v>
      </c>
      <c r="M3464" s="135" t="s">
        <v>845</v>
      </c>
      <c r="N3464" s="123" t="s">
        <v>845</v>
      </c>
    </row>
    <row r="3465" spans="2:14" hidden="1" x14ac:dyDescent="0.25">
      <c r="B3465" s="120">
        <v>3462</v>
      </c>
      <c r="C3465" s="123">
        <v>10415549364</v>
      </c>
      <c r="D3465" s="126" t="s">
        <v>12825</v>
      </c>
      <c r="E3465" s="126" t="s">
        <v>12826</v>
      </c>
      <c r="F3465" s="123" t="s">
        <v>30</v>
      </c>
      <c r="G3465" s="123" t="s">
        <v>30</v>
      </c>
      <c r="H3465" s="123" t="s">
        <v>58</v>
      </c>
      <c r="I3465" s="126" t="s">
        <v>1701</v>
      </c>
      <c r="J3465" s="123" t="s">
        <v>12827</v>
      </c>
      <c r="K3465" s="123" t="s">
        <v>12825</v>
      </c>
      <c r="L3465" s="131" t="s">
        <v>100</v>
      </c>
      <c r="M3465" s="135" t="s">
        <v>845</v>
      </c>
      <c r="N3465" s="123" t="s">
        <v>845</v>
      </c>
    </row>
    <row r="3466" spans="2:14" hidden="1" x14ac:dyDescent="0.25">
      <c r="B3466" s="120">
        <v>3463</v>
      </c>
      <c r="C3466" s="123">
        <v>10414874741</v>
      </c>
      <c r="D3466" s="126" t="s">
        <v>12828</v>
      </c>
      <c r="E3466" s="126" t="s">
        <v>12829</v>
      </c>
      <c r="F3466" s="123" t="s">
        <v>30</v>
      </c>
      <c r="G3466" s="123" t="s">
        <v>30</v>
      </c>
      <c r="H3466" s="123" t="s">
        <v>75</v>
      </c>
      <c r="I3466" s="126" t="s">
        <v>1805</v>
      </c>
      <c r="J3466" s="123" t="s">
        <v>12830</v>
      </c>
      <c r="K3466" s="123" t="s">
        <v>12831</v>
      </c>
      <c r="L3466" s="131" t="s">
        <v>100</v>
      </c>
      <c r="M3466" s="135" t="s">
        <v>845</v>
      </c>
      <c r="N3466" s="123" t="s">
        <v>845</v>
      </c>
    </row>
    <row r="3467" spans="2:14" hidden="1" x14ac:dyDescent="0.25">
      <c r="B3467" s="120">
        <v>3464</v>
      </c>
      <c r="C3467" s="123">
        <v>10211190511</v>
      </c>
      <c r="D3467" s="126" t="s">
        <v>12832</v>
      </c>
      <c r="E3467" s="126" t="s">
        <v>12833</v>
      </c>
      <c r="F3467" s="123" t="s">
        <v>30</v>
      </c>
      <c r="G3467" s="123" t="s">
        <v>30</v>
      </c>
      <c r="H3467" s="123" t="s">
        <v>51</v>
      </c>
      <c r="I3467" s="126" t="s">
        <v>1701</v>
      </c>
      <c r="J3467" s="123" t="s">
        <v>12834</v>
      </c>
      <c r="K3467" s="123" t="s">
        <v>12832</v>
      </c>
      <c r="L3467" s="131" t="s">
        <v>100</v>
      </c>
      <c r="M3467" s="135" t="s">
        <v>845</v>
      </c>
      <c r="N3467" s="123" t="s">
        <v>845</v>
      </c>
    </row>
    <row r="3468" spans="2:14" hidden="1" x14ac:dyDescent="0.25">
      <c r="B3468" s="120">
        <v>3465</v>
      </c>
      <c r="C3468" s="123">
        <v>10442983548</v>
      </c>
      <c r="D3468" s="126" t="s">
        <v>12835</v>
      </c>
      <c r="E3468" s="126" t="s">
        <v>12836</v>
      </c>
      <c r="F3468" s="123" t="s">
        <v>30</v>
      </c>
      <c r="G3468" s="123" t="s">
        <v>54</v>
      </c>
      <c r="H3468" s="123" t="s">
        <v>54</v>
      </c>
      <c r="I3468" s="126" t="s">
        <v>1564</v>
      </c>
      <c r="J3468" s="123" t="s">
        <v>12837</v>
      </c>
      <c r="K3468" s="123" t="s">
        <v>12835</v>
      </c>
      <c r="L3468" s="131" t="s">
        <v>100</v>
      </c>
      <c r="M3468" s="135" t="s">
        <v>845</v>
      </c>
      <c r="N3468" s="123" t="s">
        <v>845</v>
      </c>
    </row>
    <row r="3469" spans="2:14" hidden="1" x14ac:dyDescent="0.25">
      <c r="B3469" s="120">
        <v>3466</v>
      </c>
      <c r="C3469" s="123">
        <v>10402472362</v>
      </c>
      <c r="D3469" s="126" t="s">
        <v>12838</v>
      </c>
      <c r="E3469" s="126" t="s">
        <v>12839</v>
      </c>
      <c r="F3469" s="123" t="s">
        <v>30</v>
      </c>
      <c r="G3469" s="123" t="s">
        <v>30</v>
      </c>
      <c r="H3469" s="123" t="s">
        <v>72</v>
      </c>
      <c r="I3469" s="126" t="s">
        <v>1701</v>
      </c>
      <c r="J3469" s="123" t="s">
        <v>12840</v>
      </c>
      <c r="K3469" s="123" t="s">
        <v>12838</v>
      </c>
      <c r="L3469" s="131" t="s">
        <v>100</v>
      </c>
      <c r="M3469" s="135" t="s">
        <v>845</v>
      </c>
      <c r="N3469" s="123" t="s">
        <v>845</v>
      </c>
    </row>
    <row r="3470" spans="2:14" hidden="1" x14ac:dyDescent="0.25">
      <c r="B3470" s="120">
        <v>3467</v>
      </c>
      <c r="C3470" s="123">
        <v>10437260481</v>
      </c>
      <c r="D3470" s="126" t="s">
        <v>12841</v>
      </c>
      <c r="E3470" s="126" t="s">
        <v>12842</v>
      </c>
      <c r="F3470" s="123" t="s">
        <v>30</v>
      </c>
      <c r="G3470" s="123" t="s">
        <v>30</v>
      </c>
      <c r="H3470" s="123" t="s">
        <v>43</v>
      </c>
      <c r="I3470" s="126" t="s">
        <v>1701</v>
      </c>
      <c r="J3470" s="123" t="s">
        <v>12843</v>
      </c>
      <c r="K3470" s="123" t="s">
        <v>12841</v>
      </c>
      <c r="L3470" s="131" t="s">
        <v>100</v>
      </c>
      <c r="M3470" s="135" t="s">
        <v>845</v>
      </c>
      <c r="N3470" s="123" t="s">
        <v>845</v>
      </c>
    </row>
    <row r="3471" spans="2:14" hidden="1" x14ac:dyDescent="0.25">
      <c r="B3471" s="120">
        <v>3468</v>
      </c>
      <c r="C3471" s="123">
        <v>10434335961</v>
      </c>
      <c r="D3471" s="126" t="s">
        <v>12844</v>
      </c>
      <c r="E3471" s="126" t="s">
        <v>12845</v>
      </c>
      <c r="F3471" s="123" t="s">
        <v>30</v>
      </c>
      <c r="G3471" s="123" t="s">
        <v>30</v>
      </c>
      <c r="H3471" s="123" t="s">
        <v>41</v>
      </c>
      <c r="I3471" s="126" t="s">
        <v>1564</v>
      </c>
      <c r="J3471" s="123" t="s">
        <v>12846</v>
      </c>
      <c r="K3471" s="123" t="s">
        <v>12844</v>
      </c>
      <c r="L3471" s="131" t="s">
        <v>100</v>
      </c>
      <c r="M3471" s="135" t="s">
        <v>845</v>
      </c>
      <c r="N3471" s="123" t="s">
        <v>845</v>
      </c>
    </row>
    <row r="3472" spans="2:14" hidden="1" x14ac:dyDescent="0.25">
      <c r="B3472" s="120">
        <v>3469</v>
      </c>
      <c r="C3472" s="123">
        <v>10415307565</v>
      </c>
      <c r="D3472" s="126" t="s">
        <v>12847</v>
      </c>
      <c r="E3472" s="126" t="s">
        <v>12848</v>
      </c>
      <c r="F3472" s="123" t="s">
        <v>30</v>
      </c>
      <c r="G3472" s="123" t="s">
        <v>168</v>
      </c>
      <c r="H3472" s="123" t="s">
        <v>168</v>
      </c>
      <c r="I3472" s="126" t="s">
        <v>1805</v>
      </c>
      <c r="J3472" s="123" t="s">
        <v>12849</v>
      </c>
      <c r="K3472" s="123" t="s">
        <v>12847</v>
      </c>
      <c r="L3472" s="131" t="s">
        <v>100</v>
      </c>
      <c r="M3472" s="135" t="s">
        <v>845</v>
      </c>
      <c r="N3472" s="123" t="s">
        <v>845</v>
      </c>
    </row>
    <row r="3473" spans="2:14" hidden="1" x14ac:dyDescent="0.25">
      <c r="B3473" s="120">
        <v>3470</v>
      </c>
      <c r="C3473" s="123">
        <v>10230186346</v>
      </c>
      <c r="D3473" s="126" t="s">
        <v>12850</v>
      </c>
      <c r="E3473" s="126" t="s">
        <v>12851</v>
      </c>
      <c r="F3473" s="123" t="s">
        <v>30</v>
      </c>
      <c r="G3473" s="123" t="s">
        <v>30</v>
      </c>
      <c r="H3473" s="123" t="s">
        <v>397</v>
      </c>
      <c r="I3473" s="126" t="s">
        <v>1939</v>
      </c>
      <c r="J3473" s="123" t="s">
        <v>12852</v>
      </c>
      <c r="K3473" s="123" t="s">
        <v>12853</v>
      </c>
      <c r="L3473" s="131" t="s">
        <v>100</v>
      </c>
      <c r="M3473" s="135" t="s">
        <v>845</v>
      </c>
      <c r="N3473" s="123" t="s">
        <v>845</v>
      </c>
    </row>
    <row r="3474" spans="2:14" hidden="1" x14ac:dyDescent="0.25">
      <c r="B3474" s="120">
        <v>3471</v>
      </c>
      <c r="C3474" s="123">
        <v>10096263835</v>
      </c>
      <c r="D3474" s="126" t="s">
        <v>12854</v>
      </c>
      <c r="E3474" s="126" t="s">
        <v>12855</v>
      </c>
      <c r="F3474" s="123" t="s">
        <v>30</v>
      </c>
      <c r="G3474" s="123" t="s">
        <v>30</v>
      </c>
      <c r="H3474" s="123" t="s">
        <v>65</v>
      </c>
      <c r="I3474" s="126" t="s">
        <v>1931</v>
      </c>
      <c r="J3474" s="123" t="s">
        <v>12856</v>
      </c>
      <c r="K3474" s="123" t="s">
        <v>12854</v>
      </c>
      <c r="L3474" s="131" t="s">
        <v>100</v>
      </c>
      <c r="M3474" s="135" t="s">
        <v>845</v>
      </c>
      <c r="N3474" s="123" t="s">
        <v>845</v>
      </c>
    </row>
    <row r="3475" spans="2:14" hidden="1" x14ac:dyDescent="0.25">
      <c r="B3475" s="120">
        <v>3472</v>
      </c>
      <c r="C3475" s="123">
        <v>10601573828</v>
      </c>
      <c r="D3475" s="126" t="s">
        <v>12857</v>
      </c>
      <c r="E3475" s="126" t="s">
        <v>12858</v>
      </c>
      <c r="F3475" s="123" t="s">
        <v>30</v>
      </c>
      <c r="G3475" s="123" t="s">
        <v>30</v>
      </c>
      <c r="H3475" s="123" t="s">
        <v>58</v>
      </c>
      <c r="I3475" s="126" t="s">
        <v>12735</v>
      </c>
      <c r="J3475" s="123" t="s">
        <v>12859</v>
      </c>
      <c r="K3475" s="123" t="s">
        <v>12857</v>
      </c>
      <c r="L3475" s="131" t="s">
        <v>100</v>
      </c>
      <c r="M3475" s="135" t="s">
        <v>845</v>
      </c>
      <c r="N3475" s="123" t="s">
        <v>845</v>
      </c>
    </row>
    <row r="3476" spans="2:14" hidden="1" x14ac:dyDescent="0.25">
      <c r="B3476" s="120">
        <v>3473</v>
      </c>
      <c r="C3476" s="123">
        <v>10484738853</v>
      </c>
      <c r="D3476" s="126" t="s">
        <v>12860</v>
      </c>
      <c r="E3476" s="126" t="s">
        <v>12861</v>
      </c>
      <c r="F3476" s="123" t="s">
        <v>30</v>
      </c>
      <c r="G3476" s="123" t="s">
        <v>30</v>
      </c>
      <c r="H3476" s="123" t="s">
        <v>80</v>
      </c>
      <c r="I3476" s="126" t="s">
        <v>1194</v>
      </c>
      <c r="J3476" s="123" t="s">
        <v>12862</v>
      </c>
      <c r="K3476" s="123" t="s">
        <v>12863</v>
      </c>
      <c r="L3476" s="131" t="s">
        <v>100</v>
      </c>
      <c r="M3476" s="135" t="s">
        <v>845</v>
      </c>
      <c r="N3476" s="123" t="s">
        <v>845</v>
      </c>
    </row>
    <row r="3477" spans="2:14" hidden="1" x14ac:dyDescent="0.25">
      <c r="B3477" s="120">
        <v>3474</v>
      </c>
      <c r="C3477" s="123">
        <v>10090499055</v>
      </c>
      <c r="D3477" s="126" t="s">
        <v>12864</v>
      </c>
      <c r="E3477" s="126" t="s">
        <v>12865</v>
      </c>
      <c r="F3477" s="123" t="s">
        <v>30</v>
      </c>
      <c r="G3477" s="123" t="s">
        <v>30</v>
      </c>
      <c r="H3477" s="123" t="s">
        <v>88</v>
      </c>
      <c r="I3477" s="126" t="s">
        <v>1441</v>
      </c>
      <c r="J3477" s="123" t="s">
        <v>12866</v>
      </c>
      <c r="K3477" s="123" t="s">
        <v>12864</v>
      </c>
      <c r="L3477" s="131" t="s">
        <v>100</v>
      </c>
      <c r="M3477" s="135" t="s">
        <v>845</v>
      </c>
      <c r="N3477" s="123" t="s">
        <v>845</v>
      </c>
    </row>
    <row r="3478" spans="2:14" hidden="1" x14ac:dyDescent="0.25">
      <c r="B3478" s="120">
        <v>3475</v>
      </c>
      <c r="C3478" s="123">
        <v>10414347547</v>
      </c>
      <c r="D3478" s="126" t="s">
        <v>12867</v>
      </c>
      <c r="E3478" s="126" t="s">
        <v>12868</v>
      </c>
      <c r="F3478" s="123" t="s">
        <v>30</v>
      </c>
      <c r="G3478" s="123" t="s">
        <v>30</v>
      </c>
      <c r="H3478" s="123" t="s">
        <v>75</v>
      </c>
      <c r="I3478" s="126" t="s">
        <v>1365</v>
      </c>
      <c r="J3478" s="123" t="s">
        <v>12869</v>
      </c>
      <c r="K3478" s="123" t="s">
        <v>12867</v>
      </c>
      <c r="L3478" s="131" t="s">
        <v>100</v>
      </c>
      <c r="M3478" s="135" t="s">
        <v>845</v>
      </c>
      <c r="N3478" s="123" t="s">
        <v>845</v>
      </c>
    </row>
    <row r="3479" spans="2:14" hidden="1" x14ac:dyDescent="0.25">
      <c r="B3479" s="120">
        <v>3476</v>
      </c>
      <c r="C3479" s="123">
        <v>10482224372</v>
      </c>
      <c r="D3479" s="126" t="s">
        <v>12870</v>
      </c>
      <c r="E3479" s="126" t="s">
        <v>12871</v>
      </c>
      <c r="F3479" s="123" t="s">
        <v>30</v>
      </c>
      <c r="G3479" s="123" t="s">
        <v>30</v>
      </c>
      <c r="H3479" s="123" t="s">
        <v>40</v>
      </c>
      <c r="I3479" s="126" t="s">
        <v>1942</v>
      </c>
      <c r="J3479" s="123" t="s">
        <v>12872</v>
      </c>
      <c r="K3479" s="123" t="s">
        <v>12870</v>
      </c>
      <c r="L3479" s="131" t="s">
        <v>100</v>
      </c>
      <c r="M3479" s="135" t="s">
        <v>845</v>
      </c>
      <c r="N3479" s="123" t="s">
        <v>845</v>
      </c>
    </row>
    <row r="3480" spans="2:14" hidden="1" x14ac:dyDescent="0.25">
      <c r="B3480" s="120">
        <v>3477</v>
      </c>
      <c r="C3480" s="123">
        <v>10207384394</v>
      </c>
      <c r="D3480" s="126" t="s">
        <v>12873</v>
      </c>
      <c r="E3480" s="126" t="s">
        <v>12874</v>
      </c>
      <c r="F3480" s="123" t="s">
        <v>30</v>
      </c>
      <c r="G3480" s="123" t="s">
        <v>30</v>
      </c>
      <c r="H3480" s="123" t="s">
        <v>38</v>
      </c>
      <c r="I3480" s="126" t="s">
        <v>1643</v>
      </c>
      <c r="J3480" s="123" t="s">
        <v>12875</v>
      </c>
      <c r="K3480" s="123" t="s">
        <v>12873</v>
      </c>
      <c r="L3480" s="131" t="s">
        <v>100</v>
      </c>
      <c r="M3480" s="135" t="s">
        <v>845</v>
      </c>
      <c r="N3480" s="123" t="s">
        <v>845</v>
      </c>
    </row>
    <row r="3481" spans="2:14" hidden="1" x14ac:dyDescent="0.25">
      <c r="B3481" s="120">
        <v>3478</v>
      </c>
      <c r="C3481" s="123">
        <v>10417045495</v>
      </c>
      <c r="D3481" s="126" t="s">
        <v>12876</v>
      </c>
      <c r="E3481" s="126" t="s">
        <v>12877</v>
      </c>
      <c r="F3481" s="123" t="s">
        <v>30</v>
      </c>
      <c r="G3481" s="123" t="s">
        <v>30</v>
      </c>
      <c r="H3481" s="123" t="s">
        <v>85</v>
      </c>
      <c r="I3481" s="126" t="s">
        <v>1701</v>
      </c>
      <c r="J3481" s="123" t="s">
        <v>12878</v>
      </c>
      <c r="K3481" s="123" t="s">
        <v>12876</v>
      </c>
      <c r="L3481" s="131" t="s">
        <v>100</v>
      </c>
      <c r="M3481" s="135" t="s">
        <v>845</v>
      </c>
      <c r="N3481" s="123" t="s">
        <v>845</v>
      </c>
    </row>
    <row r="3482" spans="2:14" hidden="1" x14ac:dyDescent="0.25">
      <c r="B3482" s="120">
        <v>3479</v>
      </c>
      <c r="C3482" s="123">
        <v>10485057825</v>
      </c>
      <c r="D3482" s="126" t="s">
        <v>12879</v>
      </c>
      <c r="E3482" s="126" t="s">
        <v>12880</v>
      </c>
      <c r="F3482" s="123" t="s">
        <v>30</v>
      </c>
      <c r="G3482" s="123" t="s">
        <v>30</v>
      </c>
      <c r="H3482" s="123" t="s">
        <v>41</v>
      </c>
      <c r="I3482" s="126" t="s">
        <v>8659</v>
      </c>
      <c r="J3482" s="123" t="s">
        <v>12881</v>
      </c>
      <c r="K3482" s="123" t="s">
        <v>12882</v>
      </c>
      <c r="L3482" s="131" t="s">
        <v>100</v>
      </c>
      <c r="M3482" s="135" t="s">
        <v>845</v>
      </c>
      <c r="N3482" s="123" t="s">
        <v>845</v>
      </c>
    </row>
    <row r="3483" spans="2:14" hidden="1" x14ac:dyDescent="0.25">
      <c r="B3483" s="120">
        <v>3480</v>
      </c>
      <c r="C3483" s="123">
        <v>10752803850</v>
      </c>
      <c r="D3483" s="126" t="s">
        <v>12883</v>
      </c>
      <c r="E3483" s="126" t="s">
        <v>12884</v>
      </c>
      <c r="F3483" s="123" t="s">
        <v>30</v>
      </c>
      <c r="G3483" s="123" t="s">
        <v>30</v>
      </c>
      <c r="H3483" s="123" t="s">
        <v>30</v>
      </c>
      <c r="I3483" s="126" t="s">
        <v>1941</v>
      </c>
      <c r="J3483" s="123" t="s">
        <v>12885</v>
      </c>
      <c r="K3483" s="123" t="s">
        <v>12886</v>
      </c>
      <c r="L3483" s="131" t="s">
        <v>100</v>
      </c>
      <c r="M3483" s="135" t="s">
        <v>845</v>
      </c>
      <c r="N3483" s="123" t="s">
        <v>845</v>
      </c>
    </row>
    <row r="3484" spans="2:14" hidden="1" x14ac:dyDescent="0.25">
      <c r="B3484" s="120">
        <v>3481</v>
      </c>
      <c r="C3484" s="123">
        <v>10158565582</v>
      </c>
      <c r="D3484" s="126" t="s">
        <v>12887</v>
      </c>
      <c r="E3484" s="126" t="s">
        <v>12888</v>
      </c>
      <c r="F3484" s="123" t="s">
        <v>30</v>
      </c>
      <c r="G3484" s="123" t="s">
        <v>168</v>
      </c>
      <c r="H3484" s="123" t="s">
        <v>168</v>
      </c>
      <c r="I3484" s="126" t="s">
        <v>1930</v>
      </c>
      <c r="J3484" s="123" t="s">
        <v>12889</v>
      </c>
      <c r="K3484" s="123" t="s">
        <v>12887</v>
      </c>
      <c r="L3484" s="131" t="s">
        <v>100</v>
      </c>
      <c r="M3484" s="135" t="s">
        <v>845</v>
      </c>
      <c r="N3484" s="123" t="s">
        <v>845</v>
      </c>
    </row>
    <row r="3485" spans="2:14" hidden="1" x14ac:dyDescent="0.25">
      <c r="B3485" s="120">
        <v>3482</v>
      </c>
      <c r="C3485" s="123">
        <v>10766504260</v>
      </c>
      <c r="D3485" s="126" t="s">
        <v>12890</v>
      </c>
      <c r="E3485" s="126" t="s">
        <v>12891</v>
      </c>
      <c r="F3485" s="123" t="s">
        <v>30</v>
      </c>
      <c r="G3485" s="123" t="s">
        <v>54</v>
      </c>
      <c r="H3485" s="123" t="s">
        <v>54</v>
      </c>
      <c r="I3485" s="126" t="s">
        <v>1950</v>
      </c>
      <c r="J3485" s="123" t="s">
        <v>12892</v>
      </c>
      <c r="K3485" s="123" t="s">
        <v>12890</v>
      </c>
      <c r="L3485" s="131" t="s">
        <v>100</v>
      </c>
      <c r="M3485" s="135" t="s">
        <v>845</v>
      </c>
      <c r="N3485" s="123" t="s">
        <v>845</v>
      </c>
    </row>
    <row r="3486" spans="2:14" hidden="1" x14ac:dyDescent="0.25">
      <c r="B3486" s="120">
        <v>3483</v>
      </c>
      <c r="C3486" s="123">
        <v>10470643957</v>
      </c>
      <c r="D3486" s="126" t="s">
        <v>12893</v>
      </c>
      <c r="E3486" s="126" t="s">
        <v>12894</v>
      </c>
      <c r="F3486" s="123" t="s">
        <v>30</v>
      </c>
      <c r="G3486" s="123" t="s">
        <v>54</v>
      </c>
      <c r="H3486" s="123" t="s">
        <v>55</v>
      </c>
      <c r="I3486" s="126" t="s">
        <v>1701</v>
      </c>
      <c r="J3486" s="123" t="s">
        <v>12895</v>
      </c>
      <c r="K3486" s="123" t="s">
        <v>12896</v>
      </c>
      <c r="L3486" s="131" t="s">
        <v>100</v>
      </c>
      <c r="M3486" s="135" t="s">
        <v>845</v>
      </c>
      <c r="N3486" s="123" t="s">
        <v>845</v>
      </c>
    </row>
    <row r="3487" spans="2:14" hidden="1" x14ac:dyDescent="0.25">
      <c r="B3487" s="120">
        <v>3484</v>
      </c>
      <c r="C3487" s="123">
        <v>10741712666</v>
      </c>
      <c r="D3487" s="126" t="s">
        <v>12897</v>
      </c>
      <c r="E3487" s="126" t="s">
        <v>12898</v>
      </c>
      <c r="F3487" s="123" t="s">
        <v>30</v>
      </c>
      <c r="G3487" s="123" t="s">
        <v>30</v>
      </c>
      <c r="H3487" s="123" t="s">
        <v>43</v>
      </c>
      <c r="I3487" s="126" t="s">
        <v>87</v>
      </c>
      <c r="J3487" s="123" t="s">
        <v>12899</v>
      </c>
      <c r="K3487" s="123" t="s">
        <v>12900</v>
      </c>
      <c r="L3487" s="131" t="s">
        <v>100</v>
      </c>
      <c r="M3487" s="135" t="s">
        <v>845</v>
      </c>
      <c r="N3487" s="123" t="s">
        <v>845</v>
      </c>
    </row>
    <row r="3488" spans="2:14" hidden="1" x14ac:dyDescent="0.25">
      <c r="B3488" s="120">
        <v>3485</v>
      </c>
      <c r="C3488" s="123">
        <v>10101414766</v>
      </c>
      <c r="D3488" s="126" t="s">
        <v>12901</v>
      </c>
      <c r="E3488" s="126" t="s">
        <v>12902</v>
      </c>
      <c r="F3488" s="123" t="s">
        <v>30</v>
      </c>
      <c r="G3488" s="123" t="s">
        <v>30</v>
      </c>
      <c r="H3488" s="123" t="s">
        <v>68</v>
      </c>
      <c r="I3488" s="126" t="s">
        <v>101</v>
      </c>
      <c r="J3488" s="123" t="s">
        <v>12903</v>
      </c>
      <c r="K3488" s="123" t="s">
        <v>12901</v>
      </c>
      <c r="L3488" s="131" t="s">
        <v>100</v>
      </c>
      <c r="M3488" s="135" t="s">
        <v>845</v>
      </c>
      <c r="N3488" s="123" t="s">
        <v>845</v>
      </c>
    </row>
    <row r="3489" spans="2:14" hidden="1" x14ac:dyDescent="0.25">
      <c r="B3489" s="120">
        <v>3486</v>
      </c>
      <c r="C3489" s="123">
        <v>10424014546</v>
      </c>
      <c r="D3489" s="126" t="s">
        <v>12904</v>
      </c>
      <c r="E3489" s="126" t="s">
        <v>12905</v>
      </c>
      <c r="F3489" s="123" t="s">
        <v>30</v>
      </c>
      <c r="G3489" s="123" t="s">
        <v>30</v>
      </c>
      <c r="H3489" s="123" t="s">
        <v>43</v>
      </c>
      <c r="I3489" s="126" t="s">
        <v>1424</v>
      </c>
      <c r="J3489" s="123" t="s">
        <v>12906</v>
      </c>
      <c r="K3489" s="123" t="s">
        <v>12904</v>
      </c>
      <c r="L3489" s="131" t="s">
        <v>100</v>
      </c>
      <c r="M3489" s="135" t="s">
        <v>845</v>
      </c>
      <c r="N3489" s="123" t="s">
        <v>845</v>
      </c>
    </row>
    <row r="3490" spans="2:14" hidden="1" x14ac:dyDescent="0.25">
      <c r="B3490" s="120">
        <v>3487</v>
      </c>
      <c r="C3490" s="123">
        <v>10800648071</v>
      </c>
      <c r="D3490" s="126" t="s">
        <v>12907</v>
      </c>
      <c r="E3490" s="126" t="s">
        <v>12908</v>
      </c>
      <c r="F3490" s="123" t="s">
        <v>30</v>
      </c>
      <c r="G3490" s="123" t="s">
        <v>30</v>
      </c>
      <c r="H3490" s="123" t="s">
        <v>50</v>
      </c>
      <c r="I3490" s="126" t="s">
        <v>1930</v>
      </c>
      <c r="J3490" s="123" t="s">
        <v>12909</v>
      </c>
      <c r="K3490" s="123" t="s">
        <v>12907</v>
      </c>
      <c r="L3490" s="131" t="s">
        <v>100</v>
      </c>
      <c r="M3490" s="135" t="s">
        <v>845</v>
      </c>
      <c r="N3490" s="123" t="s">
        <v>845</v>
      </c>
    </row>
    <row r="3491" spans="2:14" hidden="1" x14ac:dyDescent="0.25">
      <c r="B3491" s="120">
        <v>3488</v>
      </c>
      <c r="C3491" s="123">
        <v>10471746369</v>
      </c>
      <c r="D3491" s="126" t="s">
        <v>12910</v>
      </c>
      <c r="E3491" s="126" t="s">
        <v>12911</v>
      </c>
      <c r="F3491" s="123" t="s">
        <v>30</v>
      </c>
      <c r="G3491" s="123" t="s">
        <v>30</v>
      </c>
      <c r="H3491" s="123" t="s">
        <v>50</v>
      </c>
      <c r="I3491" s="126" t="s">
        <v>1930</v>
      </c>
      <c r="J3491" s="123" t="s">
        <v>12912</v>
      </c>
      <c r="K3491" s="123" t="s">
        <v>12913</v>
      </c>
      <c r="L3491" s="131" t="s">
        <v>100</v>
      </c>
      <c r="M3491" s="135" t="s">
        <v>845</v>
      </c>
      <c r="N3491" s="123" t="s">
        <v>845</v>
      </c>
    </row>
    <row r="3492" spans="2:14" hidden="1" x14ac:dyDescent="0.25">
      <c r="B3492" s="120">
        <v>3489</v>
      </c>
      <c r="C3492" s="123">
        <v>10461701740</v>
      </c>
      <c r="D3492" s="126" t="s">
        <v>12914</v>
      </c>
      <c r="E3492" s="126" t="s">
        <v>12915</v>
      </c>
      <c r="F3492" s="123" t="s">
        <v>30</v>
      </c>
      <c r="G3492" s="123" t="s">
        <v>30</v>
      </c>
      <c r="H3492" s="123" t="s">
        <v>39</v>
      </c>
      <c r="I3492" s="126" t="s">
        <v>1507</v>
      </c>
      <c r="J3492" s="123" t="s">
        <v>12916</v>
      </c>
      <c r="K3492" s="123" t="s">
        <v>12914</v>
      </c>
      <c r="L3492" s="131" t="s">
        <v>100</v>
      </c>
      <c r="M3492" s="135" t="s">
        <v>845</v>
      </c>
      <c r="N3492" s="123" t="s">
        <v>845</v>
      </c>
    </row>
    <row r="3493" spans="2:14" hidden="1" x14ac:dyDescent="0.25">
      <c r="B3493" s="120">
        <v>3490</v>
      </c>
      <c r="C3493" s="123">
        <v>10445675429</v>
      </c>
      <c r="D3493" s="126" t="s">
        <v>12917</v>
      </c>
      <c r="E3493" s="126" t="s">
        <v>12918</v>
      </c>
      <c r="F3493" s="123" t="s">
        <v>30</v>
      </c>
      <c r="G3493" s="123" t="s">
        <v>30</v>
      </c>
      <c r="H3493" s="123" t="s">
        <v>103</v>
      </c>
      <c r="I3493" s="126" t="s">
        <v>1424</v>
      </c>
      <c r="J3493" s="123" t="s">
        <v>12919</v>
      </c>
      <c r="K3493" s="123" t="s">
        <v>12917</v>
      </c>
      <c r="L3493" s="131" t="s">
        <v>100</v>
      </c>
      <c r="M3493" s="135" t="s">
        <v>845</v>
      </c>
      <c r="N3493" s="123" t="s">
        <v>845</v>
      </c>
    </row>
    <row r="3494" spans="2:14" hidden="1" x14ac:dyDescent="0.25">
      <c r="B3494" s="120">
        <v>3491</v>
      </c>
      <c r="C3494" s="123">
        <v>10404246882</v>
      </c>
      <c r="D3494" s="126" t="s">
        <v>12920</v>
      </c>
      <c r="E3494" s="126" t="s">
        <v>12921</v>
      </c>
      <c r="F3494" s="123" t="s">
        <v>30</v>
      </c>
      <c r="G3494" s="123" t="s">
        <v>31</v>
      </c>
      <c r="H3494" s="123" t="s">
        <v>32</v>
      </c>
      <c r="I3494" s="126" t="s">
        <v>1932</v>
      </c>
      <c r="J3494" s="123" t="s">
        <v>12922</v>
      </c>
      <c r="K3494" s="123" t="s">
        <v>12920</v>
      </c>
      <c r="L3494" s="131" t="s">
        <v>100</v>
      </c>
      <c r="M3494" s="135" t="s">
        <v>845</v>
      </c>
      <c r="N3494" s="123" t="s">
        <v>845</v>
      </c>
    </row>
    <row r="3495" spans="2:14" hidden="1" x14ac:dyDescent="0.25">
      <c r="B3495" s="120">
        <v>3492</v>
      </c>
      <c r="C3495" s="123">
        <v>10748659001</v>
      </c>
      <c r="D3495" s="126" t="s">
        <v>12923</v>
      </c>
      <c r="E3495" s="126" t="s">
        <v>12924</v>
      </c>
      <c r="F3495" s="123" t="s">
        <v>67</v>
      </c>
      <c r="G3495" s="123" t="s">
        <v>67</v>
      </c>
      <c r="H3495" s="123" t="s">
        <v>67</v>
      </c>
      <c r="I3495" s="126" t="s">
        <v>1706</v>
      </c>
      <c r="J3495" s="123" t="s">
        <v>12925</v>
      </c>
      <c r="K3495" s="123" t="s">
        <v>12923</v>
      </c>
      <c r="L3495" s="131" t="s">
        <v>100</v>
      </c>
      <c r="M3495" s="135" t="s">
        <v>845</v>
      </c>
      <c r="N3495" s="123" t="s">
        <v>845</v>
      </c>
    </row>
    <row r="3496" spans="2:14" hidden="1" x14ac:dyDescent="0.25">
      <c r="B3496" s="120">
        <v>3493</v>
      </c>
      <c r="C3496" s="123">
        <v>10061856965</v>
      </c>
      <c r="D3496" s="126" t="s">
        <v>12926</v>
      </c>
      <c r="E3496" s="126" t="s">
        <v>12927</v>
      </c>
      <c r="F3496" s="123" t="s">
        <v>30</v>
      </c>
      <c r="G3496" s="123" t="s">
        <v>30</v>
      </c>
      <c r="H3496" s="123" t="s">
        <v>30</v>
      </c>
      <c r="I3496" s="126" t="s">
        <v>1930</v>
      </c>
      <c r="J3496" s="123" t="s">
        <v>12928</v>
      </c>
      <c r="K3496" s="123" t="s">
        <v>12926</v>
      </c>
      <c r="L3496" s="131" t="s">
        <v>100</v>
      </c>
      <c r="M3496" s="135" t="s">
        <v>845</v>
      </c>
      <c r="N3496" s="123" t="s">
        <v>845</v>
      </c>
    </row>
    <row r="3497" spans="2:14" hidden="1" x14ac:dyDescent="0.25">
      <c r="B3497" s="120">
        <v>3494</v>
      </c>
      <c r="C3497" s="123">
        <v>10400626711</v>
      </c>
      <c r="D3497" s="126" t="s">
        <v>12929</v>
      </c>
      <c r="E3497" s="126" t="s">
        <v>12930</v>
      </c>
      <c r="F3497" s="123" t="s">
        <v>30</v>
      </c>
      <c r="G3497" s="123" t="s">
        <v>48</v>
      </c>
      <c r="H3497" s="123" t="s">
        <v>195</v>
      </c>
      <c r="I3497" s="126" t="s">
        <v>8698</v>
      </c>
      <c r="J3497" s="123" t="s">
        <v>12931</v>
      </c>
      <c r="K3497" s="123" t="s">
        <v>12929</v>
      </c>
      <c r="L3497" s="131" t="s">
        <v>100</v>
      </c>
      <c r="M3497" s="135" t="s">
        <v>845</v>
      </c>
      <c r="N3497" s="123" t="s">
        <v>845</v>
      </c>
    </row>
    <row r="3498" spans="2:14" hidden="1" x14ac:dyDescent="0.25">
      <c r="B3498" s="120">
        <v>3495</v>
      </c>
      <c r="C3498" s="123">
        <v>10732543479</v>
      </c>
      <c r="D3498" s="126" t="s">
        <v>12932</v>
      </c>
      <c r="E3498" s="126" t="s">
        <v>12933</v>
      </c>
      <c r="F3498" s="123" t="s">
        <v>30</v>
      </c>
      <c r="G3498" s="123" t="s">
        <v>30</v>
      </c>
      <c r="H3498" s="123" t="s">
        <v>30</v>
      </c>
      <c r="I3498" s="126" t="s">
        <v>1439</v>
      </c>
      <c r="J3498" s="123" t="s">
        <v>12934</v>
      </c>
      <c r="K3498" s="123" t="s">
        <v>12935</v>
      </c>
      <c r="L3498" s="131" t="s">
        <v>100</v>
      </c>
      <c r="M3498" s="135" t="s">
        <v>845</v>
      </c>
      <c r="N3498" s="123" t="s">
        <v>845</v>
      </c>
    </row>
    <row r="3499" spans="2:14" hidden="1" x14ac:dyDescent="0.25">
      <c r="B3499" s="120">
        <v>3496</v>
      </c>
      <c r="C3499" s="123">
        <v>10157206007</v>
      </c>
      <c r="D3499" s="126" t="s">
        <v>12936</v>
      </c>
      <c r="E3499" s="126" t="s">
        <v>12937</v>
      </c>
      <c r="F3499" s="123" t="s">
        <v>30</v>
      </c>
      <c r="G3499" s="123" t="s">
        <v>170</v>
      </c>
      <c r="H3499" s="123" t="s">
        <v>175</v>
      </c>
      <c r="I3499" s="126" t="s">
        <v>1424</v>
      </c>
      <c r="J3499" s="123" t="s">
        <v>12938</v>
      </c>
      <c r="K3499" s="123" t="s">
        <v>12936</v>
      </c>
      <c r="L3499" s="131" t="s">
        <v>100</v>
      </c>
      <c r="M3499" s="135" t="s">
        <v>845</v>
      </c>
      <c r="N3499" s="123" t="s">
        <v>845</v>
      </c>
    </row>
    <row r="3500" spans="2:14" hidden="1" x14ac:dyDescent="0.25">
      <c r="B3500" s="120">
        <v>3497</v>
      </c>
      <c r="C3500" s="123">
        <v>10096106594</v>
      </c>
      <c r="D3500" s="126" t="s">
        <v>12939</v>
      </c>
      <c r="E3500" s="126" t="s">
        <v>12940</v>
      </c>
      <c r="F3500" s="123" t="s">
        <v>30</v>
      </c>
      <c r="G3500" s="123" t="s">
        <v>30</v>
      </c>
      <c r="H3500" s="123" t="s">
        <v>72</v>
      </c>
      <c r="I3500" s="126" t="s">
        <v>9625</v>
      </c>
      <c r="J3500" s="123" t="s">
        <v>12941</v>
      </c>
      <c r="K3500" s="123" t="s">
        <v>12939</v>
      </c>
      <c r="L3500" s="131" t="s">
        <v>100</v>
      </c>
      <c r="M3500" s="135" t="s">
        <v>845</v>
      </c>
      <c r="N3500" s="123" t="s">
        <v>845</v>
      </c>
    </row>
    <row r="3501" spans="2:14" hidden="1" x14ac:dyDescent="0.25">
      <c r="B3501" s="120">
        <v>3498</v>
      </c>
      <c r="C3501" s="123">
        <v>10255698104</v>
      </c>
      <c r="D3501" s="126" t="s">
        <v>12942</v>
      </c>
      <c r="E3501" s="126" t="s">
        <v>12943</v>
      </c>
      <c r="F3501" s="123" t="s">
        <v>67</v>
      </c>
      <c r="G3501" s="123" t="s">
        <v>67</v>
      </c>
      <c r="H3501" s="123" t="s">
        <v>67</v>
      </c>
      <c r="I3501" s="126" t="s">
        <v>1424</v>
      </c>
      <c r="J3501" s="123" t="s">
        <v>12944</v>
      </c>
      <c r="K3501" s="123" t="s">
        <v>12942</v>
      </c>
      <c r="L3501" s="131" t="s">
        <v>100</v>
      </c>
      <c r="M3501" s="135" t="s">
        <v>845</v>
      </c>
      <c r="N3501" s="123" t="s">
        <v>845</v>
      </c>
    </row>
    <row r="3502" spans="2:14" hidden="1" x14ac:dyDescent="0.25">
      <c r="B3502" s="120">
        <v>3499</v>
      </c>
      <c r="C3502" s="123">
        <v>10436648354</v>
      </c>
      <c r="D3502" s="126" t="s">
        <v>12945</v>
      </c>
      <c r="E3502" s="126" t="s">
        <v>12946</v>
      </c>
      <c r="F3502" s="123" t="s">
        <v>30</v>
      </c>
      <c r="G3502" s="123" t="s">
        <v>30</v>
      </c>
      <c r="H3502" s="123" t="s">
        <v>45</v>
      </c>
      <c r="I3502" s="126" t="s">
        <v>1949</v>
      </c>
      <c r="J3502" s="123" t="s">
        <v>12947</v>
      </c>
      <c r="K3502" s="123" t="s">
        <v>12945</v>
      </c>
      <c r="L3502" s="131" t="s">
        <v>100</v>
      </c>
      <c r="M3502" s="135" t="s">
        <v>845</v>
      </c>
      <c r="N3502" s="123" t="s">
        <v>845</v>
      </c>
    </row>
    <row r="3503" spans="2:14" hidden="1" x14ac:dyDescent="0.25">
      <c r="B3503" s="120">
        <v>3500</v>
      </c>
      <c r="C3503" s="123">
        <v>10409513226</v>
      </c>
      <c r="D3503" s="126" t="s">
        <v>12948</v>
      </c>
      <c r="E3503" s="126" t="s">
        <v>12949</v>
      </c>
      <c r="F3503" s="123" t="s">
        <v>30</v>
      </c>
      <c r="G3503" s="123" t="s">
        <v>30</v>
      </c>
      <c r="H3503" s="123" t="s">
        <v>52</v>
      </c>
      <c r="I3503" s="126" t="s">
        <v>8659</v>
      </c>
      <c r="J3503" s="123" t="s">
        <v>12950</v>
      </c>
      <c r="K3503" s="123" t="s">
        <v>12951</v>
      </c>
      <c r="L3503" s="131" t="s">
        <v>100</v>
      </c>
      <c r="M3503" s="135" t="s">
        <v>845</v>
      </c>
      <c r="N3503" s="123" t="s">
        <v>845</v>
      </c>
    </row>
    <row r="3504" spans="2:14" hidden="1" x14ac:dyDescent="0.25">
      <c r="B3504" s="120">
        <v>3501</v>
      </c>
      <c r="C3504" s="123">
        <v>10157454094</v>
      </c>
      <c r="D3504" s="126" t="s">
        <v>12952</v>
      </c>
      <c r="E3504" s="126" t="s">
        <v>12953</v>
      </c>
      <c r="F3504" s="123" t="s">
        <v>30</v>
      </c>
      <c r="G3504" s="123" t="s">
        <v>30</v>
      </c>
      <c r="H3504" s="123" t="s">
        <v>50</v>
      </c>
      <c r="I3504" s="126" t="s">
        <v>2196</v>
      </c>
      <c r="J3504" s="123" t="s">
        <v>12954</v>
      </c>
      <c r="K3504" s="123" t="s">
        <v>12952</v>
      </c>
      <c r="L3504" s="131" t="s">
        <v>100</v>
      </c>
      <c r="M3504" s="135" t="s">
        <v>845</v>
      </c>
      <c r="N3504" s="123" t="s">
        <v>845</v>
      </c>
    </row>
    <row r="3505" spans="2:14" hidden="1" x14ac:dyDescent="0.25">
      <c r="B3505" s="120">
        <v>3502</v>
      </c>
      <c r="C3505" s="123">
        <v>10461506271</v>
      </c>
      <c r="D3505" s="126" t="s">
        <v>12955</v>
      </c>
      <c r="E3505" s="126" t="s">
        <v>12956</v>
      </c>
      <c r="F3505" s="123" t="s">
        <v>30</v>
      </c>
      <c r="G3505" s="123" t="s">
        <v>30</v>
      </c>
      <c r="H3505" s="123" t="s">
        <v>72</v>
      </c>
      <c r="I3505" s="126" t="s">
        <v>1439</v>
      </c>
      <c r="J3505" s="123" t="s">
        <v>12957</v>
      </c>
      <c r="K3505" s="123" t="s">
        <v>12955</v>
      </c>
      <c r="L3505" s="131" t="s">
        <v>100</v>
      </c>
      <c r="M3505" s="135" t="s">
        <v>845</v>
      </c>
      <c r="N3505" s="123" t="s">
        <v>845</v>
      </c>
    </row>
    <row r="3506" spans="2:14" hidden="1" x14ac:dyDescent="0.25">
      <c r="B3506" s="120">
        <v>3503</v>
      </c>
      <c r="C3506" s="123">
        <v>10750167689</v>
      </c>
      <c r="D3506" s="126" t="s">
        <v>12958</v>
      </c>
      <c r="E3506" s="126" t="s">
        <v>12959</v>
      </c>
      <c r="F3506" s="123" t="s">
        <v>30</v>
      </c>
      <c r="G3506" s="123" t="s">
        <v>30</v>
      </c>
      <c r="H3506" s="123" t="s">
        <v>35</v>
      </c>
      <c r="I3506" s="126" t="s">
        <v>1701</v>
      </c>
      <c r="J3506" s="123" t="s">
        <v>12960</v>
      </c>
      <c r="K3506" s="123" t="s">
        <v>12958</v>
      </c>
      <c r="L3506" s="131" t="s">
        <v>100</v>
      </c>
      <c r="M3506" s="135" t="s">
        <v>845</v>
      </c>
      <c r="N3506" s="123" t="s">
        <v>845</v>
      </c>
    </row>
    <row r="3507" spans="2:14" hidden="1" x14ac:dyDescent="0.25">
      <c r="B3507" s="120">
        <v>3504</v>
      </c>
      <c r="C3507" s="123">
        <v>10418698972</v>
      </c>
      <c r="D3507" s="126" t="s">
        <v>12961</v>
      </c>
      <c r="E3507" s="126" t="s">
        <v>12962</v>
      </c>
      <c r="F3507" s="123" t="s">
        <v>30</v>
      </c>
      <c r="G3507" s="123" t="s">
        <v>30</v>
      </c>
      <c r="H3507" s="123" t="s">
        <v>30</v>
      </c>
      <c r="I3507" s="126" t="s">
        <v>1941</v>
      </c>
      <c r="J3507" s="123" t="s">
        <v>12963</v>
      </c>
      <c r="K3507" s="123" t="s">
        <v>12961</v>
      </c>
      <c r="L3507" s="131" t="s">
        <v>100</v>
      </c>
      <c r="M3507" s="135" t="s">
        <v>845</v>
      </c>
      <c r="N3507" s="123" t="s">
        <v>845</v>
      </c>
    </row>
    <row r="3508" spans="2:14" hidden="1" x14ac:dyDescent="0.25">
      <c r="B3508" s="120">
        <v>3505</v>
      </c>
      <c r="C3508" s="123">
        <v>10704019551</v>
      </c>
      <c r="D3508" s="126" t="s">
        <v>12964</v>
      </c>
      <c r="E3508" s="126" t="s">
        <v>12965</v>
      </c>
      <c r="F3508" s="123" t="s">
        <v>30</v>
      </c>
      <c r="G3508" s="123" t="s">
        <v>54</v>
      </c>
      <c r="H3508" s="123" t="s">
        <v>55</v>
      </c>
      <c r="I3508" s="126" t="s">
        <v>1424</v>
      </c>
      <c r="J3508" s="123" t="s">
        <v>12966</v>
      </c>
      <c r="K3508" s="123" t="s">
        <v>12964</v>
      </c>
      <c r="L3508" s="131" t="s">
        <v>100</v>
      </c>
      <c r="M3508" s="135" t="s">
        <v>845</v>
      </c>
      <c r="N3508" s="123" t="s">
        <v>845</v>
      </c>
    </row>
    <row r="3509" spans="2:14" hidden="1" x14ac:dyDescent="0.25">
      <c r="B3509" s="120">
        <v>3506</v>
      </c>
      <c r="C3509" s="123">
        <v>10258103357</v>
      </c>
      <c r="D3509" s="126" t="s">
        <v>12967</v>
      </c>
      <c r="E3509" s="126" t="s">
        <v>12968</v>
      </c>
      <c r="F3509" s="123" t="s">
        <v>30</v>
      </c>
      <c r="G3509" s="123" t="s">
        <v>30</v>
      </c>
      <c r="H3509" s="123" t="s">
        <v>72</v>
      </c>
      <c r="I3509" s="126" t="s">
        <v>1564</v>
      </c>
      <c r="J3509" s="123" t="s">
        <v>12969</v>
      </c>
      <c r="K3509" s="123" t="s">
        <v>12967</v>
      </c>
      <c r="L3509" s="131" t="s">
        <v>100</v>
      </c>
      <c r="M3509" s="135" t="s">
        <v>845</v>
      </c>
      <c r="N3509" s="123" t="s">
        <v>845</v>
      </c>
    </row>
    <row r="3510" spans="2:14" hidden="1" x14ac:dyDescent="0.25">
      <c r="B3510" s="120">
        <v>3507</v>
      </c>
      <c r="C3510" s="123">
        <v>10456589737</v>
      </c>
      <c r="D3510" s="126" t="s">
        <v>12970</v>
      </c>
      <c r="E3510" s="126" t="s">
        <v>12971</v>
      </c>
      <c r="F3510" s="123" t="s">
        <v>30</v>
      </c>
      <c r="G3510" s="123" t="s">
        <v>54</v>
      </c>
      <c r="H3510" s="123" t="s">
        <v>54</v>
      </c>
      <c r="I3510" s="126" t="s">
        <v>1424</v>
      </c>
      <c r="J3510" s="123" t="s">
        <v>12972</v>
      </c>
      <c r="K3510" s="123" t="s">
        <v>12973</v>
      </c>
      <c r="L3510" s="131" t="s">
        <v>100</v>
      </c>
      <c r="M3510" s="135" t="s">
        <v>845</v>
      </c>
      <c r="N3510" s="123" t="s">
        <v>845</v>
      </c>
    </row>
    <row r="3511" spans="2:14" hidden="1" x14ac:dyDescent="0.25">
      <c r="B3511" s="120">
        <v>3508</v>
      </c>
      <c r="C3511" s="123">
        <v>10067931365</v>
      </c>
      <c r="D3511" s="126" t="s">
        <v>12974</v>
      </c>
      <c r="E3511" s="126" t="s">
        <v>12975</v>
      </c>
      <c r="F3511" s="123" t="s">
        <v>30</v>
      </c>
      <c r="G3511" s="123" t="s">
        <v>30</v>
      </c>
      <c r="H3511" s="123" t="s">
        <v>44</v>
      </c>
      <c r="I3511" s="126" t="s">
        <v>8825</v>
      </c>
      <c r="J3511" s="123" t="s">
        <v>12976</v>
      </c>
      <c r="K3511" s="123" t="s">
        <v>12977</v>
      </c>
      <c r="L3511" s="131" t="s">
        <v>100</v>
      </c>
      <c r="M3511" s="135" t="s">
        <v>845</v>
      </c>
      <c r="N3511" s="123" t="s">
        <v>845</v>
      </c>
    </row>
    <row r="3512" spans="2:14" hidden="1" x14ac:dyDescent="0.25">
      <c r="B3512" s="120">
        <v>3509</v>
      </c>
      <c r="C3512" s="123">
        <v>10076248279</v>
      </c>
      <c r="D3512" s="126" t="s">
        <v>12978</v>
      </c>
      <c r="E3512" s="126" t="s">
        <v>12979</v>
      </c>
      <c r="F3512" s="123" t="s">
        <v>30</v>
      </c>
      <c r="G3512" s="123" t="s">
        <v>30</v>
      </c>
      <c r="H3512" s="123" t="s">
        <v>51</v>
      </c>
      <c r="I3512" s="126" t="s">
        <v>1499</v>
      </c>
      <c r="J3512" s="123" t="s">
        <v>12980</v>
      </c>
      <c r="K3512" s="123" t="s">
        <v>12978</v>
      </c>
      <c r="L3512" s="131" t="s">
        <v>100</v>
      </c>
      <c r="M3512" s="135" t="s">
        <v>845</v>
      </c>
      <c r="N3512" s="123" t="s">
        <v>845</v>
      </c>
    </row>
    <row r="3513" spans="2:14" hidden="1" x14ac:dyDescent="0.25">
      <c r="B3513" s="120">
        <v>3510</v>
      </c>
      <c r="C3513" s="123">
        <v>10098632323</v>
      </c>
      <c r="D3513" s="126" t="s">
        <v>12981</v>
      </c>
      <c r="E3513" s="126" t="s">
        <v>12982</v>
      </c>
      <c r="F3513" s="123" t="s">
        <v>30</v>
      </c>
      <c r="G3513" s="123" t="s">
        <v>30</v>
      </c>
      <c r="H3513" s="123" t="s">
        <v>110</v>
      </c>
      <c r="I3513" s="126" t="s">
        <v>1701</v>
      </c>
      <c r="J3513" s="123" t="s">
        <v>12983</v>
      </c>
      <c r="K3513" s="123" t="s">
        <v>12981</v>
      </c>
      <c r="L3513" s="131" t="s">
        <v>100</v>
      </c>
      <c r="M3513" s="135" t="s">
        <v>845</v>
      </c>
      <c r="N3513" s="123" t="s">
        <v>845</v>
      </c>
    </row>
    <row r="3514" spans="2:14" hidden="1" x14ac:dyDescent="0.25">
      <c r="B3514" s="120">
        <v>3511</v>
      </c>
      <c r="C3514" s="123">
        <v>10411444851</v>
      </c>
      <c r="D3514" s="126" t="s">
        <v>12984</v>
      </c>
      <c r="E3514" s="126" t="s">
        <v>12985</v>
      </c>
      <c r="F3514" s="123" t="s">
        <v>30</v>
      </c>
      <c r="G3514" s="123" t="s">
        <v>30</v>
      </c>
      <c r="H3514" s="123" t="s">
        <v>30</v>
      </c>
      <c r="I3514" s="126" t="s">
        <v>1951</v>
      </c>
      <c r="J3514" s="123" t="s">
        <v>12986</v>
      </c>
      <c r="K3514" s="123" t="s">
        <v>12984</v>
      </c>
      <c r="L3514" s="131" t="s">
        <v>100</v>
      </c>
      <c r="M3514" s="135" t="s">
        <v>845</v>
      </c>
      <c r="N3514" s="123" t="s">
        <v>845</v>
      </c>
    </row>
    <row r="3515" spans="2:14" hidden="1" x14ac:dyDescent="0.25">
      <c r="B3515" s="120">
        <v>3512</v>
      </c>
      <c r="C3515" s="123">
        <v>10702270257</v>
      </c>
      <c r="D3515" s="126" t="s">
        <v>12987</v>
      </c>
      <c r="E3515" s="126" t="s">
        <v>12988</v>
      </c>
      <c r="F3515" s="123" t="s">
        <v>93</v>
      </c>
      <c r="G3515" s="123" t="s">
        <v>12989</v>
      </c>
      <c r="H3515" s="123" t="s">
        <v>12989</v>
      </c>
      <c r="I3515" s="126" t="s">
        <v>10431</v>
      </c>
      <c r="J3515" s="123" t="s">
        <v>12990</v>
      </c>
      <c r="K3515" s="123" t="s">
        <v>12987</v>
      </c>
      <c r="L3515" s="131" t="s">
        <v>100</v>
      </c>
      <c r="M3515" s="135" t="s">
        <v>845</v>
      </c>
      <c r="N3515" s="123" t="s">
        <v>845</v>
      </c>
    </row>
    <row r="3516" spans="2:14" hidden="1" x14ac:dyDescent="0.25">
      <c r="B3516" s="120">
        <v>3513</v>
      </c>
      <c r="C3516" s="123">
        <v>10704024555</v>
      </c>
      <c r="D3516" s="126" t="s">
        <v>12991</v>
      </c>
      <c r="E3516" s="126" t="s">
        <v>12992</v>
      </c>
      <c r="F3516" s="123" t="s">
        <v>30</v>
      </c>
      <c r="G3516" s="123" t="s">
        <v>168</v>
      </c>
      <c r="H3516" s="123" t="s">
        <v>180</v>
      </c>
      <c r="I3516" s="126" t="s">
        <v>1950</v>
      </c>
      <c r="J3516" s="123" t="s">
        <v>12993</v>
      </c>
      <c r="K3516" s="123" t="s">
        <v>12991</v>
      </c>
      <c r="L3516" s="131" t="s">
        <v>100</v>
      </c>
      <c r="M3516" s="135" t="s">
        <v>845</v>
      </c>
      <c r="N3516" s="123" t="s">
        <v>845</v>
      </c>
    </row>
    <row r="3517" spans="2:14" hidden="1" x14ac:dyDescent="0.25">
      <c r="B3517" s="120">
        <v>3514</v>
      </c>
      <c r="C3517" s="123">
        <v>10100665145</v>
      </c>
      <c r="D3517" s="126" t="s">
        <v>12994</v>
      </c>
      <c r="E3517" s="126" t="s">
        <v>12995</v>
      </c>
      <c r="F3517" s="123" t="s">
        <v>30</v>
      </c>
      <c r="G3517" s="123" t="s">
        <v>30</v>
      </c>
      <c r="H3517" s="123" t="s">
        <v>75</v>
      </c>
      <c r="I3517" s="126" t="s">
        <v>1551</v>
      </c>
      <c r="J3517" s="123" t="s">
        <v>12996</v>
      </c>
      <c r="K3517" s="123" t="s">
        <v>12997</v>
      </c>
      <c r="L3517" s="131" t="s">
        <v>100</v>
      </c>
      <c r="M3517" s="135" t="s">
        <v>845</v>
      </c>
      <c r="N3517" s="123" t="s">
        <v>845</v>
      </c>
    </row>
    <row r="3518" spans="2:14" hidden="1" x14ac:dyDescent="0.25">
      <c r="B3518" s="120">
        <v>3515</v>
      </c>
      <c r="C3518" s="123">
        <v>10408646656</v>
      </c>
      <c r="D3518" s="126" t="s">
        <v>12998</v>
      </c>
      <c r="E3518" s="126" t="s">
        <v>12999</v>
      </c>
      <c r="F3518" s="123" t="s">
        <v>30</v>
      </c>
      <c r="G3518" s="123" t="s">
        <v>30</v>
      </c>
      <c r="H3518" s="123" t="s">
        <v>58</v>
      </c>
      <c r="I3518" s="126" t="s">
        <v>1424</v>
      </c>
      <c r="J3518" s="123" t="s">
        <v>13000</v>
      </c>
      <c r="K3518" s="123" t="s">
        <v>12998</v>
      </c>
      <c r="L3518" s="131" t="s">
        <v>100</v>
      </c>
      <c r="M3518" s="135" t="s">
        <v>845</v>
      </c>
      <c r="N3518" s="123" t="s">
        <v>845</v>
      </c>
    </row>
    <row r="3519" spans="2:14" hidden="1" x14ac:dyDescent="0.25">
      <c r="B3519" s="120">
        <v>3516</v>
      </c>
      <c r="C3519" s="123">
        <v>10157438111</v>
      </c>
      <c r="D3519" s="126" t="s">
        <v>13001</v>
      </c>
      <c r="E3519" s="126" t="s">
        <v>13002</v>
      </c>
      <c r="F3519" s="123" t="s">
        <v>30</v>
      </c>
      <c r="G3519" s="123" t="s">
        <v>170</v>
      </c>
      <c r="H3519" s="123" t="s">
        <v>174</v>
      </c>
      <c r="I3519" s="126" t="s">
        <v>1701</v>
      </c>
      <c r="J3519" s="123" t="s">
        <v>13003</v>
      </c>
      <c r="K3519" s="123" t="s">
        <v>13001</v>
      </c>
      <c r="L3519" s="131" t="s">
        <v>100</v>
      </c>
      <c r="M3519" s="135" t="s">
        <v>845</v>
      </c>
      <c r="N3519" s="123" t="s">
        <v>845</v>
      </c>
    </row>
    <row r="3520" spans="2:14" hidden="1" x14ac:dyDescent="0.25">
      <c r="B3520" s="120">
        <v>3517</v>
      </c>
      <c r="C3520" s="123">
        <v>10475651494</v>
      </c>
      <c r="D3520" s="126" t="s">
        <v>13004</v>
      </c>
      <c r="E3520" s="126" t="s">
        <v>13005</v>
      </c>
      <c r="F3520" s="123" t="s">
        <v>30</v>
      </c>
      <c r="G3520" s="123" t="s">
        <v>54</v>
      </c>
      <c r="H3520" s="123" t="s">
        <v>55</v>
      </c>
      <c r="I3520" s="126" t="s">
        <v>7569</v>
      </c>
      <c r="J3520" s="123" t="s">
        <v>13006</v>
      </c>
      <c r="K3520" s="123" t="s">
        <v>13004</v>
      </c>
      <c r="L3520" s="131" t="s">
        <v>100</v>
      </c>
      <c r="M3520" s="135" t="s">
        <v>845</v>
      </c>
      <c r="N3520" s="123" t="s">
        <v>845</v>
      </c>
    </row>
    <row r="3521" spans="2:14" hidden="1" x14ac:dyDescent="0.25">
      <c r="B3521" s="120">
        <v>3518</v>
      </c>
      <c r="C3521" s="123">
        <v>10155841317</v>
      </c>
      <c r="D3521" s="126" t="s">
        <v>13007</v>
      </c>
      <c r="E3521" s="126" t="s">
        <v>13008</v>
      </c>
      <c r="F3521" s="123" t="s">
        <v>30</v>
      </c>
      <c r="G3521" s="123" t="s">
        <v>170</v>
      </c>
      <c r="H3521" s="123" t="s">
        <v>171</v>
      </c>
      <c r="I3521" s="126" t="s">
        <v>1950</v>
      </c>
      <c r="J3521" s="123" t="s">
        <v>13009</v>
      </c>
      <c r="K3521" s="123" t="s">
        <v>13007</v>
      </c>
      <c r="L3521" s="131" t="s">
        <v>100</v>
      </c>
      <c r="M3521" s="135" t="s">
        <v>845</v>
      </c>
      <c r="N3521" s="123" t="s">
        <v>845</v>
      </c>
    </row>
    <row r="3522" spans="2:14" hidden="1" x14ac:dyDescent="0.25">
      <c r="B3522" s="120">
        <v>3519</v>
      </c>
      <c r="C3522" s="123">
        <v>10200746053</v>
      </c>
      <c r="D3522" s="126" t="s">
        <v>13010</v>
      </c>
      <c r="E3522" s="126" t="s">
        <v>13011</v>
      </c>
      <c r="F3522" s="123" t="s">
        <v>93</v>
      </c>
      <c r="G3522" s="123" t="s">
        <v>13012</v>
      </c>
      <c r="H3522" s="123" t="s">
        <v>924</v>
      </c>
      <c r="I3522" s="126" t="s">
        <v>10025</v>
      </c>
      <c r="J3522" s="123" t="s">
        <v>13013</v>
      </c>
      <c r="K3522" s="123" t="s">
        <v>13014</v>
      </c>
      <c r="L3522" s="131" t="s">
        <v>100</v>
      </c>
      <c r="M3522" s="135" t="s">
        <v>845</v>
      </c>
      <c r="N3522" s="123" t="s">
        <v>845</v>
      </c>
    </row>
    <row r="3523" spans="2:14" hidden="1" x14ac:dyDescent="0.25">
      <c r="B3523" s="120">
        <v>3520</v>
      </c>
      <c r="C3523" s="123">
        <v>10079585683</v>
      </c>
      <c r="D3523" s="126" t="s">
        <v>13015</v>
      </c>
      <c r="E3523" s="126" t="s">
        <v>13016</v>
      </c>
      <c r="F3523" s="123" t="s">
        <v>67</v>
      </c>
      <c r="G3523" s="123" t="s">
        <v>67</v>
      </c>
      <c r="H3523" s="123" t="s">
        <v>67</v>
      </c>
      <c r="I3523" s="126" t="s">
        <v>9625</v>
      </c>
      <c r="J3523" s="123" t="s">
        <v>13017</v>
      </c>
      <c r="K3523" s="123" t="s">
        <v>13015</v>
      </c>
      <c r="L3523" s="131" t="s">
        <v>100</v>
      </c>
      <c r="M3523" s="135" t="s">
        <v>845</v>
      </c>
      <c r="N3523" s="123" t="s">
        <v>845</v>
      </c>
    </row>
    <row r="3524" spans="2:14" hidden="1" x14ac:dyDescent="0.25">
      <c r="B3524" s="120">
        <v>3521</v>
      </c>
      <c r="C3524" s="123">
        <v>10421949137</v>
      </c>
      <c r="D3524" s="126" t="s">
        <v>13018</v>
      </c>
      <c r="E3524" s="126" t="s">
        <v>13019</v>
      </c>
      <c r="F3524" s="123" t="s">
        <v>30</v>
      </c>
      <c r="G3524" s="123" t="s">
        <v>30</v>
      </c>
      <c r="H3524" s="123" t="s">
        <v>58</v>
      </c>
      <c r="I3524" s="126" t="s">
        <v>1936</v>
      </c>
      <c r="J3524" s="123" t="s">
        <v>13020</v>
      </c>
      <c r="K3524" s="123" t="s">
        <v>13018</v>
      </c>
      <c r="L3524" s="131" t="s">
        <v>100</v>
      </c>
      <c r="M3524" s="135" t="s">
        <v>845</v>
      </c>
      <c r="N3524" s="123" t="s">
        <v>845</v>
      </c>
    </row>
    <row r="3525" spans="2:14" hidden="1" x14ac:dyDescent="0.25">
      <c r="B3525" s="120">
        <v>3522</v>
      </c>
      <c r="C3525" s="123">
        <v>10156357401</v>
      </c>
      <c r="D3525" s="126" t="s">
        <v>13021</v>
      </c>
      <c r="E3525" s="126" t="s">
        <v>13022</v>
      </c>
      <c r="F3525" s="123" t="s">
        <v>30</v>
      </c>
      <c r="G3525" s="123" t="s">
        <v>168</v>
      </c>
      <c r="H3525" s="123" t="s">
        <v>168</v>
      </c>
      <c r="I3525" s="126" t="s">
        <v>1701</v>
      </c>
      <c r="J3525" s="123" t="s">
        <v>13023</v>
      </c>
      <c r="K3525" s="123" t="s">
        <v>13021</v>
      </c>
      <c r="L3525" s="131" t="s">
        <v>100</v>
      </c>
      <c r="M3525" s="135" t="s">
        <v>845</v>
      </c>
      <c r="N3525" s="123" t="s">
        <v>845</v>
      </c>
    </row>
    <row r="3526" spans="2:14" hidden="1" x14ac:dyDescent="0.25">
      <c r="B3526" s="120">
        <v>3523</v>
      </c>
      <c r="C3526" s="123">
        <v>10156357443</v>
      </c>
      <c r="D3526" s="126" t="s">
        <v>13024</v>
      </c>
      <c r="E3526" s="126" t="s">
        <v>13025</v>
      </c>
      <c r="F3526" s="123" t="s">
        <v>30</v>
      </c>
      <c r="G3526" s="123" t="s">
        <v>168</v>
      </c>
      <c r="H3526" s="123" t="s">
        <v>168</v>
      </c>
      <c r="I3526" s="126" t="s">
        <v>1701</v>
      </c>
      <c r="J3526" s="123" t="s">
        <v>13026</v>
      </c>
      <c r="K3526" s="123" t="s">
        <v>13027</v>
      </c>
      <c r="L3526" s="131" t="s">
        <v>100</v>
      </c>
      <c r="M3526" s="135" t="s">
        <v>845</v>
      </c>
      <c r="N3526" s="123" t="s">
        <v>845</v>
      </c>
    </row>
    <row r="3527" spans="2:14" hidden="1" x14ac:dyDescent="0.25">
      <c r="B3527" s="120">
        <v>3524</v>
      </c>
      <c r="C3527" s="123">
        <v>10078236499</v>
      </c>
      <c r="D3527" s="126" t="s">
        <v>13028</v>
      </c>
      <c r="E3527" s="126" t="s">
        <v>13029</v>
      </c>
      <c r="F3527" s="123" t="s">
        <v>30</v>
      </c>
      <c r="G3527" s="123" t="s">
        <v>30</v>
      </c>
      <c r="H3527" s="123" t="s">
        <v>35</v>
      </c>
      <c r="I3527" s="126" t="s">
        <v>1424</v>
      </c>
      <c r="J3527" s="123" t="s">
        <v>13030</v>
      </c>
      <c r="K3527" s="123" t="s">
        <v>13028</v>
      </c>
      <c r="L3527" s="131" t="s">
        <v>100</v>
      </c>
      <c r="M3527" s="135" t="s">
        <v>845</v>
      </c>
      <c r="N3527" s="123" t="s">
        <v>845</v>
      </c>
    </row>
    <row r="3528" spans="2:14" hidden="1" x14ac:dyDescent="0.25">
      <c r="B3528" s="120">
        <v>3525</v>
      </c>
      <c r="C3528" s="123">
        <v>10215530898</v>
      </c>
      <c r="D3528" s="126" t="s">
        <v>13031</v>
      </c>
      <c r="E3528" s="126" t="s">
        <v>13032</v>
      </c>
      <c r="F3528" s="123" t="s">
        <v>30</v>
      </c>
      <c r="G3528" s="123" t="s">
        <v>30</v>
      </c>
      <c r="H3528" s="123" t="s">
        <v>30</v>
      </c>
      <c r="I3528" s="126" t="s">
        <v>1930</v>
      </c>
      <c r="J3528" s="123" t="s">
        <v>13033</v>
      </c>
      <c r="K3528" s="123" t="s">
        <v>13031</v>
      </c>
      <c r="L3528" s="131" t="s">
        <v>100</v>
      </c>
      <c r="M3528" s="135" t="s">
        <v>845</v>
      </c>
      <c r="N3528" s="123" t="s">
        <v>845</v>
      </c>
    </row>
    <row r="3529" spans="2:14" hidden="1" x14ac:dyDescent="0.25">
      <c r="B3529" s="120">
        <v>3526</v>
      </c>
      <c r="C3529" s="123">
        <v>10720242295</v>
      </c>
      <c r="D3529" s="126" t="s">
        <v>13034</v>
      </c>
      <c r="E3529" s="126" t="s">
        <v>13035</v>
      </c>
      <c r="F3529" s="123" t="s">
        <v>30</v>
      </c>
      <c r="G3529" s="123" t="s">
        <v>30</v>
      </c>
      <c r="H3529" s="123" t="s">
        <v>60</v>
      </c>
      <c r="I3529" s="126" t="s">
        <v>1701</v>
      </c>
      <c r="J3529" s="123" t="s">
        <v>13036</v>
      </c>
      <c r="K3529" s="123" t="s">
        <v>13034</v>
      </c>
      <c r="L3529" s="131" t="s">
        <v>100</v>
      </c>
      <c r="M3529" s="135" t="s">
        <v>845</v>
      </c>
      <c r="N3529" s="123" t="s">
        <v>845</v>
      </c>
    </row>
    <row r="3530" spans="2:14" hidden="1" x14ac:dyDescent="0.25">
      <c r="B3530" s="120">
        <v>3527</v>
      </c>
      <c r="C3530" s="123">
        <v>10437722132</v>
      </c>
      <c r="D3530" s="126" t="s">
        <v>13037</v>
      </c>
      <c r="E3530" s="126" t="s">
        <v>13038</v>
      </c>
      <c r="F3530" s="123" t="s">
        <v>30</v>
      </c>
      <c r="G3530" s="123" t="s">
        <v>30</v>
      </c>
      <c r="H3530" s="123" t="s">
        <v>38</v>
      </c>
      <c r="I3530" s="126" t="s">
        <v>1931</v>
      </c>
      <c r="J3530" s="123" t="s">
        <v>13039</v>
      </c>
      <c r="K3530" s="123" t="s">
        <v>13037</v>
      </c>
      <c r="L3530" s="131" t="s">
        <v>100</v>
      </c>
      <c r="M3530" s="135" t="s">
        <v>845</v>
      </c>
      <c r="N3530" s="123" t="s">
        <v>845</v>
      </c>
    </row>
    <row r="3531" spans="2:14" hidden="1" x14ac:dyDescent="0.25">
      <c r="B3531" s="120">
        <v>3528</v>
      </c>
      <c r="C3531" s="123">
        <v>10445467991</v>
      </c>
      <c r="D3531" s="126" t="s">
        <v>13040</v>
      </c>
      <c r="E3531" s="126" t="s">
        <v>13041</v>
      </c>
      <c r="F3531" s="123" t="s">
        <v>30</v>
      </c>
      <c r="G3531" s="123" t="s">
        <v>30</v>
      </c>
      <c r="H3531" s="123" t="s">
        <v>30</v>
      </c>
      <c r="I3531" s="126" t="s">
        <v>1941</v>
      </c>
      <c r="J3531" s="123" t="s">
        <v>13042</v>
      </c>
      <c r="K3531" s="123" t="s">
        <v>13040</v>
      </c>
      <c r="L3531" s="131" t="s">
        <v>100</v>
      </c>
      <c r="M3531" s="135" t="s">
        <v>845</v>
      </c>
      <c r="N3531" s="123" t="s">
        <v>845</v>
      </c>
    </row>
    <row r="3532" spans="2:14" hidden="1" x14ac:dyDescent="0.25">
      <c r="B3532" s="120">
        <v>3529</v>
      </c>
      <c r="C3532" s="123">
        <v>10776628421</v>
      </c>
      <c r="D3532" s="126" t="s">
        <v>13043</v>
      </c>
      <c r="E3532" s="126" t="s">
        <v>13044</v>
      </c>
      <c r="F3532" s="123" t="s">
        <v>30</v>
      </c>
      <c r="G3532" s="123" t="s">
        <v>30</v>
      </c>
      <c r="H3532" s="123" t="s">
        <v>51</v>
      </c>
      <c r="I3532" s="126" t="s">
        <v>1931</v>
      </c>
      <c r="J3532" s="123" t="s">
        <v>13045</v>
      </c>
      <c r="K3532" s="123" t="s">
        <v>13043</v>
      </c>
      <c r="L3532" s="131" t="s">
        <v>100</v>
      </c>
      <c r="M3532" s="135" t="s">
        <v>845</v>
      </c>
      <c r="N3532" s="123" t="s">
        <v>845</v>
      </c>
    </row>
    <row r="3533" spans="2:14" hidden="1" x14ac:dyDescent="0.25">
      <c r="B3533" s="120">
        <v>3530</v>
      </c>
      <c r="C3533" s="123">
        <v>10167342588</v>
      </c>
      <c r="D3533" s="126" t="s">
        <v>13046</v>
      </c>
      <c r="E3533" s="126" t="s">
        <v>13047</v>
      </c>
      <c r="F3533" s="123" t="s">
        <v>67</v>
      </c>
      <c r="G3533" s="123" t="s">
        <v>67</v>
      </c>
      <c r="H3533" s="123" t="s">
        <v>67</v>
      </c>
      <c r="I3533" s="126" t="s">
        <v>1643</v>
      </c>
      <c r="J3533" s="123" t="s">
        <v>13048</v>
      </c>
      <c r="K3533" s="123" t="s">
        <v>13049</v>
      </c>
      <c r="L3533" s="131" t="s">
        <v>100</v>
      </c>
      <c r="M3533" s="135" t="s">
        <v>845</v>
      </c>
      <c r="N3533" s="123" t="s">
        <v>845</v>
      </c>
    </row>
    <row r="3534" spans="2:14" hidden="1" x14ac:dyDescent="0.25">
      <c r="B3534" s="120">
        <v>3531</v>
      </c>
      <c r="C3534" s="123">
        <v>10160232264</v>
      </c>
      <c r="D3534" s="126" t="s">
        <v>13050</v>
      </c>
      <c r="E3534" s="126" t="s">
        <v>13051</v>
      </c>
      <c r="F3534" s="123" t="s">
        <v>30</v>
      </c>
      <c r="G3534" s="123" t="s">
        <v>54</v>
      </c>
      <c r="H3534" s="123" t="s">
        <v>54</v>
      </c>
      <c r="I3534" s="126" t="s">
        <v>9625</v>
      </c>
      <c r="J3534" s="123" t="s">
        <v>13052</v>
      </c>
      <c r="K3534" s="123" t="s">
        <v>13050</v>
      </c>
      <c r="L3534" s="131" t="s">
        <v>100</v>
      </c>
      <c r="M3534" s="135" t="s">
        <v>845</v>
      </c>
      <c r="N3534" s="123" t="s">
        <v>845</v>
      </c>
    </row>
    <row r="3535" spans="2:14" hidden="1" x14ac:dyDescent="0.25">
      <c r="B3535" s="120">
        <v>3532</v>
      </c>
      <c r="C3535" s="123">
        <v>10803262760</v>
      </c>
      <c r="D3535" s="126" t="s">
        <v>13053</v>
      </c>
      <c r="E3535" s="126" t="s">
        <v>13054</v>
      </c>
      <c r="F3535" s="123" t="s">
        <v>30</v>
      </c>
      <c r="G3535" s="123" t="s">
        <v>30</v>
      </c>
      <c r="H3535" s="123" t="s">
        <v>51</v>
      </c>
      <c r="I3535" s="126" t="s">
        <v>1941</v>
      </c>
      <c r="J3535" s="123" t="s">
        <v>13055</v>
      </c>
      <c r="K3535" s="123" t="s">
        <v>13053</v>
      </c>
      <c r="L3535" s="131" t="s">
        <v>100</v>
      </c>
      <c r="M3535" s="135" t="s">
        <v>845</v>
      </c>
      <c r="N3535" s="123" t="s">
        <v>845</v>
      </c>
    </row>
    <row r="3536" spans="2:14" hidden="1" x14ac:dyDescent="0.25">
      <c r="B3536" s="120">
        <v>3533</v>
      </c>
      <c r="C3536" s="123">
        <v>10108780938</v>
      </c>
      <c r="D3536" s="126" t="s">
        <v>13056</v>
      </c>
      <c r="E3536" s="126" t="s">
        <v>13057</v>
      </c>
      <c r="F3536" s="123" t="s">
        <v>30</v>
      </c>
      <c r="G3536" s="123" t="s">
        <v>30</v>
      </c>
      <c r="H3536" s="123" t="s">
        <v>43</v>
      </c>
      <c r="I3536" s="126" t="s">
        <v>8659</v>
      </c>
      <c r="J3536" s="123" t="s">
        <v>13058</v>
      </c>
      <c r="K3536" s="123" t="s">
        <v>13056</v>
      </c>
      <c r="L3536" s="131" t="s">
        <v>100</v>
      </c>
      <c r="M3536" s="135" t="s">
        <v>845</v>
      </c>
      <c r="N3536" s="123" t="s">
        <v>845</v>
      </c>
    </row>
    <row r="3537" spans="2:14" hidden="1" x14ac:dyDescent="0.25">
      <c r="B3537" s="120">
        <v>3534</v>
      </c>
      <c r="C3537" s="123">
        <v>10443358817</v>
      </c>
      <c r="D3537" s="126" t="s">
        <v>13059</v>
      </c>
      <c r="E3537" s="126" t="s">
        <v>13060</v>
      </c>
      <c r="F3537" s="123" t="s">
        <v>30</v>
      </c>
      <c r="G3537" s="123" t="s">
        <v>30</v>
      </c>
      <c r="H3537" s="123" t="s">
        <v>47</v>
      </c>
      <c r="I3537" s="126" t="s">
        <v>13061</v>
      </c>
      <c r="J3537" s="123" t="s">
        <v>13062</v>
      </c>
      <c r="K3537" s="123" t="s">
        <v>13063</v>
      </c>
      <c r="L3537" s="131" t="s">
        <v>100</v>
      </c>
      <c r="M3537" s="135" t="s">
        <v>845</v>
      </c>
      <c r="N3537" s="123" t="s">
        <v>845</v>
      </c>
    </row>
    <row r="3538" spans="2:14" hidden="1" x14ac:dyDescent="0.25">
      <c r="B3538" s="120">
        <v>3535</v>
      </c>
      <c r="C3538" s="123">
        <v>10743148946</v>
      </c>
      <c r="D3538" s="126" t="s">
        <v>13064</v>
      </c>
      <c r="E3538" s="126" t="s">
        <v>13065</v>
      </c>
      <c r="F3538" s="123" t="s">
        <v>30</v>
      </c>
      <c r="G3538" s="123" t="s">
        <v>54</v>
      </c>
      <c r="H3538" s="123" t="s">
        <v>55</v>
      </c>
      <c r="I3538" s="126" t="s">
        <v>1950</v>
      </c>
      <c r="J3538" s="123" t="s">
        <v>13066</v>
      </c>
      <c r="K3538" s="123" t="s">
        <v>13067</v>
      </c>
      <c r="L3538" s="131" t="s">
        <v>100</v>
      </c>
      <c r="M3538" s="135" t="s">
        <v>845</v>
      </c>
      <c r="N3538" s="123" t="s">
        <v>845</v>
      </c>
    </row>
    <row r="3539" spans="2:14" hidden="1" x14ac:dyDescent="0.25">
      <c r="B3539" s="120">
        <v>3536</v>
      </c>
      <c r="C3539" s="123">
        <v>10061991528</v>
      </c>
      <c r="D3539" s="126" t="s">
        <v>13068</v>
      </c>
      <c r="E3539" s="126" t="s">
        <v>13069</v>
      </c>
      <c r="F3539" s="123" t="s">
        <v>30</v>
      </c>
      <c r="G3539" s="123" t="s">
        <v>30</v>
      </c>
      <c r="H3539" s="123" t="s">
        <v>72</v>
      </c>
      <c r="I3539" s="126" t="s">
        <v>1961</v>
      </c>
      <c r="J3539" s="123" t="s">
        <v>13070</v>
      </c>
      <c r="K3539" s="123" t="s">
        <v>13068</v>
      </c>
      <c r="L3539" s="131" t="s">
        <v>100</v>
      </c>
      <c r="M3539" s="135" t="s">
        <v>845</v>
      </c>
      <c r="N3539" s="123" t="s">
        <v>845</v>
      </c>
    </row>
    <row r="3540" spans="2:14" hidden="1" x14ac:dyDescent="0.25">
      <c r="B3540" s="120">
        <v>3537</v>
      </c>
      <c r="C3540" s="123">
        <v>10464793882</v>
      </c>
      <c r="D3540" s="126" t="s">
        <v>13071</v>
      </c>
      <c r="E3540" s="126" t="s">
        <v>13072</v>
      </c>
      <c r="F3540" s="123" t="s">
        <v>30</v>
      </c>
      <c r="G3540" s="123" t="s">
        <v>54</v>
      </c>
      <c r="H3540" s="123" t="s">
        <v>54</v>
      </c>
      <c r="I3540" s="126" t="s">
        <v>1701</v>
      </c>
      <c r="J3540" s="123" t="s">
        <v>13073</v>
      </c>
      <c r="K3540" s="123" t="s">
        <v>13071</v>
      </c>
      <c r="L3540" s="131" t="s">
        <v>100</v>
      </c>
      <c r="M3540" s="135" t="s">
        <v>845</v>
      </c>
      <c r="N3540" s="123" t="s">
        <v>845</v>
      </c>
    </row>
    <row r="3541" spans="2:14" hidden="1" x14ac:dyDescent="0.25">
      <c r="B3541" s="120">
        <v>3538</v>
      </c>
      <c r="C3541" s="123">
        <v>10222823299</v>
      </c>
      <c r="D3541" s="126" t="s">
        <v>13074</v>
      </c>
      <c r="E3541" s="126" t="s">
        <v>13075</v>
      </c>
      <c r="F3541" s="123" t="s">
        <v>30</v>
      </c>
      <c r="G3541" s="123" t="s">
        <v>30</v>
      </c>
      <c r="H3541" s="123" t="s">
        <v>75</v>
      </c>
      <c r="I3541" s="126" t="s">
        <v>8743</v>
      </c>
      <c r="J3541" s="123" t="s">
        <v>13076</v>
      </c>
      <c r="K3541" s="123" t="s">
        <v>13074</v>
      </c>
      <c r="L3541" s="131" t="s">
        <v>100</v>
      </c>
      <c r="M3541" s="135" t="s">
        <v>845</v>
      </c>
      <c r="N3541" s="123" t="s">
        <v>845</v>
      </c>
    </row>
    <row r="3542" spans="2:14" hidden="1" x14ac:dyDescent="0.25">
      <c r="B3542" s="120">
        <v>3539</v>
      </c>
      <c r="C3542" s="123">
        <v>10421581806</v>
      </c>
      <c r="D3542" s="126" t="s">
        <v>13077</v>
      </c>
      <c r="E3542" s="126" t="s">
        <v>13078</v>
      </c>
      <c r="F3542" s="123" t="s">
        <v>30</v>
      </c>
      <c r="G3542" s="123" t="s">
        <v>30</v>
      </c>
      <c r="H3542" s="123" t="s">
        <v>60</v>
      </c>
      <c r="I3542" s="126" t="s">
        <v>101</v>
      </c>
      <c r="J3542" s="123" t="s">
        <v>13079</v>
      </c>
      <c r="K3542" s="123" t="s">
        <v>13077</v>
      </c>
      <c r="L3542" s="131" t="s">
        <v>100</v>
      </c>
      <c r="M3542" s="135" t="s">
        <v>845</v>
      </c>
      <c r="N3542" s="123" t="s">
        <v>845</v>
      </c>
    </row>
    <row r="3543" spans="2:14" hidden="1" x14ac:dyDescent="0.25">
      <c r="B3543" s="120">
        <v>3540</v>
      </c>
      <c r="C3543" s="123">
        <v>10456504901</v>
      </c>
      <c r="D3543" s="126" t="s">
        <v>13080</v>
      </c>
      <c r="E3543" s="126" t="s">
        <v>13081</v>
      </c>
      <c r="F3543" s="123" t="s">
        <v>30</v>
      </c>
      <c r="G3543" s="123" t="s">
        <v>170</v>
      </c>
      <c r="H3543" s="123" t="s">
        <v>171</v>
      </c>
      <c r="I3543" s="126" t="s">
        <v>1701</v>
      </c>
      <c r="J3543" s="123" t="s">
        <v>13082</v>
      </c>
      <c r="K3543" s="123" t="s">
        <v>13080</v>
      </c>
      <c r="L3543" s="131" t="s">
        <v>100</v>
      </c>
      <c r="M3543" s="135" t="s">
        <v>845</v>
      </c>
      <c r="N3543" s="123" t="s">
        <v>845</v>
      </c>
    </row>
    <row r="3544" spans="2:14" hidden="1" x14ac:dyDescent="0.25">
      <c r="B3544" s="120">
        <v>3541</v>
      </c>
      <c r="C3544" s="123">
        <v>10106739426</v>
      </c>
      <c r="D3544" s="126" t="s">
        <v>13083</v>
      </c>
      <c r="E3544" s="126" t="s">
        <v>13084</v>
      </c>
      <c r="F3544" s="123" t="s">
        <v>30</v>
      </c>
      <c r="G3544" s="123" t="s">
        <v>30</v>
      </c>
      <c r="H3544" s="123" t="s">
        <v>43</v>
      </c>
      <c r="I3544" s="126" t="s">
        <v>1931</v>
      </c>
      <c r="J3544" s="123" t="s">
        <v>13085</v>
      </c>
      <c r="K3544" s="123" t="s">
        <v>13083</v>
      </c>
      <c r="L3544" s="131" t="s">
        <v>100</v>
      </c>
      <c r="M3544" s="135" t="s">
        <v>845</v>
      </c>
      <c r="N3544" s="123" t="s">
        <v>845</v>
      </c>
    </row>
    <row r="3545" spans="2:14" hidden="1" x14ac:dyDescent="0.25">
      <c r="B3545" s="120">
        <v>3542</v>
      </c>
      <c r="C3545" s="123">
        <v>10200357537</v>
      </c>
      <c r="D3545" s="126" t="s">
        <v>13086</v>
      </c>
      <c r="E3545" s="126" t="s">
        <v>13087</v>
      </c>
      <c r="F3545" s="123" t="s">
        <v>30</v>
      </c>
      <c r="G3545" s="123" t="s">
        <v>30</v>
      </c>
      <c r="H3545" s="123" t="s">
        <v>72</v>
      </c>
      <c r="I3545" s="126" t="s">
        <v>13088</v>
      </c>
      <c r="J3545" s="123" t="s">
        <v>13089</v>
      </c>
      <c r="K3545" s="123" t="s">
        <v>13090</v>
      </c>
      <c r="L3545" s="131" t="s">
        <v>100</v>
      </c>
      <c r="M3545" s="135" t="s">
        <v>845</v>
      </c>
      <c r="N3545" s="123" t="s">
        <v>845</v>
      </c>
    </row>
    <row r="3546" spans="2:14" hidden="1" x14ac:dyDescent="0.25">
      <c r="B3546" s="120">
        <v>3543</v>
      </c>
      <c r="C3546" s="123">
        <v>10757734325</v>
      </c>
      <c r="D3546" s="126" t="s">
        <v>13091</v>
      </c>
      <c r="E3546" s="126" t="s">
        <v>13092</v>
      </c>
      <c r="F3546" s="123" t="s">
        <v>30</v>
      </c>
      <c r="G3546" s="123" t="s">
        <v>30</v>
      </c>
      <c r="H3546" s="123" t="s">
        <v>75</v>
      </c>
      <c r="I3546" s="126" t="s">
        <v>13093</v>
      </c>
      <c r="J3546" s="123" t="s">
        <v>13094</v>
      </c>
      <c r="K3546" s="123" t="s">
        <v>13095</v>
      </c>
      <c r="L3546" s="131" t="s">
        <v>100</v>
      </c>
      <c r="M3546" s="135" t="s">
        <v>845</v>
      </c>
      <c r="N3546" s="123" t="s">
        <v>845</v>
      </c>
    </row>
    <row r="3547" spans="2:14" hidden="1" x14ac:dyDescent="0.25">
      <c r="B3547" s="120">
        <v>3544</v>
      </c>
      <c r="C3547" s="123">
        <v>10159547073</v>
      </c>
      <c r="D3547" s="126" t="s">
        <v>13096</v>
      </c>
      <c r="E3547" s="126" t="s">
        <v>13097</v>
      </c>
      <c r="F3547" s="123" t="s">
        <v>30</v>
      </c>
      <c r="G3547" s="123" t="s">
        <v>54</v>
      </c>
      <c r="H3547" s="123" t="s">
        <v>54</v>
      </c>
      <c r="I3547" s="126" t="s">
        <v>1701</v>
      </c>
      <c r="J3547" s="123" t="s">
        <v>13098</v>
      </c>
      <c r="K3547" s="123" t="s">
        <v>13096</v>
      </c>
      <c r="L3547" s="131" t="s">
        <v>100</v>
      </c>
      <c r="M3547" s="135" t="s">
        <v>845</v>
      </c>
      <c r="N3547" s="123" t="s">
        <v>845</v>
      </c>
    </row>
    <row r="3548" spans="2:14" hidden="1" x14ac:dyDescent="0.25">
      <c r="B3548" s="120">
        <v>3545</v>
      </c>
      <c r="C3548" s="123">
        <v>10083213367</v>
      </c>
      <c r="D3548" s="126" t="s">
        <v>13099</v>
      </c>
      <c r="E3548" s="126" t="s">
        <v>13100</v>
      </c>
      <c r="F3548" s="123" t="s">
        <v>30</v>
      </c>
      <c r="G3548" s="123" t="s">
        <v>30</v>
      </c>
      <c r="H3548" s="123" t="s">
        <v>52</v>
      </c>
      <c r="I3548" s="126" t="s">
        <v>1931</v>
      </c>
      <c r="J3548" s="123" t="s">
        <v>13101</v>
      </c>
      <c r="K3548" s="123" t="s">
        <v>13099</v>
      </c>
      <c r="L3548" s="131" t="s">
        <v>100</v>
      </c>
      <c r="M3548" s="135" t="s">
        <v>845</v>
      </c>
      <c r="N3548" s="123" t="s">
        <v>845</v>
      </c>
    </row>
    <row r="3549" spans="2:14" hidden="1" x14ac:dyDescent="0.25">
      <c r="B3549" s="120">
        <v>3546</v>
      </c>
      <c r="C3549" s="123">
        <v>10406092700</v>
      </c>
      <c r="D3549" s="126" t="s">
        <v>13102</v>
      </c>
      <c r="E3549" s="126" t="s">
        <v>13103</v>
      </c>
      <c r="F3549" s="123" t="s">
        <v>30</v>
      </c>
      <c r="G3549" s="123" t="s">
        <v>30</v>
      </c>
      <c r="H3549" s="123" t="s">
        <v>79</v>
      </c>
      <c r="I3549" s="126" t="s">
        <v>1737</v>
      </c>
      <c r="J3549" s="123" t="s">
        <v>13104</v>
      </c>
      <c r="K3549" s="123" t="s">
        <v>13105</v>
      </c>
      <c r="L3549" s="131" t="s">
        <v>100</v>
      </c>
      <c r="M3549" s="135" t="s">
        <v>845</v>
      </c>
      <c r="N3549" s="123" t="s">
        <v>845</v>
      </c>
    </row>
    <row r="3550" spans="2:14" hidden="1" x14ac:dyDescent="0.25">
      <c r="B3550" s="120">
        <v>3547</v>
      </c>
      <c r="C3550" s="123">
        <v>10104370140</v>
      </c>
      <c r="D3550" s="126" t="s">
        <v>13106</v>
      </c>
      <c r="E3550" s="126" t="s">
        <v>13107</v>
      </c>
      <c r="F3550" s="123" t="s">
        <v>30</v>
      </c>
      <c r="G3550" s="123" t="s">
        <v>30</v>
      </c>
      <c r="H3550" s="123" t="s">
        <v>30</v>
      </c>
      <c r="I3550" s="126" t="s">
        <v>1424</v>
      </c>
      <c r="J3550" s="123" t="s">
        <v>13108</v>
      </c>
      <c r="K3550" s="123" t="s">
        <v>13109</v>
      </c>
      <c r="L3550" s="131" t="s">
        <v>100</v>
      </c>
      <c r="M3550" s="135" t="s">
        <v>845</v>
      </c>
      <c r="N3550" s="123" t="s">
        <v>845</v>
      </c>
    </row>
    <row r="3551" spans="2:14" hidden="1" x14ac:dyDescent="0.25">
      <c r="B3551" s="120">
        <v>3548</v>
      </c>
      <c r="C3551" s="123">
        <v>10106030699</v>
      </c>
      <c r="D3551" s="126" t="s">
        <v>13110</v>
      </c>
      <c r="E3551" s="126" t="s">
        <v>13111</v>
      </c>
      <c r="F3551" s="123" t="s">
        <v>30</v>
      </c>
      <c r="G3551" s="123" t="s">
        <v>30</v>
      </c>
      <c r="H3551" s="123" t="s">
        <v>51</v>
      </c>
      <c r="I3551" s="126" t="s">
        <v>8743</v>
      </c>
      <c r="J3551" s="123" t="s">
        <v>13112</v>
      </c>
      <c r="K3551" s="123" t="s">
        <v>13110</v>
      </c>
      <c r="L3551" s="131" t="s">
        <v>100</v>
      </c>
      <c r="M3551" s="135" t="s">
        <v>845</v>
      </c>
      <c r="N3551" s="123" t="s">
        <v>845</v>
      </c>
    </row>
    <row r="3552" spans="2:14" hidden="1" x14ac:dyDescent="0.25">
      <c r="B3552" s="120">
        <v>3549</v>
      </c>
      <c r="C3552" s="123">
        <v>10096256758</v>
      </c>
      <c r="D3552" s="126" t="s">
        <v>13113</v>
      </c>
      <c r="E3552" s="126" t="s">
        <v>13114</v>
      </c>
      <c r="F3552" s="123" t="s">
        <v>30</v>
      </c>
      <c r="G3552" s="123" t="s">
        <v>30</v>
      </c>
      <c r="H3552" s="123" t="s">
        <v>72</v>
      </c>
      <c r="I3552" s="126" t="s">
        <v>1931</v>
      </c>
      <c r="J3552" s="123" t="s">
        <v>13115</v>
      </c>
      <c r="K3552" s="123" t="s">
        <v>13113</v>
      </c>
      <c r="L3552" s="131" t="s">
        <v>100</v>
      </c>
      <c r="M3552" s="135" t="s">
        <v>845</v>
      </c>
      <c r="N3552" s="123" t="s">
        <v>845</v>
      </c>
    </row>
    <row r="3553" spans="2:14" hidden="1" x14ac:dyDescent="0.25">
      <c r="B3553" s="120">
        <v>3550</v>
      </c>
      <c r="C3553" s="123">
        <v>10448540907</v>
      </c>
      <c r="D3553" s="126" t="s">
        <v>13116</v>
      </c>
      <c r="E3553" s="126" t="s">
        <v>13117</v>
      </c>
      <c r="F3553" s="123" t="s">
        <v>30</v>
      </c>
      <c r="G3553" s="123" t="s">
        <v>30</v>
      </c>
      <c r="H3553" s="123" t="s">
        <v>75</v>
      </c>
      <c r="I3553" s="126" t="s">
        <v>13118</v>
      </c>
      <c r="J3553" s="123" t="s">
        <v>13119</v>
      </c>
      <c r="K3553" s="123" t="s">
        <v>13116</v>
      </c>
      <c r="L3553" s="131" t="s">
        <v>100</v>
      </c>
      <c r="M3553" s="135" t="s">
        <v>845</v>
      </c>
      <c r="N3553" s="123" t="s">
        <v>845</v>
      </c>
    </row>
    <row r="3554" spans="2:14" hidden="1" x14ac:dyDescent="0.25">
      <c r="B3554" s="120">
        <v>3551</v>
      </c>
      <c r="C3554" s="123">
        <v>10419410956</v>
      </c>
      <c r="D3554" s="126" t="s">
        <v>13120</v>
      </c>
      <c r="E3554" s="126" t="s">
        <v>13121</v>
      </c>
      <c r="F3554" s="123" t="s">
        <v>30</v>
      </c>
      <c r="G3554" s="123" t="s">
        <v>30</v>
      </c>
      <c r="H3554" s="123" t="s">
        <v>72</v>
      </c>
      <c r="I3554" s="126" t="s">
        <v>1805</v>
      </c>
      <c r="J3554" s="123" t="s">
        <v>13122</v>
      </c>
      <c r="K3554" s="123" t="s">
        <v>13120</v>
      </c>
      <c r="L3554" s="131" t="s">
        <v>100</v>
      </c>
      <c r="M3554" s="135" t="s">
        <v>845</v>
      </c>
      <c r="N3554" s="123" t="s">
        <v>845</v>
      </c>
    </row>
    <row r="3555" spans="2:14" hidden="1" x14ac:dyDescent="0.25">
      <c r="B3555" s="120">
        <v>3552</v>
      </c>
      <c r="C3555" s="123">
        <v>10441054748</v>
      </c>
      <c r="D3555" s="126" t="s">
        <v>13123</v>
      </c>
      <c r="E3555" s="126" t="s">
        <v>13124</v>
      </c>
      <c r="F3555" s="123" t="s">
        <v>30</v>
      </c>
      <c r="G3555" s="123" t="s">
        <v>30</v>
      </c>
      <c r="H3555" s="123" t="s">
        <v>43</v>
      </c>
      <c r="I3555" s="126" t="s">
        <v>1564</v>
      </c>
      <c r="J3555" s="123" t="s">
        <v>13125</v>
      </c>
      <c r="K3555" s="123" t="s">
        <v>13123</v>
      </c>
      <c r="L3555" s="131" t="s">
        <v>100</v>
      </c>
      <c r="M3555" s="135" t="s">
        <v>845</v>
      </c>
      <c r="N3555" s="123" t="s">
        <v>845</v>
      </c>
    </row>
    <row r="3556" spans="2:14" hidden="1" x14ac:dyDescent="0.25">
      <c r="B3556" s="120">
        <v>3553</v>
      </c>
      <c r="C3556" s="123">
        <v>10754945821</v>
      </c>
      <c r="D3556" s="126" t="s">
        <v>13126</v>
      </c>
      <c r="E3556" s="126" t="s">
        <v>13127</v>
      </c>
      <c r="F3556" s="123" t="s">
        <v>30</v>
      </c>
      <c r="G3556" s="123" t="s">
        <v>30</v>
      </c>
      <c r="H3556" s="123" t="s">
        <v>88</v>
      </c>
      <c r="I3556" s="126" t="s">
        <v>1377</v>
      </c>
      <c r="J3556" s="123" t="s">
        <v>13128</v>
      </c>
      <c r="K3556" s="123" t="s">
        <v>13126</v>
      </c>
      <c r="L3556" s="131" t="s">
        <v>100</v>
      </c>
      <c r="M3556" s="135" t="s">
        <v>845</v>
      </c>
      <c r="N3556" s="123" t="s">
        <v>845</v>
      </c>
    </row>
    <row r="3557" spans="2:14" hidden="1" x14ac:dyDescent="0.25">
      <c r="B3557" s="120">
        <v>3554</v>
      </c>
      <c r="C3557" s="123">
        <v>10748620945</v>
      </c>
      <c r="D3557" s="126" t="s">
        <v>13129</v>
      </c>
      <c r="E3557" s="126" t="s">
        <v>13130</v>
      </c>
      <c r="F3557" s="123" t="s">
        <v>30</v>
      </c>
      <c r="G3557" s="123" t="s">
        <v>30</v>
      </c>
      <c r="H3557" s="123" t="s">
        <v>60</v>
      </c>
      <c r="I3557" s="126" t="s">
        <v>1424</v>
      </c>
      <c r="J3557" s="123" t="s">
        <v>13131</v>
      </c>
      <c r="K3557" s="123" t="s">
        <v>13129</v>
      </c>
      <c r="L3557" s="131" t="s">
        <v>100</v>
      </c>
      <c r="M3557" s="135" t="s">
        <v>845</v>
      </c>
      <c r="N3557" s="123" t="s">
        <v>845</v>
      </c>
    </row>
    <row r="3558" spans="2:14" hidden="1" x14ac:dyDescent="0.25">
      <c r="B3558" s="120">
        <v>3555</v>
      </c>
      <c r="C3558" s="123">
        <v>10063789092</v>
      </c>
      <c r="D3558" s="126" t="s">
        <v>13132</v>
      </c>
      <c r="E3558" s="126" t="s">
        <v>13133</v>
      </c>
      <c r="F3558" s="123" t="s">
        <v>30</v>
      </c>
      <c r="G3558" s="123" t="s">
        <v>30</v>
      </c>
      <c r="H3558" s="123" t="s">
        <v>85</v>
      </c>
      <c r="I3558" s="126" t="s">
        <v>1805</v>
      </c>
      <c r="J3558" s="123" t="s">
        <v>13134</v>
      </c>
      <c r="K3558" s="123" t="s">
        <v>13132</v>
      </c>
      <c r="L3558" s="131" t="s">
        <v>100</v>
      </c>
      <c r="M3558" s="135" t="s">
        <v>845</v>
      </c>
      <c r="N3558" s="123" t="s">
        <v>845</v>
      </c>
    </row>
    <row r="3559" spans="2:14" hidden="1" x14ac:dyDescent="0.25">
      <c r="B3559" s="120">
        <v>3556</v>
      </c>
      <c r="C3559" s="123">
        <v>10486243576</v>
      </c>
      <c r="D3559" s="126" t="s">
        <v>13135</v>
      </c>
      <c r="E3559" s="126" t="s">
        <v>13136</v>
      </c>
      <c r="F3559" s="123" t="s">
        <v>30</v>
      </c>
      <c r="G3559" s="123" t="s">
        <v>30</v>
      </c>
      <c r="H3559" s="123" t="s">
        <v>51</v>
      </c>
      <c r="I3559" s="126" t="s">
        <v>1930</v>
      </c>
      <c r="J3559" s="123" t="s">
        <v>13137</v>
      </c>
      <c r="K3559" s="123" t="s">
        <v>13135</v>
      </c>
      <c r="L3559" s="131" t="s">
        <v>100</v>
      </c>
      <c r="M3559" s="135" t="s">
        <v>845</v>
      </c>
      <c r="N3559" s="123" t="s">
        <v>845</v>
      </c>
    </row>
    <row r="3560" spans="2:14" hidden="1" x14ac:dyDescent="0.25">
      <c r="B3560" s="120">
        <v>3557</v>
      </c>
      <c r="C3560" s="123">
        <v>10091581863</v>
      </c>
      <c r="D3560" s="126" t="s">
        <v>13138</v>
      </c>
      <c r="E3560" s="126" t="s">
        <v>13139</v>
      </c>
      <c r="F3560" s="123" t="s">
        <v>30</v>
      </c>
      <c r="G3560" s="123" t="s">
        <v>30</v>
      </c>
      <c r="H3560" s="123" t="s">
        <v>80</v>
      </c>
      <c r="I3560" s="126" t="s">
        <v>1701</v>
      </c>
      <c r="J3560" s="123" t="s">
        <v>13140</v>
      </c>
      <c r="K3560" s="123" t="s">
        <v>13138</v>
      </c>
      <c r="L3560" s="131" t="s">
        <v>100</v>
      </c>
      <c r="M3560" s="135" t="s">
        <v>845</v>
      </c>
      <c r="N3560" s="123" t="s">
        <v>845</v>
      </c>
    </row>
    <row r="3561" spans="2:14" hidden="1" x14ac:dyDescent="0.25">
      <c r="B3561" s="120">
        <v>3558</v>
      </c>
      <c r="C3561" s="123">
        <v>10205303141</v>
      </c>
      <c r="D3561" s="126" t="s">
        <v>13141</v>
      </c>
      <c r="E3561" s="126" t="s">
        <v>13142</v>
      </c>
      <c r="F3561" s="123" t="s">
        <v>30</v>
      </c>
      <c r="G3561" s="123" t="s">
        <v>30</v>
      </c>
      <c r="H3561" s="123" t="s">
        <v>30</v>
      </c>
      <c r="I3561" s="126" t="s">
        <v>11586</v>
      </c>
      <c r="J3561" s="123" t="s">
        <v>13143</v>
      </c>
      <c r="K3561" s="123" t="s">
        <v>13144</v>
      </c>
      <c r="L3561" s="131" t="s">
        <v>100</v>
      </c>
      <c r="M3561" s="135" t="s">
        <v>845</v>
      </c>
      <c r="N3561" s="123" t="s">
        <v>845</v>
      </c>
    </row>
    <row r="3562" spans="2:14" hidden="1" x14ac:dyDescent="0.25">
      <c r="B3562" s="120">
        <v>3559</v>
      </c>
      <c r="C3562" s="123">
        <v>10463322550</v>
      </c>
      <c r="D3562" s="126" t="s">
        <v>13145</v>
      </c>
      <c r="E3562" s="126" t="s">
        <v>13146</v>
      </c>
      <c r="F3562" s="123" t="s">
        <v>30</v>
      </c>
      <c r="G3562" s="123" t="s">
        <v>30</v>
      </c>
      <c r="H3562" s="123" t="s">
        <v>103</v>
      </c>
      <c r="I3562" s="126" t="s">
        <v>1701</v>
      </c>
      <c r="J3562" s="123" t="s">
        <v>13147</v>
      </c>
      <c r="K3562" s="123" t="s">
        <v>13145</v>
      </c>
      <c r="L3562" s="131" t="s">
        <v>100</v>
      </c>
      <c r="M3562" s="135" t="s">
        <v>845</v>
      </c>
      <c r="N3562" s="123" t="s">
        <v>845</v>
      </c>
    </row>
    <row r="3563" spans="2:14" hidden="1" x14ac:dyDescent="0.25">
      <c r="B3563" s="120">
        <v>3560</v>
      </c>
      <c r="C3563" s="123">
        <v>10321364841</v>
      </c>
      <c r="D3563" s="126" t="s">
        <v>13148</v>
      </c>
      <c r="E3563" s="126" t="s">
        <v>13149</v>
      </c>
      <c r="F3563" s="123" t="s">
        <v>183</v>
      </c>
      <c r="G3563" s="123" t="s">
        <v>189</v>
      </c>
      <c r="H3563" s="123" t="s">
        <v>189</v>
      </c>
      <c r="I3563" s="126" t="s">
        <v>1946</v>
      </c>
      <c r="J3563" s="123" t="s">
        <v>13150</v>
      </c>
      <c r="K3563" s="123" t="s">
        <v>13148</v>
      </c>
      <c r="L3563" s="131" t="s">
        <v>100</v>
      </c>
      <c r="M3563" s="135" t="s">
        <v>845</v>
      </c>
      <c r="N3563" s="123" t="s">
        <v>845</v>
      </c>
    </row>
    <row r="3564" spans="2:14" hidden="1" x14ac:dyDescent="0.25">
      <c r="B3564" s="120">
        <v>3561</v>
      </c>
      <c r="C3564" s="123">
        <v>10070206175</v>
      </c>
      <c r="D3564" s="126" t="s">
        <v>13151</v>
      </c>
      <c r="E3564" s="126" t="s">
        <v>13152</v>
      </c>
      <c r="F3564" s="123" t="s">
        <v>30</v>
      </c>
      <c r="G3564" s="123" t="s">
        <v>30</v>
      </c>
      <c r="H3564" s="123" t="s">
        <v>75</v>
      </c>
      <c r="I3564" s="126" t="s">
        <v>1974</v>
      </c>
      <c r="J3564" s="123" t="s">
        <v>13153</v>
      </c>
      <c r="K3564" s="123" t="s">
        <v>13151</v>
      </c>
      <c r="L3564" s="131" t="s">
        <v>100</v>
      </c>
      <c r="M3564" s="135" t="s">
        <v>845</v>
      </c>
      <c r="N3564" s="123" t="s">
        <v>845</v>
      </c>
    </row>
    <row r="3565" spans="2:14" hidden="1" x14ac:dyDescent="0.25">
      <c r="B3565" s="120">
        <v>3562</v>
      </c>
      <c r="C3565" s="123">
        <v>10403169493</v>
      </c>
      <c r="D3565" s="126" t="s">
        <v>13154</v>
      </c>
      <c r="E3565" s="126" t="s">
        <v>13155</v>
      </c>
      <c r="F3565" s="123" t="s">
        <v>30</v>
      </c>
      <c r="G3565" s="123" t="s">
        <v>30</v>
      </c>
      <c r="H3565" s="123" t="s">
        <v>40</v>
      </c>
      <c r="I3565" s="126" t="s">
        <v>1424</v>
      </c>
      <c r="J3565" s="123" t="s">
        <v>13156</v>
      </c>
      <c r="K3565" s="123" t="s">
        <v>13154</v>
      </c>
      <c r="L3565" s="131" t="s">
        <v>100</v>
      </c>
      <c r="M3565" s="135" t="s">
        <v>845</v>
      </c>
      <c r="N3565" s="123" t="s">
        <v>845</v>
      </c>
    </row>
    <row r="3566" spans="2:14" hidden="1" x14ac:dyDescent="0.25">
      <c r="B3566" s="120">
        <v>3563</v>
      </c>
      <c r="C3566" s="123">
        <v>10482383420</v>
      </c>
      <c r="D3566" s="126" t="s">
        <v>13157</v>
      </c>
      <c r="E3566" s="126" t="s">
        <v>13158</v>
      </c>
      <c r="F3566" s="123" t="s">
        <v>30</v>
      </c>
      <c r="G3566" s="123" t="s">
        <v>30</v>
      </c>
      <c r="H3566" s="123" t="s">
        <v>41</v>
      </c>
      <c r="I3566" s="126" t="s">
        <v>8659</v>
      </c>
      <c r="J3566" s="123" t="s">
        <v>13159</v>
      </c>
      <c r="K3566" s="123" t="s">
        <v>13157</v>
      </c>
      <c r="L3566" s="131" t="s">
        <v>100</v>
      </c>
      <c r="M3566" s="135" t="s">
        <v>845</v>
      </c>
      <c r="N3566" s="123" t="s">
        <v>845</v>
      </c>
    </row>
    <row r="3567" spans="2:14" hidden="1" x14ac:dyDescent="0.25">
      <c r="B3567" s="120">
        <v>3564</v>
      </c>
      <c r="C3567" s="123">
        <v>10061167035</v>
      </c>
      <c r="D3567" s="126" t="s">
        <v>13160</v>
      </c>
      <c r="E3567" s="126" t="s">
        <v>13161</v>
      </c>
      <c r="F3567" s="123" t="s">
        <v>30</v>
      </c>
      <c r="G3567" s="123" t="s">
        <v>30</v>
      </c>
      <c r="H3567" s="123" t="s">
        <v>127</v>
      </c>
      <c r="I3567" s="126" t="s">
        <v>1424</v>
      </c>
      <c r="J3567" s="123" t="s">
        <v>13162</v>
      </c>
      <c r="K3567" s="123" t="s">
        <v>13163</v>
      </c>
      <c r="L3567" s="131" t="s">
        <v>100</v>
      </c>
      <c r="M3567" s="135" t="s">
        <v>845</v>
      </c>
      <c r="N3567" s="123" t="s">
        <v>845</v>
      </c>
    </row>
    <row r="3568" spans="2:14" hidden="1" x14ac:dyDescent="0.25">
      <c r="B3568" s="120">
        <v>3565</v>
      </c>
      <c r="C3568" s="123">
        <v>10403477996</v>
      </c>
      <c r="D3568" s="126" t="s">
        <v>13164</v>
      </c>
      <c r="E3568" s="126" t="s">
        <v>13165</v>
      </c>
      <c r="F3568" s="123" t="s">
        <v>30</v>
      </c>
      <c r="G3568" s="123" t="s">
        <v>30</v>
      </c>
      <c r="H3568" s="123" t="s">
        <v>88</v>
      </c>
      <c r="I3568" s="126" t="s">
        <v>1478</v>
      </c>
      <c r="J3568" s="123" t="s">
        <v>13166</v>
      </c>
      <c r="K3568" s="123" t="s">
        <v>13167</v>
      </c>
      <c r="L3568" s="131" t="s">
        <v>100</v>
      </c>
      <c r="M3568" s="135" t="s">
        <v>845</v>
      </c>
      <c r="N3568" s="123" t="s">
        <v>845</v>
      </c>
    </row>
    <row r="3569" spans="2:14" hidden="1" x14ac:dyDescent="0.25">
      <c r="B3569" s="120">
        <v>3566</v>
      </c>
      <c r="C3569" s="123">
        <v>10437477481</v>
      </c>
      <c r="D3569" s="126" t="s">
        <v>13168</v>
      </c>
      <c r="E3569" s="126" t="s">
        <v>13169</v>
      </c>
      <c r="F3569" s="123" t="s">
        <v>30</v>
      </c>
      <c r="G3569" s="123" t="s">
        <v>30</v>
      </c>
      <c r="H3569" s="123" t="s">
        <v>280</v>
      </c>
      <c r="I3569" s="126" t="s">
        <v>1964</v>
      </c>
      <c r="J3569" s="123" t="s">
        <v>13170</v>
      </c>
      <c r="K3569" s="123" t="s">
        <v>13168</v>
      </c>
      <c r="L3569" s="131" t="s">
        <v>100</v>
      </c>
      <c r="M3569" s="135" t="s">
        <v>845</v>
      </c>
      <c r="N3569" s="123" t="s">
        <v>845</v>
      </c>
    </row>
    <row r="3570" spans="2:14" hidden="1" x14ac:dyDescent="0.25">
      <c r="B3570" s="120">
        <v>3567</v>
      </c>
      <c r="C3570" s="123">
        <v>10405445773</v>
      </c>
      <c r="D3570" s="126" t="s">
        <v>13171</v>
      </c>
      <c r="E3570" s="126" t="s">
        <v>13172</v>
      </c>
      <c r="F3570" s="123" t="s">
        <v>30</v>
      </c>
      <c r="G3570" s="123" t="s">
        <v>30</v>
      </c>
      <c r="H3570" s="123" t="s">
        <v>103</v>
      </c>
      <c r="I3570" s="126" t="s">
        <v>1701</v>
      </c>
      <c r="J3570" s="123" t="s">
        <v>13173</v>
      </c>
      <c r="K3570" s="123" t="s">
        <v>13171</v>
      </c>
      <c r="L3570" s="131" t="s">
        <v>100</v>
      </c>
      <c r="M3570" s="135" t="s">
        <v>845</v>
      </c>
      <c r="N3570" s="123" t="s">
        <v>845</v>
      </c>
    </row>
    <row r="3571" spans="2:14" hidden="1" x14ac:dyDescent="0.25">
      <c r="B3571" s="120">
        <v>3568</v>
      </c>
      <c r="C3571" s="123">
        <v>10703892731</v>
      </c>
      <c r="D3571" s="126" t="s">
        <v>13174</v>
      </c>
      <c r="E3571" s="126" t="s">
        <v>13175</v>
      </c>
      <c r="F3571" s="123" t="s">
        <v>30</v>
      </c>
      <c r="G3571" s="123" t="s">
        <v>30</v>
      </c>
      <c r="H3571" s="123" t="s">
        <v>147</v>
      </c>
      <c r="I3571" s="126" t="s">
        <v>1441</v>
      </c>
      <c r="J3571" s="123" t="s">
        <v>13176</v>
      </c>
      <c r="K3571" s="123" t="s">
        <v>13174</v>
      </c>
      <c r="L3571" s="131" t="s">
        <v>100</v>
      </c>
      <c r="M3571" s="135" t="s">
        <v>845</v>
      </c>
      <c r="N3571" s="123" t="s">
        <v>845</v>
      </c>
    </row>
    <row r="3572" spans="2:14" hidden="1" x14ac:dyDescent="0.25">
      <c r="B3572" s="120">
        <v>3569</v>
      </c>
      <c r="C3572" s="123">
        <v>10450246421</v>
      </c>
      <c r="D3572" s="126" t="s">
        <v>13177</v>
      </c>
      <c r="E3572" s="126" t="s">
        <v>13178</v>
      </c>
      <c r="F3572" s="123" t="s">
        <v>30</v>
      </c>
      <c r="G3572" s="123" t="s">
        <v>30</v>
      </c>
      <c r="H3572" s="123" t="s">
        <v>30</v>
      </c>
      <c r="I3572" s="126" t="s">
        <v>1930</v>
      </c>
      <c r="J3572" s="123" t="s">
        <v>13179</v>
      </c>
      <c r="K3572" s="123" t="s">
        <v>13180</v>
      </c>
      <c r="L3572" s="131" t="s">
        <v>100</v>
      </c>
      <c r="M3572" s="135" t="s">
        <v>845</v>
      </c>
      <c r="N3572" s="123" t="s">
        <v>845</v>
      </c>
    </row>
    <row r="3573" spans="2:14" hidden="1" x14ac:dyDescent="0.25">
      <c r="B3573" s="120">
        <v>3570</v>
      </c>
      <c r="C3573" s="123">
        <v>10747319044</v>
      </c>
      <c r="D3573" s="126" t="s">
        <v>13181</v>
      </c>
      <c r="E3573" s="126" t="s">
        <v>13182</v>
      </c>
      <c r="F3573" s="123" t="s">
        <v>30</v>
      </c>
      <c r="G3573" s="123" t="s">
        <v>30</v>
      </c>
      <c r="H3573" s="123" t="s">
        <v>34</v>
      </c>
      <c r="I3573" s="126" t="s">
        <v>12353</v>
      </c>
      <c r="J3573" s="123" t="s">
        <v>13183</v>
      </c>
      <c r="K3573" s="123" t="s">
        <v>13181</v>
      </c>
      <c r="L3573" s="131" t="s">
        <v>100</v>
      </c>
      <c r="M3573" s="135" t="s">
        <v>845</v>
      </c>
      <c r="N3573" s="123" t="s">
        <v>845</v>
      </c>
    </row>
    <row r="3574" spans="2:14" hidden="1" x14ac:dyDescent="0.25">
      <c r="B3574" s="120">
        <v>3571</v>
      </c>
      <c r="C3574" s="123">
        <v>10436496643</v>
      </c>
      <c r="D3574" s="126" t="s">
        <v>13184</v>
      </c>
      <c r="E3574" s="126" t="s">
        <v>13185</v>
      </c>
      <c r="F3574" s="123" t="s">
        <v>30</v>
      </c>
      <c r="G3574" s="123" t="s">
        <v>30</v>
      </c>
      <c r="H3574" s="123" t="s">
        <v>41</v>
      </c>
      <c r="I3574" s="126" t="s">
        <v>1737</v>
      </c>
      <c r="J3574" s="123" t="s">
        <v>13186</v>
      </c>
      <c r="K3574" s="123" t="s">
        <v>13184</v>
      </c>
      <c r="L3574" s="131" t="s">
        <v>100</v>
      </c>
      <c r="M3574" s="135" t="s">
        <v>845</v>
      </c>
      <c r="N3574" s="123" t="s">
        <v>845</v>
      </c>
    </row>
    <row r="3575" spans="2:14" hidden="1" x14ac:dyDescent="0.25">
      <c r="B3575" s="120">
        <v>3572</v>
      </c>
      <c r="C3575" s="123">
        <v>10404817791</v>
      </c>
      <c r="D3575" s="126" t="s">
        <v>13187</v>
      </c>
      <c r="E3575" s="126" t="s">
        <v>13188</v>
      </c>
      <c r="F3575" s="123" t="s">
        <v>30</v>
      </c>
      <c r="G3575" s="123" t="s">
        <v>170</v>
      </c>
      <c r="H3575" s="123" t="s">
        <v>171</v>
      </c>
      <c r="I3575" s="126" t="s">
        <v>1951</v>
      </c>
      <c r="J3575" s="123" t="s">
        <v>13189</v>
      </c>
      <c r="K3575" s="123" t="s">
        <v>13187</v>
      </c>
      <c r="L3575" s="131" t="s">
        <v>100</v>
      </c>
      <c r="M3575" s="135" t="s">
        <v>845</v>
      </c>
      <c r="N3575" s="123" t="s">
        <v>845</v>
      </c>
    </row>
    <row r="3576" spans="2:14" hidden="1" x14ac:dyDescent="0.25">
      <c r="B3576" s="120">
        <v>3573</v>
      </c>
      <c r="C3576" s="123">
        <v>10404886211</v>
      </c>
      <c r="D3576" s="126" t="s">
        <v>13190</v>
      </c>
      <c r="E3576" s="126" t="s">
        <v>13191</v>
      </c>
      <c r="F3576" s="123" t="s">
        <v>30</v>
      </c>
      <c r="G3576" s="123" t="s">
        <v>30</v>
      </c>
      <c r="H3576" s="123" t="s">
        <v>51</v>
      </c>
      <c r="I3576" s="126" t="s">
        <v>1424</v>
      </c>
      <c r="J3576" s="123" t="s">
        <v>13192</v>
      </c>
      <c r="K3576" s="123" t="s">
        <v>13193</v>
      </c>
      <c r="L3576" s="131" t="s">
        <v>100</v>
      </c>
      <c r="M3576" s="135" t="s">
        <v>845</v>
      </c>
      <c r="N3576" s="123" t="s">
        <v>845</v>
      </c>
    </row>
    <row r="3577" spans="2:14" hidden="1" x14ac:dyDescent="0.25">
      <c r="B3577" s="120">
        <v>3574</v>
      </c>
      <c r="C3577" s="123">
        <v>10770915037</v>
      </c>
      <c r="D3577" s="126" t="s">
        <v>13194</v>
      </c>
      <c r="E3577" s="126" t="s">
        <v>13195</v>
      </c>
      <c r="F3577" s="123" t="s">
        <v>30</v>
      </c>
      <c r="G3577" s="123" t="s">
        <v>30</v>
      </c>
      <c r="H3577" s="123" t="s">
        <v>30</v>
      </c>
      <c r="I3577" s="126" t="s">
        <v>1424</v>
      </c>
      <c r="J3577" s="123" t="s">
        <v>13196</v>
      </c>
      <c r="K3577" s="123" t="s">
        <v>13197</v>
      </c>
      <c r="L3577" s="131" t="s">
        <v>100</v>
      </c>
      <c r="M3577" s="135" t="s">
        <v>845</v>
      </c>
      <c r="N3577" s="123" t="s">
        <v>845</v>
      </c>
    </row>
    <row r="3578" spans="2:14" hidden="1" x14ac:dyDescent="0.25">
      <c r="B3578" s="120">
        <v>3575</v>
      </c>
      <c r="C3578" s="123">
        <v>10707580319</v>
      </c>
      <c r="D3578" s="126" t="s">
        <v>13198</v>
      </c>
      <c r="E3578" s="126" t="s">
        <v>13199</v>
      </c>
      <c r="F3578" s="123" t="s">
        <v>30</v>
      </c>
      <c r="G3578" s="123" t="s">
        <v>30</v>
      </c>
      <c r="H3578" s="123" t="s">
        <v>85</v>
      </c>
      <c r="I3578" s="126" t="s">
        <v>1701</v>
      </c>
      <c r="J3578" s="123" t="s">
        <v>13200</v>
      </c>
      <c r="K3578" s="123" t="s">
        <v>13198</v>
      </c>
      <c r="L3578" s="131" t="s">
        <v>100</v>
      </c>
      <c r="M3578" s="135" t="s">
        <v>845</v>
      </c>
      <c r="N3578" s="123" t="s">
        <v>845</v>
      </c>
    </row>
    <row r="3579" spans="2:14" hidden="1" x14ac:dyDescent="0.25">
      <c r="B3579" s="120">
        <v>3576</v>
      </c>
      <c r="C3579" s="123">
        <v>10438716713</v>
      </c>
      <c r="D3579" s="126" t="s">
        <v>13201</v>
      </c>
      <c r="E3579" s="126" t="s">
        <v>13202</v>
      </c>
      <c r="F3579" s="123" t="s">
        <v>30</v>
      </c>
      <c r="G3579" s="123" t="s">
        <v>30</v>
      </c>
      <c r="H3579" s="123" t="s">
        <v>38</v>
      </c>
      <c r="I3579" s="126" t="s">
        <v>8743</v>
      </c>
      <c r="J3579" s="123" t="s">
        <v>13203</v>
      </c>
      <c r="K3579" s="123" t="s">
        <v>13201</v>
      </c>
      <c r="L3579" s="131" t="s">
        <v>100</v>
      </c>
      <c r="M3579" s="135" t="s">
        <v>845</v>
      </c>
      <c r="N3579" s="123" t="s">
        <v>845</v>
      </c>
    </row>
    <row r="3580" spans="2:14" hidden="1" x14ac:dyDescent="0.25">
      <c r="B3580" s="120">
        <v>3577</v>
      </c>
      <c r="C3580" s="123">
        <v>15603303081</v>
      </c>
      <c r="D3580" s="126" t="s">
        <v>13204</v>
      </c>
      <c r="E3580" s="126" t="s">
        <v>13205</v>
      </c>
      <c r="F3580" s="123" t="s">
        <v>30</v>
      </c>
      <c r="G3580" s="123" t="s">
        <v>30</v>
      </c>
      <c r="H3580" s="123" t="s">
        <v>58</v>
      </c>
      <c r="I3580" s="126" t="s">
        <v>1424</v>
      </c>
      <c r="J3580" s="123" t="s">
        <v>13206</v>
      </c>
      <c r="K3580" s="123" t="s">
        <v>13204</v>
      </c>
      <c r="L3580" s="131" t="s">
        <v>100</v>
      </c>
      <c r="M3580" s="135" t="s">
        <v>845</v>
      </c>
      <c r="N3580" s="123" t="s">
        <v>845</v>
      </c>
    </row>
    <row r="3581" spans="2:14" hidden="1" x14ac:dyDescent="0.25">
      <c r="B3581" s="120">
        <v>3578</v>
      </c>
      <c r="C3581" s="123">
        <v>10430904618</v>
      </c>
      <c r="D3581" s="126" t="s">
        <v>13207</v>
      </c>
      <c r="E3581" s="126" t="s">
        <v>13208</v>
      </c>
      <c r="F3581" s="123" t="s">
        <v>67</v>
      </c>
      <c r="G3581" s="123" t="s">
        <v>67</v>
      </c>
      <c r="H3581" s="123" t="s">
        <v>67</v>
      </c>
      <c r="I3581" s="126" t="s">
        <v>1701</v>
      </c>
      <c r="J3581" s="123" t="s">
        <v>13209</v>
      </c>
      <c r="K3581" s="123" t="s">
        <v>13207</v>
      </c>
      <c r="L3581" s="131" t="s">
        <v>100</v>
      </c>
      <c r="M3581" s="135" t="s">
        <v>845</v>
      </c>
      <c r="N3581" s="123" t="s">
        <v>845</v>
      </c>
    </row>
    <row r="3582" spans="2:14" hidden="1" x14ac:dyDescent="0.25">
      <c r="B3582" s="120">
        <v>3579</v>
      </c>
      <c r="C3582" s="123">
        <v>10424419805</v>
      </c>
      <c r="D3582" s="126" t="s">
        <v>13210</v>
      </c>
      <c r="E3582" s="126" t="s">
        <v>13211</v>
      </c>
      <c r="F3582" s="123" t="s">
        <v>30</v>
      </c>
      <c r="G3582" s="123" t="s">
        <v>30</v>
      </c>
      <c r="H3582" s="123" t="s">
        <v>51</v>
      </c>
      <c r="I3582" s="126" t="s">
        <v>1953</v>
      </c>
      <c r="J3582" s="123" t="s">
        <v>13212</v>
      </c>
      <c r="K3582" s="123" t="s">
        <v>13210</v>
      </c>
      <c r="L3582" s="131" t="s">
        <v>100</v>
      </c>
      <c r="M3582" s="135" t="s">
        <v>845</v>
      </c>
      <c r="N3582" s="123" t="s">
        <v>845</v>
      </c>
    </row>
    <row r="3583" spans="2:14" hidden="1" x14ac:dyDescent="0.25">
      <c r="B3583" s="120">
        <v>3580</v>
      </c>
      <c r="C3583" s="123">
        <v>10089790820</v>
      </c>
      <c r="D3583" s="126" t="s">
        <v>13213</v>
      </c>
      <c r="E3583" s="126" t="s">
        <v>13214</v>
      </c>
      <c r="F3583" s="123" t="s">
        <v>30</v>
      </c>
      <c r="G3583" s="123" t="s">
        <v>30</v>
      </c>
      <c r="H3583" s="123" t="s">
        <v>60</v>
      </c>
      <c r="I3583" s="126" t="s">
        <v>13215</v>
      </c>
      <c r="J3583" s="123" t="s">
        <v>13216</v>
      </c>
      <c r="K3583" s="123" t="s">
        <v>13213</v>
      </c>
      <c r="L3583" s="131" t="s">
        <v>100</v>
      </c>
      <c r="M3583" s="135" t="s">
        <v>845</v>
      </c>
      <c r="N3583" s="123" t="s">
        <v>845</v>
      </c>
    </row>
    <row r="3584" spans="2:14" hidden="1" x14ac:dyDescent="0.25">
      <c r="B3584" s="120">
        <v>3581</v>
      </c>
      <c r="C3584" s="123">
        <v>15603724221</v>
      </c>
      <c r="D3584" s="126" t="s">
        <v>13217</v>
      </c>
      <c r="E3584" s="126" t="s">
        <v>13218</v>
      </c>
      <c r="F3584" s="123" t="s">
        <v>30</v>
      </c>
      <c r="G3584" s="123" t="s">
        <v>30</v>
      </c>
      <c r="H3584" s="123" t="s">
        <v>52</v>
      </c>
      <c r="I3584" s="126" t="s">
        <v>11256</v>
      </c>
      <c r="J3584" s="123" t="s">
        <v>13219</v>
      </c>
      <c r="K3584" s="123" t="s">
        <v>13217</v>
      </c>
      <c r="L3584" s="131" t="s">
        <v>100</v>
      </c>
      <c r="M3584" s="135" t="s">
        <v>845</v>
      </c>
      <c r="N3584" s="123" t="s">
        <v>845</v>
      </c>
    </row>
    <row r="3585" spans="2:14" hidden="1" x14ac:dyDescent="0.25">
      <c r="B3585" s="120">
        <v>3582</v>
      </c>
      <c r="C3585" s="123">
        <v>10721735031</v>
      </c>
      <c r="D3585" s="126" t="s">
        <v>13220</v>
      </c>
      <c r="E3585" s="126" t="s">
        <v>13221</v>
      </c>
      <c r="F3585" s="123" t="s">
        <v>30</v>
      </c>
      <c r="G3585" s="123" t="s">
        <v>30</v>
      </c>
      <c r="H3585" s="123" t="s">
        <v>79</v>
      </c>
      <c r="I3585" s="126" t="s">
        <v>1564</v>
      </c>
      <c r="J3585" s="123" t="s">
        <v>13222</v>
      </c>
      <c r="K3585" s="123" t="s">
        <v>13220</v>
      </c>
      <c r="L3585" s="131" t="s">
        <v>100</v>
      </c>
      <c r="M3585" s="135" t="s">
        <v>845</v>
      </c>
      <c r="N3585" s="123" t="s">
        <v>845</v>
      </c>
    </row>
    <row r="3586" spans="2:14" hidden="1" x14ac:dyDescent="0.25">
      <c r="B3586" s="120">
        <v>3583</v>
      </c>
      <c r="C3586" s="123">
        <v>10742855509</v>
      </c>
      <c r="D3586" s="126" t="s">
        <v>13223</v>
      </c>
      <c r="E3586" s="126" t="s">
        <v>13224</v>
      </c>
      <c r="F3586" s="123" t="s">
        <v>30</v>
      </c>
      <c r="G3586" s="123" t="s">
        <v>168</v>
      </c>
      <c r="H3586" s="123" t="s">
        <v>168</v>
      </c>
      <c r="I3586" s="126" t="s">
        <v>1561</v>
      </c>
      <c r="J3586" s="123" t="s">
        <v>13225</v>
      </c>
      <c r="K3586" s="123" t="s">
        <v>13226</v>
      </c>
      <c r="L3586" s="131" t="s">
        <v>100</v>
      </c>
      <c r="M3586" s="135" t="s">
        <v>845</v>
      </c>
      <c r="N3586" s="123" t="s">
        <v>845</v>
      </c>
    </row>
    <row r="3587" spans="2:14" hidden="1" x14ac:dyDescent="0.25">
      <c r="B3587" s="120">
        <v>3584</v>
      </c>
      <c r="C3587" s="123">
        <v>10456059223</v>
      </c>
      <c r="D3587" s="126" t="s">
        <v>13227</v>
      </c>
      <c r="E3587" s="126" t="s">
        <v>13228</v>
      </c>
      <c r="F3587" s="123" t="s">
        <v>30</v>
      </c>
      <c r="G3587" s="123" t="s">
        <v>30</v>
      </c>
      <c r="H3587" s="123" t="s">
        <v>43</v>
      </c>
      <c r="I3587" s="126" t="s">
        <v>3919</v>
      </c>
      <c r="J3587" s="123" t="s">
        <v>13229</v>
      </c>
      <c r="K3587" s="123" t="s">
        <v>13227</v>
      </c>
      <c r="L3587" s="131" t="s">
        <v>100</v>
      </c>
      <c r="M3587" s="135" t="s">
        <v>845</v>
      </c>
      <c r="N3587" s="123" t="s">
        <v>845</v>
      </c>
    </row>
    <row r="3588" spans="2:14" hidden="1" x14ac:dyDescent="0.25">
      <c r="B3588" s="120">
        <v>3585</v>
      </c>
      <c r="C3588" s="123">
        <v>10020431046</v>
      </c>
      <c r="D3588" s="126" t="s">
        <v>13230</v>
      </c>
      <c r="E3588" s="126" t="s">
        <v>13231</v>
      </c>
      <c r="F3588" s="123" t="s">
        <v>30</v>
      </c>
      <c r="G3588" s="123" t="s">
        <v>30</v>
      </c>
      <c r="H3588" s="123" t="s">
        <v>60</v>
      </c>
      <c r="I3588" s="126" t="s">
        <v>1946</v>
      </c>
      <c r="J3588" s="123" t="s">
        <v>13232</v>
      </c>
      <c r="K3588" s="123" t="s">
        <v>13230</v>
      </c>
      <c r="L3588" s="131" t="s">
        <v>100</v>
      </c>
      <c r="M3588" s="135" t="s">
        <v>845</v>
      </c>
      <c r="N3588" s="123" t="s">
        <v>845</v>
      </c>
    </row>
    <row r="3589" spans="2:14" hidden="1" x14ac:dyDescent="0.25">
      <c r="B3589" s="120">
        <v>3586</v>
      </c>
      <c r="C3589" s="123">
        <v>10304228712</v>
      </c>
      <c r="D3589" s="126" t="s">
        <v>13233</v>
      </c>
      <c r="E3589" s="126" t="s">
        <v>13234</v>
      </c>
      <c r="F3589" s="123" t="s">
        <v>30</v>
      </c>
      <c r="G3589" s="123" t="s">
        <v>30</v>
      </c>
      <c r="H3589" s="123" t="s">
        <v>72</v>
      </c>
      <c r="I3589" s="126" t="s">
        <v>1701</v>
      </c>
      <c r="J3589" s="123" t="s">
        <v>13235</v>
      </c>
      <c r="K3589" s="123" t="s">
        <v>13233</v>
      </c>
      <c r="L3589" s="131" t="s">
        <v>100</v>
      </c>
      <c r="M3589" s="135" t="s">
        <v>845</v>
      </c>
      <c r="N3589" s="123" t="s">
        <v>845</v>
      </c>
    </row>
    <row r="3590" spans="2:14" hidden="1" x14ac:dyDescent="0.25">
      <c r="B3590" s="120">
        <v>3587</v>
      </c>
      <c r="C3590" s="123">
        <v>10092861223</v>
      </c>
      <c r="D3590" s="126" t="s">
        <v>13236</v>
      </c>
      <c r="E3590" s="126" t="s">
        <v>13237</v>
      </c>
      <c r="F3590" s="123" t="s">
        <v>30</v>
      </c>
      <c r="G3590" s="123" t="s">
        <v>30</v>
      </c>
      <c r="H3590" s="123" t="s">
        <v>65</v>
      </c>
      <c r="I3590" s="126" t="s">
        <v>1424</v>
      </c>
      <c r="J3590" s="123" t="s">
        <v>13238</v>
      </c>
      <c r="K3590" s="123" t="s">
        <v>13236</v>
      </c>
      <c r="L3590" s="131" t="s">
        <v>100</v>
      </c>
      <c r="M3590" s="135" t="s">
        <v>845</v>
      </c>
      <c r="N3590" s="123" t="s">
        <v>845</v>
      </c>
    </row>
    <row r="3591" spans="2:14" hidden="1" x14ac:dyDescent="0.25">
      <c r="B3591" s="120">
        <v>3588</v>
      </c>
      <c r="C3591" s="123">
        <v>10102067652</v>
      </c>
      <c r="D3591" s="126" t="s">
        <v>13239</v>
      </c>
      <c r="E3591" s="126" t="s">
        <v>13240</v>
      </c>
      <c r="F3591" s="123" t="s">
        <v>93</v>
      </c>
      <c r="G3591" s="123" t="s">
        <v>13012</v>
      </c>
      <c r="H3591" s="123" t="s">
        <v>13241</v>
      </c>
      <c r="I3591" s="126" t="s">
        <v>1950</v>
      </c>
      <c r="J3591" s="123" t="s">
        <v>13242</v>
      </c>
      <c r="K3591" s="123" t="s">
        <v>13239</v>
      </c>
      <c r="L3591" s="131" t="s">
        <v>100</v>
      </c>
      <c r="M3591" s="135" t="s">
        <v>845</v>
      </c>
      <c r="N3591" s="123" t="s">
        <v>845</v>
      </c>
    </row>
    <row r="3592" spans="2:14" hidden="1" x14ac:dyDescent="0.25">
      <c r="B3592" s="120">
        <v>3589</v>
      </c>
      <c r="C3592" s="123">
        <v>10805330070</v>
      </c>
      <c r="D3592" s="126" t="s">
        <v>13243</v>
      </c>
      <c r="E3592" s="126" t="s">
        <v>13244</v>
      </c>
      <c r="F3592" s="123" t="s">
        <v>30</v>
      </c>
      <c r="G3592" s="123" t="s">
        <v>30</v>
      </c>
      <c r="H3592" s="123" t="s">
        <v>50</v>
      </c>
      <c r="I3592" s="126" t="s">
        <v>1936</v>
      </c>
      <c r="J3592" s="123" t="s">
        <v>13245</v>
      </c>
      <c r="K3592" s="123" t="s">
        <v>13246</v>
      </c>
      <c r="L3592" s="131" t="s">
        <v>100</v>
      </c>
      <c r="M3592" s="135" t="s">
        <v>845</v>
      </c>
      <c r="N3592" s="123" t="s">
        <v>845</v>
      </c>
    </row>
    <row r="3593" spans="2:14" hidden="1" x14ac:dyDescent="0.25">
      <c r="B3593" s="120">
        <v>3590</v>
      </c>
      <c r="C3593" s="123">
        <v>10447520422</v>
      </c>
      <c r="D3593" s="126" t="s">
        <v>13247</v>
      </c>
      <c r="E3593" s="126" t="s">
        <v>13248</v>
      </c>
      <c r="F3593" s="123" t="s">
        <v>30</v>
      </c>
      <c r="G3593" s="123" t="s">
        <v>30</v>
      </c>
      <c r="H3593" s="123" t="s">
        <v>45</v>
      </c>
      <c r="I3593" s="126" t="s">
        <v>10829</v>
      </c>
      <c r="J3593" s="123" t="s">
        <v>13249</v>
      </c>
      <c r="K3593" s="123" t="s">
        <v>13250</v>
      </c>
      <c r="L3593" s="131" t="s">
        <v>100</v>
      </c>
      <c r="M3593" s="135" t="s">
        <v>845</v>
      </c>
      <c r="N3593" s="123" t="s">
        <v>845</v>
      </c>
    </row>
    <row r="3594" spans="2:14" hidden="1" x14ac:dyDescent="0.25">
      <c r="B3594" s="120">
        <v>3591</v>
      </c>
      <c r="C3594" s="123">
        <v>10479781597</v>
      </c>
      <c r="D3594" s="126" t="s">
        <v>13251</v>
      </c>
      <c r="E3594" s="126" t="s">
        <v>13252</v>
      </c>
      <c r="F3594" s="123" t="s">
        <v>30</v>
      </c>
      <c r="G3594" s="123" t="s">
        <v>30</v>
      </c>
      <c r="H3594" s="123" t="s">
        <v>45</v>
      </c>
      <c r="I3594" s="126" t="s">
        <v>1952</v>
      </c>
      <c r="J3594" s="123" t="s">
        <v>13253</v>
      </c>
      <c r="K3594" s="123" t="s">
        <v>13251</v>
      </c>
      <c r="L3594" s="131" t="s">
        <v>100</v>
      </c>
      <c r="M3594" s="135" t="s">
        <v>845</v>
      </c>
      <c r="N3594" s="123" t="s">
        <v>845</v>
      </c>
    </row>
    <row r="3595" spans="2:14" hidden="1" x14ac:dyDescent="0.25">
      <c r="B3595" s="120">
        <v>3592</v>
      </c>
      <c r="C3595" s="123">
        <v>10482660288</v>
      </c>
      <c r="D3595" s="126" t="s">
        <v>13254</v>
      </c>
      <c r="E3595" s="126" t="s">
        <v>13255</v>
      </c>
      <c r="F3595" s="123" t="s">
        <v>30</v>
      </c>
      <c r="G3595" s="123" t="s">
        <v>168</v>
      </c>
      <c r="H3595" s="123" t="s">
        <v>177</v>
      </c>
      <c r="I3595" s="126" t="s">
        <v>1701</v>
      </c>
      <c r="J3595" s="123" t="s">
        <v>13256</v>
      </c>
      <c r="K3595" s="123" t="s">
        <v>13254</v>
      </c>
      <c r="L3595" s="131" t="s">
        <v>100</v>
      </c>
      <c r="M3595" s="135" t="s">
        <v>845</v>
      </c>
      <c r="N3595" s="123" t="s">
        <v>845</v>
      </c>
    </row>
    <row r="3596" spans="2:14" hidden="1" x14ac:dyDescent="0.25">
      <c r="B3596" s="120">
        <v>3593</v>
      </c>
      <c r="C3596" s="123">
        <v>10416964861</v>
      </c>
      <c r="D3596" s="126" t="s">
        <v>13257</v>
      </c>
      <c r="E3596" s="126" t="s">
        <v>13258</v>
      </c>
      <c r="F3596" s="123" t="s">
        <v>30</v>
      </c>
      <c r="G3596" s="123" t="s">
        <v>168</v>
      </c>
      <c r="H3596" s="123" t="s">
        <v>180</v>
      </c>
      <c r="I3596" s="126" t="s">
        <v>1932</v>
      </c>
      <c r="J3596" s="123" t="s">
        <v>13259</v>
      </c>
      <c r="K3596" s="123" t="s">
        <v>13257</v>
      </c>
      <c r="L3596" s="131" t="s">
        <v>100</v>
      </c>
      <c r="M3596" s="135" t="s">
        <v>845</v>
      </c>
      <c r="N3596" s="123" t="s">
        <v>845</v>
      </c>
    </row>
    <row r="3597" spans="2:14" hidden="1" x14ac:dyDescent="0.25">
      <c r="B3597" s="120">
        <v>3594</v>
      </c>
      <c r="C3597" s="123">
        <v>10439922341</v>
      </c>
      <c r="D3597" s="126" t="s">
        <v>13260</v>
      </c>
      <c r="E3597" s="126" t="s">
        <v>13261</v>
      </c>
      <c r="F3597" s="123" t="s">
        <v>30</v>
      </c>
      <c r="G3597" s="123" t="s">
        <v>30</v>
      </c>
      <c r="H3597" s="123" t="s">
        <v>34</v>
      </c>
      <c r="I3597" s="126" t="s">
        <v>11256</v>
      </c>
      <c r="J3597" s="123" t="s">
        <v>13262</v>
      </c>
      <c r="K3597" s="123" t="s">
        <v>13263</v>
      </c>
      <c r="L3597" s="131" t="s">
        <v>100</v>
      </c>
      <c r="M3597" s="135" t="s">
        <v>845</v>
      </c>
      <c r="N3597" s="123" t="s">
        <v>845</v>
      </c>
    </row>
    <row r="3598" spans="2:14" hidden="1" x14ac:dyDescent="0.25">
      <c r="B3598" s="120">
        <v>3595</v>
      </c>
      <c r="C3598" s="123">
        <v>10099032508</v>
      </c>
      <c r="D3598" s="126" t="s">
        <v>13264</v>
      </c>
      <c r="E3598" s="126" t="s">
        <v>13265</v>
      </c>
      <c r="F3598" s="123" t="s">
        <v>30</v>
      </c>
      <c r="G3598" s="123" t="s">
        <v>30</v>
      </c>
      <c r="H3598" s="123" t="s">
        <v>72</v>
      </c>
      <c r="I3598" s="126" t="s">
        <v>9769</v>
      </c>
      <c r="J3598" s="123" t="s">
        <v>13266</v>
      </c>
      <c r="K3598" s="123" t="s">
        <v>13267</v>
      </c>
      <c r="L3598" s="131" t="s">
        <v>100</v>
      </c>
      <c r="M3598" s="135" t="s">
        <v>845</v>
      </c>
      <c r="N3598" s="123" t="s">
        <v>845</v>
      </c>
    </row>
    <row r="3599" spans="2:14" hidden="1" x14ac:dyDescent="0.25">
      <c r="B3599" s="120">
        <v>3596</v>
      </c>
      <c r="C3599" s="123">
        <v>10086287108</v>
      </c>
      <c r="D3599" s="126" t="s">
        <v>13268</v>
      </c>
      <c r="E3599" s="126" t="s">
        <v>13269</v>
      </c>
      <c r="F3599" s="123" t="s">
        <v>30</v>
      </c>
      <c r="G3599" s="123" t="s">
        <v>30</v>
      </c>
      <c r="H3599" s="123" t="s">
        <v>75</v>
      </c>
      <c r="I3599" s="126" t="s">
        <v>1737</v>
      </c>
      <c r="J3599" s="123" t="s">
        <v>13270</v>
      </c>
      <c r="K3599" s="123" t="s">
        <v>13268</v>
      </c>
      <c r="L3599" s="131" t="s">
        <v>100</v>
      </c>
      <c r="M3599" s="135" t="s">
        <v>845</v>
      </c>
      <c r="N3599" s="123" t="s">
        <v>845</v>
      </c>
    </row>
    <row r="3600" spans="2:14" hidden="1" x14ac:dyDescent="0.25">
      <c r="B3600" s="120">
        <v>3597</v>
      </c>
      <c r="C3600" s="123">
        <v>10053915677</v>
      </c>
      <c r="D3600" s="126" t="s">
        <v>13271</v>
      </c>
      <c r="E3600" s="126" t="s">
        <v>13272</v>
      </c>
      <c r="F3600" s="123" t="s">
        <v>30</v>
      </c>
      <c r="G3600" s="123" t="s">
        <v>181</v>
      </c>
      <c r="H3600" s="123" t="s">
        <v>181</v>
      </c>
      <c r="I3600" s="126" t="s">
        <v>13273</v>
      </c>
      <c r="J3600" s="123" t="s">
        <v>13274</v>
      </c>
      <c r="K3600" s="123" t="s">
        <v>13271</v>
      </c>
      <c r="L3600" s="131" t="s">
        <v>100</v>
      </c>
      <c r="M3600" s="135" t="s">
        <v>845</v>
      </c>
      <c r="N3600" s="123" t="s">
        <v>845</v>
      </c>
    </row>
    <row r="3601" spans="2:14" hidden="1" x14ac:dyDescent="0.25">
      <c r="B3601" s="120">
        <v>3598</v>
      </c>
      <c r="C3601" s="123">
        <v>10104434857</v>
      </c>
      <c r="D3601" s="126" t="s">
        <v>13275</v>
      </c>
      <c r="E3601" s="126" t="s">
        <v>13276</v>
      </c>
      <c r="F3601" s="123" t="s">
        <v>30</v>
      </c>
      <c r="G3601" s="123" t="s">
        <v>31</v>
      </c>
      <c r="H3601" s="123" t="s">
        <v>9381</v>
      </c>
      <c r="I3601" s="126" t="s">
        <v>1701</v>
      </c>
      <c r="J3601" s="123" t="s">
        <v>13277</v>
      </c>
      <c r="K3601" s="123" t="s">
        <v>13275</v>
      </c>
      <c r="L3601" s="131" t="s">
        <v>100</v>
      </c>
      <c r="M3601" s="135" t="s">
        <v>845</v>
      </c>
      <c r="N3601" s="123" t="s">
        <v>845</v>
      </c>
    </row>
    <row r="3602" spans="2:14" hidden="1" x14ac:dyDescent="0.25">
      <c r="B3602" s="120">
        <v>3599</v>
      </c>
      <c r="C3602" s="123">
        <v>10447941568</v>
      </c>
      <c r="D3602" s="126" t="s">
        <v>13278</v>
      </c>
      <c r="E3602" s="126" t="s">
        <v>13279</v>
      </c>
      <c r="F3602" s="123" t="s">
        <v>30</v>
      </c>
      <c r="G3602" s="123" t="s">
        <v>31</v>
      </c>
      <c r="H3602" s="123" t="s">
        <v>92</v>
      </c>
      <c r="I3602" s="126" t="s">
        <v>1931</v>
      </c>
      <c r="J3602" s="123" t="s">
        <v>13280</v>
      </c>
      <c r="K3602" s="123" t="s">
        <v>13278</v>
      </c>
      <c r="L3602" s="131" t="s">
        <v>100</v>
      </c>
      <c r="M3602" s="135" t="s">
        <v>845</v>
      </c>
      <c r="N3602" s="123" t="s">
        <v>845</v>
      </c>
    </row>
    <row r="3603" spans="2:14" hidden="1" x14ac:dyDescent="0.25">
      <c r="B3603" s="120">
        <v>3600</v>
      </c>
      <c r="C3603" s="123">
        <v>10454564516</v>
      </c>
      <c r="D3603" s="126" t="s">
        <v>13281</v>
      </c>
      <c r="E3603" s="126" t="s">
        <v>13282</v>
      </c>
      <c r="F3603" s="123" t="s">
        <v>30</v>
      </c>
      <c r="G3603" s="123" t="s">
        <v>30</v>
      </c>
      <c r="H3603" s="123" t="s">
        <v>74</v>
      </c>
      <c r="I3603" s="126" t="s">
        <v>1701</v>
      </c>
      <c r="J3603" s="123" t="s">
        <v>13283</v>
      </c>
      <c r="K3603" s="123" t="s">
        <v>13281</v>
      </c>
      <c r="L3603" s="131" t="s">
        <v>100</v>
      </c>
      <c r="M3603" s="135" t="s">
        <v>845</v>
      </c>
      <c r="N3603" s="123" t="s">
        <v>845</v>
      </c>
    </row>
    <row r="3604" spans="2:14" hidden="1" x14ac:dyDescent="0.25">
      <c r="B3604" s="120">
        <v>3601</v>
      </c>
      <c r="C3604" s="123">
        <v>10403177461</v>
      </c>
      <c r="D3604" s="126" t="s">
        <v>13284</v>
      </c>
      <c r="E3604" s="126" t="s">
        <v>13285</v>
      </c>
      <c r="F3604" s="123" t="s">
        <v>30</v>
      </c>
      <c r="G3604" s="123" t="s">
        <v>30</v>
      </c>
      <c r="H3604" s="123" t="s">
        <v>58</v>
      </c>
      <c r="I3604" s="126" t="s">
        <v>1424</v>
      </c>
      <c r="J3604" s="123" t="s">
        <v>13286</v>
      </c>
      <c r="K3604" s="123" t="s">
        <v>13284</v>
      </c>
      <c r="L3604" s="131" t="s">
        <v>100</v>
      </c>
      <c r="M3604" s="135" t="s">
        <v>845</v>
      </c>
      <c r="N3604" s="123" t="s">
        <v>845</v>
      </c>
    </row>
    <row r="3605" spans="2:14" hidden="1" x14ac:dyDescent="0.25">
      <c r="B3605" s="120">
        <v>3602</v>
      </c>
      <c r="C3605" s="123">
        <v>10420562051</v>
      </c>
      <c r="D3605" s="126" t="s">
        <v>13287</v>
      </c>
      <c r="E3605" s="126" t="s">
        <v>13288</v>
      </c>
      <c r="F3605" s="123" t="s">
        <v>30</v>
      </c>
      <c r="G3605" s="123" t="s">
        <v>30</v>
      </c>
      <c r="H3605" s="123" t="s">
        <v>72</v>
      </c>
      <c r="I3605" s="126" t="s">
        <v>1931</v>
      </c>
      <c r="J3605" s="123" t="s">
        <v>13289</v>
      </c>
      <c r="K3605" s="123" t="s">
        <v>13287</v>
      </c>
      <c r="L3605" s="131" t="s">
        <v>100</v>
      </c>
      <c r="M3605" s="135" t="s">
        <v>845</v>
      </c>
      <c r="N3605" s="123" t="s">
        <v>845</v>
      </c>
    </row>
    <row r="3606" spans="2:14" hidden="1" x14ac:dyDescent="0.25">
      <c r="B3606" s="120">
        <v>3603</v>
      </c>
      <c r="C3606" s="123">
        <v>10104633515</v>
      </c>
      <c r="D3606" s="126" t="s">
        <v>13290</v>
      </c>
      <c r="E3606" s="126" t="s">
        <v>13291</v>
      </c>
      <c r="F3606" s="123" t="s">
        <v>30</v>
      </c>
      <c r="G3606" s="123" t="s">
        <v>30</v>
      </c>
      <c r="H3606" s="123" t="s">
        <v>79</v>
      </c>
      <c r="I3606" s="126" t="s">
        <v>13292</v>
      </c>
      <c r="J3606" s="123" t="s">
        <v>13293</v>
      </c>
      <c r="K3606" s="123" t="s">
        <v>13294</v>
      </c>
      <c r="L3606" s="131" t="s">
        <v>100</v>
      </c>
      <c r="M3606" s="135" t="s">
        <v>845</v>
      </c>
      <c r="N3606" s="123" t="s">
        <v>845</v>
      </c>
    </row>
    <row r="3607" spans="2:14" hidden="1" x14ac:dyDescent="0.25">
      <c r="B3607" s="120">
        <v>3604</v>
      </c>
      <c r="C3607" s="123">
        <v>10465772820</v>
      </c>
      <c r="D3607" s="126" t="s">
        <v>13295</v>
      </c>
      <c r="E3607" s="126" t="s">
        <v>13296</v>
      </c>
      <c r="F3607" s="123" t="s">
        <v>30</v>
      </c>
      <c r="G3607" s="123" t="s">
        <v>30</v>
      </c>
      <c r="H3607" s="123" t="s">
        <v>72</v>
      </c>
      <c r="I3607" s="126" t="s">
        <v>1394</v>
      </c>
      <c r="J3607" s="123" t="s">
        <v>1393</v>
      </c>
      <c r="K3607" s="123" t="s">
        <v>13295</v>
      </c>
      <c r="L3607" s="131" t="s">
        <v>100</v>
      </c>
      <c r="M3607" s="135" t="s">
        <v>845</v>
      </c>
      <c r="N3607" s="123" t="s">
        <v>845</v>
      </c>
    </row>
    <row r="3608" spans="2:14" hidden="1" x14ac:dyDescent="0.25">
      <c r="B3608" s="120">
        <v>3605</v>
      </c>
      <c r="C3608" s="123">
        <v>10421484304</v>
      </c>
      <c r="D3608" s="126" t="s">
        <v>13297</v>
      </c>
      <c r="E3608" s="126" t="s">
        <v>13298</v>
      </c>
      <c r="F3608" s="123" t="s">
        <v>30</v>
      </c>
      <c r="G3608" s="123" t="s">
        <v>30</v>
      </c>
      <c r="H3608" s="123" t="s">
        <v>50</v>
      </c>
      <c r="I3608" s="126" t="s">
        <v>8743</v>
      </c>
      <c r="J3608" s="123" t="s">
        <v>13299</v>
      </c>
      <c r="K3608" s="123" t="s">
        <v>13297</v>
      </c>
      <c r="L3608" s="131" t="s">
        <v>100</v>
      </c>
      <c r="M3608" s="135" t="s">
        <v>845</v>
      </c>
      <c r="N3608" s="123" t="s">
        <v>845</v>
      </c>
    </row>
    <row r="3609" spans="2:14" hidden="1" x14ac:dyDescent="0.25">
      <c r="B3609" s="120">
        <v>3606</v>
      </c>
      <c r="C3609" s="123">
        <v>10256400621</v>
      </c>
      <c r="D3609" s="126" t="s">
        <v>13300</v>
      </c>
      <c r="E3609" s="126" t="s">
        <v>13301</v>
      </c>
      <c r="F3609" s="123" t="s">
        <v>67</v>
      </c>
      <c r="G3609" s="123" t="s">
        <v>67</v>
      </c>
      <c r="H3609" s="123" t="s">
        <v>81</v>
      </c>
      <c r="I3609" s="126" t="s">
        <v>13093</v>
      </c>
      <c r="J3609" s="123" t="s">
        <v>13302</v>
      </c>
      <c r="K3609" s="123" t="s">
        <v>13300</v>
      </c>
      <c r="L3609" s="131" t="s">
        <v>100</v>
      </c>
      <c r="M3609" s="135" t="s">
        <v>845</v>
      </c>
      <c r="N3609" s="123" t="s">
        <v>845</v>
      </c>
    </row>
    <row r="3610" spans="2:14" hidden="1" x14ac:dyDescent="0.25">
      <c r="B3610" s="120">
        <v>3607</v>
      </c>
      <c r="C3610" s="123">
        <v>10401075840</v>
      </c>
      <c r="D3610" s="126" t="s">
        <v>13303</v>
      </c>
      <c r="E3610" s="126" t="s">
        <v>13304</v>
      </c>
      <c r="F3610" s="123" t="s">
        <v>30</v>
      </c>
      <c r="G3610" s="123" t="s">
        <v>30</v>
      </c>
      <c r="H3610" s="123" t="s">
        <v>88</v>
      </c>
      <c r="I3610" s="126" t="s">
        <v>1507</v>
      </c>
      <c r="J3610" s="123" t="s">
        <v>13305</v>
      </c>
      <c r="K3610" s="123" t="s">
        <v>13306</v>
      </c>
      <c r="L3610" s="131" t="s">
        <v>100</v>
      </c>
      <c r="M3610" s="135" t="s">
        <v>845</v>
      </c>
      <c r="N3610" s="123" t="s">
        <v>845</v>
      </c>
    </row>
    <row r="3611" spans="2:14" hidden="1" x14ac:dyDescent="0.25">
      <c r="B3611" s="120">
        <v>3608</v>
      </c>
      <c r="C3611" s="123">
        <v>10759623083</v>
      </c>
      <c r="D3611" s="126" t="s">
        <v>13307</v>
      </c>
      <c r="E3611" s="126" t="s">
        <v>13308</v>
      </c>
      <c r="F3611" s="123" t="s">
        <v>30</v>
      </c>
      <c r="G3611" s="123" t="s">
        <v>30</v>
      </c>
      <c r="H3611" s="123" t="s">
        <v>43</v>
      </c>
      <c r="I3611" s="126" t="s">
        <v>1424</v>
      </c>
      <c r="J3611" s="123" t="s">
        <v>13309</v>
      </c>
      <c r="K3611" s="123" t="s">
        <v>13307</v>
      </c>
      <c r="L3611" s="131" t="s">
        <v>100</v>
      </c>
      <c r="M3611" s="135" t="s">
        <v>845</v>
      </c>
      <c r="N3611" s="123" t="s">
        <v>845</v>
      </c>
    </row>
    <row r="3612" spans="2:14" hidden="1" x14ac:dyDescent="0.25">
      <c r="B3612" s="120">
        <v>3609</v>
      </c>
      <c r="C3612" s="123">
        <v>10105323382</v>
      </c>
      <c r="D3612" s="126" t="s">
        <v>13310</v>
      </c>
      <c r="E3612" s="126" t="s">
        <v>13311</v>
      </c>
      <c r="F3612" s="123" t="s">
        <v>30</v>
      </c>
      <c r="G3612" s="123" t="s">
        <v>30</v>
      </c>
      <c r="H3612" s="123" t="s">
        <v>45</v>
      </c>
      <c r="I3612" s="126" t="s">
        <v>1655</v>
      </c>
      <c r="J3612" s="123" t="s">
        <v>13312</v>
      </c>
      <c r="K3612" s="123" t="s">
        <v>13310</v>
      </c>
      <c r="L3612" s="131" t="s">
        <v>100</v>
      </c>
      <c r="M3612" s="135" t="s">
        <v>845</v>
      </c>
      <c r="N3612" s="123" t="s">
        <v>845</v>
      </c>
    </row>
    <row r="3613" spans="2:14" hidden="1" x14ac:dyDescent="0.25">
      <c r="B3613" s="120">
        <v>3610</v>
      </c>
      <c r="C3613" s="123">
        <v>10418229875</v>
      </c>
      <c r="D3613" s="126" t="s">
        <v>13313</v>
      </c>
      <c r="E3613" s="126" t="s">
        <v>13314</v>
      </c>
      <c r="F3613" s="123" t="s">
        <v>30</v>
      </c>
      <c r="G3613" s="123" t="s">
        <v>30</v>
      </c>
      <c r="H3613" s="123" t="s">
        <v>51</v>
      </c>
      <c r="I3613" s="126" t="s">
        <v>1701</v>
      </c>
      <c r="J3613" s="123" t="s">
        <v>13315</v>
      </c>
      <c r="K3613" s="123" t="s">
        <v>13313</v>
      </c>
      <c r="L3613" s="131" t="s">
        <v>100</v>
      </c>
      <c r="M3613" s="135" t="s">
        <v>845</v>
      </c>
      <c r="N3613" s="123" t="s">
        <v>845</v>
      </c>
    </row>
    <row r="3614" spans="2:14" hidden="1" x14ac:dyDescent="0.25">
      <c r="B3614" s="120">
        <v>3611</v>
      </c>
      <c r="C3614" s="123">
        <v>10472929637</v>
      </c>
      <c r="D3614" s="126" t="s">
        <v>13316</v>
      </c>
      <c r="E3614" s="126" t="s">
        <v>13317</v>
      </c>
      <c r="F3614" s="123" t="s">
        <v>30</v>
      </c>
      <c r="G3614" s="123" t="s">
        <v>30</v>
      </c>
      <c r="H3614" s="123" t="s">
        <v>72</v>
      </c>
      <c r="I3614" s="126" t="s">
        <v>1701</v>
      </c>
      <c r="J3614" s="123" t="s">
        <v>13318</v>
      </c>
      <c r="K3614" s="123" t="s">
        <v>13316</v>
      </c>
      <c r="L3614" s="131" t="s">
        <v>100</v>
      </c>
      <c r="M3614" s="135" t="s">
        <v>845</v>
      </c>
      <c r="N3614" s="123" t="s">
        <v>845</v>
      </c>
    </row>
    <row r="3615" spans="2:14" hidden="1" x14ac:dyDescent="0.25">
      <c r="B3615" s="120">
        <v>3612</v>
      </c>
      <c r="C3615" s="123">
        <v>10766513811</v>
      </c>
      <c r="D3615" s="126" t="s">
        <v>13319</v>
      </c>
      <c r="E3615" s="126" t="s">
        <v>13320</v>
      </c>
      <c r="F3615" s="123" t="s">
        <v>30</v>
      </c>
      <c r="G3615" s="123" t="s">
        <v>170</v>
      </c>
      <c r="H3615" s="123" t="s">
        <v>179</v>
      </c>
      <c r="I3615" s="126" t="s">
        <v>1643</v>
      </c>
      <c r="J3615" s="123" t="s">
        <v>13321</v>
      </c>
      <c r="K3615" s="123" t="s">
        <v>13322</v>
      </c>
      <c r="L3615" s="131" t="s">
        <v>100</v>
      </c>
      <c r="M3615" s="135" t="s">
        <v>845</v>
      </c>
      <c r="N3615" s="123" t="s">
        <v>845</v>
      </c>
    </row>
    <row r="3616" spans="2:14" hidden="1" x14ac:dyDescent="0.25">
      <c r="B3616" s="120">
        <v>3613</v>
      </c>
      <c r="C3616" s="123">
        <v>10464430658</v>
      </c>
      <c r="D3616" s="126" t="s">
        <v>13323</v>
      </c>
      <c r="E3616" s="126" t="s">
        <v>13324</v>
      </c>
      <c r="F3616" s="123" t="s">
        <v>30</v>
      </c>
      <c r="G3616" s="123" t="s">
        <v>30</v>
      </c>
      <c r="H3616" s="123" t="s">
        <v>58</v>
      </c>
      <c r="I3616" s="126" t="s">
        <v>1931</v>
      </c>
      <c r="J3616" s="123" t="s">
        <v>13325</v>
      </c>
      <c r="K3616" s="123" t="s">
        <v>13323</v>
      </c>
      <c r="L3616" s="131" t="s">
        <v>100</v>
      </c>
      <c r="M3616" s="135" t="s">
        <v>845</v>
      </c>
      <c r="N3616" s="123" t="s">
        <v>845</v>
      </c>
    </row>
    <row r="3617" spans="2:14" hidden="1" x14ac:dyDescent="0.25">
      <c r="B3617" s="120">
        <v>3614</v>
      </c>
      <c r="C3617" s="123">
        <v>10068146211</v>
      </c>
      <c r="D3617" s="126" t="s">
        <v>13326</v>
      </c>
      <c r="E3617" s="126" t="s">
        <v>13327</v>
      </c>
      <c r="F3617" s="123" t="s">
        <v>30</v>
      </c>
      <c r="G3617" s="123" t="s">
        <v>30</v>
      </c>
      <c r="H3617" s="123" t="s">
        <v>45</v>
      </c>
      <c r="I3617" s="126" t="s">
        <v>1424</v>
      </c>
      <c r="J3617" s="123" t="s">
        <v>13328</v>
      </c>
      <c r="K3617" s="123" t="s">
        <v>13329</v>
      </c>
      <c r="L3617" s="131" t="s">
        <v>100</v>
      </c>
      <c r="M3617" s="135" t="s">
        <v>845</v>
      </c>
      <c r="N3617" s="123" t="s">
        <v>845</v>
      </c>
    </row>
    <row r="3618" spans="2:14" hidden="1" x14ac:dyDescent="0.25">
      <c r="B3618" s="120">
        <v>3615</v>
      </c>
      <c r="C3618" s="123">
        <v>10460840916</v>
      </c>
      <c r="D3618" s="126" t="s">
        <v>13330</v>
      </c>
      <c r="E3618" s="126" t="s">
        <v>13331</v>
      </c>
      <c r="F3618" s="123" t="s">
        <v>30</v>
      </c>
      <c r="G3618" s="123" t="s">
        <v>30</v>
      </c>
      <c r="H3618" s="123" t="s">
        <v>85</v>
      </c>
      <c r="I3618" s="126" t="s">
        <v>8698</v>
      </c>
      <c r="J3618" s="123" t="s">
        <v>13332</v>
      </c>
      <c r="K3618" s="123" t="s">
        <v>13330</v>
      </c>
      <c r="L3618" s="131" t="s">
        <v>100</v>
      </c>
      <c r="M3618" s="135" t="s">
        <v>845</v>
      </c>
      <c r="N3618" s="123" t="s">
        <v>845</v>
      </c>
    </row>
    <row r="3619" spans="2:14" hidden="1" x14ac:dyDescent="0.25">
      <c r="B3619" s="120">
        <v>3616</v>
      </c>
      <c r="C3619" s="123">
        <v>10106022734</v>
      </c>
      <c r="D3619" s="126" t="s">
        <v>13333</v>
      </c>
      <c r="E3619" s="126" t="s">
        <v>13334</v>
      </c>
      <c r="F3619" s="123" t="s">
        <v>30</v>
      </c>
      <c r="G3619" s="123" t="s">
        <v>30</v>
      </c>
      <c r="H3619" s="123" t="s">
        <v>30</v>
      </c>
      <c r="I3619" s="126" t="s">
        <v>1931</v>
      </c>
      <c r="J3619" s="123" t="s">
        <v>13335</v>
      </c>
      <c r="K3619" s="123" t="s">
        <v>13333</v>
      </c>
      <c r="L3619" s="131" t="s">
        <v>100</v>
      </c>
      <c r="M3619" s="135" t="s">
        <v>845</v>
      </c>
      <c r="N3619" s="123" t="s">
        <v>845</v>
      </c>
    </row>
    <row r="3620" spans="2:14" hidden="1" x14ac:dyDescent="0.25">
      <c r="B3620" s="120">
        <v>3617</v>
      </c>
      <c r="C3620" s="123">
        <v>10753369215</v>
      </c>
      <c r="D3620" s="126" t="s">
        <v>13336</v>
      </c>
      <c r="E3620" s="126" t="s">
        <v>13337</v>
      </c>
      <c r="F3620" s="123" t="s">
        <v>30</v>
      </c>
      <c r="G3620" s="123" t="s">
        <v>30</v>
      </c>
      <c r="H3620" s="123" t="s">
        <v>68</v>
      </c>
      <c r="I3620" s="126" t="s">
        <v>106</v>
      </c>
      <c r="J3620" s="123" t="s">
        <v>13338</v>
      </c>
      <c r="K3620" s="123" t="s">
        <v>13336</v>
      </c>
      <c r="L3620" s="131" t="s">
        <v>100</v>
      </c>
      <c r="M3620" s="135" t="s">
        <v>845</v>
      </c>
      <c r="N3620" s="123" t="s">
        <v>845</v>
      </c>
    </row>
    <row r="3621" spans="2:14" hidden="1" x14ac:dyDescent="0.25">
      <c r="B3621" s="120">
        <v>3618</v>
      </c>
      <c r="C3621" s="123">
        <v>10456146495</v>
      </c>
      <c r="D3621" s="126" t="s">
        <v>13339</v>
      </c>
      <c r="E3621" s="126" t="s">
        <v>13340</v>
      </c>
      <c r="F3621" s="123" t="s">
        <v>30</v>
      </c>
      <c r="G3621" s="123" t="s">
        <v>30</v>
      </c>
      <c r="H3621" s="123" t="s">
        <v>58</v>
      </c>
      <c r="I3621" s="126" t="s">
        <v>1931</v>
      </c>
      <c r="J3621" s="123" t="s">
        <v>13341</v>
      </c>
      <c r="K3621" s="123" t="s">
        <v>13339</v>
      </c>
      <c r="L3621" s="131" t="s">
        <v>100</v>
      </c>
      <c r="M3621" s="135" t="s">
        <v>845</v>
      </c>
      <c r="N3621" s="123" t="s">
        <v>845</v>
      </c>
    </row>
    <row r="3622" spans="2:14" hidden="1" x14ac:dyDescent="0.25">
      <c r="B3622" s="120">
        <v>3619</v>
      </c>
      <c r="C3622" s="123">
        <v>10099231462</v>
      </c>
      <c r="D3622" s="126" t="s">
        <v>13342</v>
      </c>
      <c r="E3622" s="126" t="s">
        <v>13343</v>
      </c>
      <c r="F3622" s="123" t="s">
        <v>30</v>
      </c>
      <c r="G3622" s="123" t="s">
        <v>30</v>
      </c>
      <c r="H3622" s="123" t="s">
        <v>30</v>
      </c>
      <c r="I3622" s="126" t="s">
        <v>1973</v>
      </c>
      <c r="J3622" s="123" t="s">
        <v>13344</v>
      </c>
      <c r="K3622" s="123" t="s">
        <v>13342</v>
      </c>
      <c r="L3622" s="131" t="s">
        <v>100</v>
      </c>
      <c r="M3622" s="135" t="s">
        <v>845</v>
      </c>
      <c r="N3622" s="123" t="s">
        <v>845</v>
      </c>
    </row>
    <row r="3623" spans="2:14" hidden="1" x14ac:dyDescent="0.25">
      <c r="B3623" s="120">
        <v>3620</v>
      </c>
      <c r="C3623" s="123">
        <v>10776881398</v>
      </c>
      <c r="D3623" s="126" t="s">
        <v>13345</v>
      </c>
      <c r="E3623" s="126" t="s">
        <v>13346</v>
      </c>
      <c r="F3623" s="123" t="s">
        <v>30</v>
      </c>
      <c r="G3623" s="123" t="s">
        <v>30</v>
      </c>
      <c r="H3623" s="123" t="s">
        <v>45</v>
      </c>
      <c r="I3623" s="126" t="s">
        <v>1930</v>
      </c>
      <c r="J3623" s="123" t="s">
        <v>13347</v>
      </c>
      <c r="K3623" s="123" t="s">
        <v>13348</v>
      </c>
      <c r="L3623" s="131" t="s">
        <v>100</v>
      </c>
      <c r="M3623" s="135" t="s">
        <v>845</v>
      </c>
      <c r="N3623" s="123" t="s">
        <v>845</v>
      </c>
    </row>
    <row r="3624" spans="2:14" hidden="1" x14ac:dyDescent="0.25">
      <c r="B3624" s="120">
        <v>3621</v>
      </c>
      <c r="C3624" s="123">
        <v>10450624492</v>
      </c>
      <c r="D3624" s="126" t="s">
        <v>13349</v>
      </c>
      <c r="E3624" s="126" t="s">
        <v>13350</v>
      </c>
      <c r="F3624" s="123" t="s">
        <v>30</v>
      </c>
      <c r="G3624" s="123" t="s">
        <v>170</v>
      </c>
      <c r="H3624" s="123" t="s">
        <v>170</v>
      </c>
      <c r="I3624" s="126" t="s">
        <v>1961</v>
      </c>
      <c r="J3624" s="123" t="s">
        <v>13351</v>
      </c>
      <c r="K3624" s="123" t="s">
        <v>13349</v>
      </c>
      <c r="L3624" s="131" t="s">
        <v>100</v>
      </c>
      <c r="M3624" s="135" t="s">
        <v>845</v>
      </c>
      <c r="N3624" s="123" t="s">
        <v>845</v>
      </c>
    </row>
    <row r="3625" spans="2:14" hidden="1" x14ac:dyDescent="0.25">
      <c r="B3625" s="120">
        <v>3622</v>
      </c>
      <c r="C3625" s="123">
        <v>10473594086</v>
      </c>
      <c r="D3625" s="126" t="s">
        <v>13352</v>
      </c>
      <c r="E3625" s="126" t="s">
        <v>13353</v>
      </c>
      <c r="F3625" s="123" t="s">
        <v>67</v>
      </c>
      <c r="G3625" s="123" t="s">
        <v>67</v>
      </c>
      <c r="H3625" s="123" t="s">
        <v>67</v>
      </c>
      <c r="I3625" s="126" t="s">
        <v>12412</v>
      </c>
      <c r="J3625" s="123" t="s">
        <v>13354</v>
      </c>
      <c r="K3625" s="123" t="s">
        <v>13355</v>
      </c>
      <c r="L3625" s="131" t="s">
        <v>100</v>
      </c>
      <c r="M3625" s="135" t="s">
        <v>845</v>
      </c>
      <c r="N3625" s="123" t="s">
        <v>845</v>
      </c>
    </row>
    <row r="3626" spans="2:14" hidden="1" x14ac:dyDescent="0.25">
      <c r="B3626" s="120">
        <v>3623</v>
      </c>
      <c r="C3626" s="123">
        <v>10101111321</v>
      </c>
      <c r="D3626" s="126" t="s">
        <v>13356</v>
      </c>
      <c r="E3626" s="126" t="s">
        <v>13357</v>
      </c>
      <c r="F3626" s="123" t="s">
        <v>30</v>
      </c>
      <c r="G3626" s="123" t="s">
        <v>30</v>
      </c>
      <c r="H3626" s="123" t="s">
        <v>43</v>
      </c>
      <c r="I3626" s="126" t="s">
        <v>1933</v>
      </c>
      <c r="J3626" s="123" t="s">
        <v>13358</v>
      </c>
      <c r="K3626" s="123" t="s">
        <v>13359</v>
      </c>
      <c r="L3626" s="131" t="s">
        <v>100</v>
      </c>
      <c r="M3626" s="135" t="s">
        <v>845</v>
      </c>
      <c r="N3626" s="123" t="s">
        <v>845</v>
      </c>
    </row>
    <row r="3627" spans="2:14" hidden="1" x14ac:dyDescent="0.25">
      <c r="B3627" s="120">
        <v>3624</v>
      </c>
      <c r="C3627" s="123">
        <v>10721826711</v>
      </c>
      <c r="D3627" s="126" t="s">
        <v>13360</v>
      </c>
      <c r="E3627" s="126" t="s">
        <v>13361</v>
      </c>
      <c r="F3627" s="123" t="s">
        <v>67</v>
      </c>
      <c r="G3627" s="123" t="s">
        <v>67</v>
      </c>
      <c r="H3627" s="123" t="s">
        <v>67</v>
      </c>
      <c r="I3627" s="126" t="s">
        <v>1424</v>
      </c>
      <c r="J3627" s="123" t="s">
        <v>13362</v>
      </c>
      <c r="K3627" s="123" t="s">
        <v>13360</v>
      </c>
      <c r="L3627" s="131" t="s">
        <v>100</v>
      </c>
      <c r="M3627" s="135" t="s">
        <v>845</v>
      </c>
      <c r="N3627" s="123" t="s">
        <v>845</v>
      </c>
    </row>
    <row r="3628" spans="2:14" hidden="1" x14ac:dyDescent="0.25">
      <c r="B3628" s="120">
        <v>3625</v>
      </c>
      <c r="C3628" s="123">
        <v>10107792011</v>
      </c>
      <c r="D3628" s="126" t="s">
        <v>13363</v>
      </c>
      <c r="E3628" s="126" t="s">
        <v>13364</v>
      </c>
      <c r="F3628" s="123" t="s">
        <v>30</v>
      </c>
      <c r="G3628" s="123" t="s">
        <v>30</v>
      </c>
      <c r="H3628" s="123" t="s">
        <v>75</v>
      </c>
      <c r="I3628" s="126" t="s">
        <v>1564</v>
      </c>
      <c r="J3628" s="123" t="s">
        <v>13365</v>
      </c>
      <c r="K3628" s="123" t="s">
        <v>13363</v>
      </c>
      <c r="L3628" s="131" t="s">
        <v>100</v>
      </c>
      <c r="M3628" s="135" t="s">
        <v>845</v>
      </c>
      <c r="N3628" s="123" t="s">
        <v>845</v>
      </c>
    </row>
    <row r="3629" spans="2:14" hidden="1" x14ac:dyDescent="0.25">
      <c r="B3629" s="120">
        <v>3626</v>
      </c>
      <c r="C3629" s="123">
        <v>10406603216</v>
      </c>
      <c r="D3629" s="126" t="s">
        <v>13366</v>
      </c>
      <c r="E3629" s="126" t="s">
        <v>13367</v>
      </c>
      <c r="F3629" s="123" t="s">
        <v>30</v>
      </c>
      <c r="G3629" s="123" t="s">
        <v>30</v>
      </c>
      <c r="H3629" s="123" t="s">
        <v>30</v>
      </c>
      <c r="I3629" s="126" t="s">
        <v>1950</v>
      </c>
      <c r="J3629" s="123" t="s">
        <v>13368</v>
      </c>
      <c r="K3629" s="123" t="s">
        <v>13366</v>
      </c>
      <c r="L3629" s="131" t="s">
        <v>100</v>
      </c>
      <c r="M3629" s="135" t="s">
        <v>845</v>
      </c>
      <c r="N3629" s="123" t="s">
        <v>845</v>
      </c>
    </row>
    <row r="3630" spans="2:14" hidden="1" x14ac:dyDescent="0.25">
      <c r="B3630" s="120">
        <v>3627</v>
      </c>
      <c r="C3630" s="123">
        <v>10068844113</v>
      </c>
      <c r="D3630" s="126" t="s">
        <v>13369</v>
      </c>
      <c r="E3630" s="126" t="s">
        <v>13370</v>
      </c>
      <c r="F3630" s="123" t="s">
        <v>30</v>
      </c>
      <c r="G3630" s="123" t="s">
        <v>30</v>
      </c>
      <c r="H3630" s="123" t="s">
        <v>58</v>
      </c>
      <c r="I3630" s="126" t="s">
        <v>1701</v>
      </c>
      <c r="J3630" s="123" t="s">
        <v>13371</v>
      </c>
      <c r="K3630" s="123" t="s">
        <v>13369</v>
      </c>
      <c r="L3630" s="131" t="s">
        <v>100</v>
      </c>
      <c r="M3630" s="135" t="s">
        <v>845</v>
      </c>
      <c r="N3630" s="123" t="s">
        <v>845</v>
      </c>
    </row>
    <row r="3631" spans="2:14" hidden="1" x14ac:dyDescent="0.25">
      <c r="B3631" s="120">
        <v>3628</v>
      </c>
      <c r="C3631" s="123">
        <v>10239622670</v>
      </c>
      <c r="D3631" s="126" t="s">
        <v>13372</v>
      </c>
      <c r="E3631" s="126" t="s">
        <v>13373</v>
      </c>
      <c r="F3631" s="123" t="s">
        <v>30</v>
      </c>
      <c r="G3631" s="123" t="s">
        <v>30</v>
      </c>
      <c r="H3631" s="123" t="s">
        <v>113</v>
      </c>
      <c r="I3631" s="126" t="s">
        <v>1701</v>
      </c>
      <c r="J3631" s="123" t="s">
        <v>13374</v>
      </c>
      <c r="K3631" s="123" t="s">
        <v>13372</v>
      </c>
      <c r="L3631" s="131" t="s">
        <v>100</v>
      </c>
      <c r="M3631" s="135" t="s">
        <v>845</v>
      </c>
      <c r="N3631" s="123" t="s">
        <v>845</v>
      </c>
    </row>
    <row r="3632" spans="2:14" hidden="1" x14ac:dyDescent="0.25">
      <c r="B3632" s="120">
        <v>3629</v>
      </c>
      <c r="C3632" s="123">
        <v>10430059381</v>
      </c>
      <c r="D3632" s="126" t="s">
        <v>13375</v>
      </c>
      <c r="E3632" s="126" t="s">
        <v>13376</v>
      </c>
      <c r="F3632" s="123" t="s">
        <v>30</v>
      </c>
      <c r="G3632" s="123" t="s">
        <v>30</v>
      </c>
      <c r="H3632" s="123" t="s">
        <v>51</v>
      </c>
      <c r="I3632" s="126" t="s">
        <v>1424</v>
      </c>
      <c r="J3632" s="123" t="s">
        <v>13377</v>
      </c>
      <c r="K3632" s="123" t="s">
        <v>13378</v>
      </c>
      <c r="L3632" s="131" t="s">
        <v>100</v>
      </c>
      <c r="M3632" s="135" t="s">
        <v>845</v>
      </c>
      <c r="N3632" s="123" t="s">
        <v>845</v>
      </c>
    </row>
    <row r="3633" spans="2:14" hidden="1" x14ac:dyDescent="0.25">
      <c r="B3633" s="120">
        <v>3630</v>
      </c>
      <c r="C3633" s="123">
        <v>10103827821</v>
      </c>
      <c r="D3633" s="126" t="s">
        <v>13379</v>
      </c>
      <c r="E3633" s="126" t="s">
        <v>13380</v>
      </c>
      <c r="F3633" s="123" t="s">
        <v>30</v>
      </c>
      <c r="G3633" s="123" t="s">
        <v>30</v>
      </c>
      <c r="H3633" s="123" t="s">
        <v>30</v>
      </c>
      <c r="I3633" s="126" t="s">
        <v>1365</v>
      </c>
      <c r="J3633" s="123" t="s">
        <v>13381</v>
      </c>
      <c r="K3633" s="123" t="s">
        <v>13379</v>
      </c>
      <c r="L3633" s="131" t="s">
        <v>100</v>
      </c>
      <c r="M3633" s="135" t="s">
        <v>845</v>
      </c>
      <c r="N3633" s="123" t="s">
        <v>845</v>
      </c>
    </row>
    <row r="3634" spans="2:14" hidden="1" x14ac:dyDescent="0.25">
      <c r="B3634" s="120">
        <v>3631</v>
      </c>
      <c r="C3634" s="123">
        <v>10095678012</v>
      </c>
      <c r="D3634" s="126" t="s">
        <v>13382</v>
      </c>
      <c r="E3634" s="126" t="s">
        <v>13383</v>
      </c>
      <c r="F3634" s="123" t="s">
        <v>30</v>
      </c>
      <c r="G3634" s="123" t="s">
        <v>30</v>
      </c>
      <c r="H3634" s="123" t="s">
        <v>43</v>
      </c>
      <c r="I3634" s="126" t="s">
        <v>1952</v>
      </c>
      <c r="J3634" s="123" t="s">
        <v>13384</v>
      </c>
      <c r="K3634" s="123" t="s">
        <v>13382</v>
      </c>
      <c r="L3634" s="131" t="s">
        <v>100</v>
      </c>
      <c r="M3634" s="135" t="s">
        <v>845</v>
      </c>
      <c r="N3634" s="123" t="s">
        <v>845</v>
      </c>
    </row>
    <row r="3635" spans="2:14" hidden="1" x14ac:dyDescent="0.25">
      <c r="B3635" s="120">
        <v>3632</v>
      </c>
      <c r="C3635" s="123">
        <v>10731963105</v>
      </c>
      <c r="D3635" s="126" t="s">
        <v>13385</v>
      </c>
      <c r="E3635" s="126" t="s">
        <v>13386</v>
      </c>
      <c r="F3635" s="123" t="s">
        <v>30</v>
      </c>
      <c r="G3635" s="123" t="s">
        <v>30</v>
      </c>
      <c r="H3635" s="123" t="s">
        <v>43</v>
      </c>
      <c r="I3635" s="126" t="s">
        <v>1947</v>
      </c>
      <c r="J3635" s="123" t="s">
        <v>13387</v>
      </c>
      <c r="K3635" s="123" t="s">
        <v>13385</v>
      </c>
      <c r="L3635" s="131" t="s">
        <v>100</v>
      </c>
      <c r="M3635" s="135" t="s">
        <v>845</v>
      </c>
      <c r="N3635" s="123" t="s">
        <v>845</v>
      </c>
    </row>
    <row r="3636" spans="2:14" hidden="1" x14ac:dyDescent="0.25">
      <c r="B3636" s="120">
        <v>3633</v>
      </c>
      <c r="C3636" s="123">
        <v>10487208944</v>
      </c>
      <c r="D3636" s="126" t="s">
        <v>13388</v>
      </c>
      <c r="E3636" s="126" t="s">
        <v>13389</v>
      </c>
      <c r="F3636" s="123" t="s">
        <v>67</v>
      </c>
      <c r="G3636" s="123" t="s">
        <v>67</v>
      </c>
      <c r="H3636" s="123" t="s">
        <v>67</v>
      </c>
      <c r="I3636" s="126" t="s">
        <v>1931</v>
      </c>
      <c r="J3636" s="123" t="s">
        <v>13390</v>
      </c>
      <c r="K3636" s="123" t="s">
        <v>13388</v>
      </c>
      <c r="L3636" s="131" t="s">
        <v>100</v>
      </c>
      <c r="M3636" s="135" t="s">
        <v>845</v>
      </c>
      <c r="N3636" s="123" t="s">
        <v>845</v>
      </c>
    </row>
    <row r="3637" spans="2:14" hidden="1" x14ac:dyDescent="0.25">
      <c r="B3637" s="120">
        <v>3634</v>
      </c>
      <c r="C3637" s="123">
        <v>10416101286</v>
      </c>
      <c r="D3637" s="126" t="s">
        <v>13391</v>
      </c>
      <c r="E3637" s="126" t="s">
        <v>13392</v>
      </c>
      <c r="F3637" s="123" t="s">
        <v>30</v>
      </c>
      <c r="G3637" s="123" t="s">
        <v>30</v>
      </c>
      <c r="H3637" s="123" t="s">
        <v>40</v>
      </c>
      <c r="I3637" s="126" t="s">
        <v>1424</v>
      </c>
      <c r="J3637" s="123" t="s">
        <v>13393</v>
      </c>
      <c r="K3637" s="123" t="s">
        <v>13391</v>
      </c>
      <c r="L3637" s="131" t="s">
        <v>100</v>
      </c>
      <c r="M3637" s="135" t="s">
        <v>845</v>
      </c>
      <c r="N3637" s="123" t="s">
        <v>845</v>
      </c>
    </row>
    <row r="3638" spans="2:14" hidden="1" x14ac:dyDescent="0.25">
      <c r="B3638" s="120">
        <v>3635</v>
      </c>
      <c r="C3638" s="123">
        <v>10485786991</v>
      </c>
      <c r="D3638" s="126" t="s">
        <v>13394</v>
      </c>
      <c r="E3638" s="126" t="s">
        <v>13395</v>
      </c>
      <c r="F3638" s="123" t="s">
        <v>30</v>
      </c>
      <c r="G3638" s="123" t="s">
        <v>30</v>
      </c>
      <c r="H3638" s="123" t="s">
        <v>38</v>
      </c>
      <c r="I3638" s="126" t="s">
        <v>1478</v>
      </c>
      <c r="J3638" s="123" t="s">
        <v>13396</v>
      </c>
      <c r="K3638" s="123" t="s">
        <v>13394</v>
      </c>
      <c r="L3638" s="131" t="s">
        <v>100</v>
      </c>
      <c r="M3638" s="135" t="s">
        <v>845</v>
      </c>
      <c r="N3638" s="123" t="s">
        <v>845</v>
      </c>
    </row>
    <row r="3639" spans="2:14" hidden="1" x14ac:dyDescent="0.25">
      <c r="B3639" s="120">
        <v>3636</v>
      </c>
      <c r="C3639" s="123">
        <v>10211358543</v>
      </c>
      <c r="D3639" s="126" t="s">
        <v>13397</v>
      </c>
      <c r="E3639" s="126" t="s">
        <v>13398</v>
      </c>
      <c r="F3639" s="123" t="s">
        <v>30</v>
      </c>
      <c r="G3639" s="123" t="s">
        <v>30</v>
      </c>
      <c r="H3639" s="123" t="s">
        <v>30</v>
      </c>
      <c r="I3639" s="126" t="s">
        <v>1931</v>
      </c>
      <c r="J3639" s="123" t="s">
        <v>13399</v>
      </c>
      <c r="K3639" s="123" t="s">
        <v>13397</v>
      </c>
      <c r="L3639" s="131" t="s">
        <v>100</v>
      </c>
      <c r="M3639" s="135" t="s">
        <v>845</v>
      </c>
      <c r="N3639" s="123" t="s">
        <v>845</v>
      </c>
    </row>
    <row r="3640" spans="2:14" hidden="1" x14ac:dyDescent="0.25">
      <c r="B3640" s="120">
        <v>3637</v>
      </c>
      <c r="C3640" s="123">
        <v>10419437528</v>
      </c>
      <c r="D3640" s="126" t="s">
        <v>13400</v>
      </c>
      <c r="E3640" s="126" t="s">
        <v>13401</v>
      </c>
      <c r="F3640" s="123" t="s">
        <v>30</v>
      </c>
      <c r="G3640" s="123" t="s">
        <v>30</v>
      </c>
      <c r="H3640" s="123" t="s">
        <v>68</v>
      </c>
      <c r="I3640" s="126" t="s">
        <v>13402</v>
      </c>
      <c r="J3640" s="123" t="s">
        <v>13403</v>
      </c>
      <c r="K3640" s="123" t="s">
        <v>13400</v>
      </c>
      <c r="L3640" s="131" t="s">
        <v>100</v>
      </c>
      <c r="M3640" s="135" t="s">
        <v>845</v>
      </c>
      <c r="N3640" s="123" t="s">
        <v>845</v>
      </c>
    </row>
    <row r="3641" spans="2:14" hidden="1" x14ac:dyDescent="0.25">
      <c r="B3641" s="120">
        <v>3638</v>
      </c>
      <c r="C3641" s="123">
        <v>10703887444</v>
      </c>
      <c r="D3641" s="126" t="s">
        <v>13404</v>
      </c>
      <c r="E3641" s="126" t="s">
        <v>13405</v>
      </c>
      <c r="F3641" s="123" t="s">
        <v>30</v>
      </c>
      <c r="G3641" s="123" t="s">
        <v>30</v>
      </c>
      <c r="H3641" s="123" t="s">
        <v>85</v>
      </c>
      <c r="I3641" s="126" t="s">
        <v>87</v>
      </c>
      <c r="J3641" s="123" t="s">
        <v>13406</v>
      </c>
      <c r="K3641" s="123" t="s">
        <v>13404</v>
      </c>
      <c r="L3641" s="131" t="s">
        <v>100</v>
      </c>
      <c r="M3641" s="135" t="s">
        <v>845</v>
      </c>
      <c r="N3641" s="123" t="s">
        <v>845</v>
      </c>
    </row>
    <row r="3642" spans="2:14" hidden="1" x14ac:dyDescent="0.25">
      <c r="B3642" s="120">
        <v>3639</v>
      </c>
      <c r="C3642" s="123">
        <v>10100667351</v>
      </c>
      <c r="D3642" s="126" t="s">
        <v>13407</v>
      </c>
      <c r="E3642" s="126" t="s">
        <v>13408</v>
      </c>
      <c r="F3642" s="123" t="s">
        <v>30</v>
      </c>
      <c r="G3642" s="123" t="s">
        <v>30</v>
      </c>
      <c r="H3642" s="123" t="s">
        <v>75</v>
      </c>
      <c r="I3642" s="126" t="s">
        <v>13409</v>
      </c>
      <c r="J3642" s="123" t="s">
        <v>13410</v>
      </c>
      <c r="K3642" s="123" t="s">
        <v>13407</v>
      </c>
      <c r="L3642" s="131" t="s">
        <v>100</v>
      </c>
      <c r="M3642" s="135" t="s">
        <v>845</v>
      </c>
      <c r="N3642" s="123" t="s">
        <v>845</v>
      </c>
    </row>
    <row r="3643" spans="2:14" hidden="1" x14ac:dyDescent="0.25">
      <c r="B3643" s="120">
        <v>3640</v>
      </c>
      <c r="C3643" s="123">
        <v>10243849727</v>
      </c>
      <c r="D3643" s="126" t="s">
        <v>13411</v>
      </c>
      <c r="E3643" s="126" t="s">
        <v>13412</v>
      </c>
      <c r="F3643" s="123" t="s">
        <v>30</v>
      </c>
      <c r="G3643" s="123" t="s">
        <v>30</v>
      </c>
      <c r="H3643" s="123" t="s">
        <v>40</v>
      </c>
      <c r="I3643" s="126" t="s">
        <v>1701</v>
      </c>
      <c r="J3643" s="123" t="s">
        <v>13413</v>
      </c>
      <c r="K3643" s="123" t="s">
        <v>13411</v>
      </c>
      <c r="L3643" s="131" t="s">
        <v>100</v>
      </c>
      <c r="M3643" s="135" t="s">
        <v>845</v>
      </c>
      <c r="N3643" s="123" t="s">
        <v>845</v>
      </c>
    </row>
    <row r="3644" spans="2:14" hidden="1" x14ac:dyDescent="0.25">
      <c r="B3644" s="120">
        <v>3641</v>
      </c>
      <c r="C3644" s="123">
        <v>10406587385</v>
      </c>
      <c r="D3644" s="126" t="s">
        <v>13414</v>
      </c>
      <c r="E3644" s="126" t="s">
        <v>13415</v>
      </c>
      <c r="F3644" s="123" t="s">
        <v>30</v>
      </c>
      <c r="G3644" s="123" t="s">
        <v>30</v>
      </c>
      <c r="H3644" s="123" t="s">
        <v>43</v>
      </c>
      <c r="I3644" s="126" t="s">
        <v>13416</v>
      </c>
      <c r="J3644" s="123" t="s">
        <v>13417</v>
      </c>
      <c r="K3644" s="123" t="s">
        <v>13414</v>
      </c>
      <c r="L3644" s="131" t="s">
        <v>100</v>
      </c>
      <c r="M3644" s="135" t="s">
        <v>845</v>
      </c>
      <c r="N3644" s="123" t="s">
        <v>845</v>
      </c>
    </row>
    <row r="3645" spans="2:14" hidden="1" x14ac:dyDescent="0.25">
      <c r="B3645" s="120">
        <v>3642</v>
      </c>
      <c r="C3645" s="123">
        <v>10703568292</v>
      </c>
      <c r="D3645" s="126" t="s">
        <v>13418</v>
      </c>
      <c r="E3645" s="126" t="s">
        <v>13419</v>
      </c>
      <c r="F3645" s="123" t="s">
        <v>30</v>
      </c>
      <c r="G3645" s="123" t="s">
        <v>31</v>
      </c>
      <c r="H3645" s="123" t="s">
        <v>150</v>
      </c>
      <c r="I3645" s="126" t="s">
        <v>1551</v>
      </c>
      <c r="J3645" s="123" t="s">
        <v>13420</v>
      </c>
      <c r="K3645" s="123" t="s">
        <v>13418</v>
      </c>
      <c r="L3645" s="131" t="s">
        <v>100</v>
      </c>
      <c r="M3645" s="135" t="s">
        <v>845</v>
      </c>
      <c r="N3645" s="123" t="s">
        <v>845</v>
      </c>
    </row>
    <row r="3646" spans="2:14" hidden="1" x14ac:dyDescent="0.25">
      <c r="B3646" s="120">
        <v>3643</v>
      </c>
      <c r="C3646" s="123">
        <v>10410785132</v>
      </c>
      <c r="D3646" s="126" t="s">
        <v>13421</v>
      </c>
      <c r="E3646" s="126" t="s">
        <v>13422</v>
      </c>
      <c r="F3646" s="123" t="s">
        <v>30</v>
      </c>
      <c r="G3646" s="123" t="s">
        <v>30</v>
      </c>
      <c r="H3646" s="123" t="s">
        <v>58</v>
      </c>
      <c r="I3646" s="126" t="s">
        <v>1701</v>
      </c>
      <c r="J3646" s="123" t="s">
        <v>13423</v>
      </c>
      <c r="K3646" s="123" t="s">
        <v>13421</v>
      </c>
      <c r="L3646" s="131" t="s">
        <v>100</v>
      </c>
      <c r="M3646" s="135" t="s">
        <v>845</v>
      </c>
      <c r="N3646" s="123" t="s">
        <v>845</v>
      </c>
    </row>
    <row r="3647" spans="2:14" hidden="1" x14ac:dyDescent="0.25">
      <c r="B3647" s="120">
        <v>3644</v>
      </c>
      <c r="C3647" s="123">
        <v>10068142933</v>
      </c>
      <c r="D3647" s="126" t="s">
        <v>13424</v>
      </c>
      <c r="E3647" s="126" t="s">
        <v>13425</v>
      </c>
      <c r="F3647" s="123" t="s">
        <v>30</v>
      </c>
      <c r="G3647" s="123" t="s">
        <v>30</v>
      </c>
      <c r="H3647" s="123" t="s">
        <v>65</v>
      </c>
      <c r="I3647" s="126" t="s">
        <v>1701</v>
      </c>
      <c r="J3647" s="123" t="s">
        <v>13426</v>
      </c>
      <c r="K3647" s="123" t="s">
        <v>13424</v>
      </c>
      <c r="L3647" s="131" t="s">
        <v>100</v>
      </c>
      <c r="M3647" s="135" t="s">
        <v>845</v>
      </c>
      <c r="N3647" s="123" t="s">
        <v>845</v>
      </c>
    </row>
    <row r="3648" spans="2:14" hidden="1" x14ac:dyDescent="0.25">
      <c r="B3648" s="120">
        <v>3645</v>
      </c>
      <c r="C3648" s="123">
        <v>10157123781</v>
      </c>
      <c r="D3648" s="126" t="s">
        <v>13427</v>
      </c>
      <c r="E3648" s="126" t="s">
        <v>13428</v>
      </c>
      <c r="F3648" s="123" t="s">
        <v>30</v>
      </c>
      <c r="G3648" s="123" t="s">
        <v>168</v>
      </c>
      <c r="H3648" s="123" t="s">
        <v>168</v>
      </c>
      <c r="I3648" s="126" t="s">
        <v>13429</v>
      </c>
      <c r="J3648" s="123" t="s">
        <v>13430</v>
      </c>
      <c r="K3648" s="123" t="s">
        <v>13427</v>
      </c>
      <c r="L3648" s="131" t="s">
        <v>100</v>
      </c>
      <c r="M3648" s="135" t="s">
        <v>845</v>
      </c>
      <c r="N3648" s="123" t="s">
        <v>845</v>
      </c>
    </row>
    <row r="3649" spans="2:14" hidden="1" x14ac:dyDescent="0.25">
      <c r="B3649" s="120">
        <v>3646</v>
      </c>
      <c r="C3649" s="123">
        <v>10103657011</v>
      </c>
      <c r="D3649" s="126" t="s">
        <v>13431</v>
      </c>
      <c r="E3649" s="126" t="s">
        <v>13432</v>
      </c>
      <c r="F3649" s="123" t="s">
        <v>30</v>
      </c>
      <c r="G3649" s="123" t="s">
        <v>30</v>
      </c>
      <c r="H3649" s="123" t="s">
        <v>43</v>
      </c>
      <c r="I3649" s="126" t="s">
        <v>1701</v>
      </c>
      <c r="J3649" s="123" t="s">
        <v>13433</v>
      </c>
      <c r="K3649" s="123" t="s">
        <v>13431</v>
      </c>
      <c r="L3649" s="131" t="s">
        <v>100</v>
      </c>
      <c r="M3649" s="135" t="s">
        <v>845</v>
      </c>
      <c r="N3649" s="123" t="s">
        <v>845</v>
      </c>
    </row>
    <row r="3650" spans="2:14" hidden="1" x14ac:dyDescent="0.25">
      <c r="B3650" s="120">
        <v>3647</v>
      </c>
      <c r="C3650" s="123">
        <v>10097400020</v>
      </c>
      <c r="D3650" s="126" t="s">
        <v>13434</v>
      </c>
      <c r="E3650" s="126" t="s">
        <v>13435</v>
      </c>
      <c r="F3650" s="123" t="s">
        <v>30</v>
      </c>
      <c r="G3650" s="123" t="s">
        <v>30</v>
      </c>
      <c r="H3650" s="123" t="s">
        <v>50</v>
      </c>
      <c r="I3650" s="126" t="s">
        <v>1942</v>
      </c>
      <c r="J3650" s="123" t="s">
        <v>13436</v>
      </c>
      <c r="K3650" s="123" t="s">
        <v>13434</v>
      </c>
      <c r="L3650" s="131" t="s">
        <v>100</v>
      </c>
      <c r="M3650" s="135" t="s">
        <v>845</v>
      </c>
      <c r="N3650" s="123" t="s">
        <v>845</v>
      </c>
    </row>
    <row r="3651" spans="2:14" hidden="1" x14ac:dyDescent="0.25">
      <c r="B3651" s="120">
        <v>3648</v>
      </c>
      <c r="C3651" s="123">
        <v>10479810571</v>
      </c>
      <c r="D3651" s="126" t="s">
        <v>13437</v>
      </c>
      <c r="E3651" s="126" t="s">
        <v>13438</v>
      </c>
      <c r="F3651" s="123" t="s">
        <v>30</v>
      </c>
      <c r="G3651" s="123" t="s">
        <v>30</v>
      </c>
      <c r="H3651" s="123" t="s">
        <v>60</v>
      </c>
      <c r="I3651" s="126" t="s">
        <v>11346</v>
      </c>
      <c r="J3651" s="123" t="s">
        <v>13439</v>
      </c>
      <c r="K3651" s="123" t="s">
        <v>13437</v>
      </c>
      <c r="L3651" s="131" t="s">
        <v>100</v>
      </c>
      <c r="M3651" s="135" t="s">
        <v>845</v>
      </c>
      <c r="N3651" s="123" t="s">
        <v>845</v>
      </c>
    </row>
    <row r="3652" spans="2:14" hidden="1" x14ac:dyDescent="0.25">
      <c r="B3652" s="120">
        <v>3649</v>
      </c>
      <c r="C3652" s="123">
        <v>10403168616</v>
      </c>
      <c r="D3652" s="126" t="s">
        <v>13440</v>
      </c>
      <c r="E3652" s="126" t="s">
        <v>13441</v>
      </c>
      <c r="F3652" s="123" t="s">
        <v>30</v>
      </c>
      <c r="G3652" s="123" t="s">
        <v>31</v>
      </c>
      <c r="H3652" s="123" t="s">
        <v>139</v>
      </c>
      <c r="I3652" s="126" t="s">
        <v>1424</v>
      </c>
      <c r="J3652" s="123" t="s">
        <v>13442</v>
      </c>
      <c r="K3652" s="123" t="s">
        <v>13440</v>
      </c>
      <c r="L3652" s="131" t="s">
        <v>100</v>
      </c>
      <c r="M3652" s="135" t="s">
        <v>845</v>
      </c>
      <c r="N3652" s="123" t="s">
        <v>845</v>
      </c>
    </row>
    <row r="3653" spans="2:14" hidden="1" x14ac:dyDescent="0.25">
      <c r="B3653" s="120">
        <v>3650</v>
      </c>
      <c r="C3653" s="123">
        <v>10766239566</v>
      </c>
      <c r="D3653" s="126" t="s">
        <v>13443</v>
      </c>
      <c r="E3653" s="126" t="s">
        <v>13444</v>
      </c>
      <c r="F3653" s="123" t="s">
        <v>30</v>
      </c>
      <c r="G3653" s="123" t="s">
        <v>30</v>
      </c>
      <c r="H3653" s="123" t="s">
        <v>43</v>
      </c>
      <c r="I3653" s="126" t="s">
        <v>1952</v>
      </c>
      <c r="J3653" s="123" t="s">
        <v>13445</v>
      </c>
      <c r="K3653" s="123" t="s">
        <v>13443</v>
      </c>
      <c r="L3653" s="131" t="s">
        <v>100</v>
      </c>
      <c r="M3653" s="135" t="s">
        <v>845</v>
      </c>
      <c r="N3653" s="123" t="s">
        <v>845</v>
      </c>
    </row>
    <row r="3654" spans="2:14" hidden="1" x14ac:dyDescent="0.25">
      <c r="B3654" s="120">
        <v>3651</v>
      </c>
      <c r="C3654" s="123">
        <v>10103578227</v>
      </c>
      <c r="D3654" s="126" t="s">
        <v>13446</v>
      </c>
      <c r="E3654" s="126" t="s">
        <v>13447</v>
      </c>
      <c r="F3654" s="123" t="s">
        <v>30</v>
      </c>
      <c r="G3654" s="123" t="s">
        <v>31</v>
      </c>
      <c r="H3654" s="123" t="s">
        <v>145</v>
      </c>
      <c r="I3654" s="126" t="s">
        <v>1936</v>
      </c>
      <c r="J3654" s="123" t="s">
        <v>13448</v>
      </c>
      <c r="K3654" s="123" t="s">
        <v>13446</v>
      </c>
      <c r="L3654" s="131" t="s">
        <v>100</v>
      </c>
      <c r="M3654" s="135" t="s">
        <v>845</v>
      </c>
      <c r="N3654" s="123" t="s">
        <v>845</v>
      </c>
    </row>
    <row r="3655" spans="2:14" hidden="1" x14ac:dyDescent="0.25">
      <c r="B3655" s="120">
        <v>3652</v>
      </c>
      <c r="C3655" s="123">
        <v>10483093743</v>
      </c>
      <c r="D3655" s="126" t="s">
        <v>13449</v>
      </c>
      <c r="E3655" s="126" t="s">
        <v>13450</v>
      </c>
      <c r="F3655" s="123" t="s">
        <v>30</v>
      </c>
      <c r="G3655" s="123" t="s">
        <v>30</v>
      </c>
      <c r="H3655" s="123" t="s">
        <v>41</v>
      </c>
      <c r="I3655" s="126" t="s">
        <v>1439</v>
      </c>
      <c r="J3655" s="123" t="s">
        <v>13451</v>
      </c>
      <c r="K3655" s="123" t="s">
        <v>13449</v>
      </c>
      <c r="L3655" s="131" t="s">
        <v>100</v>
      </c>
      <c r="M3655" s="135" t="s">
        <v>845</v>
      </c>
      <c r="N3655" s="123" t="s">
        <v>845</v>
      </c>
    </row>
    <row r="3656" spans="2:14" hidden="1" x14ac:dyDescent="0.25">
      <c r="B3656" s="120">
        <v>3653</v>
      </c>
      <c r="C3656" s="123">
        <v>10749660371</v>
      </c>
      <c r="D3656" s="126" t="s">
        <v>13452</v>
      </c>
      <c r="E3656" s="126" t="s">
        <v>13453</v>
      </c>
      <c r="F3656" s="123" t="s">
        <v>30</v>
      </c>
      <c r="G3656" s="123" t="s">
        <v>30</v>
      </c>
      <c r="H3656" s="123" t="s">
        <v>58</v>
      </c>
      <c r="I3656" s="126" t="s">
        <v>1932</v>
      </c>
      <c r="J3656" s="123" t="s">
        <v>13454</v>
      </c>
      <c r="K3656" s="123" t="s">
        <v>13455</v>
      </c>
      <c r="L3656" s="131" t="s">
        <v>100</v>
      </c>
      <c r="M3656" s="135" t="s">
        <v>845</v>
      </c>
      <c r="N3656" s="123" t="s">
        <v>845</v>
      </c>
    </row>
    <row r="3657" spans="2:14" hidden="1" x14ac:dyDescent="0.25">
      <c r="B3657" s="120">
        <v>3654</v>
      </c>
      <c r="C3657" s="123">
        <v>10101798301</v>
      </c>
      <c r="D3657" s="126" t="s">
        <v>13456</v>
      </c>
      <c r="E3657" s="126" t="s">
        <v>13457</v>
      </c>
      <c r="F3657" s="123" t="s">
        <v>30</v>
      </c>
      <c r="G3657" s="123" t="s">
        <v>30</v>
      </c>
      <c r="H3657" s="123" t="s">
        <v>72</v>
      </c>
      <c r="I3657" s="126" t="s">
        <v>1701</v>
      </c>
      <c r="J3657" s="123" t="s">
        <v>13458</v>
      </c>
      <c r="K3657" s="123" t="s">
        <v>13456</v>
      </c>
      <c r="L3657" s="131" t="s">
        <v>100</v>
      </c>
      <c r="M3657" s="135" t="s">
        <v>845</v>
      </c>
      <c r="N3657" s="123" t="s">
        <v>845</v>
      </c>
    </row>
    <row r="3658" spans="2:14" hidden="1" x14ac:dyDescent="0.25">
      <c r="B3658" s="120">
        <v>3655</v>
      </c>
      <c r="C3658" s="123">
        <v>10413287494</v>
      </c>
      <c r="D3658" s="126" t="s">
        <v>13459</v>
      </c>
      <c r="E3658" s="126" t="s">
        <v>13460</v>
      </c>
      <c r="F3658" s="123" t="s">
        <v>30</v>
      </c>
      <c r="G3658" s="123" t="s">
        <v>30</v>
      </c>
      <c r="H3658" s="123" t="s">
        <v>37</v>
      </c>
      <c r="I3658" s="126" t="s">
        <v>1701</v>
      </c>
      <c r="J3658" s="123" t="s">
        <v>13461</v>
      </c>
      <c r="K3658" s="123" t="s">
        <v>13459</v>
      </c>
      <c r="L3658" s="131" t="s">
        <v>100</v>
      </c>
      <c r="M3658" s="135" t="s">
        <v>845</v>
      </c>
      <c r="N3658" s="123" t="s">
        <v>845</v>
      </c>
    </row>
    <row r="3659" spans="2:14" hidden="1" x14ac:dyDescent="0.25">
      <c r="B3659" s="120">
        <v>3656</v>
      </c>
      <c r="C3659" s="123">
        <v>10415978648</v>
      </c>
      <c r="D3659" s="126" t="s">
        <v>13462</v>
      </c>
      <c r="E3659" s="126" t="s">
        <v>13463</v>
      </c>
      <c r="F3659" s="123" t="s">
        <v>30</v>
      </c>
      <c r="G3659" s="123" t="s">
        <v>30</v>
      </c>
      <c r="H3659" s="123" t="s">
        <v>127</v>
      </c>
      <c r="I3659" s="126" t="s">
        <v>13402</v>
      </c>
      <c r="J3659" s="123" t="s">
        <v>13464</v>
      </c>
      <c r="K3659" s="123" t="s">
        <v>13465</v>
      </c>
      <c r="L3659" s="131" t="s">
        <v>100</v>
      </c>
      <c r="M3659" s="135" t="s">
        <v>845</v>
      </c>
      <c r="N3659" s="123" t="s">
        <v>845</v>
      </c>
    </row>
    <row r="3660" spans="2:14" hidden="1" x14ac:dyDescent="0.25">
      <c r="B3660" s="120">
        <v>3657</v>
      </c>
      <c r="C3660" s="123">
        <v>10484603567</v>
      </c>
      <c r="D3660" s="126" t="s">
        <v>13466</v>
      </c>
      <c r="E3660" s="126" t="s">
        <v>13467</v>
      </c>
      <c r="F3660" s="123" t="s">
        <v>30</v>
      </c>
      <c r="G3660" s="123" t="s">
        <v>30</v>
      </c>
      <c r="H3660" s="123" t="s">
        <v>40</v>
      </c>
      <c r="I3660" s="126" t="s">
        <v>1935</v>
      </c>
      <c r="J3660" s="123" t="s">
        <v>13468</v>
      </c>
      <c r="K3660" s="123" t="s">
        <v>13466</v>
      </c>
      <c r="L3660" s="131" t="s">
        <v>100</v>
      </c>
      <c r="M3660" s="135" t="s">
        <v>845</v>
      </c>
      <c r="N3660" s="123" t="s">
        <v>845</v>
      </c>
    </row>
    <row r="3661" spans="2:14" hidden="1" x14ac:dyDescent="0.25">
      <c r="B3661" s="120">
        <v>3658</v>
      </c>
      <c r="C3661" s="123">
        <v>10102512711</v>
      </c>
      <c r="D3661" s="126" t="s">
        <v>13469</v>
      </c>
      <c r="E3661" s="126" t="s">
        <v>13470</v>
      </c>
      <c r="F3661" s="123" t="s">
        <v>30</v>
      </c>
      <c r="G3661" s="123" t="s">
        <v>30</v>
      </c>
      <c r="H3661" s="123" t="s">
        <v>51</v>
      </c>
      <c r="I3661" s="126" t="s">
        <v>1931</v>
      </c>
      <c r="J3661" s="123" t="s">
        <v>13471</v>
      </c>
      <c r="K3661" s="123" t="s">
        <v>13469</v>
      </c>
      <c r="L3661" s="131" t="s">
        <v>100</v>
      </c>
      <c r="M3661" s="135" t="s">
        <v>845</v>
      </c>
      <c r="N3661" s="123" t="s">
        <v>845</v>
      </c>
    </row>
    <row r="3662" spans="2:14" hidden="1" x14ac:dyDescent="0.25">
      <c r="B3662" s="120">
        <v>3659</v>
      </c>
      <c r="C3662" s="123">
        <v>10708155042</v>
      </c>
      <c r="D3662" s="126" t="s">
        <v>13472</v>
      </c>
      <c r="E3662" s="126" t="s">
        <v>13473</v>
      </c>
      <c r="F3662" s="123" t="s">
        <v>30</v>
      </c>
      <c r="G3662" s="123" t="s">
        <v>30</v>
      </c>
      <c r="H3662" s="123" t="s">
        <v>43</v>
      </c>
      <c r="I3662" s="126" t="s">
        <v>1931</v>
      </c>
      <c r="J3662" s="123" t="s">
        <v>13474</v>
      </c>
      <c r="K3662" s="123" t="s">
        <v>13475</v>
      </c>
      <c r="L3662" s="131" t="s">
        <v>100</v>
      </c>
      <c r="M3662" s="135" t="s">
        <v>845</v>
      </c>
      <c r="N3662" s="123" t="s">
        <v>845</v>
      </c>
    </row>
    <row r="3663" spans="2:14" hidden="1" x14ac:dyDescent="0.25">
      <c r="B3663" s="120">
        <v>3660</v>
      </c>
      <c r="C3663" s="123">
        <v>10482611899</v>
      </c>
      <c r="D3663" s="126" t="s">
        <v>13476</v>
      </c>
      <c r="E3663" s="126" t="s">
        <v>13477</v>
      </c>
      <c r="F3663" s="123" t="s">
        <v>30</v>
      </c>
      <c r="G3663" s="123" t="s">
        <v>31</v>
      </c>
      <c r="H3663" s="123" t="s">
        <v>9381</v>
      </c>
      <c r="I3663" s="126" t="s">
        <v>1447</v>
      </c>
      <c r="J3663" s="123" t="s">
        <v>13478</v>
      </c>
      <c r="K3663" s="123" t="s">
        <v>13476</v>
      </c>
      <c r="L3663" s="131" t="s">
        <v>100</v>
      </c>
      <c r="M3663" s="135" t="s">
        <v>845</v>
      </c>
      <c r="N3663" s="123" t="s">
        <v>845</v>
      </c>
    </row>
    <row r="3664" spans="2:14" hidden="1" x14ac:dyDescent="0.25">
      <c r="B3664" s="120">
        <v>3661</v>
      </c>
      <c r="C3664" s="123">
        <v>10407449369</v>
      </c>
      <c r="D3664" s="126" t="s">
        <v>13479</v>
      </c>
      <c r="E3664" s="126" t="s">
        <v>13480</v>
      </c>
      <c r="F3664" s="123" t="s">
        <v>30</v>
      </c>
      <c r="G3664" s="123" t="s">
        <v>30</v>
      </c>
      <c r="H3664" s="123" t="s">
        <v>51</v>
      </c>
      <c r="I3664" s="126" t="s">
        <v>1424</v>
      </c>
      <c r="J3664" s="123" t="s">
        <v>13481</v>
      </c>
      <c r="K3664" s="123" t="s">
        <v>13479</v>
      </c>
      <c r="L3664" s="131" t="s">
        <v>100</v>
      </c>
      <c r="M3664" s="135" t="s">
        <v>845</v>
      </c>
      <c r="N3664" s="123" t="s">
        <v>845</v>
      </c>
    </row>
    <row r="3665" spans="2:14" hidden="1" x14ac:dyDescent="0.25">
      <c r="B3665" s="120">
        <v>3662</v>
      </c>
      <c r="C3665" s="123">
        <v>10714046930</v>
      </c>
      <c r="D3665" s="126" t="s">
        <v>13482</v>
      </c>
      <c r="E3665" s="126" t="s">
        <v>13483</v>
      </c>
      <c r="F3665" s="123" t="s">
        <v>30</v>
      </c>
      <c r="G3665" s="123" t="s">
        <v>30</v>
      </c>
      <c r="H3665" s="123" t="s">
        <v>58</v>
      </c>
      <c r="I3665" s="126" t="s">
        <v>1965</v>
      </c>
      <c r="J3665" s="123" t="s">
        <v>13484</v>
      </c>
      <c r="K3665" s="123" t="s">
        <v>13482</v>
      </c>
      <c r="L3665" s="131" t="s">
        <v>100</v>
      </c>
      <c r="M3665" s="135" t="s">
        <v>845</v>
      </c>
      <c r="N3665" s="123" t="s">
        <v>845</v>
      </c>
    </row>
    <row r="3666" spans="2:14" hidden="1" x14ac:dyDescent="0.25">
      <c r="B3666" s="120">
        <v>3663</v>
      </c>
      <c r="C3666" s="123">
        <v>10100164693</v>
      </c>
      <c r="D3666" s="126" t="s">
        <v>13485</v>
      </c>
      <c r="E3666" s="126" t="s">
        <v>13486</v>
      </c>
      <c r="F3666" s="123" t="s">
        <v>30</v>
      </c>
      <c r="G3666" s="123" t="s">
        <v>30</v>
      </c>
      <c r="H3666" s="123" t="s">
        <v>51</v>
      </c>
      <c r="I3666" s="126" t="s">
        <v>1701</v>
      </c>
      <c r="J3666" s="123" t="s">
        <v>13487</v>
      </c>
      <c r="K3666" s="123" t="s">
        <v>13485</v>
      </c>
      <c r="L3666" s="131" t="s">
        <v>100</v>
      </c>
      <c r="M3666" s="135" t="s">
        <v>845</v>
      </c>
      <c r="N3666" s="123" t="s">
        <v>845</v>
      </c>
    </row>
    <row r="3667" spans="2:14" hidden="1" x14ac:dyDescent="0.25">
      <c r="B3667" s="120">
        <v>3664</v>
      </c>
      <c r="C3667" s="123">
        <v>10100168745</v>
      </c>
      <c r="D3667" s="126" t="s">
        <v>13488</v>
      </c>
      <c r="E3667" s="126" t="s">
        <v>13489</v>
      </c>
      <c r="F3667" s="123" t="s">
        <v>30</v>
      </c>
      <c r="G3667" s="123" t="s">
        <v>30</v>
      </c>
      <c r="H3667" s="123" t="s">
        <v>38</v>
      </c>
      <c r="I3667" s="126" t="s">
        <v>13490</v>
      </c>
      <c r="J3667" s="123" t="s">
        <v>13491</v>
      </c>
      <c r="K3667" s="123" t="s">
        <v>13492</v>
      </c>
      <c r="L3667" s="131" t="s">
        <v>100</v>
      </c>
      <c r="M3667" s="135" t="s">
        <v>845</v>
      </c>
      <c r="N3667" s="123" t="s">
        <v>845</v>
      </c>
    </row>
    <row r="3668" spans="2:14" hidden="1" x14ac:dyDescent="0.25">
      <c r="B3668" s="120">
        <v>3665</v>
      </c>
      <c r="C3668" s="123">
        <v>10405579354</v>
      </c>
      <c r="D3668" s="126" t="s">
        <v>13493</v>
      </c>
      <c r="E3668" s="126" t="s">
        <v>13494</v>
      </c>
      <c r="F3668" s="123" t="s">
        <v>67</v>
      </c>
      <c r="G3668" s="123" t="s">
        <v>67</v>
      </c>
      <c r="H3668" s="123" t="s">
        <v>94</v>
      </c>
      <c r="I3668" s="126" t="s">
        <v>1701</v>
      </c>
      <c r="J3668" s="123" t="s">
        <v>13495</v>
      </c>
      <c r="K3668" s="123" t="s">
        <v>13493</v>
      </c>
      <c r="L3668" s="131" t="s">
        <v>100</v>
      </c>
      <c r="M3668" s="135" t="s">
        <v>845</v>
      </c>
      <c r="N3668" s="123" t="s">
        <v>845</v>
      </c>
    </row>
    <row r="3669" spans="2:14" hidden="1" x14ac:dyDescent="0.25">
      <c r="B3669" s="120">
        <v>3666</v>
      </c>
      <c r="C3669" s="123">
        <v>10089018191</v>
      </c>
      <c r="D3669" s="126" t="s">
        <v>13496</v>
      </c>
      <c r="E3669" s="126" t="s">
        <v>13497</v>
      </c>
      <c r="F3669" s="123" t="s">
        <v>30</v>
      </c>
      <c r="G3669" s="123" t="s">
        <v>30</v>
      </c>
      <c r="H3669" s="123" t="s">
        <v>60</v>
      </c>
      <c r="I3669" s="126" t="s">
        <v>1952</v>
      </c>
      <c r="J3669" s="123" t="s">
        <v>13498</v>
      </c>
      <c r="K3669" s="123" t="s">
        <v>13499</v>
      </c>
      <c r="L3669" s="131" t="s">
        <v>100</v>
      </c>
      <c r="M3669" s="135" t="s">
        <v>845</v>
      </c>
      <c r="N3669" s="123" t="s">
        <v>845</v>
      </c>
    </row>
    <row r="3670" spans="2:14" hidden="1" x14ac:dyDescent="0.25">
      <c r="B3670" s="120">
        <v>3667</v>
      </c>
      <c r="C3670" s="123">
        <v>10101503882</v>
      </c>
      <c r="D3670" s="126" t="s">
        <v>13500</v>
      </c>
      <c r="E3670" s="126" t="s">
        <v>13501</v>
      </c>
      <c r="F3670" s="123" t="s">
        <v>30</v>
      </c>
      <c r="G3670" s="123" t="s">
        <v>30</v>
      </c>
      <c r="H3670" s="123" t="s">
        <v>280</v>
      </c>
      <c r="I3670" s="126" t="s">
        <v>1701</v>
      </c>
      <c r="J3670" s="123" t="s">
        <v>13502</v>
      </c>
      <c r="K3670" s="123" t="s">
        <v>13500</v>
      </c>
      <c r="L3670" s="131" t="s">
        <v>100</v>
      </c>
      <c r="M3670" s="135" t="s">
        <v>845</v>
      </c>
      <c r="N3670" s="123" t="s">
        <v>845</v>
      </c>
    </row>
    <row r="3671" spans="2:14" hidden="1" x14ac:dyDescent="0.25">
      <c r="B3671" s="120">
        <v>3668</v>
      </c>
      <c r="C3671" s="123">
        <v>10090378631</v>
      </c>
      <c r="D3671" s="126" t="s">
        <v>13503</v>
      </c>
      <c r="E3671" s="126" t="s">
        <v>13504</v>
      </c>
      <c r="F3671" s="123" t="s">
        <v>30</v>
      </c>
      <c r="G3671" s="123" t="s">
        <v>30</v>
      </c>
      <c r="H3671" s="123" t="s">
        <v>41</v>
      </c>
      <c r="I3671" s="126" t="s">
        <v>10025</v>
      </c>
      <c r="J3671" s="123" t="s">
        <v>13505</v>
      </c>
      <c r="K3671" s="123" t="s">
        <v>13503</v>
      </c>
      <c r="L3671" s="131" t="s">
        <v>100</v>
      </c>
      <c r="M3671" s="135" t="s">
        <v>845</v>
      </c>
      <c r="N3671" s="123" t="s">
        <v>845</v>
      </c>
    </row>
    <row r="3672" spans="2:14" hidden="1" x14ac:dyDescent="0.25">
      <c r="B3672" s="120">
        <v>3669</v>
      </c>
      <c r="C3672" s="123">
        <v>10425126763</v>
      </c>
      <c r="D3672" s="126" t="s">
        <v>13506</v>
      </c>
      <c r="E3672" s="126" t="s">
        <v>13507</v>
      </c>
      <c r="F3672" s="123" t="s">
        <v>67</v>
      </c>
      <c r="G3672" s="123" t="s">
        <v>67</v>
      </c>
      <c r="H3672" s="123" t="s">
        <v>94</v>
      </c>
      <c r="I3672" s="126" t="s">
        <v>1950</v>
      </c>
      <c r="J3672" s="123" t="s">
        <v>13508</v>
      </c>
      <c r="K3672" s="123" t="s">
        <v>13506</v>
      </c>
      <c r="L3672" s="131" t="s">
        <v>100</v>
      </c>
      <c r="M3672" s="135" t="s">
        <v>845</v>
      </c>
      <c r="N3672" s="123" t="s">
        <v>845</v>
      </c>
    </row>
    <row r="3673" spans="2:14" hidden="1" x14ac:dyDescent="0.25">
      <c r="B3673" s="120">
        <v>3670</v>
      </c>
      <c r="C3673" s="123">
        <v>17140878693</v>
      </c>
      <c r="D3673" s="126" t="s">
        <v>13509</v>
      </c>
      <c r="E3673" s="126" t="s">
        <v>13510</v>
      </c>
      <c r="F3673" s="123" t="s">
        <v>30</v>
      </c>
      <c r="G3673" s="123" t="s">
        <v>30</v>
      </c>
      <c r="H3673" s="123" t="s">
        <v>75</v>
      </c>
      <c r="I3673" s="126" t="s">
        <v>1387</v>
      </c>
      <c r="J3673" s="123" t="s">
        <v>13511</v>
      </c>
      <c r="K3673" s="123" t="s">
        <v>13509</v>
      </c>
      <c r="L3673" s="131" t="s">
        <v>100</v>
      </c>
      <c r="M3673" s="135" t="s">
        <v>845</v>
      </c>
      <c r="N3673" s="123" t="s">
        <v>845</v>
      </c>
    </row>
    <row r="3674" spans="2:14" hidden="1" x14ac:dyDescent="0.25">
      <c r="B3674" s="120">
        <v>3671</v>
      </c>
      <c r="C3674" s="123">
        <v>10478787656</v>
      </c>
      <c r="D3674" s="126" t="s">
        <v>13512</v>
      </c>
      <c r="E3674" s="126" t="s">
        <v>13513</v>
      </c>
      <c r="F3674" s="123" t="s">
        <v>30</v>
      </c>
      <c r="G3674" s="123" t="s">
        <v>30</v>
      </c>
      <c r="H3674" s="123" t="s">
        <v>72</v>
      </c>
      <c r="I3674" s="126" t="s">
        <v>1424</v>
      </c>
      <c r="J3674" s="123" t="s">
        <v>13514</v>
      </c>
      <c r="K3674" s="123" t="s">
        <v>13512</v>
      </c>
      <c r="L3674" s="131" t="s">
        <v>100</v>
      </c>
      <c r="M3674" s="135" t="s">
        <v>845</v>
      </c>
      <c r="N3674" s="123" t="s">
        <v>845</v>
      </c>
    </row>
    <row r="3675" spans="2:14" hidden="1" x14ac:dyDescent="0.25">
      <c r="B3675" s="120">
        <v>3672</v>
      </c>
      <c r="C3675" s="123">
        <v>10329170085</v>
      </c>
      <c r="D3675" s="126" t="s">
        <v>13515</v>
      </c>
      <c r="E3675" s="126" t="s">
        <v>13516</v>
      </c>
      <c r="F3675" s="123" t="s">
        <v>30</v>
      </c>
      <c r="G3675" s="123" t="s">
        <v>30</v>
      </c>
      <c r="H3675" s="123" t="s">
        <v>72</v>
      </c>
      <c r="I3675" s="126" t="s">
        <v>1931</v>
      </c>
      <c r="J3675" s="123" t="s">
        <v>13517</v>
      </c>
      <c r="K3675" s="123" t="s">
        <v>13515</v>
      </c>
      <c r="L3675" s="131" t="s">
        <v>100</v>
      </c>
      <c r="M3675" s="135" t="s">
        <v>845</v>
      </c>
      <c r="N3675" s="123" t="s">
        <v>845</v>
      </c>
    </row>
    <row r="3676" spans="2:14" hidden="1" x14ac:dyDescent="0.25">
      <c r="B3676" s="120">
        <v>3673</v>
      </c>
      <c r="C3676" s="123">
        <v>10452566881</v>
      </c>
      <c r="D3676" s="126" t="s">
        <v>13518</v>
      </c>
      <c r="E3676" s="126" t="s">
        <v>13519</v>
      </c>
      <c r="F3676" s="123" t="s">
        <v>30</v>
      </c>
      <c r="G3676" s="123" t="s">
        <v>30</v>
      </c>
      <c r="H3676" s="123" t="s">
        <v>60</v>
      </c>
      <c r="I3676" s="126" t="s">
        <v>101</v>
      </c>
      <c r="J3676" s="123" t="s">
        <v>13520</v>
      </c>
      <c r="K3676" s="123" t="s">
        <v>13521</v>
      </c>
      <c r="L3676" s="131" t="s">
        <v>100</v>
      </c>
      <c r="M3676" s="135" t="s">
        <v>845</v>
      </c>
      <c r="N3676" s="123" t="s">
        <v>845</v>
      </c>
    </row>
    <row r="3677" spans="2:14" hidden="1" x14ac:dyDescent="0.25">
      <c r="B3677" s="120">
        <v>3674</v>
      </c>
      <c r="C3677" s="123">
        <v>10074381893</v>
      </c>
      <c r="D3677" s="126" t="s">
        <v>13522</v>
      </c>
      <c r="E3677" s="126" t="s">
        <v>13523</v>
      </c>
      <c r="F3677" s="123" t="s">
        <v>30</v>
      </c>
      <c r="G3677" s="123" t="s">
        <v>30</v>
      </c>
      <c r="H3677" s="123" t="s">
        <v>88</v>
      </c>
      <c r="I3677" s="126" t="s">
        <v>12353</v>
      </c>
      <c r="J3677" s="123" t="s">
        <v>13524</v>
      </c>
      <c r="K3677" s="123" t="s">
        <v>13525</v>
      </c>
      <c r="L3677" s="131" t="s">
        <v>100</v>
      </c>
      <c r="M3677" s="135" t="s">
        <v>845</v>
      </c>
      <c r="N3677" s="123" t="s">
        <v>845</v>
      </c>
    </row>
    <row r="3678" spans="2:14" hidden="1" x14ac:dyDescent="0.25">
      <c r="B3678" s="120">
        <v>3675</v>
      </c>
      <c r="C3678" s="123">
        <v>10473107932</v>
      </c>
      <c r="D3678" s="126" t="s">
        <v>13526</v>
      </c>
      <c r="E3678" s="126" t="s">
        <v>13527</v>
      </c>
      <c r="F3678" s="123" t="s">
        <v>30</v>
      </c>
      <c r="G3678" s="123" t="s">
        <v>30</v>
      </c>
      <c r="H3678" s="123" t="s">
        <v>43</v>
      </c>
      <c r="I3678" s="126" t="s">
        <v>1701</v>
      </c>
      <c r="J3678" s="123" t="s">
        <v>13528</v>
      </c>
      <c r="K3678" s="123" t="s">
        <v>13526</v>
      </c>
      <c r="L3678" s="131" t="s">
        <v>100</v>
      </c>
      <c r="M3678" s="135" t="s">
        <v>845</v>
      </c>
      <c r="N3678" s="123" t="s">
        <v>845</v>
      </c>
    </row>
    <row r="3679" spans="2:14" hidden="1" x14ac:dyDescent="0.25">
      <c r="B3679" s="120">
        <v>3676</v>
      </c>
      <c r="C3679" s="123">
        <v>10463672640</v>
      </c>
      <c r="D3679" s="126" t="s">
        <v>13529</v>
      </c>
      <c r="E3679" s="126" t="s">
        <v>13530</v>
      </c>
      <c r="F3679" s="123" t="s">
        <v>30</v>
      </c>
      <c r="G3679" s="123" t="s">
        <v>31</v>
      </c>
      <c r="H3679" s="123" t="s">
        <v>139</v>
      </c>
      <c r="I3679" s="126" t="s">
        <v>1930</v>
      </c>
      <c r="J3679" s="123" t="s">
        <v>13531</v>
      </c>
      <c r="K3679" s="123" t="s">
        <v>13529</v>
      </c>
      <c r="L3679" s="131" t="s">
        <v>100</v>
      </c>
      <c r="M3679" s="135" t="s">
        <v>845</v>
      </c>
      <c r="N3679" s="123" t="s">
        <v>845</v>
      </c>
    </row>
    <row r="3680" spans="2:14" hidden="1" x14ac:dyDescent="0.25">
      <c r="B3680" s="120">
        <v>3677</v>
      </c>
      <c r="C3680" s="123">
        <v>10473743171</v>
      </c>
      <c r="D3680" s="126" t="s">
        <v>13532</v>
      </c>
      <c r="E3680" s="126" t="s">
        <v>13533</v>
      </c>
      <c r="F3680" s="123" t="s">
        <v>30</v>
      </c>
      <c r="G3680" s="123" t="s">
        <v>170</v>
      </c>
      <c r="H3680" s="123" t="s">
        <v>175</v>
      </c>
      <c r="I3680" s="126" t="s">
        <v>1424</v>
      </c>
      <c r="J3680" s="123" t="s">
        <v>13534</v>
      </c>
      <c r="K3680" s="123" t="s">
        <v>13532</v>
      </c>
      <c r="L3680" s="131" t="s">
        <v>100</v>
      </c>
      <c r="M3680" s="135" t="s">
        <v>845</v>
      </c>
      <c r="N3680" s="123" t="s">
        <v>845</v>
      </c>
    </row>
    <row r="3681" spans="2:14" hidden="1" x14ac:dyDescent="0.25">
      <c r="B3681" s="120">
        <v>3678</v>
      </c>
      <c r="C3681" s="123">
        <v>10095625245</v>
      </c>
      <c r="D3681" s="126" t="s">
        <v>13535</v>
      </c>
      <c r="E3681" s="126" t="s">
        <v>13536</v>
      </c>
      <c r="F3681" s="123" t="s">
        <v>30</v>
      </c>
      <c r="G3681" s="123" t="s">
        <v>48</v>
      </c>
      <c r="H3681" s="123" t="s">
        <v>48</v>
      </c>
      <c r="I3681" s="126" t="s">
        <v>1931</v>
      </c>
      <c r="J3681" s="123" t="s">
        <v>13537</v>
      </c>
      <c r="K3681" s="123" t="s">
        <v>13535</v>
      </c>
      <c r="L3681" s="131" t="s">
        <v>100</v>
      </c>
      <c r="M3681" s="135" t="s">
        <v>845</v>
      </c>
      <c r="N3681" s="123" t="s">
        <v>845</v>
      </c>
    </row>
    <row r="3682" spans="2:14" hidden="1" x14ac:dyDescent="0.25">
      <c r="B3682" s="120">
        <v>3679</v>
      </c>
      <c r="C3682" s="123">
        <v>10258527726</v>
      </c>
      <c r="D3682" s="126" t="s">
        <v>13538</v>
      </c>
      <c r="E3682" s="126" t="s">
        <v>13539</v>
      </c>
      <c r="F3682" s="123" t="s">
        <v>67</v>
      </c>
      <c r="G3682" s="123" t="s">
        <v>67</v>
      </c>
      <c r="H3682" s="123" t="s">
        <v>94</v>
      </c>
      <c r="I3682" s="126" t="s">
        <v>3946</v>
      </c>
      <c r="J3682" s="123" t="s">
        <v>13540</v>
      </c>
      <c r="K3682" s="123" t="s">
        <v>13538</v>
      </c>
      <c r="L3682" s="131" t="s">
        <v>100</v>
      </c>
      <c r="M3682" s="135" t="s">
        <v>845</v>
      </c>
      <c r="N3682" s="123" t="s">
        <v>845</v>
      </c>
    </row>
    <row r="3683" spans="2:14" hidden="1" x14ac:dyDescent="0.25">
      <c r="B3683" s="120">
        <v>3680</v>
      </c>
      <c r="C3683" s="123">
        <v>10404548153</v>
      </c>
      <c r="D3683" s="126" t="s">
        <v>13541</v>
      </c>
      <c r="E3683" s="126" t="s">
        <v>13542</v>
      </c>
      <c r="F3683" s="123" t="s">
        <v>30</v>
      </c>
      <c r="G3683" s="123" t="s">
        <v>30</v>
      </c>
      <c r="H3683" s="123" t="s">
        <v>79</v>
      </c>
      <c r="I3683" s="126" t="s">
        <v>1564</v>
      </c>
      <c r="J3683" s="123" t="s">
        <v>13543</v>
      </c>
      <c r="K3683" s="123" t="s">
        <v>13541</v>
      </c>
      <c r="L3683" s="131" t="s">
        <v>100</v>
      </c>
      <c r="M3683" s="135" t="s">
        <v>845</v>
      </c>
      <c r="N3683" s="123" t="s">
        <v>845</v>
      </c>
    </row>
    <row r="3684" spans="2:14" hidden="1" x14ac:dyDescent="0.25">
      <c r="B3684" s="120">
        <v>3681</v>
      </c>
      <c r="C3684" s="123">
        <v>10102537667</v>
      </c>
      <c r="D3684" s="126" t="s">
        <v>13544</v>
      </c>
      <c r="E3684" s="126" t="s">
        <v>13545</v>
      </c>
      <c r="F3684" s="123" t="s">
        <v>30</v>
      </c>
      <c r="G3684" s="123" t="s">
        <v>30</v>
      </c>
      <c r="H3684" s="123" t="s">
        <v>152</v>
      </c>
      <c r="I3684" s="126" t="s">
        <v>1959</v>
      </c>
      <c r="J3684" s="123" t="s">
        <v>13546</v>
      </c>
      <c r="K3684" s="123" t="s">
        <v>13547</v>
      </c>
      <c r="L3684" s="131" t="s">
        <v>100</v>
      </c>
      <c r="M3684" s="135" t="s">
        <v>845</v>
      </c>
      <c r="N3684" s="123" t="s">
        <v>845</v>
      </c>
    </row>
    <row r="3685" spans="2:14" hidden="1" x14ac:dyDescent="0.25">
      <c r="B3685" s="120">
        <v>3682</v>
      </c>
      <c r="C3685" s="123">
        <v>10258554898</v>
      </c>
      <c r="D3685" s="126" t="s">
        <v>13548</v>
      </c>
      <c r="E3685" s="126" t="s">
        <v>13549</v>
      </c>
      <c r="F3685" s="123" t="s">
        <v>30</v>
      </c>
      <c r="G3685" s="123" t="s">
        <v>168</v>
      </c>
      <c r="H3685" s="123" t="s">
        <v>168</v>
      </c>
      <c r="I3685" s="126" t="s">
        <v>1701</v>
      </c>
      <c r="J3685" s="123" t="s">
        <v>13550</v>
      </c>
      <c r="K3685" s="123" t="s">
        <v>13548</v>
      </c>
      <c r="L3685" s="131" t="s">
        <v>100</v>
      </c>
      <c r="M3685" s="135" t="s">
        <v>845</v>
      </c>
      <c r="N3685" s="123" t="s">
        <v>845</v>
      </c>
    </row>
    <row r="3686" spans="2:14" hidden="1" x14ac:dyDescent="0.25">
      <c r="B3686" s="120">
        <v>3683</v>
      </c>
      <c r="C3686" s="123">
        <v>10704203280</v>
      </c>
      <c r="D3686" s="126" t="s">
        <v>13551</v>
      </c>
      <c r="E3686" s="126" t="s">
        <v>13552</v>
      </c>
      <c r="F3686" s="123" t="s">
        <v>30</v>
      </c>
      <c r="G3686" s="123" t="s">
        <v>30</v>
      </c>
      <c r="H3686" s="123" t="s">
        <v>103</v>
      </c>
      <c r="I3686" s="126" t="s">
        <v>1701</v>
      </c>
      <c r="J3686" s="123" t="s">
        <v>13553</v>
      </c>
      <c r="K3686" s="123" t="s">
        <v>13551</v>
      </c>
      <c r="L3686" s="131" t="s">
        <v>100</v>
      </c>
      <c r="M3686" s="135" t="s">
        <v>845</v>
      </c>
      <c r="N3686" s="123" t="s">
        <v>845</v>
      </c>
    </row>
    <row r="3687" spans="2:14" hidden="1" x14ac:dyDescent="0.25">
      <c r="B3687" s="120">
        <v>3684</v>
      </c>
      <c r="C3687" s="123">
        <v>10424151594</v>
      </c>
      <c r="D3687" s="126" t="s">
        <v>13554</v>
      </c>
      <c r="E3687" s="126" t="s">
        <v>13555</v>
      </c>
      <c r="F3687" s="123" t="s">
        <v>30</v>
      </c>
      <c r="G3687" s="123" t="s">
        <v>30</v>
      </c>
      <c r="H3687" s="123" t="s">
        <v>43</v>
      </c>
      <c r="I3687" s="126" t="s">
        <v>1737</v>
      </c>
      <c r="J3687" s="123" t="s">
        <v>13556</v>
      </c>
      <c r="K3687" s="123" t="s">
        <v>13554</v>
      </c>
      <c r="L3687" s="131" t="s">
        <v>100</v>
      </c>
      <c r="M3687" s="135" t="s">
        <v>845</v>
      </c>
      <c r="N3687" s="123" t="s">
        <v>845</v>
      </c>
    </row>
    <row r="3688" spans="2:14" hidden="1" x14ac:dyDescent="0.25">
      <c r="B3688" s="120">
        <v>3685</v>
      </c>
      <c r="C3688" s="123">
        <v>10422373077</v>
      </c>
      <c r="D3688" s="126" t="s">
        <v>13557</v>
      </c>
      <c r="E3688" s="126" t="s">
        <v>13558</v>
      </c>
      <c r="F3688" s="123" t="s">
        <v>93</v>
      </c>
      <c r="G3688" s="123" t="s">
        <v>160</v>
      </c>
      <c r="H3688" s="123" t="s">
        <v>160</v>
      </c>
      <c r="I3688" s="126" t="s">
        <v>1643</v>
      </c>
      <c r="J3688" s="123" t="s">
        <v>13559</v>
      </c>
      <c r="K3688" s="123" t="s">
        <v>13557</v>
      </c>
      <c r="L3688" s="131" t="s">
        <v>100</v>
      </c>
      <c r="M3688" s="135" t="s">
        <v>845</v>
      </c>
      <c r="N3688" s="123" t="s">
        <v>845</v>
      </c>
    </row>
    <row r="3689" spans="2:14" hidden="1" x14ac:dyDescent="0.25">
      <c r="B3689" s="120">
        <v>3686</v>
      </c>
      <c r="C3689" s="123">
        <v>10724020424</v>
      </c>
      <c r="D3689" s="126" t="s">
        <v>13560</v>
      </c>
      <c r="E3689" s="126" t="s">
        <v>13561</v>
      </c>
      <c r="F3689" s="123" t="s">
        <v>30</v>
      </c>
      <c r="G3689" s="123" t="s">
        <v>30</v>
      </c>
      <c r="H3689" s="123" t="s">
        <v>72</v>
      </c>
      <c r="I3689" s="126" t="s">
        <v>12735</v>
      </c>
      <c r="J3689" s="123" t="s">
        <v>13562</v>
      </c>
      <c r="K3689" s="123" t="s">
        <v>13563</v>
      </c>
      <c r="L3689" s="131" t="s">
        <v>100</v>
      </c>
      <c r="M3689" s="135" t="s">
        <v>845</v>
      </c>
      <c r="N3689" s="123" t="s">
        <v>845</v>
      </c>
    </row>
    <row r="3690" spans="2:14" hidden="1" x14ac:dyDescent="0.25">
      <c r="B3690" s="120">
        <v>3687</v>
      </c>
      <c r="C3690" s="123">
        <v>10445047380</v>
      </c>
      <c r="D3690" s="126" t="s">
        <v>13564</v>
      </c>
      <c r="E3690" s="126" t="s">
        <v>13565</v>
      </c>
      <c r="F3690" s="123" t="s">
        <v>30</v>
      </c>
      <c r="G3690" s="123" t="s">
        <v>168</v>
      </c>
      <c r="H3690" s="123" t="s">
        <v>168</v>
      </c>
      <c r="I3690" s="126" t="s">
        <v>1439</v>
      </c>
      <c r="J3690" s="123" t="s">
        <v>13566</v>
      </c>
      <c r="K3690" s="123" t="s">
        <v>13564</v>
      </c>
      <c r="L3690" s="131" t="s">
        <v>100</v>
      </c>
      <c r="M3690" s="135" t="s">
        <v>845</v>
      </c>
      <c r="N3690" s="123" t="s">
        <v>845</v>
      </c>
    </row>
    <row r="3691" spans="2:14" hidden="1" x14ac:dyDescent="0.25">
      <c r="B3691" s="120">
        <v>3688</v>
      </c>
      <c r="C3691" s="123">
        <v>10450340931</v>
      </c>
      <c r="D3691" s="126" t="s">
        <v>13567</v>
      </c>
      <c r="E3691" s="126" t="s">
        <v>13568</v>
      </c>
      <c r="F3691" s="123" t="s">
        <v>30</v>
      </c>
      <c r="G3691" s="123" t="s">
        <v>30</v>
      </c>
      <c r="H3691" s="123" t="s">
        <v>72</v>
      </c>
      <c r="I3691" s="126" t="s">
        <v>1701</v>
      </c>
      <c r="J3691" s="123" t="s">
        <v>13569</v>
      </c>
      <c r="K3691" s="123" t="s">
        <v>13567</v>
      </c>
      <c r="L3691" s="131" t="s">
        <v>100</v>
      </c>
      <c r="M3691" s="135" t="s">
        <v>845</v>
      </c>
      <c r="N3691" s="123" t="s">
        <v>845</v>
      </c>
    </row>
    <row r="3692" spans="2:14" hidden="1" x14ac:dyDescent="0.25">
      <c r="B3692" s="120">
        <v>3689</v>
      </c>
      <c r="C3692" s="123">
        <v>10704313441</v>
      </c>
      <c r="D3692" s="126" t="s">
        <v>13570</v>
      </c>
      <c r="E3692" s="126" t="s">
        <v>13571</v>
      </c>
      <c r="F3692" s="123" t="s">
        <v>30</v>
      </c>
      <c r="G3692" s="123" t="s">
        <v>30</v>
      </c>
      <c r="H3692" s="123" t="s">
        <v>45</v>
      </c>
      <c r="I3692" s="126" t="s">
        <v>1931</v>
      </c>
      <c r="J3692" s="123" t="s">
        <v>13572</v>
      </c>
      <c r="K3692" s="123" t="s">
        <v>13570</v>
      </c>
      <c r="L3692" s="131" t="s">
        <v>100</v>
      </c>
      <c r="M3692" s="135" t="s">
        <v>845</v>
      </c>
      <c r="N3692" s="123" t="s">
        <v>845</v>
      </c>
    </row>
    <row r="3693" spans="2:14" hidden="1" x14ac:dyDescent="0.25">
      <c r="B3693" s="120">
        <v>3690</v>
      </c>
      <c r="C3693" s="123">
        <v>10426983759</v>
      </c>
      <c r="D3693" s="126" t="s">
        <v>13573</v>
      </c>
      <c r="E3693" s="126" t="s">
        <v>13574</v>
      </c>
      <c r="F3693" s="123" t="s">
        <v>30</v>
      </c>
      <c r="G3693" s="123" t="s">
        <v>30</v>
      </c>
      <c r="H3693" s="123" t="s">
        <v>85</v>
      </c>
      <c r="I3693" s="126" t="s">
        <v>8743</v>
      </c>
      <c r="J3693" s="123" t="s">
        <v>13575</v>
      </c>
      <c r="K3693" s="123" t="s">
        <v>13573</v>
      </c>
      <c r="L3693" s="131" t="s">
        <v>100</v>
      </c>
      <c r="M3693" s="135" t="s">
        <v>845</v>
      </c>
      <c r="N3693" s="123" t="s">
        <v>845</v>
      </c>
    </row>
    <row r="3694" spans="2:14" hidden="1" x14ac:dyDescent="0.25">
      <c r="B3694" s="120">
        <v>3691</v>
      </c>
      <c r="C3694" s="123">
        <v>10462300561</v>
      </c>
      <c r="D3694" s="126" t="s">
        <v>13576</v>
      </c>
      <c r="E3694" s="126" t="s">
        <v>13577</v>
      </c>
      <c r="F3694" s="123" t="s">
        <v>30</v>
      </c>
      <c r="G3694" s="123" t="s">
        <v>30</v>
      </c>
      <c r="H3694" s="123" t="s">
        <v>30</v>
      </c>
      <c r="I3694" s="126" t="s">
        <v>1966</v>
      </c>
      <c r="J3694" s="123" t="s">
        <v>13578</v>
      </c>
      <c r="K3694" s="123" t="s">
        <v>13576</v>
      </c>
      <c r="L3694" s="131" t="s">
        <v>100</v>
      </c>
      <c r="M3694" s="135" t="s">
        <v>845</v>
      </c>
      <c r="N3694" s="123" t="s">
        <v>845</v>
      </c>
    </row>
    <row r="3695" spans="2:14" hidden="1" x14ac:dyDescent="0.25">
      <c r="B3695" s="120">
        <v>3692</v>
      </c>
      <c r="C3695" s="123">
        <v>10709874191</v>
      </c>
      <c r="D3695" s="126" t="s">
        <v>13579</v>
      </c>
      <c r="E3695" s="126" t="s">
        <v>13580</v>
      </c>
      <c r="F3695" s="123" t="s">
        <v>30</v>
      </c>
      <c r="G3695" s="123" t="s">
        <v>30</v>
      </c>
      <c r="H3695" s="123" t="s">
        <v>60</v>
      </c>
      <c r="I3695" s="126" t="s">
        <v>1952</v>
      </c>
      <c r="J3695" s="123" t="s">
        <v>13581</v>
      </c>
      <c r="K3695" s="123" t="s">
        <v>13579</v>
      </c>
      <c r="L3695" s="131" t="s">
        <v>100</v>
      </c>
      <c r="M3695" s="135" t="s">
        <v>845</v>
      </c>
      <c r="N3695" s="123" t="s">
        <v>845</v>
      </c>
    </row>
    <row r="3696" spans="2:14" hidden="1" x14ac:dyDescent="0.25">
      <c r="B3696" s="120">
        <v>3693</v>
      </c>
      <c r="C3696" s="123">
        <v>10095670071</v>
      </c>
      <c r="D3696" s="126" t="s">
        <v>13582</v>
      </c>
      <c r="E3696" s="126" t="s">
        <v>13583</v>
      </c>
      <c r="F3696" s="123" t="s">
        <v>30</v>
      </c>
      <c r="G3696" s="123" t="s">
        <v>30</v>
      </c>
      <c r="H3696" s="123" t="s">
        <v>43</v>
      </c>
      <c r="I3696" s="126" t="s">
        <v>1931</v>
      </c>
      <c r="J3696" s="123" t="s">
        <v>13584</v>
      </c>
      <c r="K3696" s="123" t="s">
        <v>13582</v>
      </c>
      <c r="L3696" s="131" t="s">
        <v>100</v>
      </c>
      <c r="M3696" s="135" t="s">
        <v>845</v>
      </c>
      <c r="N3696" s="123" t="s">
        <v>845</v>
      </c>
    </row>
    <row r="3697" spans="2:14" hidden="1" x14ac:dyDescent="0.25">
      <c r="B3697" s="120">
        <v>3694</v>
      </c>
      <c r="C3697" s="123">
        <v>10721909846</v>
      </c>
      <c r="D3697" s="126" t="s">
        <v>13585</v>
      </c>
      <c r="E3697" s="126" t="s">
        <v>13586</v>
      </c>
      <c r="F3697" s="123" t="s">
        <v>30</v>
      </c>
      <c r="G3697" s="123" t="s">
        <v>30</v>
      </c>
      <c r="H3697" s="123" t="s">
        <v>86</v>
      </c>
      <c r="I3697" s="126" t="s">
        <v>11315</v>
      </c>
      <c r="J3697" s="123" t="s">
        <v>13587</v>
      </c>
      <c r="K3697" s="123" t="s">
        <v>13588</v>
      </c>
      <c r="L3697" s="131" t="s">
        <v>100</v>
      </c>
      <c r="M3697" s="135" t="s">
        <v>845</v>
      </c>
      <c r="N3697" s="123" t="s">
        <v>845</v>
      </c>
    </row>
    <row r="3698" spans="2:14" hidden="1" x14ac:dyDescent="0.25">
      <c r="B3698" s="120">
        <v>3695</v>
      </c>
      <c r="C3698" s="123">
        <v>10096522911</v>
      </c>
      <c r="D3698" s="126" t="s">
        <v>13589</v>
      </c>
      <c r="E3698" s="126" t="s">
        <v>13590</v>
      </c>
      <c r="F3698" s="123" t="s">
        <v>30</v>
      </c>
      <c r="G3698" s="123" t="s">
        <v>30</v>
      </c>
      <c r="H3698" s="123" t="s">
        <v>43</v>
      </c>
      <c r="I3698" s="126" t="s">
        <v>8884</v>
      </c>
      <c r="J3698" s="123" t="s">
        <v>13591</v>
      </c>
      <c r="K3698" s="123" t="s">
        <v>13589</v>
      </c>
      <c r="L3698" s="131" t="s">
        <v>100</v>
      </c>
      <c r="M3698" s="135" t="s">
        <v>845</v>
      </c>
      <c r="N3698" s="123" t="s">
        <v>845</v>
      </c>
    </row>
    <row r="3699" spans="2:14" hidden="1" x14ac:dyDescent="0.25">
      <c r="B3699" s="120">
        <v>3696</v>
      </c>
      <c r="C3699" s="123">
        <v>10206944361</v>
      </c>
      <c r="D3699" s="126" t="s">
        <v>13592</v>
      </c>
      <c r="E3699" s="126" t="s">
        <v>13593</v>
      </c>
      <c r="F3699" s="123" t="s">
        <v>30</v>
      </c>
      <c r="G3699" s="123" t="s">
        <v>30</v>
      </c>
      <c r="H3699" s="123" t="s">
        <v>68</v>
      </c>
      <c r="I3699" s="126" t="s">
        <v>1701</v>
      </c>
      <c r="J3699" s="123" t="s">
        <v>13594</v>
      </c>
      <c r="K3699" s="123" t="s">
        <v>13592</v>
      </c>
      <c r="L3699" s="131" t="s">
        <v>100</v>
      </c>
      <c r="M3699" s="135" t="s">
        <v>845</v>
      </c>
      <c r="N3699" s="123" t="s">
        <v>845</v>
      </c>
    </row>
    <row r="3700" spans="2:14" hidden="1" x14ac:dyDescent="0.25">
      <c r="B3700" s="120">
        <v>3697</v>
      </c>
      <c r="C3700" s="123">
        <v>10296029497</v>
      </c>
      <c r="D3700" s="126" t="s">
        <v>13595</v>
      </c>
      <c r="E3700" s="126" t="s">
        <v>13596</v>
      </c>
      <c r="F3700" s="123" t="s">
        <v>67</v>
      </c>
      <c r="G3700" s="123" t="s">
        <v>67</v>
      </c>
      <c r="H3700" s="123" t="s">
        <v>94</v>
      </c>
      <c r="I3700" s="126" t="s">
        <v>1424</v>
      </c>
      <c r="J3700" s="123" t="s">
        <v>13597</v>
      </c>
      <c r="K3700" s="123" t="s">
        <v>13595</v>
      </c>
      <c r="L3700" s="131" t="s">
        <v>100</v>
      </c>
      <c r="M3700" s="135" t="s">
        <v>845</v>
      </c>
      <c r="N3700" s="123" t="s">
        <v>845</v>
      </c>
    </row>
    <row r="3701" spans="2:14" hidden="1" x14ac:dyDescent="0.25">
      <c r="B3701" s="120">
        <v>3698</v>
      </c>
      <c r="C3701" s="123">
        <v>10455893327</v>
      </c>
      <c r="D3701" s="126" t="s">
        <v>13598</v>
      </c>
      <c r="E3701" s="126" t="s">
        <v>13599</v>
      </c>
      <c r="F3701" s="123" t="s">
        <v>30</v>
      </c>
      <c r="G3701" s="123" t="s">
        <v>30</v>
      </c>
      <c r="H3701" s="123" t="s">
        <v>58</v>
      </c>
      <c r="I3701" s="126" t="s">
        <v>1551</v>
      </c>
      <c r="J3701" s="123" t="s">
        <v>13600</v>
      </c>
      <c r="K3701" s="123" t="s">
        <v>13598</v>
      </c>
      <c r="L3701" s="131" t="s">
        <v>100</v>
      </c>
      <c r="M3701" s="135" t="s">
        <v>845</v>
      </c>
      <c r="N3701" s="123" t="s">
        <v>845</v>
      </c>
    </row>
    <row r="3702" spans="2:14" hidden="1" x14ac:dyDescent="0.25">
      <c r="B3702" s="120">
        <v>3699</v>
      </c>
      <c r="C3702" s="123">
        <v>10094856626</v>
      </c>
      <c r="D3702" s="126" t="s">
        <v>13601</v>
      </c>
      <c r="E3702" s="126" t="s">
        <v>13602</v>
      </c>
      <c r="F3702" s="123" t="s">
        <v>30</v>
      </c>
      <c r="G3702" s="123" t="s">
        <v>30</v>
      </c>
      <c r="H3702" s="123" t="s">
        <v>51</v>
      </c>
      <c r="I3702" s="126" t="s">
        <v>1424</v>
      </c>
      <c r="J3702" s="123" t="s">
        <v>13603</v>
      </c>
      <c r="K3702" s="123" t="s">
        <v>13601</v>
      </c>
      <c r="L3702" s="131" t="s">
        <v>100</v>
      </c>
      <c r="M3702" s="135" t="s">
        <v>845</v>
      </c>
      <c r="N3702" s="123" t="s">
        <v>845</v>
      </c>
    </row>
    <row r="3703" spans="2:14" hidden="1" x14ac:dyDescent="0.25">
      <c r="B3703" s="120">
        <v>3700</v>
      </c>
      <c r="C3703" s="123">
        <v>10720943102</v>
      </c>
      <c r="D3703" s="126" t="s">
        <v>13604</v>
      </c>
      <c r="E3703" s="126" t="s">
        <v>13605</v>
      </c>
      <c r="F3703" s="123" t="s">
        <v>30</v>
      </c>
      <c r="G3703" s="123" t="s">
        <v>168</v>
      </c>
      <c r="H3703" s="123" t="s">
        <v>177</v>
      </c>
      <c r="I3703" s="126" t="s">
        <v>6924</v>
      </c>
      <c r="J3703" s="123" t="s">
        <v>13606</v>
      </c>
      <c r="K3703" s="123" t="s">
        <v>13607</v>
      </c>
      <c r="L3703" s="131" t="s">
        <v>100</v>
      </c>
      <c r="M3703" s="135" t="s">
        <v>845</v>
      </c>
      <c r="N3703" s="123" t="s">
        <v>845</v>
      </c>
    </row>
    <row r="3704" spans="2:14" hidden="1" x14ac:dyDescent="0.25">
      <c r="B3704" s="120">
        <v>3701</v>
      </c>
      <c r="C3704" s="123">
        <v>10198703422</v>
      </c>
      <c r="D3704" s="126" t="s">
        <v>13608</v>
      </c>
      <c r="E3704" s="126" t="s">
        <v>13609</v>
      </c>
      <c r="F3704" s="123" t="s">
        <v>30</v>
      </c>
      <c r="G3704" s="123" t="s">
        <v>30</v>
      </c>
      <c r="H3704" s="123" t="s">
        <v>68</v>
      </c>
      <c r="I3704" s="126" t="s">
        <v>87</v>
      </c>
      <c r="J3704" s="123" t="s">
        <v>13610</v>
      </c>
      <c r="K3704" s="123" t="s">
        <v>13608</v>
      </c>
      <c r="L3704" s="131" t="s">
        <v>100</v>
      </c>
      <c r="M3704" s="135" t="s">
        <v>845</v>
      </c>
      <c r="N3704" s="123" t="s">
        <v>845</v>
      </c>
    </row>
    <row r="3705" spans="2:14" hidden="1" x14ac:dyDescent="0.25">
      <c r="B3705" s="120">
        <v>3702</v>
      </c>
      <c r="C3705" s="123">
        <v>10083036732</v>
      </c>
      <c r="D3705" s="126" t="s">
        <v>13611</v>
      </c>
      <c r="E3705" s="126" t="s">
        <v>13612</v>
      </c>
      <c r="F3705" s="123" t="s">
        <v>30</v>
      </c>
      <c r="G3705" s="123" t="s">
        <v>30</v>
      </c>
      <c r="H3705" s="123" t="s">
        <v>30</v>
      </c>
      <c r="I3705" s="126" t="s">
        <v>1805</v>
      </c>
      <c r="J3705" s="123" t="s">
        <v>13613</v>
      </c>
      <c r="K3705" s="123" t="s">
        <v>13611</v>
      </c>
      <c r="L3705" s="131" t="s">
        <v>100</v>
      </c>
      <c r="M3705" s="135" t="s">
        <v>845</v>
      </c>
      <c r="N3705" s="123" t="s">
        <v>845</v>
      </c>
    </row>
    <row r="3706" spans="2:14" hidden="1" x14ac:dyDescent="0.25">
      <c r="B3706" s="120">
        <v>3703</v>
      </c>
      <c r="C3706" s="123">
        <v>10091703730</v>
      </c>
      <c r="D3706" s="126" t="s">
        <v>13614</v>
      </c>
      <c r="E3706" s="126" t="s">
        <v>13615</v>
      </c>
      <c r="F3706" s="123" t="s">
        <v>30</v>
      </c>
      <c r="G3706" s="123" t="s">
        <v>30</v>
      </c>
      <c r="H3706" s="123" t="s">
        <v>58</v>
      </c>
      <c r="I3706" s="126" t="s">
        <v>13616</v>
      </c>
      <c r="J3706" s="123" t="s">
        <v>13617</v>
      </c>
      <c r="K3706" s="123" t="s">
        <v>13618</v>
      </c>
      <c r="L3706" s="131" t="s">
        <v>100</v>
      </c>
      <c r="M3706" s="135" t="s">
        <v>845</v>
      </c>
      <c r="N3706" s="123" t="s">
        <v>845</v>
      </c>
    </row>
    <row r="3707" spans="2:14" hidden="1" x14ac:dyDescent="0.25">
      <c r="B3707" s="120">
        <v>3704</v>
      </c>
      <c r="C3707" s="123">
        <v>10211239820</v>
      </c>
      <c r="D3707" s="126" t="s">
        <v>13619</v>
      </c>
      <c r="E3707" s="126" t="s">
        <v>13620</v>
      </c>
      <c r="F3707" s="123" t="s">
        <v>30</v>
      </c>
      <c r="G3707" s="123" t="s">
        <v>30</v>
      </c>
      <c r="H3707" s="123" t="s">
        <v>85</v>
      </c>
      <c r="I3707" s="126" t="s">
        <v>8825</v>
      </c>
      <c r="J3707" s="123" t="s">
        <v>13621</v>
      </c>
      <c r="K3707" s="123" t="s">
        <v>13619</v>
      </c>
      <c r="L3707" s="131" t="s">
        <v>100</v>
      </c>
      <c r="M3707" s="135" t="s">
        <v>845</v>
      </c>
      <c r="N3707" s="123" t="s">
        <v>845</v>
      </c>
    </row>
    <row r="3708" spans="2:14" hidden="1" x14ac:dyDescent="0.25">
      <c r="B3708" s="120">
        <v>3705</v>
      </c>
      <c r="C3708" s="123">
        <v>10021680112</v>
      </c>
      <c r="D3708" s="126" t="s">
        <v>13622</v>
      </c>
      <c r="E3708" s="126" t="s">
        <v>13623</v>
      </c>
      <c r="F3708" s="123" t="s">
        <v>30</v>
      </c>
      <c r="G3708" s="123" t="s">
        <v>30</v>
      </c>
      <c r="H3708" s="123" t="s">
        <v>41</v>
      </c>
      <c r="I3708" s="126" t="s">
        <v>1737</v>
      </c>
      <c r="J3708" s="123" t="s">
        <v>13624</v>
      </c>
      <c r="K3708" s="123" t="s">
        <v>13625</v>
      </c>
      <c r="L3708" s="131" t="s">
        <v>100</v>
      </c>
      <c r="M3708" s="135" t="s">
        <v>845</v>
      </c>
      <c r="N3708" s="123" t="s">
        <v>845</v>
      </c>
    </row>
    <row r="3709" spans="2:14" hidden="1" x14ac:dyDescent="0.25">
      <c r="B3709" s="120">
        <v>3706</v>
      </c>
      <c r="C3709" s="123">
        <v>10806048301</v>
      </c>
      <c r="D3709" s="126" t="s">
        <v>13626</v>
      </c>
      <c r="E3709" s="126" t="s">
        <v>13627</v>
      </c>
      <c r="F3709" s="123" t="s">
        <v>30</v>
      </c>
      <c r="G3709" s="123" t="s">
        <v>30</v>
      </c>
      <c r="H3709" s="123" t="s">
        <v>60</v>
      </c>
      <c r="I3709" s="126" t="s">
        <v>1931</v>
      </c>
      <c r="J3709" s="123" t="s">
        <v>13628</v>
      </c>
      <c r="K3709" s="123" t="s">
        <v>13626</v>
      </c>
      <c r="L3709" s="131" t="s">
        <v>100</v>
      </c>
      <c r="M3709" s="135" t="s">
        <v>845</v>
      </c>
      <c r="N3709" s="123" t="s">
        <v>845</v>
      </c>
    </row>
    <row r="3710" spans="2:14" hidden="1" x14ac:dyDescent="0.25">
      <c r="B3710" s="120">
        <v>3707</v>
      </c>
      <c r="C3710" s="123">
        <v>10076214994</v>
      </c>
      <c r="D3710" s="126" t="s">
        <v>13629</v>
      </c>
      <c r="E3710" s="126" t="s">
        <v>13630</v>
      </c>
      <c r="F3710" s="123" t="s">
        <v>30</v>
      </c>
      <c r="G3710" s="123" t="s">
        <v>30</v>
      </c>
      <c r="H3710" s="123" t="s">
        <v>72</v>
      </c>
      <c r="I3710" s="126" t="s">
        <v>1950</v>
      </c>
      <c r="J3710" s="123" t="s">
        <v>13631</v>
      </c>
      <c r="K3710" s="123" t="s">
        <v>13632</v>
      </c>
      <c r="L3710" s="131" t="s">
        <v>100</v>
      </c>
      <c r="M3710" s="135" t="s">
        <v>845</v>
      </c>
      <c r="N3710" s="123" t="s">
        <v>845</v>
      </c>
    </row>
    <row r="3711" spans="2:14" hidden="1" x14ac:dyDescent="0.25">
      <c r="B3711" s="120">
        <v>3708</v>
      </c>
      <c r="C3711" s="123">
        <v>10416472772</v>
      </c>
      <c r="D3711" s="126" t="s">
        <v>13633</v>
      </c>
      <c r="E3711" s="126" t="s">
        <v>13634</v>
      </c>
      <c r="F3711" s="123" t="s">
        <v>67</v>
      </c>
      <c r="G3711" s="123" t="s">
        <v>67</v>
      </c>
      <c r="H3711" s="123" t="s">
        <v>94</v>
      </c>
      <c r="I3711" s="126" t="s">
        <v>1805</v>
      </c>
      <c r="J3711" s="123" t="s">
        <v>13635</v>
      </c>
      <c r="K3711" s="123" t="s">
        <v>13633</v>
      </c>
      <c r="L3711" s="131" t="s">
        <v>100</v>
      </c>
      <c r="M3711" s="135" t="s">
        <v>845</v>
      </c>
      <c r="N3711" s="123" t="s">
        <v>845</v>
      </c>
    </row>
    <row r="3712" spans="2:14" hidden="1" x14ac:dyDescent="0.25">
      <c r="B3712" s="120">
        <v>3709</v>
      </c>
      <c r="C3712" s="123">
        <v>10477627701</v>
      </c>
      <c r="D3712" s="126" t="s">
        <v>13636</v>
      </c>
      <c r="E3712" s="126" t="s">
        <v>13637</v>
      </c>
      <c r="F3712" s="123" t="s">
        <v>67</v>
      </c>
      <c r="G3712" s="123" t="s">
        <v>67</v>
      </c>
      <c r="H3712" s="123" t="s">
        <v>67</v>
      </c>
      <c r="I3712" s="126" t="s">
        <v>1931</v>
      </c>
      <c r="J3712" s="123" t="s">
        <v>13638</v>
      </c>
      <c r="K3712" s="123" t="s">
        <v>13636</v>
      </c>
      <c r="L3712" s="131" t="s">
        <v>100</v>
      </c>
      <c r="M3712" s="135" t="s">
        <v>845</v>
      </c>
      <c r="N3712" s="123" t="s">
        <v>845</v>
      </c>
    </row>
    <row r="3713" spans="2:14" hidden="1" x14ac:dyDescent="0.25">
      <c r="B3713" s="120">
        <v>3710</v>
      </c>
      <c r="C3713" s="123">
        <v>10157450579</v>
      </c>
      <c r="D3713" s="126" t="s">
        <v>13639</v>
      </c>
      <c r="E3713" s="126" t="s">
        <v>13640</v>
      </c>
      <c r="F3713" s="123" t="s">
        <v>30</v>
      </c>
      <c r="G3713" s="123" t="s">
        <v>30</v>
      </c>
      <c r="H3713" s="123" t="s">
        <v>152</v>
      </c>
      <c r="I3713" s="126" t="s">
        <v>1935</v>
      </c>
      <c r="J3713" s="123" t="s">
        <v>13641</v>
      </c>
      <c r="K3713" s="123" t="s">
        <v>13639</v>
      </c>
      <c r="L3713" s="131" t="s">
        <v>100</v>
      </c>
      <c r="M3713" s="135" t="s">
        <v>845</v>
      </c>
      <c r="N3713" s="123" t="s">
        <v>845</v>
      </c>
    </row>
    <row r="3714" spans="2:14" hidden="1" x14ac:dyDescent="0.25">
      <c r="B3714" s="120">
        <v>3711</v>
      </c>
      <c r="C3714" s="123">
        <v>10761335281</v>
      </c>
      <c r="D3714" s="126" t="s">
        <v>13642</v>
      </c>
      <c r="E3714" s="126" t="s">
        <v>13643</v>
      </c>
      <c r="F3714" s="123" t="s">
        <v>30</v>
      </c>
      <c r="G3714" s="123" t="s">
        <v>30</v>
      </c>
      <c r="H3714" s="123" t="s">
        <v>51</v>
      </c>
      <c r="I3714" s="126" t="s">
        <v>1947</v>
      </c>
      <c r="J3714" s="123" t="s">
        <v>13644</v>
      </c>
      <c r="K3714" s="123" t="s">
        <v>13645</v>
      </c>
      <c r="L3714" s="131" t="s">
        <v>100</v>
      </c>
      <c r="M3714" s="135" t="s">
        <v>845</v>
      </c>
      <c r="N3714" s="123" t="s">
        <v>845</v>
      </c>
    </row>
    <row r="3715" spans="2:14" hidden="1" x14ac:dyDescent="0.25">
      <c r="B3715" s="120">
        <v>3712</v>
      </c>
      <c r="C3715" s="123">
        <v>10468969471</v>
      </c>
      <c r="D3715" s="126" t="s">
        <v>13646</v>
      </c>
      <c r="E3715" s="126" t="s">
        <v>13647</v>
      </c>
      <c r="F3715" s="123" t="s">
        <v>30</v>
      </c>
      <c r="G3715" s="123" t="s">
        <v>54</v>
      </c>
      <c r="H3715" s="123" t="s">
        <v>55</v>
      </c>
      <c r="I3715" s="126" t="s">
        <v>13648</v>
      </c>
      <c r="J3715" s="123" t="s">
        <v>13649</v>
      </c>
      <c r="K3715" s="123" t="s">
        <v>13646</v>
      </c>
      <c r="L3715" s="131" t="s">
        <v>100</v>
      </c>
      <c r="M3715" s="135" t="s">
        <v>845</v>
      </c>
      <c r="N3715" s="123" t="s">
        <v>845</v>
      </c>
    </row>
    <row r="3716" spans="2:14" hidden="1" x14ac:dyDescent="0.25">
      <c r="B3716" s="120">
        <v>3713</v>
      </c>
      <c r="C3716" s="123">
        <v>10085445737</v>
      </c>
      <c r="D3716" s="126" t="s">
        <v>13650</v>
      </c>
      <c r="E3716" s="126" t="s">
        <v>13651</v>
      </c>
      <c r="F3716" s="123" t="s">
        <v>30</v>
      </c>
      <c r="G3716" s="123" t="s">
        <v>30</v>
      </c>
      <c r="H3716" s="123" t="s">
        <v>72</v>
      </c>
      <c r="I3716" s="126" t="s">
        <v>1701</v>
      </c>
      <c r="J3716" s="123" t="s">
        <v>13652</v>
      </c>
      <c r="K3716" s="123" t="s">
        <v>13650</v>
      </c>
      <c r="L3716" s="131" t="s">
        <v>100</v>
      </c>
      <c r="M3716" s="135" t="s">
        <v>845</v>
      </c>
      <c r="N3716" s="123" t="s">
        <v>845</v>
      </c>
    </row>
    <row r="3717" spans="2:14" hidden="1" x14ac:dyDescent="0.25">
      <c r="B3717" s="120">
        <v>3714</v>
      </c>
      <c r="C3717" s="123">
        <v>10442355105</v>
      </c>
      <c r="D3717" s="126" t="s">
        <v>13653</v>
      </c>
      <c r="E3717" s="126" t="s">
        <v>13654</v>
      </c>
      <c r="F3717" s="123" t="s">
        <v>30</v>
      </c>
      <c r="G3717" s="123" t="s">
        <v>170</v>
      </c>
      <c r="H3717" s="123" t="s">
        <v>174</v>
      </c>
      <c r="I3717" s="126" t="s">
        <v>1706</v>
      </c>
      <c r="J3717" s="123" t="s">
        <v>13655</v>
      </c>
      <c r="K3717" s="123" t="s">
        <v>13653</v>
      </c>
      <c r="L3717" s="131" t="s">
        <v>100</v>
      </c>
      <c r="M3717" s="135" t="s">
        <v>845</v>
      </c>
      <c r="N3717" s="123" t="s">
        <v>845</v>
      </c>
    </row>
    <row r="3718" spans="2:14" hidden="1" x14ac:dyDescent="0.25">
      <c r="B3718" s="120">
        <v>3715</v>
      </c>
      <c r="C3718" s="123">
        <v>10473869531</v>
      </c>
      <c r="D3718" s="126" t="s">
        <v>13656</v>
      </c>
      <c r="E3718" s="126" t="s">
        <v>13657</v>
      </c>
      <c r="F3718" s="123" t="s">
        <v>30</v>
      </c>
      <c r="G3718" s="123" t="s">
        <v>54</v>
      </c>
      <c r="H3718" s="123" t="s">
        <v>54</v>
      </c>
      <c r="I3718" s="126" t="s">
        <v>1701</v>
      </c>
      <c r="J3718" s="123" t="s">
        <v>13658</v>
      </c>
      <c r="K3718" s="123" t="s">
        <v>13656</v>
      </c>
      <c r="L3718" s="131" t="s">
        <v>100</v>
      </c>
      <c r="M3718" s="135" t="s">
        <v>845</v>
      </c>
      <c r="N3718" s="123" t="s">
        <v>845</v>
      </c>
    </row>
    <row r="3719" spans="2:14" hidden="1" x14ac:dyDescent="0.25">
      <c r="B3719" s="120">
        <v>3716</v>
      </c>
      <c r="C3719" s="123">
        <v>10460447017</v>
      </c>
      <c r="D3719" s="126" t="s">
        <v>13659</v>
      </c>
      <c r="E3719" s="126" t="s">
        <v>13660</v>
      </c>
      <c r="F3719" s="123" t="s">
        <v>30</v>
      </c>
      <c r="G3719" s="123" t="s">
        <v>30</v>
      </c>
      <c r="H3719" s="123" t="s">
        <v>72</v>
      </c>
      <c r="I3719" s="126" t="s">
        <v>1424</v>
      </c>
      <c r="J3719" s="123" t="s">
        <v>13661</v>
      </c>
      <c r="K3719" s="123" t="s">
        <v>13659</v>
      </c>
      <c r="L3719" s="131" t="s">
        <v>100</v>
      </c>
      <c r="M3719" s="135" t="s">
        <v>845</v>
      </c>
      <c r="N3719" s="123" t="s">
        <v>845</v>
      </c>
    </row>
    <row r="3720" spans="2:14" hidden="1" x14ac:dyDescent="0.25">
      <c r="B3720" s="120">
        <v>3717</v>
      </c>
      <c r="C3720" s="123">
        <v>10157502986</v>
      </c>
      <c r="D3720" s="126" t="s">
        <v>13662</v>
      </c>
      <c r="E3720" s="126" t="s">
        <v>13663</v>
      </c>
      <c r="F3720" s="123" t="s">
        <v>30</v>
      </c>
      <c r="G3720" s="123" t="s">
        <v>54</v>
      </c>
      <c r="H3720" s="123" t="s">
        <v>54</v>
      </c>
      <c r="I3720" s="126" t="s">
        <v>1701</v>
      </c>
      <c r="J3720" s="123" t="s">
        <v>13664</v>
      </c>
      <c r="K3720" s="123" t="s">
        <v>13662</v>
      </c>
      <c r="L3720" s="131" t="s">
        <v>100</v>
      </c>
      <c r="M3720" s="135" t="s">
        <v>845</v>
      </c>
      <c r="N3720" s="123" t="s">
        <v>845</v>
      </c>
    </row>
    <row r="3721" spans="2:14" hidden="1" x14ac:dyDescent="0.25">
      <c r="B3721" s="120">
        <v>3718</v>
      </c>
      <c r="C3721" s="123">
        <v>10258240354</v>
      </c>
      <c r="D3721" s="126" t="s">
        <v>13665</v>
      </c>
      <c r="E3721" s="126" t="s">
        <v>13666</v>
      </c>
      <c r="F3721" s="123" t="s">
        <v>67</v>
      </c>
      <c r="G3721" s="123" t="s">
        <v>67</v>
      </c>
      <c r="H3721" s="123" t="s">
        <v>94</v>
      </c>
      <c r="I3721" s="126" t="s">
        <v>13273</v>
      </c>
      <c r="J3721" s="123" t="s">
        <v>13667</v>
      </c>
      <c r="K3721" s="123" t="s">
        <v>13665</v>
      </c>
      <c r="L3721" s="131" t="s">
        <v>100</v>
      </c>
      <c r="M3721" s="135" t="s">
        <v>845</v>
      </c>
      <c r="N3721" s="123" t="s">
        <v>845</v>
      </c>
    </row>
    <row r="3722" spans="2:14" hidden="1" x14ac:dyDescent="0.25">
      <c r="B3722" s="120">
        <v>3719</v>
      </c>
      <c r="C3722" s="123">
        <v>10106328451</v>
      </c>
      <c r="D3722" s="126" t="s">
        <v>13668</v>
      </c>
      <c r="E3722" s="126" t="s">
        <v>13669</v>
      </c>
      <c r="F3722" s="123" t="s">
        <v>30</v>
      </c>
      <c r="G3722" s="123" t="s">
        <v>30</v>
      </c>
      <c r="H3722" s="123" t="s">
        <v>37</v>
      </c>
      <c r="I3722" s="126" t="s">
        <v>1931</v>
      </c>
      <c r="J3722" s="123" t="s">
        <v>13670</v>
      </c>
      <c r="K3722" s="123" t="s">
        <v>13668</v>
      </c>
      <c r="L3722" s="131" t="s">
        <v>100</v>
      </c>
      <c r="M3722" s="135" t="s">
        <v>845</v>
      </c>
      <c r="N3722" s="123" t="s">
        <v>845</v>
      </c>
    </row>
    <row r="3723" spans="2:14" hidden="1" x14ac:dyDescent="0.25">
      <c r="B3723" s="120">
        <v>3720</v>
      </c>
      <c r="C3723" s="123">
        <v>10105030750</v>
      </c>
      <c r="D3723" s="126" t="s">
        <v>13671</v>
      </c>
      <c r="E3723" s="126" t="s">
        <v>13672</v>
      </c>
      <c r="F3723" s="123" t="s">
        <v>30</v>
      </c>
      <c r="G3723" s="123" t="s">
        <v>30</v>
      </c>
      <c r="H3723" s="123" t="s">
        <v>75</v>
      </c>
      <c r="I3723" s="126" t="s">
        <v>1701</v>
      </c>
      <c r="J3723" s="123" t="s">
        <v>13673</v>
      </c>
      <c r="K3723" s="123" t="s">
        <v>13671</v>
      </c>
      <c r="L3723" s="131" t="s">
        <v>100</v>
      </c>
      <c r="M3723" s="135" t="s">
        <v>845</v>
      </c>
      <c r="N3723" s="123" t="s">
        <v>845</v>
      </c>
    </row>
    <row r="3724" spans="2:14" hidden="1" x14ac:dyDescent="0.25">
      <c r="B3724" s="120">
        <v>3721</v>
      </c>
      <c r="C3724" s="123">
        <v>10460668501</v>
      </c>
      <c r="D3724" s="126" t="s">
        <v>13674</v>
      </c>
      <c r="E3724" s="126" t="s">
        <v>13675</v>
      </c>
      <c r="F3724" s="123" t="s">
        <v>30</v>
      </c>
      <c r="G3724" s="123" t="s">
        <v>30</v>
      </c>
      <c r="H3724" s="123" t="s">
        <v>43</v>
      </c>
      <c r="I3724" s="126" t="s">
        <v>1564</v>
      </c>
      <c r="J3724" s="123" t="s">
        <v>13676</v>
      </c>
      <c r="K3724" s="123" t="s">
        <v>13674</v>
      </c>
      <c r="L3724" s="131" t="s">
        <v>100</v>
      </c>
      <c r="M3724" s="135" t="s">
        <v>845</v>
      </c>
      <c r="N3724" s="123" t="s">
        <v>845</v>
      </c>
    </row>
    <row r="3725" spans="2:14" hidden="1" x14ac:dyDescent="0.25">
      <c r="B3725" s="120">
        <v>3722</v>
      </c>
      <c r="C3725" s="123">
        <v>10476210351</v>
      </c>
      <c r="D3725" s="126" t="s">
        <v>13677</v>
      </c>
      <c r="E3725" s="126" t="s">
        <v>13678</v>
      </c>
      <c r="F3725" s="123" t="s">
        <v>30</v>
      </c>
      <c r="G3725" s="123" t="s">
        <v>31</v>
      </c>
      <c r="H3725" s="123" t="s">
        <v>139</v>
      </c>
      <c r="I3725" s="126" t="s">
        <v>1938</v>
      </c>
      <c r="J3725" s="123" t="s">
        <v>13679</v>
      </c>
      <c r="K3725" s="123" t="s">
        <v>13677</v>
      </c>
      <c r="L3725" s="131" t="s">
        <v>100</v>
      </c>
      <c r="M3725" s="135" t="s">
        <v>845</v>
      </c>
      <c r="N3725" s="123" t="s">
        <v>845</v>
      </c>
    </row>
    <row r="3726" spans="2:14" hidden="1" x14ac:dyDescent="0.25">
      <c r="B3726" s="120">
        <v>3723</v>
      </c>
      <c r="C3726" s="123">
        <v>10074146118</v>
      </c>
      <c r="D3726" s="126" t="s">
        <v>13680</v>
      </c>
      <c r="E3726" s="126" t="s">
        <v>13681</v>
      </c>
      <c r="F3726" s="123" t="s">
        <v>30</v>
      </c>
      <c r="G3726" s="123" t="s">
        <v>30</v>
      </c>
      <c r="H3726" s="123" t="s">
        <v>110</v>
      </c>
      <c r="I3726" s="126" t="s">
        <v>1701</v>
      </c>
      <c r="J3726" s="123" t="s">
        <v>13682</v>
      </c>
      <c r="K3726" s="123" t="s">
        <v>13680</v>
      </c>
      <c r="L3726" s="131" t="s">
        <v>100</v>
      </c>
      <c r="M3726" s="135" t="s">
        <v>845</v>
      </c>
      <c r="N3726" s="123" t="s">
        <v>845</v>
      </c>
    </row>
    <row r="3727" spans="2:14" hidden="1" x14ac:dyDescent="0.25">
      <c r="B3727" s="120">
        <v>3724</v>
      </c>
      <c r="C3727" s="123">
        <v>10062795790</v>
      </c>
      <c r="D3727" s="126" t="s">
        <v>13683</v>
      </c>
      <c r="E3727" s="126" t="s">
        <v>13684</v>
      </c>
      <c r="F3727" s="123" t="s">
        <v>30</v>
      </c>
      <c r="G3727" s="123" t="s">
        <v>30</v>
      </c>
      <c r="H3727" s="123" t="s">
        <v>38</v>
      </c>
      <c r="I3727" s="126" t="s">
        <v>10993</v>
      </c>
      <c r="J3727" s="123" t="s">
        <v>13685</v>
      </c>
      <c r="K3727" s="123" t="s">
        <v>13683</v>
      </c>
      <c r="L3727" s="131" t="s">
        <v>100</v>
      </c>
      <c r="M3727" s="135" t="s">
        <v>845</v>
      </c>
      <c r="N3727" s="123" t="s">
        <v>845</v>
      </c>
    </row>
    <row r="3728" spans="2:14" hidden="1" x14ac:dyDescent="0.25">
      <c r="B3728" s="120">
        <v>3725</v>
      </c>
      <c r="C3728" s="123">
        <v>10429502352</v>
      </c>
      <c r="D3728" s="126" t="s">
        <v>13686</v>
      </c>
      <c r="E3728" s="126" t="s">
        <v>13687</v>
      </c>
      <c r="F3728" s="123" t="s">
        <v>30</v>
      </c>
      <c r="G3728" s="123" t="s">
        <v>30</v>
      </c>
      <c r="H3728" s="123" t="s">
        <v>37</v>
      </c>
      <c r="I3728" s="126" t="s">
        <v>1932</v>
      </c>
      <c r="J3728" s="123" t="s">
        <v>13688</v>
      </c>
      <c r="K3728" s="123" t="s">
        <v>13689</v>
      </c>
      <c r="L3728" s="131" t="s">
        <v>100</v>
      </c>
      <c r="M3728" s="135" t="s">
        <v>845</v>
      </c>
      <c r="N3728" s="123" t="s">
        <v>845</v>
      </c>
    </row>
    <row r="3729" spans="2:14" hidden="1" x14ac:dyDescent="0.25">
      <c r="B3729" s="120">
        <v>3726</v>
      </c>
      <c r="C3729" s="123">
        <v>10410541616</v>
      </c>
      <c r="D3729" s="126" t="s">
        <v>13690</v>
      </c>
      <c r="E3729" s="126" t="s">
        <v>13691</v>
      </c>
      <c r="F3729" s="123" t="s">
        <v>30</v>
      </c>
      <c r="G3729" s="123" t="s">
        <v>170</v>
      </c>
      <c r="H3729" s="123" t="s">
        <v>171</v>
      </c>
      <c r="I3729" s="126" t="s">
        <v>1952</v>
      </c>
      <c r="J3729" s="123" t="s">
        <v>13692</v>
      </c>
      <c r="K3729" s="123" t="s">
        <v>13690</v>
      </c>
      <c r="L3729" s="131" t="s">
        <v>100</v>
      </c>
      <c r="M3729" s="135" t="s">
        <v>845</v>
      </c>
      <c r="N3729" s="123" t="s">
        <v>845</v>
      </c>
    </row>
    <row r="3730" spans="2:14" hidden="1" x14ac:dyDescent="0.25">
      <c r="B3730" s="120">
        <v>3727</v>
      </c>
      <c r="C3730" s="123">
        <v>10448013516</v>
      </c>
      <c r="D3730" s="126" t="s">
        <v>13693</v>
      </c>
      <c r="E3730" s="126" t="s">
        <v>13694</v>
      </c>
      <c r="F3730" s="123" t="s">
        <v>30</v>
      </c>
      <c r="G3730" s="123" t="s">
        <v>30</v>
      </c>
      <c r="H3730" s="123" t="s">
        <v>51</v>
      </c>
      <c r="I3730" s="126" t="s">
        <v>1931</v>
      </c>
      <c r="J3730" s="123" t="s">
        <v>13695</v>
      </c>
      <c r="K3730" s="123" t="s">
        <v>13693</v>
      </c>
      <c r="L3730" s="131" t="s">
        <v>100</v>
      </c>
      <c r="M3730" s="135" t="s">
        <v>845</v>
      </c>
      <c r="N3730" s="123" t="s">
        <v>845</v>
      </c>
    </row>
    <row r="3731" spans="2:14" hidden="1" x14ac:dyDescent="0.25">
      <c r="B3731" s="120">
        <v>3728</v>
      </c>
      <c r="C3731" s="123">
        <v>10032442965</v>
      </c>
      <c r="D3731" s="126" t="s">
        <v>13696</v>
      </c>
      <c r="E3731" s="126" t="s">
        <v>13697</v>
      </c>
      <c r="F3731" s="123" t="s">
        <v>30</v>
      </c>
      <c r="G3731" s="123" t="s">
        <v>30</v>
      </c>
      <c r="H3731" s="123" t="s">
        <v>47</v>
      </c>
      <c r="I3731" s="126" t="s">
        <v>102</v>
      </c>
      <c r="J3731" s="123" t="s">
        <v>13698</v>
      </c>
      <c r="K3731" s="123" t="s">
        <v>13696</v>
      </c>
      <c r="L3731" s="131" t="s">
        <v>100</v>
      </c>
      <c r="M3731" s="135" t="s">
        <v>845</v>
      </c>
      <c r="N3731" s="123" t="s">
        <v>845</v>
      </c>
    </row>
    <row r="3732" spans="2:14" hidden="1" x14ac:dyDescent="0.25">
      <c r="B3732" s="120">
        <v>3729</v>
      </c>
      <c r="C3732" s="123">
        <v>10329841877</v>
      </c>
      <c r="D3732" s="126" t="s">
        <v>13699</v>
      </c>
      <c r="E3732" s="126" t="s">
        <v>13700</v>
      </c>
      <c r="F3732" s="123" t="s">
        <v>30</v>
      </c>
      <c r="G3732" s="123" t="s">
        <v>30</v>
      </c>
      <c r="H3732" s="123" t="s">
        <v>45</v>
      </c>
      <c r="I3732" s="126" t="s">
        <v>1701</v>
      </c>
      <c r="J3732" s="123" t="s">
        <v>13701</v>
      </c>
      <c r="K3732" s="123" t="s">
        <v>13699</v>
      </c>
      <c r="L3732" s="131" t="s">
        <v>100</v>
      </c>
      <c r="M3732" s="135" t="s">
        <v>845</v>
      </c>
      <c r="N3732" s="123" t="s">
        <v>845</v>
      </c>
    </row>
    <row r="3733" spans="2:14" hidden="1" x14ac:dyDescent="0.25">
      <c r="B3733" s="120">
        <v>3730</v>
      </c>
      <c r="C3733" s="123">
        <v>10224939430</v>
      </c>
      <c r="D3733" s="126" t="s">
        <v>13702</v>
      </c>
      <c r="E3733" s="126" t="s">
        <v>13703</v>
      </c>
      <c r="F3733" s="123" t="s">
        <v>30</v>
      </c>
      <c r="G3733" s="123" t="s">
        <v>30</v>
      </c>
      <c r="H3733" s="123" t="s">
        <v>43</v>
      </c>
      <c r="I3733" s="126" t="s">
        <v>1931</v>
      </c>
      <c r="J3733" s="123" t="s">
        <v>13704</v>
      </c>
      <c r="K3733" s="123" t="s">
        <v>13702</v>
      </c>
      <c r="L3733" s="131" t="s">
        <v>100</v>
      </c>
      <c r="M3733" s="135" t="s">
        <v>845</v>
      </c>
      <c r="N3733" s="123" t="s">
        <v>845</v>
      </c>
    </row>
    <row r="3734" spans="2:14" hidden="1" x14ac:dyDescent="0.25">
      <c r="B3734" s="120">
        <v>3731</v>
      </c>
      <c r="C3734" s="123">
        <v>10066728485</v>
      </c>
      <c r="D3734" s="126" t="s">
        <v>13705</v>
      </c>
      <c r="E3734" s="126" t="s">
        <v>13706</v>
      </c>
      <c r="F3734" s="123" t="s">
        <v>30</v>
      </c>
      <c r="G3734" s="123" t="s">
        <v>30</v>
      </c>
      <c r="H3734" s="123" t="s">
        <v>37</v>
      </c>
      <c r="I3734" s="126" t="s">
        <v>1984</v>
      </c>
      <c r="J3734" s="123" t="s">
        <v>13707</v>
      </c>
      <c r="K3734" s="123" t="s">
        <v>13708</v>
      </c>
      <c r="L3734" s="131" t="s">
        <v>100</v>
      </c>
      <c r="M3734" s="135" t="s">
        <v>845</v>
      </c>
      <c r="N3734" s="123" t="s">
        <v>845</v>
      </c>
    </row>
    <row r="3735" spans="2:14" hidden="1" x14ac:dyDescent="0.25">
      <c r="B3735" s="120">
        <v>3732</v>
      </c>
      <c r="C3735" s="123">
        <v>10404746613</v>
      </c>
      <c r="D3735" s="126" t="s">
        <v>13709</v>
      </c>
      <c r="E3735" s="126" t="s">
        <v>13710</v>
      </c>
      <c r="F3735" s="123" t="s">
        <v>30</v>
      </c>
      <c r="G3735" s="123" t="s">
        <v>30</v>
      </c>
      <c r="H3735" s="123" t="s">
        <v>43</v>
      </c>
      <c r="I3735" s="126" t="s">
        <v>1936</v>
      </c>
      <c r="J3735" s="123" t="s">
        <v>13711</v>
      </c>
      <c r="K3735" s="123" t="s">
        <v>13709</v>
      </c>
      <c r="L3735" s="131" t="s">
        <v>100</v>
      </c>
      <c r="M3735" s="135" t="s">
        <v>845</v>
      </c>
      <c r="N3735" s="123" t="s">
        <v>845</v>
      </c>
    </row>
    <row r="3736" spans="2:14" hidden="1" x14ac:dyDescent="0.25">
      <c r="B3736" s="120">
        <v>3733</v>
      </c>
      <c r="C3736" s="123">
        <v>10429602594</v>
      </c>
      <c r="D3736" s="126" t="s">
        <v>13712</v>
      </c>
      <c r="E3736" s="126" t="s">
        <v>13713</v>
      </c>
      <c r="F3736" s="123" t="s">
        <v>30</v>
      </c>
      <c r="G3736" s="123" t="s">
        <v>30</v>
      </c>
      <c r="H3736" s="123" t="s">
        <v>68</v>
      </c>
      <c r="I3736" s="126" t="s">
        <v>1209</v>
      </c>
      <c r="J3736" s="123" t="s">
        <v>13714</v>
      </c>
      <c r="K3736" s="123" t="s">
        <v>13712</v>
      </c>
      <c r="L3736" s="131" t="s">
        <v>100</v>
      </c>
      <c r="M3736" s="135" t="s">
        <v>845</v>
      </c>
      <c r="N3736" s="123" t="s">
        <v>845</v>
      </c>
    </row>
    <row r="3737" spans="2:14" hidden="1" x14ac:dyDescent="0.25">
      <c r="B3737" s="120">
        <v>3734</v>
      </c>
      <c r="C3737" s="123">
        <v>10412867055</v>
      </c>
      <c r="D3737" s="126" t="s">
        <v>13715</v>
      </c>
      <c r="E3737" s="126" t="s">
        <v>13716</v>
      </c>
      <c r="F3737" s="123" t="s">
        <v>30</v>
      </c>
      <c r="G3737" s="123" t="s">
        <v>30</v>
      </c>
      <c r="H3737" s="123" t="s">
        <v>85</v>
      </c>
      <c r="I3737" s="126" t="s">
        <v>1737</v>
      </c>
      <c r="J3737" s="123" t="s">
        <v>13717</v>
      </c>
      <c r="K3737" s="123" t="s">
        <v>13715</v>
      </c>
      <c r="L3737" s="131" t="s">
        <v>100</v>
      </c>
      <c r="M3737" s="135" t="s">
        <v>845</v>
      </c>
      <c r="N3737" s="123" t="s">
        <v>845</v>
      </c>
    </row>
    <row r="3738" spans="2:14" hidden="1" x14ac:dyDescent="0.25">
      <c r="B3738" s="120">
        <v>3735</v>
      </c>
      <c r="C3738" s="123">
        <v>10802647048</v>
      </c>
      <c r="D3738" s="126" t="s">
        <v>13718</v>
      </c>
      <c r="E3738" s="126" t="s">
        <v>13719</v>
      </c>
      <c r="F3738" s="123" t="s">
        <v>30</v>
      </c>
      <c r="G3738" s="123" t="s">
        <v>30</v>
      </c>
      <c r="H3738" s="123" t="s">
        <v>30</v>
      </c>
      <c r="I3738" s="126" t="s">
        <v>1973</v>
      </c>
      <c r="J3738" s="123" t="s">
        <v>13720</v>
      </c>
      <c r="K3738" s="123" t="s">
        <v>13718</v>
      </c>
      <c r="L3738" s="131" t="s">
        <v>100</v>
      </c>
      <c r="M3738" s="135" t="s">
        <v>845</v>
      </c>
      <c r="N3738" s="123" t="s">
        <v>845</v>
      </c>
    </row>
    <row r="3739" spans="2:14" hidden="1" x14ac:dyDescent="0.25">
      <c r="B3739" s="120">
        <v>3736</v>
      </c>
      <c r="C3739" s="123">
        <v>10714816115</v>
      </c>
      <c r="D3739" s="126" t="s">
        <v>13721</v>
      </c>
      <c r="E3739" s="126" t="s">
        <v>13722</v>
      </c>
      <c r="F3739" s="123" t="s">
        <v>30</v>
      </c>
      <c r="G3739" s="123" t="s">
        <v>30</v>
      </c>
      <c r="H3739" s="123" t="s">
        <v>51</v>
      </c>
      <c r="I3739" s="126" t="s">
        <v>1936</v>
      </c>
      <c r="J3739" s="123" t="s">
        <v>13723</v>
      </c>
      <c r="K3739" s="123" t="s">
        <v>13721</v>
      </c>
      <c r="L3739" s="131" t="s">
        <v>100</v>
      </c>
      <c r="M3739" s="135" t="s">
        <v>845</v>
      </c>
      <c r="N3739" s="123" t="s">
        <v>845</v>
      </c>
    </row>
    <row r="3740" spans="2:14" hidden="1" x14ac:dyDescent="0.25">
      <c r="B3740" s="120">
        <v>3737</v>
      </c>
      <c r="C3740" s="123">
        <v>10456465973</v>
      </c>
      <c r="D3740" s="126" t="s">
        <v>13724</v>
      </c>
      <c r="E3740" s="126" t="s">
        <v>13725</v>
      </c>
      <c r="F3740" s="123" t="s">
        <v>30</v>
      </c>
      <c r="G3740" s="123" t="s">
        <v>31</v>
      </c>
      <c r="H3740" s="123" t="s">
        <v>9381</v>
      </c>
      <c r="I3740" s="126" t="s">
        <v>9372</v>
      </c>
      <c r="J3740" s="123" t="s">
        <v>13726</v>
      </c>
      <c r="K3740" s="123" t="s">
        <v>13724</v>
      </c>
      <c r="L3740" s="131" t="s">
        <v>100</v>
      </c>
      <c r="M3740" s="135" t="s">
        <v>845</v>
      </c>
      <c r="N3740" s="123" t="s">
        <v>845</v>
      </c>
    </row>
    <row r="3741" spans="2:14" hidden="1" x14ac:dyDescent="0.25">
      <c r="B3741" s="120">
        <v>3738</v>
      </c>
      <c r="C3741" s="123">
        <v>10467521450</v>
      </c>
      <c r="D3741" s="126" t="s">
        <v>13727</v>
      </c>
      <c r="E3741" s="126" t="s">
        <v>13728</v>
      </c>
      <c r="F3741" s="123" t="s">
        <v>30</v>
      </c>
      <c r="G3741" s="123" t="s">
        <v>30</v>
      </c>
      <c r="H3741" s="123" t="s">
        <v>58</v>
      </c>
      <c r="I3741" s="126" t="s">
        <v>1930</v>
      </c>
      <c r="J3741" s="123" t="s">
        <v>13729</v>
      </c>
      <c r="K3741" s="123" t="s">
        <v>13727</v>
      </c>
      <c r="L3741" s="131" t="s">
        <v>100</v>
      </c>
      <c r="M3741" s="135" t="s">
        <v>845</v>
      </c>
      <c r="N3741" s="123" t="s">
        <v>845</v>
      </c>
    </row>
    <row r="3742" spans="2:14" hidden="1" x14ac:dyDescent="0.25">
      <c r="B3742" s="120">
        <v>3739</v>
      </c>
      <c r="C3742" s="123">
        <v>10096978818</v>
      </c>
      <c r="D3742" s="126" t="s">
        <v>13730</v>
      </c>
      <c r="E3742" s="126" t="s">
        <v>13731</v>
      </c>
      <c r="F3742" s="123" t="s">
        <v>30</v>
      </c>
      <c r="G3742" s="123" t="s">
        <v>30</v>
      </c>
      <c r="H3742" s="123" t="s">
        <v>45</v>
      </c>
      <c r="I3742" s="126" t="s">
        <v>1968</v>
      </c>
      <c r="J3742" s="123" t="s">
        <v>13732</v>
      </c>
      <c r="K3742" s="123" t="s">
        <v>13733</v>
      </c>
      <c r="L3742" s="131" t="s">
        <v>100</v>
      </c>
      <c r="M3742" s="135" t="s">
        <v>845</v>
      </c>
      <c r="N3742" s="123" t="s">
        <v>845</v>
      </c>
    </row>
    <row r="3743" spans="2:14" hidden="1" x14ac:dyDescent="0.25">
      <c r="B3743" s="120">
        <v>3740</v>
      </c>
      <c r="C3743" s="123">
        <v>10401099234</v>
      </c>
      <c r="D3743" s="126" t="s">
        <v>13734</v>
      </c>
      <c r="E3743" s="126" t="s">
        <v>13735</v>
      </c>
      <c r="F3743" s="123" t="s">
        <v>67</v>
      </c>
      <c r="G3743" s="123" t="s">
        <v>67</v>
      </c>
      <c r="H3743" s="123" t="s">
        <v>67</v>
      </c>
      <c r="I3743" s="126" t="s">
        <v>1701</v>
      </c>
      <c r="J3743" s="123" t="s">
        <v>13736</v>
      </c>
      <c r="K3743" s="123" t="s">
        <v>13737</v>
      </c>
      <c r="L3743" s="131" t="s">
        <v>100</v>
      </c>
      <c r="M3743" s="135" t="s">
        <v>845</v>
      </c>
      <c r="N3743" s="123" t="s">
        <v>845</v>
      </c>
    </row>
    <row r="3744" spans="2:14" hidden="1" x14ac:dyDescent="0.25">
      <c r="B3744" s="120">
        <v>3741</v>
      </c>
      <c r="C3744" s="123">
        <v>10099211071</v>
      </c>
      <c r="D3744" s="126" t="s">
        <v>13738</v>
      </c>
      <c r="E3744" s="126" t="s">
        <v>13739</v>
      </c>
      <c r="F3744" s="123" t="s">
        <v>30</v>
      </c>
      <c r="G3744" s="123" t="s">
        <v>30</v>
      </c>
      <c r="H3744" s="123" t="s">
        <v>72</v>
      </c>
      <c r="I3744" s="126" t="s">
        <v>1564</v>
      </c>
      <c r="J3744" s="123" t="s">
        <v>13740</v>
      </c>
      <c r="K3744" s="123" t="s">
        <v>13738</v>
      </c>
      <c r="L3744" s="131" t="s">
        <v>100</v>
      </c>
      <c r="M3744" s="135" t="s">
        <v>845</v>
      </c>
      <c r="N3744" s="123" t="s">
        <v>845</v>
      </c>
    </row>
    <row r="3745" spans="2:14" hidden="1" x14ac:dyDescent="0.25">
      <c r="B3745" s="120">
        <v>3742</v>
      </c>
      <c r="C3745" s="123">
        <v>10107673569</v>
      </c>
      <c r="D3745" s="126" t="s">
        <v>13741</v>
      </c>
      <c r="E3745" s="126" t="s">
        <v>13742</v>
      </c>
      <c r="F3745" s="123" t="s">
        <v>30</v>
      </c>
      <c r="G3745" s="123" t="s">
        <v>30</v>
      </c>
      <c r="H3745" s="123" t="s">
        <v>41</v>
      </c>
      <c r="I3745" s="126" t="s">
        <v>1484</v>
      </c>
      <c r="J3745" s="123" t="s">
        <v>13743</v>
      </c>
      <c r="K3745" s="123" t="s">
        <v>13741</v>
      </c>
      <c r="L3745" s="131" t="s">
        <v>100</v>
      </c>
      <c r="M3745" s="135" t="s">
        <v>845</v>
      </c>
      <c r="N3745" s="123" t="s">
        <v>845</v>
      </c>
    </row>
    <row r="3746" spans="2:14" hidden="1" x14ac:dyDescent="0.25">
      <c r="B3746" s="120">
        <v>3743</v>
      </c>
      <c r="C3746" s="123">
        <v>10413248855</v>
      </c>
      <c r="D3746" s="126" t="s">
        <v>13744</v>
      </c>
      <c r="E3746" s="126" t="s">
        <v>13745</v>
      </c>
      <c r="F3746" s="123" t="s">
        <v>30</v>
      </c>
      <c r="G3746" s="123" t="s">
        <v>30</v>
      </c>
      <c r="H3746" s="123" t="s">
        <v>51</v>
      </c>
      <c r="I3746" s="126" t="s">
        <v>1701</v>
      </c>
      <c r="J3746" s="123" t="s">
        <v>13746</v>
      </c>
      <c r="K3746" s="123" t="s">
        <v>13744</v>
      </c>
      <c r="L3746" s="131" t="s">
        <v>100</v>
      </c>
      <c r="M3746" s="135" t="s">
        <v>845</v>
      </c>
      <c r="N3746" s="123" t="s">
        <v>845</v>
      </c>
    </row>
    <row r="3747" spans="2:14" hidden="1" x14ac:dyDescent="0.25">
      <c r="B3747" s="120">
        <v>3744</v>
      </c>
      <c r="C3747" s="123">
        <v>10102469513</v>
      </c>
      <c r="D3747" s="126" t="s">
        <v>13747</v>
      </c>
      <c r="E3747" s="126" t="s">
        <v>13748</v>
      </c>
      <c r="F3747" s="123" t="s">
        <v>30</v>
      </c>
      <c r="G3747" s="123" t="s">
        <v>30</v>
      </c>
      <c r="H3747" s="123" t="s">
        <v>51</v>
      </c>
      <c r="I3747" s="126" t="s">
        <v>1931</v>
      </c>
      <c r="J3747" s="123" t="s">
        <v>13749</v>
      </c>
      <c r="K3747" s="123" t="s">
        <v>13747</v>
      </c>
      <c r="L3747" s="131" t="s">
        <v>100</v>
      </c>
      <c r="M3747" s="135" t="s">
        <v>845</v>
      </c>
      <c r="N3747" s="123" t="s">
        <v>845</v>
      </c>
    </row>
    <row r="3748" spans="2:14" hidden="1" x14ac:dyDescent="0.25">
      <c r="B3748" s="120">
        <v>3745</v>
      </c>
      <c r="C3748" s="123">
        <v>10156567740</v>
      </c>
      <c r="D3748" s="126" t="s">
        <v>13750</v>
      </c>
      <c r="E3748" s="126" t="s">
        <v>13751</v>
      </c>
      <c r="F3748" s="123" t="s">
        <v>30</v>
      </c>
      <c r="G3748" s="123" t="s">
        <v>170</v>
      </c>
      <c r="H3748" s="123" t="s">
        <v>179</v>
      </c>
      <c r="I3748" s="126" t="s">
        <v>1942</v>
      </c>
      <c r="J3748" s="123" t="s">
        <v>13752</v>
      </c>
      <c r="K3748" s="123" t="s">
        <v>13750</v>
      </c>
      <c r="L3748" s="131" t="s">
        <v>100</v>
      </c>
      <c r="M3748" s="135" t="s">
        <v>845</v>
      </c>
      <c r="N3748" s="123" t="s">
        <v>845</v>
      </c>
    </row>
    <row r="3749" spans="2:14" hidden="1" x14ac:dyDescent="0.25">
      <c r="B3749" s="120">
        <v>3746</v>
      </c>
      <c r="C3749" s="123">
        <v>10718986643</v>
      </c>
      <c r="D3749" s="126" t="s">
        <v>13753</v>
      </c>
      <c r="E3749" s="126" t="s">
        <v>13754</v>
      </c>
      <c r="F3749" s="123" t="s">
        <v>30</v>
      </c>
      <c r="G3749" s="123" t="s">
        <v>30</v>
      </c>
      <c r="H3749" s="123" t="s">
        <v>75</v>
      </c>
      <c r="I3749" s="126" t="s">
        <v>1701</v>
      </c>
      <c r="J3749" s="123" t="s">
        <v>13755</v>
      </c>
      <c r="K3749" s="123" t="s">
        <v>13753</v>
      </c>
      <c r="L3749" s="131" t="s">
        <v>100</v>
      </c>
      <c r="M3749" s="135" t="s">
        <v>845</v>
      </c>
      <c r="N3749" s="123" t="s">
        <v>845</v>
      </c>
    </row>
    <row r="3750" spans="2:14" hidden="1" x14ac:dyDescent="0.25">
      <c r="B3750" s="120">
        <v>3747</v>
      </c>
      <c r="C3750" s="123">
        <v>10462853195</v>
      </c>
      <c r="D3750" s="126" t="s">
        <v>13756</v>
      </c>
      <c r="E3750" s="126" t="s">
        <v>13757</v>
      </c>
      <c r="F3750" s="123" t="s">
        <v>30</v>
      </c>
      <c r="G3750" s="123" t="s">
        <v>30</v>
      </c>
      <c r="H3750" s="123" t="s">
        <v>75</v>
      </c>
      <c r="I3750" s="126" t="s">
        <v>1737</v>
      </c>
      <c r="J3750" s="123" t="s">
        <v>13758</v>
      </c>
      <c r="K3750" s="123" t="s">
        <v>13756</v>
      </c>
      <c r="L3750" s="131" t="s">
        <v>100</v>
      </c>
      <c r="M3750" s="135" t="s">
        <v>845</v>
      </c>
      <c r="N3750" s="123" t="s">
        <v>845</v>
      </c>
    </row>
    <row r="3751" spans="2:14" hidden="1" x14ac:dyDescent="0.25">
      <c r="B3751" s="120">
        <v>3748</v>
      </c>
      <c r="C3751" s="123">
        <v>10476961098</v>
      </c>
      <c r="D3751" s="126" t="s">
        <v>13759</v>
      </c>
      <c r="E3751" s="126" t="s">
        <v>13760</v>
      </c>
      <c r="F3751" s="123" t="s">
        <v>67</v>
      </c>
      <c r="G3751" s="123" t="s">
        <v>67</v>
      </c>
      <c r="H3751" s="123" t="s">
        <v>94</v>
      </c>
      <c r="I3751" s="126" t="s">
        <v>1701</v>
      </c>
      <c r="J3751" s="123" t="s">
        <v>13761</v>
      </c>
      <c r="K3751" s="123" t="s">
        <v>13762</v>
      </c>
      <c r="L3751" s="131" t="s">
        <v>100</v>
      </c>
      <c r="M3751" s="135" t="s">
        <v>845</v>
      </c>
      <c r="N3751" s="123" t="s">
        <v>845</v>
      </c>
    </row>
    <row r="3752" spans="2:14" hidden="1" x14ac:dyDescent="0.25">
      <c r="B3752" s="120">
        <v>3749</v>
      </c>
      <c r="C3752" s="123">
        <v>10176382711</v>
      </c>
      <c r="D3752" s="126" t="s">
        <v>13763</v>
      </c>
      <c r="E3752" s="126" t="s">
        <v>13764</v>
      </c>
      <c r="F3752" s="123" t="s">
        <v>30</v>
      </c>
      <c r="G3752" s="123" t="s">
        <v>30</v>
      </c>
      <c r="H3752" s="123" t="s">
        <v>50</v>
      </c>
      <c r="I3752" s="126" t="s">
        <v>1953</v>
      </c>
      <c r="J3752" s="123" t="s">
        <v>13765</v>
      </c>
      <c r="K3752" s="123" t="s">
        <v>13763</v>
      </c>
      <c r="L3752" s="131" t="s">
        <v>100</v>
      </c>
      <c r="M3752" s="135" t="s">
        <v>845</v>
      </c>
      <c r="N3752" s="123" t="s">
        <v>845</v>
      </c>
    </row>
    <row r="3753" spans="2:14" hidden="1" x14ac:dyDescent="0.25">
      <c r="B3753" s="120">
        <v>3750</v>
      </c>
      <c r="C3753" s="123">
        <v>10742040203</v>
      </c>
      <c r="D3753" s="126" t="s">
        <v>13766</v>
      </c>
      <c r="E3753" s="126" t="s">
        <v>13767</v>
      </c>
      <c r="F3753" s="123" t="s">
        <v>30</v>
      </c>
      <c r="G3753" s="123" t="s">
        <v>30</v>
      </c>
      <c r="H3753" s="123" t="s">
        <v>41</v>
      </c>
      <c r="I3753" s="126" t="s">
        <v>11256</v>
      </c>
      <c r="J3753" s="123" t="s">
        <v>13768</v>
      </c>
      <c r="K3753" s="123" t="s">
        <v>13769</v>
      </c>
      <c r="L3753" s="131" t="s">
        <v>100</v>
      </c>
      <c r="M3753" s="135" t="s">
        <v>845</v>
      </c>
      <c r="N3753" s="123" t="s">
        <v>845</v>
      </c>
    </row>
    <row r="3754" spans="2:14" hidden="1" x14ac:dyDescent="0.25">
      <c r="B3754" s="120">
        <v>3751</v>
      </c>
      <c r="C3754" s="123">
        <v>10434234994</v>
      </c>
      <c r="D3754" s="126" t="s">
        <v>13770</v>
      </c>
      <c r="E3754" s="126" t="s">
        <v>13771</v>
      </c>
      <c r="F3754" s="123" t="s">
        <v>30</v>
      </c>
      <c r="G3754" s="123" t="s">
        <v>30</v>
      </c>
      <c r="H3754" s="123" t="s">
        <v>88</v>
      </c>
      <c r="I3754" s="126" t="s">
        <v>8659</v>
      </c>
      <c r="J3754" s="123" t="s">
        <v>13772</v>
      </c>
      <c r="K3754" s="123" t="s">
        <v>13770</v>
      </c>
      <c r="L3754" s="131" t="s">
        <v>100</v>
      </c>
      <c r="M3754" s="135" t="s">
        <v>845</v>
      </c>
      <c r="N3754" s="123" t="s">
        <v>845</v>
      </c>
    </row>
    <row r="3755" spans="2:14" hidden="1" x14ac:dyDescent="0.25">
      <c r="B3755" s="120">
        <v>3752</v>
      </c>
      <c r="C3755" s="123">
        <v>10408035550</v>
      </c>
      <c r="D3755" s="126" t="s">
        <v>13773</v>
      </c>
      <c r="E3755" s="126" t="s">
        <v>13774</v>
      </c>
      <c r="F3755" s="123" t="s">
        <v>30</v>
      </c>
      <c r="G3755" s="123" t="s">
        <v>30</v>
      </c>
      <c r="H3755" s="123" t="s">
        <v>68</v>
      </c>
      <c r="I3755" s="126" t="s">
        <v>13775</v>
      </c>
      <c r="J3755" s="123" t="s">
        <v>13776</v>
      </c>
      <c r="K3755" s="123" t="s">
        <v>13777</v>
      </c>
      <c r="L3755" s="131" t="s">
        <v>100</v>
      </c>
      <c r="M3755" s="135" t="s">
        <v>845</v>
      </c>
      <c r="N3755" s="123" t="s">
        <v>845</v>
      </c>
    </row>
    <row r="3756" spans="2:14" hidden="1" x14ac:dyDescent="0.25">
      <c r="B3756" s="120">
        <v>3753</v>
      </c>
      <c r="C3756" s="123">
        <v>10630201255</v>
      </c>
      <c r="D3756" s="126" t="s">
        <v>13778</v>
      </c>
      <c r="E3756" s="126" t="s">
        <v>13779</v>
      </c>
      <c r="F3756" s="123" t="s">
        <v>30</v>
      </c>
      <c r="G3756" s="123" t="s">
        <v>168</v>
      </c>
      <c r="H3756" s="123" t="s">
        <v>168</v>
      </c>
      <c r="I3756" s="126" t="s">
        <v>1424</v>
      </c>
      <c r="J3756" s="123" t="s">
        <v>13780</v>
      </c>
      <c r="K3756" s="123" t="s">
        <v>13778</v>
      </c>
      <c r="L3756" s="131" t="s">
        <v>100</v>
      </c>
      <c r="M3756" s="135" t="s">
        <v>845</v>
      </c>
      <c r="N3756" s="123" t="s">
        <v>845</v>
      </c>
    </row>
    <row r="3757" spans="2:14" hidden="1" x14ac:dyDescent="0.25">
      <c r="B3757" s="120">
        <v>3754</v>
      </c>
      <c r="C3757" s="123">
        <v>10800657283</v>
      </c>
      <c r="D3757" s="126" t="s">
        <v>13781</v>
      </c>
      <c r="E3757" s="126" t="s">
        <v>13782</v>
      </c>
      <c r="F3757" s="123" t="s">
        <v>30</v>
      </c>
      <c r="G3757" s="123" t="s">
        <v>30</v>
      </c>
      <c r="H3757" s="123" t="s">
        <v>51</v>
      </c>
      <c r="I3757" s="126" t="s">
        <v>1701</v>
      </c>
      <c r="J3757" s="123" t="s">
        <v>13783</v>
      </c>
      <c r="K3757" s="123" t="s">
        <v>13781</v>
      </c>
      <c r="L3757" s="131" t="s">
        <v>100</v>
      </c>
      <c r="M3757" s="135" t="s">
        <v>845</v>
      </c>
      <c r="N3757" s="123" t="s">
        <v>845</v>
      </c>
    </row>
    <row r="3758" spans="2:14" hidden="1" x14ac:dyDescent="0.25">
      <c r="B3758" s="120">
        <v>3755</v>
      </c>
      <c r="C3758" s="123">
        <v>10102624390</v>
      </c>
      <c r="D3758" s="126" t="s">
        <v>13784</v>
      </c>
      <c r="E3758" s="126" t="s">
        <v>13785</v>
      </c>
      <c r="F3758" s="123" t="s">
        <v>30</v>
      </c>
      <c r="G3758" s="123" t="s">
        <v>30</v>
      </c>
      <c r="H3758" s="123" t="s">
        <v>51</v>
      </c>
      <c r="I3758" s="126" t="s">
        <v>1701</v>
      </c>
      <c r="J3758" s="123" t="s">
        <v>13786</v>
      </c>
      <c r="K3758" s="123" t="s">
        <v>13784</v>
      </c>
      <c r="L3758" s="131" t="s">
        <v>100</v>
      </c>
      <c r="M3758" s="135" t="s">
        <v>845</v>
      </c>
      <c r="N3758" s="123" t="s">
        <v>845</v>
      </c>
    </row>
    <row r="3759" spans="2:14" hidden="1" x14ac:dyDescent="0.25">
      <c r="B3759" s="120">
        <v>3756</v>
      </c>
      <c r="C3759" s="123">
        <v>10413829475</v>
      </c>
      <c r="D3759" s="126" t="s">
        <v>13787</v>
      </c>
      <c r="E3759" s="126" t="s">
        <v>13788</v>
      </c>
      <c r="F3759" s="123" t="s">
        <v>30</v>
      </c>
      <c r="G3759" s="123" t="s">
        <v>30</v>
      </c>
      <c r="H3759" s="123" t="s">
        <v>35</v>
      </c>
      <c r="I3759" s="126" t="s">
        <v>12735</v>
      </c>
      <c r="J3759" s="123" t="s">
        <v>13789</v>
      </c>
      <c r="K3759" s="123" t="s">
        <v>13787</v>
      </c>
      <c r="L3759" s="131" t="s">
        <v>100</v>
      </c>
      <c r="M3759" s="135" t="s">
        <v>845</v>
      </c>
      <c r="N3759" s="123" t="s">
        <v>845</v>
      </c>
    </row>
    <row r="3760" spans="2:14" hidden="1" x14ac:dyDescent="0.25">
      <c r="B3760" s="120">
        <v>3757</v>
      </c>
      <c r="C3760" s="123">
        <v>10257980397</v>
      </c>
      <c r="D3760" s="126" t="s">
        <v>13790</v>
      </c>
      <c r="E3760" s="126" t="s">
        <v>10202</v>
      </c>
      <c r="F3760" s="123" t="s">
        <v>67</v>
      </c>
      <c r="G3760" s="123" t="s">
        <v>67</v>
      </c>
      <c r="H3760" s="123" t="s">
        <v>94</v>
      </c>
      <c r="I3760" s="126" t="s">
        <v>1564</v>
      </c>
      <c r="J3760" s="123" t="s">
        <v>13791</v>
      </c>
      <c r="K3760" s="123" t="s">
        <v>13790</v>
      </c>
      <c r="L3760" s="131" t="s">
        <v>100</v>
      </c>
      <c r="M3760" s="135" t="s">
        <v>845</v>
      </c>
      <c r="N3760" s="123" t="s">
        <v>845</v>
      </c>
    </row>
    <row r="3761" spans="2:14" hidden="1" x14ac:dyDescent="0.25">
      <c r="B3761" s="120">
        <v>3758</v>
      </c>
      <c r="C3761" s="123">
        <v>10413651251</v>
      </c>
      <c r="D3761" s="126" t="s">
        <v>13792</v>
      </c>
      <c r="E3761" s="126" t="s">
        <v>13793</v>
      </c>
      <c r="F3761" s="123" t="s">
        <v>30</v>
      </c>
      <c r="G3761" s="123" t="s">
        <v>30</v>
      </c>
      <c r="H3761" s="123" t="s">
        <v>50</v>
      </c>
      <c r="I3761" s="126" t="s">
        <v>1701</v>
      </c>
      <c r="J3761" s="123" t="s">
        <v>13794</v>
      </c>
      <c r="K3761" s="123" t="s">
        <v>13792</v>
      </c>
      <c r="L3761" s="131" t="s">
        <v>100</v>
      </c>
      <c r="M3761" s="135" t="s">
        <v>845</v>
      </c>
      <c r="N3761" s="123" t="s">
        <v>845</v>
      </c>
    </row>
    <row r="3762" spans="2:14" hidden="1" x14ac:dyDescent="0.25">
      <c r="B3762" s="120">
        <v>3759</v>
      </c>
      <c r="C3762" s="123">
        <v>10702981391</v>
      </c>
      <c r="D3762" s="126" t="s">
        <v>13795</v>
      </c>
      <c r="E3762" s="126" t="s">
        <v>13796</v>
      </c>
      <c r="F3762" s="123" t="s">
        <v>30</v>
      </c>
      <c r="G3762" s="123" t="s">
        <v>30</v>
      </c>
      <c r="H3762" s="123" t="s">
        <v>75</v>
      </c>
      <c r="I3762" s="126" t="s">
        <v>13797</v>
      </c>
      <c r="J3762" s="123" t="s">
        <v>13798</v>
      </c>
      <c r="K3762" s="123" t="s">
        <v>13795</v>
      </c>
      <c r="L3762" s="131" t="s">
        <v>100</v>
      </c>
      <c r="M3762" s="135" t="s">
        <v>845</v>
      </c>
      <c r="N3762" s="123" t="s">
        <v>845</v>
      </c>
    </row>
    <row r="3763" spans="2:14" hidden="1" x14ac:dyDescent="0.25">
      <c r="B3763" s="120">
        <v>3760</v>
      </c>
      <c r="C3763" s="123">
        <v>10404313644</v>
      </c>
      <c r="D3763" s="126" t="s">
        <v>13799</v>
      </c>
      <c r="E3763" s="126" t="s">
        <v>13800</v>
      </c>
      <c r="F3763" s="123" t="s">
        <v>30</v>
      </c>
      <c r="G3763" s="123" t="s">
        <v>168</v>
      </c>
      <c r="H3763" s="123" t="s">
        <v>168</v>
      </c>
      <c r="I3763" s="126" t="s">
        <v>1930</v>
      </c>
      <c r="J3763" s="123" t="s">
        <v>13801</v>
      </c>
      <c r="K3763" s="123" t="s">
        <v>13802</v>
      </c>
      <c r="L3763" s="131" t="s">
        <v>100</v>
      </c>
      <c r="M3763" s="135" t="s">
        <v>845</v>
      </c>
      <c r="N3763" s="123" t="s">
        <v>845</v>
      </c>
    </row>
    <row r="3764" spans="2:14" hidden="1" x14ac:dyDescent="0.25">
      <c r="B3764" s="120">
        <v>3761</v>
      </c>
      <c r="C3764" s="123">
        <v>10420698769</v>
      </c>
      <c r="D3764" s="126" t="s">
        <v>13803</v>
      </c>
      <c r="E3764" s="126" t="s">
        <v>13804</v>
      </c>
      <c r="F3764" s="123" t="s">
        <v>30</v>
      </c>
      <c r="G3764" s="123" t="s">
        <v>30</v>
      </c>
      <c r="H3764" s="123" t="s">
        <v>45</v>
      </c>
      <c r="I3764" s="126" t="s">
        <v>1701</v>
      </c>
      <c r="J3764" s="123" t="s">
        <v>13805</v>
      </c>
      <c r="K3764" s="123" t="s">
        <v>13803</v>
      </c>
      <c r="L3764" s="131" t="s">
        <v>100</v>
      </c>
      <c r="M3764" s="135" t="s">
        <v>845</v>
      </c>
      <c r="N3764" s="123" t="s">
        <v>845</v>
      </c>
    </row>
    <row r="3765" spans="2:14" hidden="1" x14ac:dyDescent="0.25">
      <c r="B3765" s="120">
        <v>3762</v>
      </c>
      <c r="C3765" s="123">
        <v>10410296751</v>
      </c>
      <c r="D3765" s="126" t="s">
        <v>13806</v>
      </c>
      <c r="E3765" s="126" t="s">
        <v>13807</v>
      </c>
      <c r="F3765" s="123" t="s">
        <v>30</v>
      </c>
      <c r="G3765" s="123" t="s">
        <v>30</v>
      </c>
      <c r="H3765" s="123" t="s">
        <v>50</v>
      </c>
      <c r="I3765" s="126" t="s">
        <v>1701</v>
      </c>
      <c r="J3765" s="123" t="s">
        <v>13808</v>
      </c>
      <c r="K3765" s="123" t="s">
        <v>13806</v>
      </c>
      <c r="L3765" s="131" t="s">
        <v>100</v>
      </c>
      <c r="M3765" s="135" t="s">
        <v>845</v>
      </c>
      <c r="N3765" s="123" t="s">
        <v>845</v>
      </c>
    </row>
    <row r="3766" spans="2:14" hidden="1" x14ac:dyDescent="0.25">
      <c r="B3766" s="120">
        <v>3763</v>
      </c>
      <c r="C3766" s="123">
        <v>10156190972</v>
      </c>
      <c r="D3766" s="126" t="s">
        <v>13809</v>
      </c>
      <c r="E3766" s="126" t="s">
        <v>13810</v>
      </c>
      <c r="F3766" s="123" t="s">
        <v>30</v>
      </c>
      <c r="G3766" s="123" t="s">
        <v>170</v>
      </c>
      <c r="H3766" s="123" t="s">
        <v>176</v>
      </c>
      <c r="I3766" s="126" t="s">
        <v>1701</v>
      </c>
      <c r="J3766" s="123" t="s">
        <v>13811</v>
      </c>
      <c r="K3766" s="123" t="s">
        <v>13809</v>
      </c>
      <c r="L3766" s="131" t="s">
        <v>100</v>
      </c>
      <c r="M3766" s="135" t="s">
        <v>845</v>
      </c>
      <c r="N3766" s="123" t="s">
        <v>845</v>
      </c>
    </row>
    <row r="3767" spans="2:14" hidden="1" x14ac:dyDescent="0.25">
      <c r="B3767" s="120">
        <v>3764</v>
      </c>
      <c r="C3767" s="123">
        <v>10761329427</v>
      </c>
      <c r="D3767" s="126" t="s">
        <v>13812</v>
      </c>
      <c r="E3767" s="126" t="s">
        <v>13813</v>
      </c>
      <c r="F3767" s="123" t="s">
        <v>30</v>
      </c>
      <c r="G3767" s="123" t="s">
        <v>170</v>
      </c>
      <c r="H3767" s="123" t="s">
        <v>170</v>
      </c>
      <c r="I3767" s="126" t="s">
        <v>1441</v>
      </c>
      <c r="J3767" s="123" t="s">
        <v>13814</v>
      </c>
      <c r="K3767" s="123" t="s">
        <v>13812</v>
      </c>
      <c r="L3767" s="131" t="s">
        <v>100</v>
      </c>
      <c r="M3767" s="135" t="s">
        <v>845</v>
      </c>
      <c r="N3767" s="123" t="s">
        <v>845</v>
      </c>
    </row>
    <row r="3768" spans="2:14" hidden="1" x14ac:dyDescent="0.25">
      <c r="B3768" s="120">
        <v>3765</v>
      </c>
      <c r="C3768" s="123">
        <v>10762258779</v>
      </c>
      <c r="D3768" s="126" t="s">
        <v>13815</v>
      </c>
      <c r="E3768" s="126" t="s">
        <v>13816</v>
      </c>
      <c r="F3768" s="123" t="s">
        <v>30</v>
      </c>
      <c r="G3768" s="123" t="s">
        <v>170</v>
      </c>
      <c r="H3768" s="123" t="s">
        <v>171</v>
      </c>
      <c r="I3768" s="126" t="s">
        <v>1930</v>
      </c>
      <c r="J3768" s="123" t="s">
        <v>13817</v>
      </c>
      <c r="K3768" s="123" t="s">
        <v>13815</v>
      </c>
      <c r="L3768" s="131" t="s">
        <v>100</v>
      </c>
      <c r="M3768" s="135" t="s">
        <v>845</v>
      </c>
      <c r="N3768" s="123" t="s">
        <v>845</v>
      </c>
    </row>
    <row r="3769" spans="2:14" hidden="1" x14ac:dyDescent="0.25">
      <c r="B3769" s="120">
        <v>3766</v>
      </c>
      <c r="C3769" s="123">
        <v>10106236106</v>
      </c>
      <c r="D3769" s="126" t="s">
        <v>13818</v>
      </c>
      <c r="E3769" s="126" t="s">
        <v>13819</v>
      </c>
      <c r="F3769" s="123" t="s">
        <v>30</v>
      </c>
      <c r="G3769" s="123" t="s">
        <v>30</v>
      </c>
      <c r="H3769" s="123" t="s">
        <v>45</v>
      </c>
      <c r="I3769" s="126" t="s">
        <v>13820</v>
      </c>
      <c r="J3769" s="123" t="s">
        <v>13821</v>
      </c>
      <c r="K3769" s="123" t="s">
        <v>13818</v>
      </c>
      <c r="L3769" s="131" t="s">
        <v>100</v>
      </c>
      <c r="M3769" s="135" t="s">
        <v>845</v>
      </c>
      <c r="N3769" s="123" t="s">
        <v>845</v>
      </c>
    </row>
    <row r="3770" spans="2:14" hidden="1" x14ac:dyDescent="0.25">
      <c r="B3770" s="120">
        <v>3767</v>
      </c>
      <c r="C3770" s="123">
        <v>10447862161</v>
      </c>
      <c r="D3770" s="126" t="s">
        <v>13822</v>
      </c>
      <c r="E3770" s="126" t="s">
        <v>13823</v>
      </c>
      <c r="F3770" s="123" t="s">
        <v>30</v>
      </c>
      <c r="G3770" s="123" t="s">
        <v>30</v>
      </c>
      <c r="H3770" s="123" t="s">
        <v>72</v>
      </c>
      <c r="I3770" s="126" t="s">
        <v>1424</v>
      </c>
      <c r="J3770" s="123" t="s">
        <v>13824</v>
      </c>
      <c r="K3770" s="123" t="s">
        <v>13825</v>
      </c>
      <c r="L3770" s="131" t="s">
        <v>100</v>
      </c>
      <c r="M3770" s="135" t="s">
        <v>845</v>
      </c>
      <c r="N3770" s="123" t="s">
        <v>845</v>
      </c>
    </row>
    <row r="3771" spans="2:14" hidden="1" x14ac:dyDescent="0.25">
      <c r="B3771" s="120">
        <v>3768</v>
      </c>
      <c r="C3771" s="123">
        <v>10468650636</v>
      </c>
      <c r="D3771" s="126" t="s">
        <v>13826</v>
      </c>
      <c r="E3771" s="126" t="s">
        <v>13827</v>
      </c>
      <c r="F3771" s="123" t="s">
        <v>30</v>
      </c>
      <c r="G3771" s="123" t="s">
        <v>30</v>
      </c>
      <c r="H3771" s="123" t="s">
        <v>51</v>
      </c>
      <c r="I3771" s="126" t="s">
        <v>9960</v>
      </c>
      <c r="J3771" s="123" t="s">
        <v>13828</v>
      </c>
      <c r="K3771" s="123" t="s">
        <v>13826</v>
      </c>
      <c r="L3771" s="131" t="s">
        <v>100</v>
      </c>
      <c r="M3771" s="135" t="s">
        <v>845</v>
      </c>
      <c r="N3771" s="123" t="s">
        <v>845</v>
      </c>
    </row>
    <row r="3772" spans="2:14" hidden="1" x14ac:dyDescent="0.25">
      <c r="B3772" s="120">
        <v>3769</v>
      </c>
      <c r="C3772" s="123">
        <v>10068319612</v>
      </c>
      <c r="D3772" s="126" t="s">
        <v>13829</v>
      </c>
      <c r="E3772" s="126" t="s">
        <v>13830</v>
      </c>
      <c r="F3772" s="123" t="s">
        <v>30</v>
      </c>
      <c r="G3772" s="123" t="s">
        <v>30</v>
      </c>
      <c r="H3772" s="123" t="s">
        <v>58</v>
      </c>
      <c r="I3772" s="126" t="s">
        <v>1564</v>
      </c>
      <c r="J3772" s="123" t="s">
        <v>13831</v>
      </c>
      <c r="K3772" s="123" t="s">
        <v>13829</v>
      </c>
      <c r="L3772" s="131" t="s">
        <v>100</v>
      </c>
      <c r="M3772" s="135" t="s">
        <v>845</v>
      </c>
      <c r="N3772" s="123" t="s">
        <v>845</v>
      </c>
    </row>
    <row r="3773" spans="2:14" hidden="1" x14ac:dyDescent="0.25">
      <c r="B3773" s="120">
        <v>3770</v>
      </c>
      <c r="C3773" s="123">
        <v>10477440741</v>
      </c>
      <c r="D3773" s="126" t="s">
        <v>13832</v>
      </c>
      <c r="E3773" s="126" t="s">
        <v>13833</v>
      </c>
      <c r="F3773" s="123" t="s">
        <v>30</v>
      </c>
      <c r="G3773" s="123" t="s">
        <v>30</v>
      </c>
      <c r="H3773" s="123" t="s">
        <v>75</v>
      </c>
      <c r="I3773" s="126" t="s">
        <v>1931</v>
      </c>
      <c r="J3773" s="123" t="s">
        <v>13834</v>
      </c>
      <c r="K3773" s="123" t="s">
        <v>13832</v>
      </c>
      <c r="L3773" s="131" t="s">
        <v>100</v>
      </c>
      <c r="M3773" s="135" t="s">
        <v>845</v>
      </c>
      <c r="N3773" s="123" t="s">
        <v>845</v>
      </c>
    </row>
    <row r="3774" spans="2:14" hidden="1" x14ac:dyDescent="0.25">
      <c r="B3774" s="120">
        <v>3771</v>
      </c>
      <c r="C3774" s="123">
        <v>10735906963</v>
      </c>
      <c r="D3774" s="126" t="s">
        <v>13835</v>
      </c>
      <c r="E3774" s="126" t="s">
        <v>13836</v>
      </c>
      <c r="F3774" s="123" t="s">
        <v>30</v>
      </c>
      <c r="G3774" s="123" t="s">
        <v>30</v>
      </c>
      <c r="H3774" s="123" t="s">
        <v>35</v>
      </c>
      <c r="I3774" s="126" t="s">
        <v>1424</v>
      </c>
      <c r="J3774" s="123" t="s">
        <v>13837</v>
      </c>
      <c r="K3774" s="123" t="s">
        <v>13835</v>
      </c>
      <c r="L3774" s="131" t="s">
        <v>100</v>
      </c>
      <c r="M3774" s="135" t="s">
        <v>845</v>
      </c>
      <c r="N3774" s="123" t="s">
        <v>845</v>
      </c>
    </row>
    <row r="3775" spans="2:14" hidden="1" x14ac:dyDescent="0.25">
      <c r="B3775" s="120">
        <v>3772</v>
      </c>
      <c r="C3775" s="123">
        <v>10424540779</v>
      </c>
      <c r="D3775" s="126" t="s">
        <v>13838</v>
      </c>
      <c r="E3775" s="126" t="s">
        <v>13839</v>
      </c>
      <c r="F3775" s="123" t="s">
        <v>30</v>
      </c>
      <c r="G3775" s="123" t="s">
        <v>30</v>
      </c>
      <c r="H3775" s="123" t="s">
        <v>72</v>
      </c>
      <c r="I3775" s="126" t="s">
        <v>1931</v>
      </c>
      <c r="J3775" s="123" t="s">
        <v>13840</v>
      </c>
      <c r="K3775" s="123" t="s">
        <v>13838</v>
      </c>
      <c r="L3775" s="131" t="s">
        <v>100</v>
      </c>
      <c r="M3775" s="135" t="s">
        <v>845</v>
      </c>
      <c r="N3775" s="123" t="s">
        <v>845</v>
      </c>
    </row>
    <row r="3776" spans="2:14" hidden="1" x14ac:dyDescent="0.25">
      <c r="B3776" s="120">
        <v>3773</v>
      </c>
      <c r="C3776" s="123">
        <v>10417938295</v>
      </c>
      <c r="D3776" s="126" t="s">
        <v>13841</v>
      </c>
      <c r="E3776" s="126" t="s">
        <v>13842</v>
      </c>
      <c r="F3776" s="123" t="s">
        <v>30</v>
      </c>
      <c r="G3776" s="123" t="s">
        <v>168</v>
      </c>
      <c r="H3776" s="123" t="s">
        <v>168</v>
      </c>
      <c r="I3776" s="126" t="s">
        <v>1424</v>
      </c>
      <c r="J3776" s="123" t="s">
        <v>13843</v>
      </c>
      <c r="K3776" s="123" t="s">
        <v>13841</v>
      </c>
      <c r="L3776" s="131" t="s">
        <v>100</v>
      </c>
      <c r="M3776" s="135" t="s">
        <v>845</v>
      </c>
      <c r="N3776" s="123" t="s">
        <v>845</v>
      </c>
    </row>
    <row r="3777" spans="2:14" hidden="1" x14ac:dyDescent="0.25">
      <c r="B3777" s="120">
        <v>3774</v>
      </c>
      <c r="C3777" s="123">
        <v>10152998711</v>
      </c>
      <c r="D3777" s="126" t="s">
        <v>13844</v>
      </c>
      <c r="E3777" s="126" t="s">
        <v>13845</v>
      </c>
      <c r="F3777" s="123" t="s">
        <v>30</v>
      </c>
      <c r="G3777" s="123" t="s">
        <v>168</v>
      </c>
      <c r="H3777" s="123" t="s">
        <v>168</v>
      </c>
      <c r="I3777" s="126" t="s">
        <v>1701</v>
      </c>
      <c r="J3777" s="123" t="s">
        <v>13846</v>
      </c>
      <c r="K3777" s="123" t="s">
        <v>13844</v>
      </c>
      <c r="L3777" s="131" t="s">
        <v>100</v>
      </c>
      <c r="M3777" s="135" t="s">
        <v>845</v>
      </c>
      <c r="N3777" s="123" t="s">
        <v>845</v>
      </c>
    </row>
    <row r="3778" spans="2:14" hidden="1" x14ac:dyDescent="0.25">
      <c r="B3778" s="120">
        <v>3775</v>
      </c>
      <c r="C3778" s="123">
        <v>10466048386</v>
      </c>
      <c r="D3778" s="126" t="s">
        <v>13847</v>
      </c>
      <c r="E3778" s="126" t="s">
        <v>13848</v>
      </c>
      <c r="F3778" s="123" t="s">
        <v>30</v>
      </c>
      <c r="G3778" s="123" t="s">
        <v>30</v>
      </c>
      <c r="H3778" s="123" t="s">
        <v>72</v>
      </c>
      <c r="I3778" s="126" t="s">
        <v>1701</v>
      </c>
      <c r="J3778" s="123" t="s">
        <v>13849</v>
      </c>
      <c r="K3778" s="123" t="s">
        <v>13847</v>
      </c>
      <c r="L3778" s="131" t="s">
        <v>100</v>
      </c>
      <c r="M3778" s="135" t="s">
        <v>845</v>
      </c>
      <c r="N3778" s="123" t="s">
        <v>845</v>
      </c>
    </row>
    <row r="3779" spans="2:14" hidden="1" x14ac:dyDescent="0.25">
      <c r="B3779" s="120">
        <v>3776</v>
      </c>
      <c r="C3779" s="123">
        <v>10429780573</v>
      </c>
      <c r="D3779" s="126" t="s">
        <v>13850</v>
      </c>
      <c r="E3779" s="126" t="s">
        <v>13851</v>
      </c>
      <c r="F3779" s="123" t="s">
        <v>30</v>
      </c>
      <c r="G3779" s="123" t="s">
        <v>30</v>
      </c>
      <c r="H3779" s="123" t="s">
        <v>50</v>
      </c>
      <c r="I3779" s="126" t="s">
        <v>8884</v>
      </c>
      <c r="J3779" s="123" t="s">
        <v>13852</v>
      </c>
      <c r="K3779" s="123" t="s">
        <v>13850</v>
      </c>
      <c r="L3779" s="131" t="s">
        <v>100</v>
      </c>
      <c r="M3779" s="135" t="s">
        <v>845</v>
      </c>
      <c r="N3779" s="123" t="s">
        <v>845</v>
      </c>
    </row>
    <row r="3780" spans="2:14" hidden="1" x14ac:dyDescent="0.25">
      <c r="B3780" s="120">
        <v>3777</v>
      </c>
      <c r="C3780" s="123">
        <v>10411457309</v>
      </c>
      <c r="D3780" s="126" t="s">
        <v>13853</v>
      </c>
      <c r="E3780" s="126" t="s">
        <v>13854</v>
      </c>
      <c r="F3780" s="123" t="s">
        <v>30</v>
      </c>
      <c r="G3780" s="123" t="s">
        <v>30</v>
      </c>
      <c r="H3780" s="123" t="s">
        <v>60</v>
      </c>
      <c r="I3780" s="126" t="s">
        <v>1961</v>
      </c>
      <c r="J3780" s="123" t="s">
        <v>13855</v>
      </c>
      <c r="K3780" s="123" t="s">
        <v>13853</v>
      </c>
      <c r="L3780" s="131" t="s">
        <v>100</v>
      </c>
      <c r="M3780" s="135" t="s">
        <v>845</v>
      </c>
      <c r="N3780" s="123" t="s">
        <v>845</v>
      </c>
    </row>
    <row r="3781" spans="2:14" hidden="1" x14ac:dyDescent="0.25">
      <c r="B3781" s="120">
        <v>3778</v>
      </c>
      <c r="C3781" s="123">
        <v>10093076449</v>
      </c>
      <c r="D3781" s="126" t="s">
        <v>13856</v>
      </c>
      <c r="E3781" s="126" t="s">
        <v>13857</v>
      </c>
      <c r="F3781" s="123" t="s">
        <v>30</v>
      </c>
      <c r="G3781" s="123" t="s">
        <v>30</v>
      </c>
      <c r="H3781" s="123" t="s">
        <v>65</v>
      </c>
      <c r="I3781" s="126" t="s">
        <v>1931</v>
      </c>
      <c r="J3781" s="123" t="s">
        <v>13858</v>
      </c>
      <c r="K3781" s="123" t="s">
        <v>13856</v>
      </c>
      <c r="L3781" s="131" t="s">
        <v>100</v>
      </c>
      <c r="M3781" s="135" t="s">
        <v>845</v>
      </c>
      <c r="N3781" s="123" t="s">
        <v>845</v>
      </c>
    </row>
    <row r="3782" spans="2:14" hidden="1" x14ac:dyDescent="0.25">
      <c r="B3782" s="120">
        <v>3779</v>
      </c>
      <c r="C3782" s="123">
        <v>10401240522</v>
      </c>
      <c r="D3782" s="126" t="s">
        <v>13859</v>
      </c>
      <c r="E3782" s="126" t="s">
        <v>13860</v>
      </c>
      <c r="F3782" s="123" t="s">
        <v>30</v>
      </c>
      <c r="G3782" s="123" t="s">
        <v>30</v>
      </c>
      <c r="H3782" s="123" t="s">
        <v>58</v>
      </c>
      <c r="I3782" s="126" t="s">
        <v>1424</v>
      </c>
      <c r="J3782" s="123" t="s">
        <v>13861</v>
      </c>
      <c r="K3782" s="123" t="s">
        <v>13859</v>
      </c>
      <c r="L3782" s="131" t="s">
        <v>100</v>
      </c>
      <c r="M3782" s="135" t="s">
        <v>845</v>
      </c>
      <c r="N3782" s="123" t="s">
        <v>845</v>
      </c>
    </row>
    <row r="3783" spans="2:14" hidden="1" x14ac:dyDescent="0.25">
      <c r="B3783" s="120">
        <v>3780</v>
      </c>
      <c r="C3783" s="123">
        <v>10096944573</v>
      </c>
      <c r="D3783" s="126" t="s">
        <v>13862</v>
      </c>
      <c r="E3783" s="126" t="s">
        <v>13863</v>
      </c>
      <c r="F3783" s="123" t="s">
        <v>30</v>
      </c>
      <c r="G3783" s="123" t="s">
        <v>30</v>
      </c>
      <c r="H3783" s="123" t="s">
        <v>60</v>
      </c>
      <c r="I3783" s="126" t="s">
        <v>1974</v>
      </c>
      <c r="J3783" s="123" t="s">
        <v>13864</v>
      </c>
      <c r="K3783" s="123" t="s">
        <v>13862</v>
      </c>
      <c r="L3783" s="131" t="s">
        <v>100</v>
      </c>
      <c r="M3783" s="135" t="s">
        <v>845</v>
      </c>
      <c r="N3783" s="123" t="s">
        <v>845</v>
      </c>
    </row>
    <row r="3784" spans="2:14" hidden="1" x14ac:dyDescent="0.25">
      <c r="B3784" s="120">
        <v>3781</v>
      </c>
      <c r="C3784" s="123">
        <v>10420881326</v>
      </c>
      <c r="D3784" s="126" t="s">
        <v>13865</v>
      </c>
      <c r="E3784" s="126" t="s">
        <v>13866</v>
      </c>
      <c r="F3784" s="123" t="s">
        <v>30</v>
      </c>
      <c r="G3784" s="123" t="s">
        <v>30</v>
      </c>
      <c r="H3784" s="123" t="s">
        <v>34</v>
      </c>
      <c r="I3784" s="126" t="s">
        <v>1931</v>
      </c>
      <c r="J3784" s="123" t="s">
        <v>13867</v>
      </c>
      <c r="K3784" s="123" t="s">
        <v>13865</v>
      </c>
      <c r="L3784" s="131" t="s">
        <v>100</v>
      </c>
      <c r="M3784" s="135" t="s">
        <v>845</v>
      </c>
      <c r="N3784" s="123" t="s">
        <v>845</v>
      </c>
    </row>
    <row r="3785" spans="2:14" hidden="1" x14ac:dyDescent="0.25">
      <c r="B3785" s="120">
        <v>3782</v>
      </c>
      <c r="C3785" s="123">
        <v>10427380667</v>
      </c>
      <c r="D3785" s="126" t="s">
        <v>13868</v>
      </c>
      <c r="E3785" s="126" t="s">
        <v>13869</v>
      </c>
      <c r="F3785" s="123" t="s">
        <v>30</v>
      </c>
      <c r="G3785" s="123" t="s">
        <v>30</v>
      </c>
      <c r="H3785" s="123" t="s">
        <v>65</v>
      </c>
      <c r="I3785" s="126" t="s">
        <v>1737</v>
      </c>
      <c r="J3785" s="123" t="s">
        <v>13870</v>
      </c>
      <c r="K3785" s="123" t="s">
        <v>13868</v>
      </c>
      <c r="L3785" s="131" t="s">
        <v>100</v>
      </c>
      <c r="M3785" s="135" t="s">
        <v>845</v>
      </c>
      <c r="N3785" s="123" t="s">
        <v>845</v>
      </c>
    </row>
    <row r="3786" spans="2:14" hidden="1" x14ac:dyDescent="0.25">
      <c r="B3786" s="120">
        <v>3783</v>
      </c>
      <c r="C3786" s="123">
        <v>10097860641</v>
      </c>
      <c r="D3786" s="126" t="s">
        <v>13871</v>
      </c>
      <c r="E3786" s="126" t="s">
        <v>1971</v>
      </c>
      <c r="F3786" s="123" t="s">
        <v>30</v>
      </c>
      <c r="G3786" s="123" t="s">
        <v>30</v>
      </c>
      <c r="H3786" s="123" t="s">
        <v>75</v>
      </c>
      <c r="I3786" s="126" t="s">
        <v>1971</v>
      </c>
      <c r="J3786" s="123" t="s">
        <v>13872</v>
      </c>
      <c r="K3786" s="123" t="s">
        <v>13871</v>
      </c>
      <c r="L3786" s="131" t="s">
        <v>100</v>
      </c>
      <c r="M3786" s="135" t="s">
        <v>845</v>
      </c>
      <c r="N3786" s="123" t="s">
        <v>845</v>
      </c>
    </row>
    <row r="3787" spans="2:14" hidden="1" x14ac:dyDescent="0.25">
      <c r="B3787" s="120">
        <v>3784</v>
      </c>
      <c r="C3787" s="123">
        <v>10228960794</v>
      </c>
      <c r="D3787" s="126" t="s">
        <v>13873</v>
      </c>
      <c r="E3787" s="126" t="s">
        <v>13874</v>
      </c>
      <c r="F3787" s="123" t="s">
        <v>183</v>
      </c>
      <c r="G3787" s="123" t="s">
        <v>184</v>
      </c>
      <c r="H3787" s="123" t="s">
        <v>185</v>
      </c>
      <c r="I3787" s="126" t="s">
        <v>1701</v>
      </c>
      <c r="J3787" s="123" t="s">
        <v>13875</v>
      </c>
      <c r="K3787" s="123" t="s">
        <v>13873</v>
      </c>
      <c r="L3787" s="131" t="s">
        <v>100</v>
      </c>
      <c r="M3787" s="135" t="s">
        <v>845</v>
      </c>
      <c r="N3787" s="123" t="s">
        <v>845</v>
      </c>
    </row>
    <row r="3788" spans="2:14" hidden="1" x14ac:dyDescent="0.25">
      <c r="B3788" s="120">
        <v>3785</v>
      </c>
      <c r="C3788" s="123">
        <v>10426106596</v>
      </c>
      <c r="D3788" s="126" t="s">
        <v>13876</v>
      </c>
      <c r="E3788" s="126" t="s">
        <v>13877</v>
      </c>
      <c r="F3788" s="123" t="s">
        <v>30</v>
      </c>
      <c r="G3788" s="123" t="s">
        <v>31</v>
      </c>
      <c r="H3788" s="123" t="s">
        <v>9381</v>
      </c>
      <c r="I3788" s="126" t="s">
        <v>13878</v>
      </c>
      <c r="J3788" s="123" t="s">
        <v>13879</v>
      </c>
      <c r="K3788" s="123" t="s">
        <v>13876</v>
      </c>
      <c r="L3788" s="131" t="s">
        <v>100</v>
      </c>
      <c r="M3788" s="135" t="s">
        <v>845</v>
      </c>
      <c r="N3788" s="123" t="s">
        <v>845</v>
      </c>
    </row>
    <row r="3789" spans="2:14" hidden="1" x14ac:dyDescent="0.25">
      <c r="B3789" s="120">
        <v>3786</v>
      </c>
      <c r="C3789" s="123">
        <v>10472646139</v>
      </c>
      <c r="D3789" s="126" t="s">
        <v>13880</v>
      </c>
      <c r="E3789" s="126" t="s">
        <v>13881</v>
      </c>
      <c r="F3789" s="123" t="s">
        <v>30</v>
      </c>
      <c r="G3789" s="123" t="s">
        <v>54</v>
      </c>
      <c r="H3789" s="123" t="s">
        <v>54</v>
      </c>
      <c r="I3789" s="126" t="s">
        <v>1551</v>
      </c>
      <c r="J3789" s="123" t="s">
        <v>13882</v>
      </c>
      <c r="K3789" s="123" t="s">
        <v>13880</v>
      </c>
      <c r="L3789" s="131" t="s">
        <v>100</v>
      </c>
      <c r="M3789" s="135" t="s">
        <v>845</v>
      </c>
      <c r="N3789" s="123" t="s">
        <v>845</v>
      </c>
    </row>
    <row r="3790" spans="2:14" hidden="1" x14ac:dyDescent="0.25">
      <c r="B3790" s="120">
        <v>3787</v>
      </c>
      <c r="C3790" s="123">
        <v>10446331731</v>
      </c>
      <c r="D3790" s="126" t="s">
        <v>13883</v>
      </c>
      <c r="E3790" s="126" t="s">
        <v>13884</v>
      </c>
      <c r="F3790" s="123" t="s">
        <v>30</v>
      </c>
      <c r="G3790" s="123" t="s">
        <v>30</v>
      </c>
      <c r="H3790" s="123" t="s">
        <v>79</v>
      </c>
      <c r="I3790" s="126" t="s">
        <v>87</v>
      </c>
      <c r="J3790" s="123" t="s">
        <v>13885</v>
      </c>
      <c r="K3790" s="123" t="s">
        <v>13883</v>
      </c>
      <c r="L3790" s="131" t="s">
        <v>100</v>
      </c>
      <c r="M3790" s="135" t="s">
        <v>845</v>
      </c>
      <c r="N3790" s="123" t="s">
        <v>845</v>
      </c>
    </row>
    <row r="3791" spans="2:14" hidden="1" x14ac:dyDescent="0.25">
      <c r="B3791" s="120">
        <v>3788</v>
      </c>
      <c r="C3791" s="123">
        <v>10480992348</v>
      </c>
      <c r="D3791" s="126" t="s">
        <v>13886</v>
      </c>
      <c r="E3791" s="126" t="s">
        <v>13887</v>
      </c>
      <c r="F3791" s="123" t="s">
        <v>30</v>
      </c>
      <c r="G3791" s="123" t="s">
        <v>30</v>
      </c>
      <c r="H3791" s="123" t="s">
        <v>51</v>
      </c>
      <c r="I3791" s="126" t="s">
        <v>1701</v>
      </c>
      <c r="J3791" s="123" t="s">
        <v>13888</v>
      </c>
      <c r="K3791" s="123" t="s">
        <v>13886</v>
      </c>
      <c r="L3791" s="131" t="s">
        <v>100</v>
      </c>
      <c r="M3791" s="135" t="s">
        <v>845</v>
      </c>
      <c r="N3791" s="123" t="s">
        <v>845</v>
      </c>
    </row>
    <row r="3792" spans="2:14" hidden="1" x14ac:dyDescent="0.25">
      <c r="B3792" s="120">
        <v>3789</v>
      </c>
      <c r="C3792" s="123">
        <v>10107647304</v>
      </c>
      <c r="D3792" s="126" t="s">
        <v>13889</v>
      </c>
      <c r="E3792" s="126" t="s">
        <v>13890</v>
      </c>
      <c r="F3792" s="123" t="s">
        <v>30</v>
      </c>
      <c r="G3792" s="123" t="s">
        <v>30</v>
      </c>
      <c r="H3792" s="123" t="s">
        <v>88</v>
      </c>
      <c r="I3792" s="126" t="s">
        <v>1701</v>
      </c>
      <c r="J3792" s="123" t="s">
        <v>13891</v>
      </c>
      <c r="K3792" s="123" t="s">
        <v>13889</v>
      </c>
      <c r="L3792" s="131" t="s">
        <v>100</v>
      </c>
      <c r="M3792" s="135" t="s">
        <v>845</v>
      </c>
      <c r="N3792" s="123" t="s">
        <v>845</v>
      </c>
    </row>
    <row r="3793" spans="2:14" hidden="1" x14ac:dyDescent="0.25">
      <c r="B3793" s="120">
        <v>3790</v>
      </c>
      <c r="C3793" s="123">
        <v>10473792252</v>
      </c>
      <c r="D3793" s="126" t="s">
        <v>13892</v>
      </c>
      <c r="E3793" s="126" t="s">
        <v>13893</v>
      </c>
      <c r="F3793" s="123" t="s">
        <v>30</v>
      </c>
      <c r="G3793" s="123" t="s">
        <v>30</v>
      </c>
      <c r="H3793" s="123" t="s">
        <v>60</v>
      </c>
      <c r="I3793" s="126" t="s">
        <v>1935</v>
      </c>
      <c r="J3793" s="123" t="s">
        <v>13894</v>
      </c>
      <c r="K3793" s="123" t="s">
        <v>13892</v>
      </c>
      <c r="L3793" s="131" t="s">
        <v>100</v>
      </c>
      <c r="M3793" s="135" t="s">
        <v>845</v>
      </c>
      <c r="N3793" s="123" t="s">
        <v>845</v>
      </c>
    </row>
    <row r="3794" spans="2:14" hidden="1" x14ac:dyDescent="0.25">
      <c r="B3794" s="120">
        <v>3791</v>
      </c>
      <c r="C3794" s="123">
        <v>10402636012</v>
      </c>
      <c r="D3794" s="126" t="s">
        <v>13895</v>
      </c>
      <c r="E3794" s="126" t="s">
        <v>13896</v>
      </c>
      <c r="F3794" s="123" t="s">
        <v>30</v>
      </c>
      <c r="G3794" s="123" t="s">
        <v>30</v>
      </c>
      <c r="H3794" s="123" t="s">
        <v>103</v>
      </c>
      <c r="I3794" s="126" t="s">
        <v>1499</v>
      </c>
      <c r="J3794" s="123" t="s">
        <v>13897</v>
      </c>
      <c r="K3794" s="123" t="s">
        <v>13898</v>
      </c>
      <c r="L3794" s="131" t="s">
        <v>100</v>
      </c>
      <c r="M3794" s="135" t="s">
        <v>845</v>
      </c>
      <c r="N3794" s="123" t="s">
        <v>845</v>
      </c>
    </row>
    <row r="3795" spans="2:14" hidden="1" x14ac:dyDescent="0.25">
      <c r="B3795" s="120">
        <v>3792</v>
      </c>
      <c r="C3795" s="123">
        <v>10487689870</v>
      </c>
      <c r="D3795" s="126" t="s">
        <v>13899</v>
      </c>
      <c r="E3795" s="126" t="s">
        <v>13900</v>
      </c>
      <c r="F3795" s="123" t="s">
        <v>30</v>
      </c>
      <c r="G3795" s="123" t="s">
        <v>30</v>
      </c>
      <c r="H3795" s="123" t="s">
        <v>50</v>
      </c>
      <c r="I3795" s="126" t="s">
        <v>1942</v>
      </c>
      <c r="J3795" s="123" t="s">
        <v>13901</v>
      </c>
      <c r="K3795" s="123" t="s">
        <v>13899</v>
      </c>
      <c r="L3795" s="131" t="s">
        <v>100</v>
      </c>
      <c r="M3795" s="135" t="s">
        <v>845</v>
      </c>
      <c r="N3795" s="123" t="s">
        <v>845</v>
      </c>
    </row>
    <row r="3796" spans="2:14" hidden="1" x14ac:dyDescent="0.25">
      <c r="B3796" s="120">
        <v>3793</v>
      </c>
      <c r="C3796" s="123">
        <v>10410697551</v>
      </c>
      <c r="D3796" s="126" t="s">
        <v>13902</v>
      </c>
      <c r="E3796" s="126" t="s">
        <v>13903</v>
      </c>
      <c r="F3796" s="123" t="s">
        <v>30</v>
      </c>
      <c r="G3796" s="123" t="s">
        <v>54</v>
      </c>
      <c r="H3796" s="123" t="s">
        <v>55</v>
      </c>
      <c r="I3796" s="126" t="s">
        <v>1952</v>
      </c>
      <c r="J3796" s="123" t="s">
        <v>13904</v>
      </c>
      <c r="K3796" s="123" t="s">
        <v>13902</v>
      </c>
      <c r="L3796" s="131" t="s">
        <v>100</v>
      </c>
      <c r="M3796" s="135" t="s">
        <v>845</v>
      </c>
      <c r="N3796" s="123" t="s">
        <v>845</v>
      </c>
    </row>
    <row r="3797" spans="2:14" hidden="1" x14ac:dyDescent="0.25">
      <c r="B3797" s="120">
        <v>3794</v>
      </c>
      <c r="C3797" s="123">
        <v>10434156675</v>
      </c>
      <c r="D3797" s="126" t="s">
        <v>13905</v>
      </c>
      <c r="E3797" s="126" t="s">
        <v>13906</v>
      </c>
      <c r="F3797" s="123" t="s">
        <v>30</v>
      </c>
      <c r="G3797" s="123" t="s">
        <v>30</v>
      </c>
      <c r="H3797" s="123" t="s">
        <v>60</v>
      </c>
      <c r="I3797" s="126" t="s">
        <v>1701</v>
      </c>
      <c r="J3797" s="123" t="s">
        <v>13907</v>
      </c>
      <c r="K3797" s="123" t="s">
        <v>13905</v>
      </c>
      <c r="L3797" s="131" t="s">
        <v>100</v>
      </c>
      <c r="M3797" s="135" t="s">
        <v>845</v>
      </c>
      <c r="N3797" s="123" t="s">
        <v>845</v>
      </c>
    </row>
    <row r="3798" spans="2:14" hidden="1" x14ac:dyDescent="0.25">
      <c r="B3798" s="120">
        <v>3795</v>
      </c>
      <c r="C3798" s="123">
        <v>10429647954</v>
      </c>
      <c r="D3798" s="126" t="s">
        <v>13908</v>
      </c>
      <c r="E3798" s="126" t="s">
        <v>13909</v>
      </c>
      <c r="F3798" s="123" t="s">
        <v>30</v>
      </c>
      <c r="G3798" s="123" t="s">
        <v>30</v>
      </c>
      <c r="H3798" s="123" t="s">
        <v>58</v>
      </c>
      <c r="I3798" s="126" t="s">
        <v>1516</v>
      </c>
      <c r="J3798" s="123" t="s">
        <v>13910</v>
      </c>
      <c r="K3798" s="123" t="s">
        <v>13908</v>
      </c>
      <c r="L3798" s="131" t="s">
        <v>100</v>
      </c>
      <c r="M3798" s="135" t="s">
        <v>845</v>
      </c>
      <c r="N3798" s="123" t="s">
        <v>845</v>
      </c>
    </row>
    <row r="3799" spans="2:14" hidden="1" x14ac:dyDescent="0.25">
      <c r="B3799" s="120">
        <v>3796</v>
      </c>
      <c r="C3799" s="123">
        <v>10408981331</v>
      </c>
      <c r="D3799" s="126" t="s">
        <v>13911</v>
      </c>
      <c r="E3799" s="126" t="s">
        <v>13912</v>
      </c>
      <c r="F3799" s="123" t="s">
        <v>30</v>
      </c>
      <c r="G3799" s="123" t="s">
        <v>30</v>
      </c>
      <c r="H3799" s="123" t="s">
        <v>43</v>
      </c>
      <c r="I3799" s="126" t="s">
        <v>1931</v>
      </c>
      <c r="J3799" s="123" t="s">
        <v>13913</v>
      </c>
      <c r="K3799" s="123" t="s">
        <v>13914</v>
      </c>
      <c r="L3799" s="131" t="s">
        <v>100</v>
      </c>
      <c r="M3799" s="135" t="s">
        <v>845</v>
      </c>
      <c r="N3799" s="123" t="s">
        <v>845</v>
      </c>
    </row>
    <row r="3800" spans="2:14" hidden="1" x14ac:dyDescent="0.25">
      <c r="B3800" s="120">
        <v>3797</v>
      </c>
      <c r="C3800" s="123">
        <v>10770172794</v>
      </c>
      <c r="D3800" s="126" t="s">
        <v>13915</v>
      </c>
      <c r="E3800" s="126" t="s">
        <v>13916</v>
      </c>
      <c r="F3800" s="123" t="s">
        <v>30</v>
      </c>
      <c r="G3800" s="123" t="s">
        <v>30</v>
      </c>
      <c r="H3800" s="123" t="s">
        <v>52</v>
      </c>
      <c r="I3800" s="126" t="s">
        <v>1424</v>
      </c>
      <c r="J3800" s="123" t="s">
        <v>13917</v>
      </c>
      <c r="K3800" s="123" t="s">
        <v>13918</v>
      </c>
      <c r="L3800" s="131" t="s">
        <v>100</v>
      </c>
      <c r="M3800" s="135" t="s">
        <v>845</v>
      </c>
      <c r="N3800" s="123" t="s">
        <v>845</v>
      </c>
    </row>
    <row r="3801" spans="2:14" hidden="1" x14ac:dyDescent="0.25">
      <c r="B3801" s="120">
        <v>3798</v>
      </c>
      <c r="C3801" s="123">
        <v>10103955543</v>
      </c>
      <c r="D3801" s="126" t="s">
        <v>13919</v>
      </c>
      <c r="E3801" s="126" t="s">
        <v>13920</v>
      </c>
      <c r="F3801" s="123" t="s">
        <v>30</v>
      </c>
      <c r="G3801" s="123" t="s">
        <v>30</v>
      </c>
      <c r="H3801" s="123" t="s">
        <v>50</v>
      </c>
      <c r="I3801" s="126" t="s">
        <v>1701</v>
      </c>
      <c r="J3801" s="123" t="s">
        <v>13921</v>
      </c>
      <c r="K3801" s="123" t="s">
        <v>13919</v>
      </c>
      <c r="L3801" s="131" t="s">
        <v>100</v>
      </c>
      <c r="M3801" s="135" t="s">
        <v>845</v>
      </c>
      <c r="N3801" s="123" t="s">
        <v>845</v>
      </c>
    </row>
    <row r="3802" spans="2:14" hidden="1" x14ac:dyDescent="0.25">
      <c r="B3802" s="120">
        <v>3799</v>
      </c>
      <c r="C3802" s="123">
        <v>10738321826</v>
      </c>
      <c r="D3802" s="126" t="s">
        <v>13922</v>
      </c>
      <c r="E3802" s="126" t="s">
        <v>13923</v>
      </c>
      <c r="F3802" s="123" t="s">
        <v>30</v>
      </c>
      <c r="G3802" s="123" t="s">
        <v>31</v>
      </c>
      <c r="H3802" s="123" t="s">
        <v>12658</v>
      </c>
      <c r="I3802" s="126" t="s">
        <v>1424</v>
      </c>
      <c r="J3802" s="123" t="s">
        <v>13924</v>
      </c>
      <c r="K3802" s="123" t="s">
        <v>13922</v>
      </c>
      <c r="L3802" s="131" t="s">
        <v>100</v>
      </c>
      <c r="M3802" s="135" t="s">
        <v>845</v>
      </c>
      <c r="N3802" s="123" t="s">
        <v>845</v>
      </c>
    </row>
    <row r="3803" spans="2:14" hidden="1" x14ac:dyDescent="0.25">
      <c r="B3803" s="120">
        <v>3800</v>
      </c>
      <c r="C3803" s="123">
        <v>10703569388</v>
      </c>
      <c r="D3803" s="126" t="s">
        <v>13925</v>
      </c>
      <c r="E3803" s="126" t="s">
        <v>13926</v>
      </c>
      <c r="F3803" s="123" t="s">
        <v>30</v>
      </c>
      <c r="G3803" s="123" t="s">
        <v>31</v>
      </c>
      <c r="H3803" s="123" t="s">
        <v>150</v>
      </c>
      <c r="I3803" s="126" t="s">
        <v>1701</v>
      </c>
      <c r="J3803" s="123" t="s">
        <v>13927</v>
      </c>
      <c r="K3803" s="123" t="s">
        <v>13925</v>
      </c>
      <c r="L3803" s="131" t="s">
        <v>100</v>
      </c>
      <c r="M3803" s="135" t="s">
        <v>845</v>
      </c>
      <c r="N3803" s="123" t="s">
        <v>845</v>
      </c>
    </row>
    <row r="3804" spans="2:14" hidden="1" x14ac:dyDescent="0.25">
      <c r="B3804" s="120">
        <v>3801</v>
      </c>
      <c r="C3804" s="123">
        <v>10257527374</v>
      </c>
      <c r="D3804" s="126" t="s">
        <v>13928</v>
      </c>
      <c r="E3804" s="126" t="s">
        <v>13929</v>
      </c>
      <c r="F3804" s="123" t="s">
        <v>67</v>
      </c>
      <c r="G3804" s="123" t="s">
        <v>67</v>
      </c>
      <c r="H3804" s="123" t="s">
        <v>67</v>
      </c>
      <c r="I3804" s="126" t="s">
        <v>1961</v>
      </c>
      <c r="J3804" s="123" t="s">
        <v>13930</v>
      </c>
      <c r="K3804" s="123" t="s">
        <v>13931</v>
      </c>
      <c r="L3804" s="131" t="s">
        <v>100</v>
      </c>
      <c r="M3804" s="135" t="s">
        <v>845</v>
      </c>
      <c r="N3804" s="123" t="s">
        <v>845</v>
      </c>
    </row>
    <row r="3805" spans="2:14" hidden="1" x14ac:dyDescent="0.25">
      <c r="B3805" s="120">
        <v>3802</v>
      </c>
      <c r="C3805" s="123">
        <v>10155810578</v>
      </c>
      <c r="D3805" s="126" t="s">
        <v>13932</v>
      </c>
      <c r="E3805" s="126" t="s">
        <v>13933</v>
      </c>
      <c r="F3805" s="123" t="s">
        <v>30</v>
      </c>
      <c r="G3805" s="123" t="s">
        <v>170</v>
      </c>
      <c r="H3805" s="123" t="s">
        <v>170</v>
      </c>
      <c r="I3805" s="126" t="s">
        <v>1935</v>
      </c>
      <c r="J3805" s="123" t="s">
        <v>13934</v>
      </c>
      <c r="K3805" s="123" t="s">
        <v>13932</v>
      </c>
      <c r="L3805" s="131" t="s">
        <v>100</v>
      </c>
      <c r="M3805" s="135" t="s">
        <v>845</v>
      </c>
      <c r="N3805" s="123" t="s">
        <v>845</v>
      </c>
    </row>
    <row r="3806" spans="2:14" hidden="1" x14ac:dyDescent="0.25">
      <c r="B3806" s="120">
        <v>3803</v>
      </c>
      <c r="C3806" s="123">
        <v>10709012237</v>
      </c>
      <c r="D3806" s="126" t="s">
        <v>13935</v>
      </c>
      <c r="E3806" s="126" t="s">
        <v>13936</v>
      </c>
      <c r="F3806" s="123" t="s">
        <v>30</v>
      </c>
      <c r="G3806" s="123" t="s">
        <v>170</v>
      </c>
      <c r="H3806" s="123" t="s">
        <v>175</v>
      </c>
      <c r="I3806" s="126" t="s">
        <v>1935</v>
      </c>
      <c r="J3806" s="123" t="s">
        <v>13937</v>
      </c>
      <c r="K3806" s="123" t="s">
        <v>13935</v>
      </c>
      <c r="L3806" s="131" t="s">
        <v>100</v>
      </c>
      <c r="M3806" s="135" t="s">
        <v>845</v>
      </c>
      <c r="N3806" s="123" t="s">
        <v>845</v>
      </c>
    </row>
    <row r="3807" spans="2:14" hidden="1" x14ac:dyDescent="0.25">
      <c r="B3807" s="120">
        <v>3804</v>
      </c>
      <c r="C3807" s="123">
        <v>10486097049</v>
      </c>
      <c r="D3807" s="126" t="s">
        <v>13938</v>
      </c>
      <c r="E3807" s="126" t="s">
        <v>13939</v>
      </c>
      <c r="F3807" s="123" t="s">
        <v>30</v>
      </c>
      <c r="G3807" s="123" t="s">
        <v>30</v>
      </c>
      <c r="H3807" s="123" t="s">
        <v>60</v>
      </c>
      <c r="I3807" s="126" t="s">
        <v>8659</v>
      </c>
      <c r="J3807" s="123" t="s">
        <v>13940</v>
      </c>
      <c r="K3807" s="123" t="s">
        <v>13938</v>
      </c>
      <c r="L3807" s="131" t="s">
        <v>100</v>
      </c>
      <c r="M3807" s="135" t="s">
        <v>845</v>
      </c>
      <c r="N3807" s="123" t="s">
        <v>845</v>
      </c>
    </row>
    <row r="3808" spans="2:14" hidden="1" x14ac:dyDescent="0.25">
      <c r="B3808" s="120">
        <v>3805</v>
      </c>
      <c r="C3808" s="123">
        <v>10102597538</v>
      </c>
      <c r="D3808" s="126" t="s">
        <v>13941</v>
      </c>
      <c r="E3808" s="126" t="s">
        <v>13942</v>
      </c>
      <c r="F3808" s="123" t="s">
        <v>30</v>
      </c>
      <c r="G3808" s="123" t="s">
        <v>30</v>
      </c>
      <c r="H3808" s="123" t="s">
        <v>51</v>
      </c>
      <c r="I3808" s="126" t="s">
        <v>1643</v>
      </c>
      <c r="J3808" s="123" t="s">
        <v>13943</v>
      </c>
      <c r="K3808" s="123" t="s">
        <v>13941</v>
      </c>
      <c r="L3808" s="131" t="s">
        <v>100</v>
      </c>
      <c r="M3808" s="135" t="s">
        <v>845</v>
      </c>
      <c r="N3808" s="123" t="s">
        <v>845</v>
      </c>
    </row>
    <row r="3809" spans="2:14" hidden="1" x14ac:dyDescent="0.25">
      <c r="B3809" s="120">
        <v>3806</v>
      </c>
      <c r="C3809" s="123">
        <v>10414916860</v>
      </c>
      <c r="D3809" s="126" t="s">
        <v>13944</v>
      </c>
      <c r="E3809" s="126" t="s">
        <v>13945</v>
      </c>
      <c r="F3809" s="123" t="s">
        <v>30</v>
      </c>
      <c r="G3809" s="123" t="s">
        <v>30</v>
      </c>
      <c r="H3809" s="123" t="s">
        <v>74</v>
      </c>
      <c r="I3809" s="126" t="s">
        <v>1950</v>
      </c>
      <c r="J3809" s="123" t="s">
        <v>13946</v>
      </c>
      <c r="K3809" s="123" t="s">
        <v>13944</v>
      </c>
      <c r="L3809" s="131" t="s">
        <v>100</v>
      </c>
      <c r="M3809" s="135" t="s">
        <v>845</v>
      </c>
      <c r="N3809" s="123" t="s">
        <v>845</v>
      </c>
    </row>
    <row r="3810" spans="2:14" hidden="1" x14ac:dyDescent="0.25">
      <c r="B3810" s="120">
        <v>3807</v>
      </c>
      <c r="C3810" s="123">
        <v>10106231295</v>
      </c>
      <c r="D3810" s="126" t="s">
        <v>13947</v>
      </c>
      <c r="E3810" s="126" t="s">
        <v>13948</v>
      </c>
      <c r="F3810" s="123" t="s">
        <v>30</v>
      </c>
      <c r="G3810" s="123" t="s">
        <v>30</v>
      </c>
      <c r="H3810" s="123" t="s">
        <v>72</v>
      </c>
      <c r="I3810" s="126" t="s">
        <v>1424</v>
      </c>
      <c r="J3810" s="123" t="s">
        <v>13949</v>
      </c>
      <c r="K3810" s="123" t="s">
        <v>13947</v>
      </c>
      <c r="L3810" s="131" t="s">
        <v>100</v>
      </c>
      <c r="M3810" s="135" t="s">
        <v>845</v>
      </c>
      <c r="N3810" s="123" t="s">
        <v>845</v>
      </c>
    </row>
    <row r="3811" spans="2:14" hidden="1" x14ac:dyDescent="0.25">
      <c r="B3811" s="120">
        <v>3808</v>
      </c>
      <c r="C3811" s="123">
        <v>10155810837</v>
      </c>
      <c r="D3811" s="126" t="s">
        <v>13950</v>
      </c>
      <c r="E3811" s="126" t="s">
        <v>10083</v>
      </c>
      <c r="F3811" s="123" t="s">
        <v>30</v>
      </c>
      <c r="G3811" s="123" t="s">
        <v>170</v>
      </c>
      <c r="H3811" s="123" t="s">
        <v>170</v>
      </c>
      <c r="I3811" s="126" t="s">
        <v>1942</v>
      </c>
      <c r="J3811" s="123" t="s">
        <v>13951</v>
      </c>
      <c r="K3811" s="123" t="s">
        <v>13950</v>
      </c>
      <c r="L3811" s="131" t="s">
        <v>100</v>
      </c>
      <c r="M3811" s="135" t="s">
        <v>845</v>
      </c>
      <c r="N3811" s="123" t="s">
        <v>845</v>
      </c>
    </row>
    <row r="3812" spans="2:14" hidden="1" x14ac:dyDescent="0.25">
      <c r="B3812" s="120">
        <v>3809</v>
      </c>
      <c r="C3812" s="123">
        <v>10153579020</v>
      </c>
      <c r="D3812" s="126" t="s">
        <v>13952</v>
      </c>
      <c r="E3812" s="126" t="s">
        <v>13953</v>
      </c>
      <c r="F3812" s="123" t="s">
        <v>30</v>
      </c>
      <c r="G3812" s="123" t="s">
        <v>31</v>
      </c>
      <c r="H3812" s="123" t="s">
        <v>139</v>
      </c>
      <c r="I3812" s="126" t="s">
        <v>1551</v>
      </c>
      <c r="J3812" s="123" t="s">
        <v>13954</v>
      </c>
      <c r="K3812" s="123" t="s">
        <v>13952</v>
      </c>
      <c r="L3812" s="131" t="s">
        <v>100</v>
      </c>
      <c r="M3812" s="135" t="s">
        <v>845</v>
      </c>
      <c r="N3812" s="123" t="s">
        <v>845</v>
      </c>
    </row>
    <row r="3813" spans="2:14" hidden="1" x14ac:dyDescent="0.25">
      <c r="B3813" s="120">
        <v>3810</v>
      </c>
      <c r="C3813" s="123">
        <v>10081137086</v>
      </c>
      <c r="D3813" s="126" t="s">
        <v>13955</v>
      </c>
      <c r="E3813" s="126" t="s">
        <v>13956</v>
      </c>
      <c r="F3813" s="123" t="s">
        <v>30</v>
      </c>
      <c r="G3813" s="123" t="s">
        <v>30</v>
      </c>
      <c r="H3813" s="123" t="s">
        <v>75</v>
      </c>
      <c r="I3813" s="126" t="s">
        <v>1398</v>
      </c>
      <c r="J3813" s="123" t="s">
        <v>13957</v>
      </c>
      <c r="K3813" s="123" t="s">
        <v>13958</v>
      </c>
      <c r="L3813" s="131" t="s">
        <v>100</v>
      </c>
      <c r="M3813" s="135" t="s">
        <v>845</v>
      </c>
      <c r="N3813" s="123" t="s">
        <v>845</v>
      </c>
    </row>
    <row r="3814" spans="2:14" hidden="1" x14ac:dyDescent="0.25">
      <c r="B3814" s="120">
        <v>3811</v>
      </c>
      <c r="C3814" s="123">
        <v>10428195367</v>
      </c>
      <c r="D3814" s="126" t="s">
        <v>13959</v>
      </c>
      <c r="E3814" s="126" t="s">
        <v>13960</v>
      </c>
      <c r="F3814" s="123" t="s">
        <v>30</v>
      </c>
      <c r="G3814" s="123" t="s">
        <v>170</v>
      </c>
      <c r="H3814" s="123" t="s">
        <v>174</v>
      </c>
      <c r="I3814" s="126" t="s">
        <v>1931</v>
      </c>
      <c r="J3814" s="123" t="s">
        <v>13961</v>
      </c>
      <c r="K3814" s="123" t="s">
        <v>13959</v>
      </c>
      <c r="L3814" s="131" t="s">
        <v>100</v>
      </c>
      <c r="M3814" s="135" t="s">
        <v>845</v>
      </c>
      <c r="N3814" s="123" t="s">
        <v>845</v>
      </c>
    </row>
    <row r="3815" spans="2:14" hidden="1" x14ac:dyDescent="0.25">
      <c r="B3815" s="120">
        <v>3812</v>
      </c>
      <c r="C3815" s="123">
        <v>10766561824</v>
      </c>
      <c r="D3815" s="126" t="s">
        <v>13962</v>
      </c>
      <c r="E3815" s="126" t="s">
        <v>13963</v>
      </c>
      <c r="F3815" s="123" t="s">
        <v>30</v>
      </c>
      <c r="G3815" s="123" t="s">
        <v>30</v>
      </c>
      <c r="H3815" s="123" t="s">
        <v>40</v>
      </c>
      <c r="I3815" s="126" t="s">
        <v>1398</v>
      </c>
      <c r="J3815" s="123" t="s">
        <v>5461</v>
      </c>
      <c r="K3815" s="123" t="s">
        <v>13964</v>
      </c>
      <c r="L3815" s="131" t="s">
        <v>100</v>
      </c>
      <c r="M3815" s="135" t="s">
        <v>845</v>
      </c>
      <c r="N3815" s="123" t="s">
        <v>845</v>
      </c>
    </row>
    <row r="3816" spans="2:14" hidden="1" x14ac:dyDescent="0.25">
      <c r="B3816" s="120">
        <v>3813</v>
      </c>
      <c r="C3816" s="123">
        <v>10106909950</v>
      </c>
      <c r="D3816" s="126" t="s">
        <v>13965</v>
      </c>
      <c r="E3816" s="126" t="s">
        <v>13966</v>
      </c>
      <c r="F3816" s="123" t="s">
        <v>30</v>
      </c>
      <c r="G3816" s="123" t="s">
        <v>30</v>
      </c>
      <c r="H3816" s="123" t="s">
        <v>30</v>
      </c>
      <c r="I3816" s="126" t="s">
        <v>1930</v>
      </c>
      <c r="J3816" s="123" t="s">
        <v>13967</v>
      </c>
      <c r="K3816" s="123" t="s">
        <v>13965</v>
      </c>
      <c r="L3816" s="131" t="s">
        <v>100</v>
      </c>
      <c r="M3816" s="135" t="s">
        <v>845</v>
      </c>
      <c r="N3816" s="123" t="s">
        <v>845</v>
      </c>
    </row>
    <row r="3817" spans="2:14" hidden="1" x14ac:dyDescent="0.25">
      <c r="B3817" s="120">
        <v>3814</v>
      </c>
      <c r="C3817" s="123">
        <v>10457383717</v>
      </c>
      <c r="D3817" s="126" t="s">
        <v>13968</v>
      </c>
      <c r="E3817" s="126" t="s">
        <v>13969</v>
      </c>
      <c r="F3817" s="123" t="s">
        <v>67</v>
      </c>
      <c r="G3817" s="123" t="s">
        <v>67</v>
      </c>
      <c r="H3817" s="123" t="s">
        <v>94</v>
      </c>
      <c r="I3817" s="126" t="s">
        <v>8659</v>
      </c>
      <c r="J3817" s="123" t="s">
        <v>13970</v>
      </c>
      <c r="K3817" s="123" t="s">
        <v>13971</v>
      </c>
      <c r="L3817" s="131" t="s">
        <v>100</v>
      </c>
      <c r="M3817" s="135" t="s">
        <v>845</v>
      </c>
      <c r="N3817" s="123" t="s">
        <v>845</v>
      </c>
    </row>
    <row r="3818" spans="2:14" hidden="1" x14ac:dyDescent="0.25">
      <c r="B3818" s="120">
        <v>3815</v>
      </c>
      <c r="C3818" s="123">
        <v>10287162656</v>
      </c>
      <c r="D3818" s="126" t="s">
        <v>13972</v>
      </c>
      <c r="E3818" s="126" t="s">
        <v>13973</v>
      </c>
      <c r="F3818" s="123" t="s">
        <v>67</v>
      </c>
      <c r="G3818" s="123" t="s">
        <v>67</v>
      </c>
      <c r="H3818" s="123" t="s">
        <v>94</v>
      </c>
      <c r="I3818" s="126" t="s">
        <v>8743</v>
      </c>
      <c r="J3818" s="123" t="s">
        <v>13974</v>
      </c>
      <c r="K3818" s="123" t="s">
        <v>13972</v>
      </c>
      <c r="L3818" s="131" t="s">
        <v>100</v>
      </c>
      <c r="M3818" s="135" t="s">
        <v>845</v>
      </c>
      <c r="N3818" s="123" t="s">
        <v>845</v>
      </c>
    </row>
    <row r="3819" spans="2:14" hidden="1" x14ac:dyDescent="0.25">
      <c r="B3819" s="120">
        <v>3816</v>
      </c>
      <c r="C3819" s="123">
        <v>10107604583</v>
      </c>
      <c r="D3819" s="126" t="s">
        <v>13975</v>
      </c>
      <c r="E3819" s="126" t="s">
        <v>13976</v>
      </c>
      <c r="F3819" s="123" t="s">
        <v>30</v>
      </c>
      <c r="G3819" s="123" t="s">
        <v>30</v>
      </c>
      <c r="H3819" s="123" t="s">
        <v>127</v>
      </c>
      <c r="I3819" s="126" t="s">
        <v>1643</v>
      </c>
      <c r="J3819" s="123" t="s">
        <v>13977</v>
      </c>
      <c r="K3819" s="123" t="s">
        <v>13975</v>
      </c>
      <c r="L3819" s="131" t="s">
        <v>100</v>
      </c>
      <c r="M3819" s="135" t="s">
        <v>845</v>
      </c>
      <c r="N3819" s="123" t="s">
        <v>845</v>
      </c>
    </row>
    <row r="3820" spans="2:14" hidden="1" x14ac:dyDescent="0.25">
      <c r="B3820" s="120">
        <v>3817</v>
      </c>
      <c r="C3820" s="123">
        <v>10102816221</v>
      </c>
      <c r="D3820" s="126" t="s">
        <v>13978</v>
      </c>
      <c r="E3820" s="126" t="s">
        <v>13979</v>
      </c>
      <c r="F3820" s="123" t="s">
        <v>30</v>
      </c>
      <c r="G3820" s="123" t="s">
        <v>30</v>
      </c>
      <c r="H3820" s="123" t="s">
        <v>50</v>
      </c>
      <c r="I3820" s="126" t="s">
        <v>1969</v>
      </c>
      <c r="J3820" s="123" t="s">
        <v>13980</v>
      </c>
      <c r="K3820" s="123" t="s">
        <v>13978</v>
      </c>
      <c r="L3820" s="131" t="s">
        <v>100</v>
      </c>
      <c r="M3820" s="135" t="s">
        <v>845</v>
      </c>
      <c r="N3820" s="123" t="s">
        <v>845</v>
      </c>
    </row>
    <row r="3821" spans="2:14" hidden="1" x14ac:dyDescent="0.25">
      <c r="B3821" s="120">
        <v>3818</v>
      </c>
      <c r="C3821" s="123">
        <v>10747202511</v>
      </c>
      <c r="D3821" s="126" t="s">
        <v>13981</v>
      </c>
      <c r="E3821" s="126" t="s">
        <v>13982</v>
      </c>
      <c r="F3821" s="123" t="s">
        <v>30</v>
      </c>
      <c r="G3821" s="123" t="s">
        <v>30</v>
      </c>
      <c r="H3821" s="123" t="s">
        <v>50</v>
      </c>
      <c r="I3821" s="126" t="s">
        <v>13983</v>
      </c>
      <c r="J3821" s="123" t="s">
        <v>13984</v>
      </c>
      <c r="K3821" s="123" t="s">
        <v>13981</v>
      </c>
      <c r="L3821" s="131" t="s">
        <v>100</v>
      </c>
      <c r="M3821" s="135" t="s">
        <v>845</v>
      </c>
      <c r="N3821" s="123" t="s">
        <v>845</v>
      </c>
    </row>
    <row r="3822" spans="2:14" hidden="1" x14ac:dyDescent="0.25">
      <c r="B3822" s="120">
        <v>3819</v>
      </c>
      <c r="C3822" s="123">
        <v>10416073665</v>
      </c>
      <c r="D3822" s="126" t="s">
        <v>13985</v>
      </c>
      <c r="E3822" s="126" t="s">
        <v>13986</v>
      </c>
      <c r="F3822" s="123" t="s">
        <v>30</v>
      </c>
      <c r="G3822" s="123" t="s">
        <v>170</v>
      </c>
      <c r="H3822" s="123" t="s">
        <v>179</v>
      </c>
      <c r="I3822" s="126" t="s">
        <v>1805</v>
      </c>
      <c r="J3822" s="123" t="s">
        <v>13987</v>
      </c>
      <c r="K3822" s="123" t="s">
        <v>13985</v>
      </c>
      <c r="L3822" s="131" t="s">
        <v>100</v>
      </c>
      <c r="M3822" s="135" t="s">
        <v>845</v>
      </c>
      <c r="N3822" s="123" t="s">
        <v>845</v>
      </c>
    </row>
    <row r="3823" spans="2:14" hidden="1" x14ac:dyDescent="0.25">
      <c r="B3823" s="120">
        <v>3820</v>
      </c>
      <c r="C3823" s="123">
        <v>10426358412</v>
      </c>
      <c r="D3823" s="126" t="s">
        <v>13988</v>
      </c>
      <c r="E3823" s="126" t="s">
        <v>13989</v>
      </c>
      <c r="F3823" s="123" t="s">
        <v>30</v>
      </c>
      <c r="G3823" s="123" t="s">
        <v>30</v>
      </c>
      <c r="H3823" s="123" t="s">
        <v>68</v>
      </c>
      <c r="I3823" s="126" t="s">
        <v>1398</v>
      </c>
      <c r="J3823" s="123" t="s">
        <v>13990</v>
      </c>
      <c r="K3823" s="123" t="s">
        <v>13988</v>
      </c>
      <c r="L3823" s="131" t="s">
        <v>100</v>
      </c>
      <c r="M3823" s="135" t="s">
        <v>845</v>
      </c>
      <c r="N3823" s="123" t="s">
        <v>845</v>
      </c>
    </row>
    <row r="3824" spans="2:14" hidden="1" x14ac:dyDescent="0.25">
      <c r="B3824" s="120">
        <v>3821</v>
      </c>
      <c r="C3824" s="123">
        <v>10800062905</v>
      </c>
      <c r="D3824" s="126" t="s">
        <v>13991</v>
      </c>
      <c r="E3824" s="126" t="s">
        <v>13992</v>
      </c>
      <c r="F3824" s="123" t="s">
        <v>30</v>
      </c>
      <c r="G3824" s="123" t="s">
        <v>31</v>
      </c>
      <c r="H3824" s="123" t="s">
        <v>139</v>
      </c>
      <c r="I3824" s="126" t="s">
        <v>1424</v>
      </c>
      <c r="J3824" s="123" t="s">
        <v>13993</v>
      </c>
      <c r="K3824" s="123" t="s">
        <v>13991</v>
      </c>
      <c r="L3824" s="131" t="s">
        <v>100</v>
      </c>
      <c r="M3824" s="135" t="s">
        <v>845</v>
      </c>
      <c r="N3824" s="123" t="s">
        <v>845</v>
      </c>
    </row>
    <row r="3825" spans="2:14" hidden="1" x14ac:dyDescent="0.25">
      <c r="B3825" s="120">
        <v>3822</v>
      </c>
      <c r="C3825" s="123">
        <v>10105438261</v>
      </c>
      <c r="D3825" s="126" t="s">
        <v>13994</v>
      </c>
      <c r="E3825" s="126" t="s">
        <v>13995</v>
      </c>
      <c r="F3825" s="123" t="s">
        <v>30</v>
      </c>
      <c r="G3825" s="123" t="s">
        <v>30</v>
      </c>
      <c r="H3825" s="123" t="s">
        <v>135</v>
      </c>
      <c r="I3825" s="126" t="s">
        <v>1564</v>
      </c>
      <c r="J3825" s="123" t="s">
        <v>13996</v>
      </c>
      <c r="K3825" s="123" t="s">
        <v>13994</v>
      </c>
      <c r="L3825" s="131" t="s">
        <v>100</v>
      </c>
      <c r="M3825" s="135" t="s">
        <v>845</v>
      </c>
      <c r="N3825" s="123" t="s">
        <v>845</v>
      </c>
    </row>
    <row r="3826" spans="2:14" hidden="1" x14ac:dyDescent="0.25">
      <c r="B3826" s="120">
        <v>3823</v>
      </c>
      <c r="C3826" s="123">
        <v>10157258465</v>
      </c>
      <c r="D3826" s="126" t="s">
        <v>13997</v>
      </c>
      <c r="E3826" s="126" t="s">
        <v>13998</v>
      </c>
      <c r="F3826" s="123" t="s">
        <v>30</v>
      </c>
      <c r="G3826" s="123" t="s">
        <v>170</v>
      </c>
      <c r="H3826" s="123" t="s">
        <v>171</v>
      </c>
      <c r="I3826" s="126" t="s">
        <v>1424</v>
      </c>
      <c r="J3826" s="123" t="s">
        <v>13999</v>
      </c>
      <c r="K3826" s="123" t="s">
        <v>13997</v>
      </c>
      <c r="L3826" s="131" t="s">
        <v>100</v>
      </c>
      <c r="M3826" s="135" t="s">
        <v>845</v>
      </c>
      <c r="N3826" s="123" t="s">
        <v>845</v>
      </c>
    </row>
    <row r="3827" spans="2:14" hidden="1" x14ac:dyDescent="0.25">
      <c r="B3827" s="120">
        <v>3824</v>
      </c>
      <c r="C3827" s="123">
        <v>10420136426</v>
      </c>
      <c r="D3827" s="126" t="s">
        <v>14000</v>
      </c>
      <c r="E3827" s="126" t="s">
        <v>14001</v>
      </c>
      <c r="F3827" s="123" t="s">
        <v>30</v>
      </c>
      <c r="G3827" s="123" t="s">
        <v>30</v>
      </c>
      <c r="H3827" s="123" t="s">
        <v>113</v>
      </c>
      <c r="I3827" s="126" t="s">
        <v>14002</v>
      </c>
      <c r="J3827" s="123" t="s">
        <v>14003</v>
      </c>
      <c r="K3827" s="123" t="s">
        <v>14000</v>
      </c>
      <c r="L3827" s="131" t="s">
        <v>100</v>
      </c>
      <c r="M3827" s="135" t="s">
        <v>845</v>
      </c>
      <c r="N3827" s="123" t="s">
        <v>845</v>
      </c>
    </row>
    <row r="3828" spans="2:14" hidden="1" x14ac:dyDescent="0.25">
      <c r="B3828" s="120">
        <v>3825</v>
      </c>
      <c r="C3828" s="123">
        <v>10487963009</v>
      </c>
      <c r="D3828" s="126" t="s">
        <v>14004</v>
      </c>
      <c r="E3828" s="126" t="s">
        <v>14005</v>
      </c>
      <c r="F3828" s="123" t="s">
        <v>30</v>
      </c>
      <c r="G3828" s="123" t="s">
        <v>30</v>
      </c>
      <c r="H3828" s="123" t="s">
        <v>85</v>
      </c>
      <c r="I3828" s="126" t="s">
        <v>9960</v>
      </c>
      <c r="J3828" s="123" t="s">
        <v>14006</v>
      </c>
      <c r="K3828" s="123" t="s">
        <v>14007</v>
      </c>
      <c r="L3828" s="131" t="s">
        <v>100</v>
      </c>
      <c r="M3828" s="135" t="s">
        <v>845</v>
      </c>
      <c r="N3828" s="123" t="s">
        <v>845</v>
      </c>
    </row>
    <row r="3829" spans="2:14" hidden="1" x14ac:dyDescent="0.25">
      <c r="B3829" s="120">
        <v>3826</v>
      </c>
      <c r="C3829" s="123">
        <v>10258357529</v>
      </c>
      <c r="D3829" s="126" t="s">
        <v>14008</v>
      </c>
      <c r="E3829" s="126" t="s">
        <v>14009</v>
      </c>
      <c r="F3829" s="123" t="s">
        <v>30</v>
      </c>
      <c r="G3829" s="123" t="s">
        <v>30</v>
      </c>
      <c r="H3829" s="123" t="s">
        <v>75</v>
      </c>
      <c r="I3829" s="126" t="s">
        <v>1564</v>
      </c>
      <c r="J3829" s="123" t="s">
        <v>14010</v>
      </c>
      <c r="K3829" s="123" t="s">
        <v>14008</v>
      </c>
      <c r="L3829" s="131" t="s">
        <v>100</v>
      </c>
      <c r="M3829" s="135" t="s">
        <v>845</v>
      </c>
      <c r="N3829" s="123" t="s">
        <v>845</v>
      </c>
    </row>
    <row r="3830" spans="2:14" hidden="1" x14ac:dyDescent="0.25">
      <c r="B3830" s="120">
        <v>3827</v>
      </c>
      <c r="C3830" s="123">
        <v>10097546814</v>
      </c>
      <c r="D3830" s="126" t="s">
        <v>14011</v>
      </c>
      <c r="E3830" s="126" t="s">
        <v>14012</v>
      </c>
      <c r="F3830" s="123" t="s">
        <v>30</v>
      </c>
      <c r="G3830" s="123" t="s">
        <v>30</v>
      </c>
      <c r="H3830" s="123" t="s">
        <v>75</v>
      </c>
      <c r="I3830" s="126" t="s">
        <v>1701</v>
      </c>
      <c r="J3830" s="123" t="s">
        <v>14013</v>
      </c>
      <c r="K3830" s="123" t="s">
        <v>14011</v>
      </c>
      <c r="L3830" s="131" t="s">
        <v>100</v>
      </c>
      <c r="M3830" s="135" t="s">
        <v>845</v>
      </c>
      <c r="N3830" s="123" t="s">
        <v>845</v>
      </c>
    </row>
    <row r="3831" spans="2:14" hidden="1" x14ac:dyDescent="0.25">
      <c r="B3831" s="120">
        <v>3828</v>
      </c>
      <c r="C3831" s="123">
        <v>10463239768</v>
      </c>
      <c r="D3831" s="126" t="s">
        <v>14014</v>
      </c>
      <c r="E3831" s="126" t="s">
        <v>14015</v>
      </c>
      <c r="F3831" s="123" t="s">
        <v>30</v>
      </c>
      <c r="G3831" s="123" t="s">
        <v>30</v>
      </c>
      <c r="H3831" s="123" t="s">
        <v>110</v>
      </c>
      <c r="I3831" s="126" t="s">
        <v>1930</v>
      </c>
      <c r="J3831" s="123" t="s">
        <v>14016</v>
      </c>
      <c r="K3831" s="123" t="s">
        <v>14014</v>
      </c>
      <c r="L3831" s="131" t="s">
        <v>100</v>
      </c>
      <c r="M3831" s="135" t="s">
        <v>845</v>
      </c>
      <c r="N3831" s="123" t="s">
        <v>845</v>
      </c>
    </row>
    <row r="3832" spans="2:14" hidden="1" x14ac:dyDescent="0.25">
      <c r="B3832" s="120">
        <v>3829</v>
      </c>
      <c r="C3832" s="123">
        <v>10469367156</v>
      </c>
      <c r="D3832" s="126" t="s">
        <v>14017</v>
      </c>
      <c r="E3832" s="126" t="s">
        <v>14018</v>
      </c>
      <c r="F3832" s="123" t="s">
        <v>30</v>
      </c>
      <c r="G3832" s="123" t="s">
        <v>30</v>
      </c>
      <c r="H3832" s="123" t="s">
        <v>40</v>
      </c>
      <c r="I3832" s="126" t="s">
        <v>1931</v>
      </c>
      <c r="J3832" s="123" t="s">
        <v>14019</v>
      </c>
      <c r="K3832" s="123" t="s">
        <v>14017</v>
      </c>
      <c r="L3832" s="131" t="s">
        <v>100</v>
      </c>
      <c r="M3832" s="135" t="s">
        <v>845</v>
      </c>
      <c r="N3832" s="123" t="s">
        <v>845</v>
      </c>
    </row>
    <row r="3833" spans="2:14" hidden="1" x14ac:dyDescent="0.25">
      <c r="B3833" s="120">
        <v>3830</v>
      </c>
      <c r="C3833" s="123">
        <v>10708662700</v>
      </c>
      <c r="D3833" s="126" t="s">
        <v>14020</v>
      </c>
      <c r="E3833" s="126" t="s">
        <v>14021</v>
      </c>
      <c r="F3833" s="123" t="s">
        <v>30</v>
      </c>
      <c r="G3833" s="123" t="s">
        <v>30</v>
      </c>
      <c r="H3833" s="123" t="s">
        <v>58</v>
      </c>
      <c r="I3833" s="126" t="s">
        <v>10959</v>
      </c>
      <c r="J3833" s="123" t="s">
        <v>14022</v>
      </c>
      <c r="K3833" s="123" t="s">
        <v>14020</v>
      </c>
      <c r="L3833" s="131" t="s">
        <v>100</v>
      </c>
      <c r="M3833" s="135" t="s">
        <v>845</v>
      </c>
      <c r="N3833" s="123" t="s">
        <v>845</v>
      </c>
    </row>
    <row r="3834" spans="2:14" hidden="1" x14ac:dyDescent="0.25">
      <c r="B3834" s="120">
        <v>3831</v>
      </c>
      <c r="C3834" s="123">
        <v>10082144701</v>
      </c>
      <c r="D3834" s="126" t="s">
        <v>14023</v>
      </c>
      <c r="E3834" s="126" t="s">
        <v>14024</v>
      </c>
      <c r="F3834" s="123" t="s">
        <v>67</v>
      </c>
      <c r="G3834" s="123" t="s">
        <v>67</v>
      </c>
      <c r="H3834" s="123" t="s">
        <v>94</v>
      </c>
      <c r="I3834" s="126" t="s">
        <v>1701</v>
      </c>
      <c r="J3834" s="123" t="s">
        <v>14025</v>
      </c>
      <c r="K3834" s="123" t="s">
        <v>14023</v>
      </c>
      <c r="L3834" s="131" t="s">
        <v>100</v>
      </c>
      <c r="M3834" s="135" t="s">
        <v>845</v>
      </c>
      <c r="N3834" s="123" t="s">
        <v>845</v>
      </c>
    </row>
    <row r="3835" spans="2:14" hidden="1" x14ac:dyDescent="0.25">
      <c r="B3835" s="120">
        <v>3832</v>
      </c>
      <c r="C3835" s="123">
        <v>10434207211</v>
      </c>
      <c r="D3835" s="126" t="s">
        <v>14026</v>
      </c>
      <c r="E3835" s="126" t="s">
        <v>14027</v>
      </c>
      <c r="F3835" s="123" t="s">
        <v>30</v>
      </c>
      <c r="G3835" s="123" t="s">
        <v>30</v>
      </c>
      <c r="H3835" s="123" t="s">
        <v>40</v>
      </c>
      <c r="I3835" s="126" t="s">
        <v>1931</v>
      </c>
      <c r="J3835" s="123" t="s">
        <v>14028</v>
      </c>
      <c r="K3835" s="123" t="s">
        <v>14026</v>
      </c>
      <c r="L3835" s="131" t="s">
        <v>100</v>
      </c>
      <c r="M3835" s="135" t="s">
        <v>845</v>
      </c>
      <c r="N3835" s="123" t="s">
        <v>845</v>
      </c>
    </row>
    <row r="3836" spans="2:14" hidden="1" x14ac:dyDescent="0.25">
      <c r="B3836" s="120">
        <v>3833</v>
      </c>
      <c r="C3836" s="123">
        <v>10707646956</v>
      </c>
      <c r="D3836" s="126" t="s">
        <v>14029</v>
      </c>
      <c r="E3836" s="126" t="s">
        <v>14030</v>
      </c>
      <c r="F3836" s="123" t="s">
        <v>30</v>
      </c>
      <c r="G3836" s="123" t="s">
        <v>30</v>
      </c>
      <c r="H3836" s="123" t="s">
        <v>30</v>
      </c>
      <c r="I3836" s="126" t="s">
        <v>1805</v>
      </c>
      <c r="J3836" s="123" t="s">
        <v>14031</v>
      </c>
      <c r="K3836" s="123" t="s">
        <v>14029</v>
      </c>
      <c r="L3836" s="131" t="s">
        <v>100</v>
      </c>
      <c r="M3836" s="135" t="s">
        <v>845</v>
      </c>
      <c r="N3836" s="123" t="s">
        <v>845</v>
      </c>
    </row>
    <row r="3837" spans="2:14" hidden="1" x14ac:dyDescent="0.25">
      <c r="B3837" s="120">
        <v>3834</v>
      </c>
      <c r="C3837" s="123">
        <v>10465607764</v>
      </c>
      <c r="D3837" s="126" t="s">
        <v>14032</v>
      </c>
      <c r="E3837" s="126" t="s">
        <v>14033</v>
      </c>
      <c r="F3837" s="123" t="s">
        <v>30</v>
      </c>
      <c r="G3837" s="123" t="s">
        <v>30</v>
      </c>
      <c r="H3837" s="123" t="s">
        <v>50</v>
      </c>
      <c r="I3837" s="126" t="s">
        <v>7214</v>
      </c>
      <c r="J3837" s="123" t="s">
        <v>14034</v>
      </c>
      <c r="K3837" s="123" t="s">
        <v>14032</v>
      </c>
      <c r="L3837" s="131" t="s">
        <v>100</v>
      </c>
      <c r="M3837" s="135" t="s">
        <v>845</v>
      </c>
      <c r="N3837" s="123" t="s">
        <v>845</v>
      </c>
    </row>
    <row r="3838" spans="2:14" hidden="1" x14ac:dyDescent="0.25">
      <c r="B3838" s="120">
        <v>3835</v>
      </c>
      <c r="C3838" s="123">
        <v>10156148437</v>
      </c>
      <c r="D3838" s="126" t="s">
        <v>14035</v>
      </c>
      <c r="E3838" s="126" t="s">
        <v>14036</v>
      </c>
      <c r="F3838" s="123" t="s">
        <v>30</v>
      </c>
      <c r="G3838" s="123" t="s">
        <v>170</v>
      </c>
      <c r="H3838" s="123" t="s">
        <v>179</v>
      </c>
      <c r="I3838" s="126" t="s">
        <v>1424</v>
      </c>
      <c r="J3838" s="123" t="s">
        <v>14037</v>
      </c>
      <c r="K3838" s="123" t="s">
        <v>14038</v>
      </c>
      <c r="L3838" s="131" t="s">
        <v>100</v>
      </c>
      <c r="M3838" s="135" t="s">
        <v>845</v>
      </c>
      <c r="N3838" s="123" t="s">
        <v>845</v>
      </c>
    </row>
    <row r="3839" spans="2:14" hidden="1" x14ac:dyDescent="0.25">
      <c r="B3839" s="120">
        <v>3836</v>
      </c>
      <c r="C3839" s="123">
        <v>10783767177</v>
      </c>
      <c r="D3839" s="126" t="s">
        <v>14039</v>
      </c>
      <c r="E3839" s="126" t="s">
        <v>14040</v>
      </c>
      <c r="F3839" s="123" t="s">
        <v>67</v>
      </c>
      <c r="G3839" s="123" t="s">
        <v>67</v>
      </c>
      <c r="H3839" s="123" t="s">
        <v>94</v>
      </c>
      <c r="I3839" s="126" t="s">
        <v>1701</v>
      </c>
      <c r="J3839" s="123" t="s">
        <v>14041</v>
      </c>
      <c r="K3839" s="123" t="s">
        <v>14039</v>
      </c>
      <c r="L3839" s="131" t="s">
        <v>100</v>
      </c>
      <c r="M3839" s="135" t="s">
        <v>845</v>
      </c>
      <c r="N3839" s="123" t="s">
        <v>845</v>
      </c>
    </row>
    <row r="3840" spans="2:14" hidden="1" x14ac:dyDescent="0.25">
      <c r="B3840" s="120">
        <v>3837</v>
      </c>
      <c r="C3840" s="123">
        <v>10745666928</v>
      </c>
      <c r="D3840" s="126" t="s">
        <v>14042</v>
      </c>
      <c r="E3840" s="126" t="s">
        <v>14043</v>
      </c>
      <c r="F3840" s="123" t="s">
        <v>30</v>
      </c>
      <c r="G3840" s="123" t="s">
        <v>170</v>
      </c>
      <c r="H3840" s="123" t="s">
        <v>171</v>
      </c>
      <c r="I3840" s="126" t="s">
        <v>1424</v>
      </c>
      <c r="J3840" s="123" t="s">
        <v>14044</v>
      </c>
      <c r="K3840" s="123" t="s">
        <v>14042</v>
      </c>
      <c r="L3840" s="131" t="s">
        <v>100</v>
      </c>
      <c r="M3840" s="135" t="s">
        <v>845</v>
      </c>
      <c r="N3840" s="123" t="s">
        <v>845</v>
      </c>
    </row>
    <row r="3841" spans="2:14" hidden="1" x14ac:dyDescent="0.25">
      <c r="B3841" s="120">
        <v>3838</v>
      </c>
      <c r="C3841" s="123">
        <v>10464353475</v>
      </c>
      <c r="D3841" s="126" t="s">
        <v>14045</v>
      </c>
      <c r="E3841" s="126" t="s">
        <v>14046</v>
      </c>
      <c r="F3841" s="123" t="s">
        <v>30</v>
      </c>
      <c r="G3841" s="123" t="s">
        <v>30</v>
      </c>
      <c r="H3841" s="123" t="s">
        <v>45</v>
      </c>
      <c r="I3841" s="126" t="s">
        <v>1950</v>
      </c>
      <c r="J3841" s="123" t="s">
        <v>14047</v>
      </c>
      <c r="K3841" s="123" t="s">
        <v>14045</v>
      </c>
      <c r="L3841" s="131" t="s">
        <v>100</v>
      </c>
      <c r="M3841" s="135" t="s">
        <v>845</v>
      </c>
      <c r="N3841" s="123" t="s">
        <v>845</v>
      </c>
    </row>
    <row r="3842" spans="2:14" hidden="1" x14ac:dyDescent="0.25">
      <c r="B3842" s="120">
        <v>3839</v>
      </c>
      <c r="C3842" s="123">
        <v>10472268878</v>
      </c>
      <c r="D3842" s="126" t="s">
        <v>14048</v>
      </c>
      <c r="E3842" s="126" t="s">
        <v>14049</v>
      </c>
      <c r="F3842" s="123" t="s">
        <v>30</v>
      </c>
      <c r="G3842" s="123" t="s">
        <v>31</v>
      </c>
      <c r="H3842" s="123" t="s">
        <v>32</v>
      </c>
      <c r="I3842" s="126" t="s">
        <v>1701</v>
      </c>
      <c r="J3842" s="123" t="s">
        <v>14050</v>
      </c>
      <c r="K3842" s="123" t="s">
        <v>14048</v>
      </c>
      <c r="L3842" s="131" t="s">
        <v>100</v>
      </c>
      <c r="M3842" s="135" t="s">
        <v>845</v>
      </c>
      <c r="N3842" s="123" t="s">
        <v>845</v>
      </c>
    </row>
    <row r="3843" spans="2:14" hidden="1" x14ac:dyDescent="0.25">
      <c r="B3843" s="120">
        <v>3840</v>
      </c>
      <c r="C3843" s="123">
        <v>10443111269</v>
      </c>
      <c r="D3843" s="126" t="s">
        <v>14051</v>
      </c>
      <c r="E3843" s="126" t="s">
        <v>14052</v>
      </c>
      <c r="F3843" s="123" t="s">
        <v>30</v>
      </c>
      <c r="G3843" s="123" t="s">
        <v>30</v>
      </c>
      <c r="H3843" s="123" t="s">
        <v>34</v>
      </c>
      <c r="I3843" s="126" t="s">
        <v>1952</v>
      </c>
      <c r="J3843" s="123" t="s">
        <v>14053</v>
      </c>
      <c r="K3843" s="123" t="s">
        <v>14054</v>
      </c>
      <c r="L3843" s="131" t="s">
        <v>100</v>
      </c>
      <c r="M3843" s="135" t="s">
        <v>845</v>
      </c>
      <c r="N3843" s="123" t="s">
        <v>845</v>
      </c>
    </row>
    <row r="3844" spans="2:14" hidden="1" x14ac:dyDescent="0.25">
      <c r="B3844" s="120">
        <v>3841</v>
      </c>
      <c r="C3844" s="123">
        <v>10474726598</v>
      </c>
      <c r="D3844" s="126" t="s">
        <v>14055</v>
      </c>
      <c r="E3844" s="126" t="s">
        <v>14056</v>
      </c>
      <c r="F3844" s="123" t="s">
        <v>30</v>
      </c>
      <c r="G3844" s="123" t="s">
        <v>30</v>
      </c>
      <c r="H3844" s="123" t="s">
        <v>34</v>
      </c>
      <c r="I3844" s="126" t="s">
        <v>1950</v>
      </c>
      <c r="J3844" s="123" t="s">
        <v>14057</v>
      </c>
      <c r="K3844" s="123" t="s">
        <v>14055</v>
      </c>
      <c r="L3844" s="131" t="s">
        <v>100</v>
      </c>
      <c r="M3844" s="135" t="s">
        <v>845</v>
      </c>
      <c r="N3844" s="123" t="s">
        <v>845</v>
      </c>
    </row>
    <row r="3845" spans="2:14" hidden="1" x14ac:dyDescent="0.25">
      <c r="B3845" s="120">
        <v>3842</v>
      </c>
      <c r="C3845" s="123">
        <v>10471464011</v>
      </c>
      <c r="D3845" s="126" t="s">
        <v>14058</v>
      </c>
      <c r="E3845" s="126" t="s">
        <v>14059</v>
      </c>
      <c r="F3845" s="123" t="s">
        <v>30</v>
      </c>
      <c r="G3845" s="123" t="s">
        <v>30</v>
      </c>
      <c r="H3845" s="123" t="s">
        <v>72</v>
      </c>
      <c r="I3845" s="126" t="s">
        <v>1706</v>
      </c>
      <c r="J3845" s="123" t="s">
        <v>14060</v>
      </c>
      <c r="K3845" s="123" t="s">
        <v>14061</v>
      </c>
      <c r="L3845" s="131" t="s">
        <v>100</v>
      </c>
      <c r="M3845" s="135" t="s">
        <v>845</v>
      </c>
      <c r="N3845" s="123" t="s">
        <v>845</v>
      </c>
    </row>
    <row r="3846" spans="2:14" hidden="1" x14ac:dyDescent="0.25">
      <c r="B3846" s="120">
        <v>3843</v>
      </c>
      <c r="C3846" s="123">
        <v>10473687441</v>
      </c>
      <c r="D3846" s="126" t="s">
        <v>14062</v>
      </c>
      <c r="E3846" s="126" t="s">
        <v>14063</v>
      </c>
      <c r="F3846" s="123" t="s">
        <v>30</v>
      </c>
      <c r="G3846" s="123" t="s">
        <v>30</v>
      </c>
      <c r="H3846" s="123" t="s">
        <v>50</v>
      </c>
      <c r="I3846" s="126" t="s">
        <v>1701</v>
      </c>
      <c r="J3846" s="123" t="s">
        <v>14064</v>
      </c>
      <c r="K3846" s="123" t="s">
        <v>14062</v>
      </c>
      <c r="L3846" s="131" t="s">
        <v>100</v>
      </c>
      <c r="M3846" s="135" t="s">
        <v>845</v>
      </c>
      <c r="N3846" s="123" t="s">
        <v>845</v>
      </c>
    </row>
    <row r="3847" spans="2:14" hidden="1" x14ac:dyDescent="0.25">
      <c r="B3847" s="120">
        <v>3844</v>
      </c>
      <c r="C3847" s="123">
        <v>10438779952</v>
      </c>
      <c r="D3847" s="126" t="s">
        <v>14065</v>
      </c>
      <c r="E3847" s="126" t="s">
        <v>14066</v>
      </c>
      <c r="F3847" s="123" t="s">
        <v>30</v>
      </c>
      <c r="G3847" s="123" t="s">
        <v>170</v>
      </c>
      <c r="H3847" s="123" t="s">
        <v>170</v>
      </c>
      <c r="I3847" s="126" t="s">
        <v>1701</v>
      </c>
      <c r="J3847" s="123" t="s">
        <v>14067</v>
      </c>
      <c r="K3847" s="123" t="s">
        <v>14065</v>
      </c>
      <c r="L3847" s="131" t="s">
        <v>100</v>
      </c>
      <c r="M3847" s="135" t="s">
        <v>845</v>
      </c>
      <c r="N3847" s="123" t="s">
        <v>845</v>
      </c>
    </row>
    <row r="3848" spans="2:14" hidden="1" x14ac:dyDescent="0.25">
      <c r="B3848" s="120">
        <v>3845</v>
      </c>
      <c r="C3848" s="123">
        <v>10076965639</v>
      </c>
      <c r="D3848" s="126" t="s">
        <v>14068</v>
      </c>
      <c r="E3848" s="126" t="s">
        <v>14069</v>
      </c>
      <c r="F3848" s="123" t="s">
        <v>30</v>
      </c>
      <c r="G3848" s="123" t="s">
        <v>30</v>
      </c>
      <c r="H3848" s="123" t="s">
        <v>34</v>
      </c>
      <c r="I3848" s="126" t="s">
        <v>8674</v>
      </c>
      <c r="J3848" s="123" t="s">
        <v>14070</v>
      </c>
      <c r="K3848" s="123" t="s">
        <v>14068</v>
      </c>
      <c r="L3848" s="131" t="s">
        <v>100</v>
      </c>
      <c r="M3848" s="135" t="s">
        <v>845</v>
      </c>
      <c r="N3848" s="123" t="s">
        <v>845</v>
      </c>
    </row>
    <row r="3849" spans="2:14" hidden="1" x14ac:dyDescent="0.25">
      <c r="B3849" s="120">
        <v>3846</v>
      </c>
      <c r="C3849" s="123">
        <v>10092404311</v>
      </c>
      <c r="D3849" s="126" t="s">
        <v>14071</v>
      </c>
      <c r="E3849" s="126" t="s">
        <v>14072</v>
      </c>
      <c r="F3849" s="123" t="s">
        <v>30</v>
      </c>
      <c r="G3849" s="123" t="s">
        <v>30</v>
      </c>
      <c r="H3849" s="123" t="s">
        <v>43</v>
      </c>
      <c r="I3849" s="126" t="s">
        <v>14073</v>
      </c>
      <c r="J3849" s="123" t="s">
        <v>14074</v>
      </c>
      <c r="K3849" s="123" t="s">
        <v>14071</v>
      </c>
      <c r="L3849" s="131" t="s">
        <v>100</v>
      </c>
      <c r="M3849" s="135" t="s">
        <v>845</v>
      </c>
      <c r="N3849" s="123" t="s">
        <v>845</v>
      </c>
    </row>
    <row r="3850" spans="2:14" hidden="1" x14ac:dyDescent="0.25">
      <c r="B3850" s="120">
        <v>3847</v>
      </c>
      <c r="C3850" s="123">
        <v>10428451746</v>
      </c>
      <c r="D3850" s="126" t="s">
        <v>14075</v>
      </c>
      <c r="E3850" s="126" t="s">
        <v>14076</v>
      </c>
      <c r="F3850" s="123" t="s">
        <v>30</v>
      </c>
      <c r="G3850" s="123" t="s">
        <v>30</v>
      </c>
      <c r="H3850" s="123" t="s">
        <v>43</v>
      </c>
      <c r="I3850" s="126" t="s">
        <v>14077</v>
      </c>
      <c r="J3850" s="123" t="s">
        <v>14078</v>
      </c>
      <c r="K3850" s="123" t="s">
        <v>14075</v>
      </c>
      <c r="L3850" s="131" t="s">
        <v>100</v>
      </c>
      <c r="M3850" s="135" t="s">
        <v>845</v>
      </c>
      <c r="N3850" s="123" t="s">
        <v>845</v>
      </c>
    </row>
    <row r="3851" spans="2:14" hidden="1" x14ac:dyDescent="0.25">
      <c r="B3851" s="120">
        <v>3848</v>
      </c>
      <c r="C3851" s="123">
        <v>10469088770</v>
      </c>
      <c r="D3851" s="126" t="s">
        <v>14079</v>
      </c>
      <c r="E3851" s="126" t="s">
        <v>14080</v>
      </c>
      <c r="F3851" s="123" t="s">
        <v>30</v>
      </c>
      <c r="G3851" s="123" t="s">
        <v>30</v>
      </c>
      <c r="H3851" s="123" t="s">
        <v>75</v>
      </c>
      <c r="I3851" s="126" t="s">
        <v>1737</v>
      </c>
      <c r="J3851" s="123" t="s">
        <v>14081</v>
      </c>
      <c r="K3851" s="123" t="s">
        <v>14079</v>
      </c>
      <c r="L3851" s="131" t="s">
        <v>100</v>
      </c>
      <c r="M3851" s="135" t="s">
        <v>845</v>
      </c>
      <c r="N3851" s="123" t="s">
        <v>845</v>
      </c>
    </row>
    <row r="3852" spans="2:14" hidden="1" x14ac:dyDescent="0.25">
      <c r="B3852" s="120">
        <v>3849</v>
      </c>
      <c r="C3852" s="123">
        <v>10062127363</v>
      </c>
      <c r="D3852" s="126" t="s">
        <v>14082</v>
      </c>
      <c r="E3852" s="126" t="s">
        <v>14083</v>
      </c>
      <c r="F3852" s="123" t="s">
        <v>30</v>
      </c>
      <c r="G3852" s="123" t="s">
        <v>31</v>
      </c>
      <c r="H3852" s="123" t="s">
        <v>139</v>
      </c>
      <c r="I3852" s="126" t="s">
        <v>13409</v>
      </c>
      <c r="J3852" s="123" t="s">
        <v>14084</v>
      </c>
      <c r="K3852" s="123" t="s">
        <v>14082</v>
      </c>
      <c r="L3852" s="131" t="s">
        <v>100</v>
      </c>
      <c r="M3852" s="135" t="s">
        <v>845</v>
      </c>
      <c r="N3852" s="123" t="s">
        <v>845</v>
      </c>
    </row>
    <row r="3853" spans="2:14" hidden="1" x14ac:dyDescent="0.25">
      <c r="B3853" s="120">
        <v>3850</v>
      </c>
      <c r="C3853" s="123">
        <v>10068788817</v>
      </c>
      <c r="D3853" s="126" t="s">
        <v>14085</v>
      </c>
      <c r="E3853" s="126" t="s">
        <v>14086</v>
      </c>
      <c r="F3853" s="123" t="s">
        <v>30</v>
      </c>
      <c r="G3853" s="123" t="s">
        <v>30</v>
      </c>
      <c r="H3853" s="123" t="s">
        <v>50</v>
      </c>
      <c r="I3853" s="126" t="s">
        <v>1944</v>
      </c>
      <c r="J3853" s="123" t="s">
        <v>14087</v>
      </c>
      <c r="K3853" s="123" t="s">
        <v>14085</v>
      </c>
      <c r="L3853" s="131" t="s">
        <v>100</v>
      </c>
      <c r="M3853" s="135" t="s">
        <v>845</v>
      </c>
      <c r="N3853" s="123" t="s">
        <v>845</v>
      </c>
    </row>
    <row r="3854" spans="2:14" hidden="1" x14ac:dyDescent="0.25">
      <c r="B3854" s="120">
        <v>3851</v>
      </c>
      <c r="C3854" s="123">
        <v>10409954290</v>
      </c>
      <c r="D3854" s="126" t="s">
        <v>14088</v>
      </c>
      <c r="E3854" s="126" t="s">
        <v>14089</v>
      </c>
      <c r="F3854" s="123" t="s">
        <v>30</v>
      </c>
      <c r="G3854" s="123" t="s">
        <v>30</v>
      </c>
      <c r="H3854" s="123" t="s">
        <v>37</v>
      </c>
      <c r="I3854" s="126" t="s">
        <v>1655</v>
      </c>
      <c r="J3854" s="123" t="s">
        <v>14090</v>
      </c>
      <c r="K3854" s="123" t="s">
        <v>14088</v>
      </c>
      <c r="L3854" s="131" t="s">
        <v>100</v>
      </c>
      <c r="M3854" s="135" t="s">
        <v>845</v>
      </c>
      <c r="N3854" s="123" t="s">
        <v>845</v>
      </c>
    </row>
    <row r="3855" spans="2:14" hidden="1" x14ac:dyDescent="0.25">
      <c r="B3855" s="120">
        <v>3852</v>
      </c>
      <c r="C3855" s="123">
        <v>10477763371</v>
      </c>
      <c r="D3855" s="126" t="s">
        <v>14091</v>
      </c>
      <c r="E3855" s="126" t="s">
        <v>14092</v>
      </c>
      <c r="F3855" s="123" t="s">
        <v>30</v>
      </c>
      <c r="G3855" s="123" t="s">
        <v>30</v>
      </c>
      <c r="H3855" s="123" t="s">
        <v>41</v>
      </c>
      <c r="I3855" s="126" t="s">
        <v>1930</v>
      </c>
      <c r="J3855" s="123" t="s">
        <v>14093</v>
      </c>
      <c r="K3855" s="123" t="s">
        <v>14094</v>
      </c>
      <c r="L3855" s="131" t="s">
        <v>100</v>
      </c>
      <c r="M3855" s="135" t="s">
        <v>845</v>
      </c>
      <c r="N3855" s="123" t="s">
        <v>845</v>
      </c>
    </row>
    <row r="3856" spans="2:14" hidden="1" x14ac:dyDescent="0.25">
      <c r="B3856" s="120">
        <v>3853</v>
      </c>
      <c r="C3856" s="123">
        <v>10088833932</v>
      </c>
      <c r="D3856" s="126" t="s">
        <v>14095</v>
      </c>
      <c r="E3856" s="126" t="s">
        <v>14096</v>
      </c>
      <c r="F3856" s="123" t="s">
        <v>30</v>
      </c>
      <c r="G3856" s="123" t="s">
        <v>30</v>
      </c>
      <c r="H3856" s="123" t="s">
        <v>250</v>
      </c>
      <c r="I3856" s="126" t="s">
        <v>1950</v>
      </c>
      <c r="J3856" s="123" t="s">
        <v>14097</v>
      </c>
      <c r="K3856" s="123" t="s">
        <v>14098</v>
      </c>
      <c r="L3856" s="131" t="s">
        <v>100</v>
      </c>
      <c r="M3856" s="135" t="s">
        <v>845</v>
      </c>
      <c r="N3856" s="123" t="s">
        <v>845</v>
      </c>
    </row>
    <row r="3857" spans="2:14" hidden="1" x14ac:dyDescent="0.25">
      <c r="B3857" s="120">
        <v>3854</v>
      </c>
      <c r="C3857" s="123">
        <v>10475106429</v>
      </c>
      <c r="D3857" s="126" t="s">
        <v>14099</v>
      </c>
      <c r="E3857" s="126" t="s">
        <v>14100</v>
      </c>
      <c r="F3857" s="123" t="s">
        <v>30</v>
      </c>
      <c r="G3857" s="123" t="s">
        <v>30</v>
      </c>
      <c r="H3857" s="123" t="s">
        <v>38</v>
      </c>
      <c r="I3857" s="126" t="s">
        <v>11633</v>
      </c>
      <c r="J3857" s="123" t="s">
        <v>14101</v>
      </c>
      <c r="K3857" s="123" t="s">
        <v>14099</v>
      </c>
      <c r="L3857" s="131" t="s">
        <v>100</v>
      </c>
      <c r="M3857" s="135" t="s">
        <v>845</v>
      </c>
      <c r="N3857" s="123" t="s">
        <v>845</v>
      </c>
    </row>
    <row r="3858" spans="2:14" hidden="1" x14ac:dyDescent="0.25">
      <c r="B3858" s="120">
        <v>3855</v>
      </c>
      <c r="C3858" s="123">
        <v>10774708770</v>
      </c>
      <c r="D3858" s="126" t="s">
        <v>14102</v>
      </c>
      <c r="E3858" s="126" t="s">
        <v>14103</v>
      </c>
      <c r="F3858" s="123" t="s">
        <v>30</v>
      </c>
      <c r="G3858" s="123" t="s">
        <v>30</v>
      </c>
      <c r="H3858" s="123" t="s">
        <v>38</v>
      </c>
      <c r="I3858" s="126" t="s">
        <v>10867</v>
      </c>
      <c r="J3858" s="123" t="s">
        <v>14104</v>
      </c>
      <c r="K3858" s="123" t="s">
        <v>14102</v>
      </c>
      <c r="L3858" s="131" t="s">
        <v>100</v>
      </c>
      <c r="M3858" s="135" t="s">
        <v>845</v>
      </c>
      <c r="N3858" s="123" t="s">
        <v>845</v>
      </c>
    </row>
    <row r="3859" spans="2:14" hidden="1" x14ac:dyDescent="0.25">
      <c r="B3859" s="120">
        <v>3856</v>
      </c>
      <c r="C3859" s="123">
        <v>10434098993</v>
      </c>
      <c r="D3859" s="126" t="s">
        <v>14105</v>
      </c>
      <c r="E3859" s="126" t="s">
        <v>14106</v>
      </c>
      <c r="F3859" s="123" t="s">
        <v>30</v>
      </c>
      <c r="G3859" s="123" t="s">
        <v>170</v>
      </c>
      <c r="H3859" s="123" t="s">
        <v>174</v>
      </c>
      <c r="I3859" s="126" t="s">
        <v>8825</v>
      </c>
      <c r="J3859" s="123" t="s">
        <v>14107</v>
      </c>
      <c r="K3859" s="123" t="s">
        <v>14105</v>
      </c>
      <c r="L3859" s="131" t="s">
        <v>100</v>
      </c>
      <c r="M3859" s="135" t="s">
        <v>845</v>
      </c>
      <c r="N3859" s="123" t="s">
        <v>845</v>
      </c>
    </row>
    <row r="3860" spans="2:14" hidden="1" x14ac:dyDescent="0.25">
      <c r="B3860" s="120">
        <v>3857</v>
      </c>
      <c r="C3860" s="123">
        <v>10153791703</v>
      </c>
      <c r="D3860" s="126" t="s">
        <v>14108</v>
      </c>
      <c r="E3860" s="126" t="s">
        <v>14109</v>
      </c>
      <c r="F3860" s="123" t="s">
        <v>30</v>
      </c>
      <c r="G3860" s="123" t="s">
        <v>31</v>
      </c>
      <c r="H3860" s="123" t="s">
        <v>139</v>
      </c>
      <c r="I3860" s="126" t="s">
        <v>10025</v>
      </c>
      <c r="J3860" s="123" t="s">
        <v>14110</v>
      </c>
      <c r="K3860" s="123" t="s">
        <v>14108</v>
      </c>
      <c r="L3860" s="131" t="s">
        <v>100</v>
      </c>
      <c r="M3860" s="135" t="s">
        <v>845</v>
      </c>
      <c r="N3860" s="123" t="s">
        <v>845</v>
      </c>
    </row>
    <row r="3861" spans="2:14" hidden="1" x14ac:dyDescent="0.25">
      <c r="B3861" s="120">
        <v>3858</v>
      </c>
      <c r="C3861" s="123">
        <v>10316615347</v>
      </c>
      <c r="D3861" s="126" t="s">
        <v>14111</v>
      </c>
      <c r="E3861" s="126" t="s">
        <v>14112</v>
      </c>
      <c r="F3861" s="123" t="s">
        <v>30</v>
      </c>
      <c r="G3861" s="123" t="s">
        <v>30</v>
      </c>
      <c r="H3861" s="123" t="s">
        <v>50</v>
      </c>
      <c r="I3861" s="126" t="s">
        <v>1933</v>
      </c>
      <c r="J3861" s="123" t="s">
        <v>6203</v>
      </c>
      <c r="K3861" s="123" t="s">
        <v>14113</v>
      </c>
      <c r="L3861" s="131" t="s">
        <v>100</v>
      </c>
      <c r="M3861" s="135" t="s">
        <v>845</v>
      </c>
      <c r="N3861" s="123" t="s">
        <v>845</v>
      </c>
    </row>
    <row r="3862" spans="2:14" hidden="1" x14ac:dyDescent="0.25">
      <c r="B3862" s="120">
        <v>3859</v>
      </c>
      <c r="C3862" s="123">
        <v>10085507171</v>
      </c>
      <c r="D3862" s="126" t="s">
        <v>14114</v>
      </c>
      <c r="E3862" s="126" t="s">
        <v>14115</v>
      </c>
      <c r="F3862" s="123" t="s">
        <v>30</v>
      </c>
      <c r="G3862" s="123" t="s">
        <v>30</v>
      </c>
      <c r="H3862" s="123" t="s">
        <v>72</v>
      </c>
      <c r="I3862" s="126" t="s">
        <v>1931</v>
      </c>
      <c r="J3862" s="123" t="s">
        <v>14116</v>
      </c>
      <c r="K3862" s="123" t="s">
        <v>14114</v>
      </c>
      <c r="L3862" s="131" t="s">
        <v>100</v>
      </c>
      <c r="M3862" s="135" t="s">
        <v>845</v>
      </c>
      <c r="N3862" s="123" t="s">
        <v>845</v>
      </c>
    </row>
    <row r="3863" spans="2:14" hidden="1" x14ac:dyDescent="0.25">
      <c r="B3863" s="120">
        <v>3860</v>
      </c>
      <c r="C3863" s="123">
        <v>10466156341</v>
      </c>
      <c r="D3863" s="126" t="s">
        <v>14117</v>
      </c>
      <c r="E3863" s="126" t="s">
        <v>14118</v>
      </c>
      <c r="F3863" s="123" t="s">
        <v>30</v>
      </c>
      <c r="G3863" s="123" t="s">
        <v>30</v>
      </c>
      <c r="H3863" s="123" t="s">
        <v>30</v>
      </c>
      <c r="I3863" s="126" t="s">
        <v>1930</v>
      </c>
      <c r="J3863" s="123" t="s">
        <v>14119</v>
      </c>
      <c r="K3863" s="123" t="s">
        <v>14120</v>
      </c>
      <c r="L3863" s="131" t="s">
        <v>100</v>
      </c>
      <c r="M3863" s="135" t="s">
        <v>845</v>
      </c>
      <c r="N3863" s="123" t="s">
        <v>845</v>
      </c>
    </row>
    <row r="3864" spans="2:14" hidden="1" x14ac:dyDescent="0.25">
      <c r="B3864" s="120">
        <v>3861</v>
      </c>
      <c r="C3864" s="123">
        <v>10706183359</v>
      </c>
      <c r="D3864" s="126" t="s">
        <v>14121</v>
      </c>
      <c r="E3864" s="126" t="s">
        <v>14122</v>
      </c>
      <c r="F3864" s="123" t="s">
        <v>30</v>
      </c>
      <c r="G3864" s="123" t="s">
        <v>170</v>
      </c>
      <c r="H3864" s="123" t="s">
        <v>171</v>
      </c>
      <c r="I3864" s="126" t="s">
        <v>1933</v>
      </c>
      <c r="J3864" s="123" t="s">
        <v>14123</v>
      </c>
      <c r="K3864" s="123" t="s">
        <v>14121</v>
      </c>
      <c r="L3864" s="131" t="s">
        <v>100</v>
      </c>
      <c r="M3864" s="135" t="s">
        <v>845</v>
      </c>
      <c r="N3864" s="123" t="s">
        <v>845</v>
      </c>
    </row>
    <row r="3865" spans="2:14" hidden="1" x14ac:dyDescent="0.25">
      <c r="B3865" s="120">
        <v>3862</v>
      </c>
      <c r="C3865" s="123">
        <v>10316826704</v>
      </c>
      <c r="D3865" s="126" t="s">
        <v>14124</v>
      </c>
      <c r="E3865" s="126" t="s">
        <v>14125</v>
      </c>
      <c r="F3865" s="123" t="s">
        <v>30</v>
      </c>
      <c r="G3865" s="123" t="s">
        <v>30</v>
      </c>
      <c r="H3865" s="123" t="s">
        <v>30</v>
      </c>
      <c r="I3865" s="126" t="s">
        <v>14126</v>
      </c>
      <c r="J3865" s="123" t="s">
        <v>14127</v>
      </c>
      <c r="K3865" s="123" t="s">
        <v>14128</v>
      </c>
      <c r="L3865" s="131" t="s">
        <v>100</v>
      </c>
      <c r="M3865" s="135" t="s">
        <v>845</v>
      </c>
      <c r="N3865" s="123" t="s">
        <v>845</v>
      </c>
    </row>
    <row r="3866" spans="2:14" hidden="1" x14ac:dyDescent="0.25">
      <c r="B3866" s="120">
        <v>3863</v>
      </c>
      <c r="C3866" s="123">
        <v>10098082811</v>
      </c>
      <c r="D3866" s="126" t="s">
        <v>14129</v>
      </c>
      <c r="E3866" s="126" t="s">
        <v>14130</v>
      </c>
      <c r="F3866" s="123" t="s">
        <v>30</v>
      </c>
      <c r="G3866" s="123" t="s">
        <v>30</v>
      </c>
      <c r="H3866" s="123" t="s">
        <v>52</v>
      </c>
      <c r="I3866" s="126" t="s">
        <v>1960</v>
      </c>
      <c r="J3866" s="123" t="s">
        <v>14131</v>
      </c>
      <c r="K3866" s="123" t="s">
        <v>14129</v>
      </c>
      <c r="L3866" s="131" t="s">
        <v>100</v>
      </c>
      <c r="M3866" s="135" t="s">
        <v>845</v>
      </c>
      <c r="N3866" s="123" t="s">
        <v>845</v>
      </c>
    </row>
    <row r="3867" spans="2:14" hidden="1" x14ac:dyDescent="0.25">
      <c r="B3867" s="120">
        <v>3864</v>
      </c>
      <c r="C3867" s="123">
        <v>10098620198</v>
      </c>
      <c r="D3867" s="126" t="s">
        <v>14132</v>
      </c>
      <c r="E3867" s="126" t="s">
        <v>14133</v>
      </c>
      <c r="F3867" s="123" t="s">
        <v>30</v>
      </c>
      <c r="G3867" s="123" t="s">
        <v>30</v>
      </c>
      <c r="H3867" s="123" t="s">
        <v>45</v>
      </c>
      <c r="I3867" s="126" t="s">
        <v>1931</v>
      </c>
      <c r="J3867" s="123" t="s">
        <v>14134</v>
      </c>
      <c r="K3867" s="123" t="s">
        <v>14132</v>
      </c>
      <c r="L3867" s="131" t="s">
        <v>100</v>
      </c>
      <c r="M3867" s="135" t="s">
        <v>845</v>
      </c>
      <c r="N3867" s="123" t="s">
        <v>845</v>
      </c>
    </row>
    <row r="3868" spans="2:14" hidden="1" x14ac:dyDescent="0.25">
      <c r="B3868" s="120">
        <v>3865</v>
      </c>
      <c r="C3868" s="123">
        <v>10001070822</v>
      </c>
      <c r="D3868" s="126" t="s">
        <v>14135</v>
      </c>
      <c r="E3868" s="126" t="s">
        <v>14136</v>
      </c>
      <c r="F3868" s="123" t="s">
        <v>30</v>
      </c>
      <c r="G3868" s="123" t="s">
        <v>30</v>
      </c>
      <c r="H3868" s="123" t="s">
        <v>34</v>
      </c>
      <c r="I3868" s="126" t="s">
        <v>1936</v>
      </c>
      <c r="J3868" s="123" t="s">
        <v>14137</v>
      </c>
      <c r="K3868" s="123" t="s">
        <v>14135</v>
      </c>
      <c r="L3868" s="131" t="s">
        <v>100</v>
      </c>
      <c r="M3868" s="135" t="s">
        <v>845</v>
      </c>
      <c r="N3868" s="123" t="s">
        <v>845</v>
      </c>
    </row>
    <row r="3869" spans="2:14" hidden="1" x14ac:dyDescent="0.25">
      <c r="B3869" s="120">
        <v>3866</v>
      </c>
      <c r="C3869" s="123">
        <v>10721456582</v>
      </c>
      <c r="D3869" s="126" t="s">
        <v>14138</v>
      </c>
      <c r="E3869" s="126" t="s">
        <v>14139</v>
      </c>
      <c r="F3869" s="123" t="s">
        <v>30</v>
      </c>
      <c r="G3869" s="123" t="s">
        <v>30</v>
      </c>
      <c r="H3869" s="123" t="s">
        <v>64</v>
      </c>
      <c r="I3869" s="126" t="s">
        <v>1701</v>
      </c>
      <c r="J3869" s="123" t="s">
        <v>14140</v>
      </c>
      <c r="K3869" s="123" t="s">
        <v>14138</v>
      </c>
      <c r="L3869" s="131" t="s">
        <v>100</v>
      </c>
      <c r="M3869" s="135" t="s">
        <v>845</v>
      </c>
      <c r="N3869" s="123" t="s">
        <v>845</v>
      </c>
    </row>
    <row r="3870" spans="2:14" hidden="1" x14ac:dyDescent="0.25">
      <c r="B3870" s="120">
        <v>3867</v>
      </c>
      <c r="C3870" s="123">
        <v>10408250311</v>
      </c>
      <c r="D3870" s="126" t="s">
        <v>14141</v>
      </c>
      <c r="E3870" s="126" t="s">
        <v>14142</v>
      </c>
      <c r="F3870" s="123" t="s">
        <v>30</v>
      </c>
      <c r="G3870" s="123" t="s">
        <v>30</v>
      </c>
      <c r="H3870" s="123" t="s">
        <v>43</v>
      </c>
      <c r="I3870" s="126" t="s">
        <v>9340</v>
      </c>
      <c r="J3870" s="123" t="s">
        <v>14143</v>
      </c>
      <c r="K3870" s="123" t="s">
        <v>14141</v>
      </c>
      <c r="L3870" s="131" t="s">
        <v>100</v>
      </c>
      <c r="M3870" s="135" t="s">
        <v>845</v>
      </c>
      <c r="N3870" s="123" t="s">
        <v>845</v>
      </c>
    </row>
    <row r="3871" spans="2:14" hidden="1" x14ac:dyDescent="0.25">
      <c r="B3871" s="120">
        <v>3868</v>
      </c>
      <c r="C3871" s="123">
        <v>10402606512</v>
      </c>
      <c r="D3871" s="126" t="s">
        <v>14144</v>
      </c>
      <c r="E3871" s="126" t="s">
        <v>14145</v>
      </c>
      <c r="F3871" s="123" t="s">
        <v>30</v>
      </c>
      <c r="G3871" s="123" t="s">
        <v>30</v>
      </c>
      <c r="H3871" s="123" t="s">
        <v>43</v>
      </c>
      <c r="I3871" s="126" t="s">
        <v>1931</v>
      </c>
      <c r="J3871" s="123" t="s">
        <v>14146</v>
      </c>
      <c r="K3871" s="123" t="s">
        <v>14144</v>
      </c>
      <c r="L3871" s="131" t="s">
        <v>100</v>
      </c>
      <c r="M3871" s="135" t="s">
        <v>845</v>
      </c>
      <c r="N3871" s="123" t="s">
        <v>845</v>
      </c>
    </row>
    <row r="3872" spans="2:14" hidden="1" x14ac:dyDescent="0.25">
      <c r="B3872" s="120">
        <v>3869</v>
      </c>
      <c r="C3872" s="123">
        <v>10156942401</v>
      </c>
      <c r="D3872" s="126" t="s">
        <v>14147</v>
      </c>
      <c r="E3872" s="126" t="s">
        <v>14148</v>
      </c>
      <c r="F3872" s="123" t="s">
        <v>30</v>
      </c>
      <c r="G3872" s="123" t="s">
        <v>170</v>
      </c>
      <c r="H3872" s="123" t="s">
        <v>174</v>
      </c>
      <c r="I3872" s="126" t="s">
        <v>1961</v>
      </c>
      <c r="J3872" s="123" t="s">
        <v>14149</v>
      </c>
      <c r="K3872" s="123" t="s">
        <v>14150</v>
      </c>
      <c r="L3872" s="131" t="s">
        <v>100</v>
      </c>
      <c r="M3872" s="135" t="s">
        <v>845</v>
      </c>
      <c r="N3872" s="123" t="s">
        <v>845</v>
      </c>
    </row>
    <row r="3873" spans="2:14" hidden="1" x14ac:dyDescent="0.25">
      <c r="B3873" s="120">
        <v>3870</v>
      </c>
      <c r="C3873" s="123">
        <v>10468279148</v>
      </c>
      <c r="D3873" s="126" t="s">
        <v>14151</v>
      </c>
      <c r="E3873" s="126" t="s">
        <v>14152</v>
      </c>
      <c r="F3873" s="123" t="s">
        <v>30</v>
      </c>
      <c r="G3873" s="123" t="s">
        <v>30</v>
      </c>
      <c r="H3873" s="123" t="s">
        <v>30</v>
      </c>
      <c r="I3873" s="126" t="s">
        <v>1564</v>
      </c>
      <c r="J3873" s="123" t="s">
        <v>14153</v>
      </c>
      <c r="K3873" s="123" t="s">
        <v>14154</v>
      </c>
      <c r="L3873" s="131" t="s">
        <v>100</v>
      </c>
      <c r="M3873" s="135" t="s">
        <v>845</v>
      </c>
      <c r="N3873" s="123" t="s">
        <v>845</v>
      </c>
    </row>
    <row r="3874" spans="2:14" hidden="1" x14ac:dyDescent="0.25">
      <c r="B3874" s="120">
        <v>3871</v>
      </c>
      <c r="C3874" s="123">
        <v>10700942088</v>
      </c>
      <c r="D3874" s="126" t="s">
        <v>14155</v>
      </c>
      <c r="E3874" s="126" t="s">
        <v>14156</v>
      </c>
      <c r="F3874" s="123" t="s">
        <v>30</v>
      </c>
      <c r="G3874" s="123" t="s">
        <v>30</v>
      </c>
      <c r="H3874" s="123" t="s">
        <v>85</v>
      </c>
      <c r="I3874" s="126" t="s">
        <v>1701</v>
      </c>
      <c r="J3874" s="123" t="s">
        <v>14157</v>
      </c>
      <c r="K3874" s="123" t="s">
        <v>14155</v>
      </c>
      <c r="L3874" s="131" t="s">
        <v>100</v>
      </c>
      <c r="M3874" s="135" t="s">
        <v>845</v>
      </c>
      <c r="N3874" s="123" t="s">
        <v>845</v>
      </c>
    </row>
    <row r="3875" spans="2:14" hidden="1" x14ac:dyDescent="0.25">
      <c r="B3875" s="120">
        <v>3872</v>
      </c>
      <c r="C3875" s="123">
        <v>10462957756</v>
      </c>
      <c r="D3875" s="126" t="s">
        <v>14158</v>
      </c>
      <c r="E3875" s="126" t="s">
        <v>14159</v>
      </c>
      <c r="F3875" s="123" t="s">
        <v>30</v>
      </c>
      <c r="G3875" s="123" t="s">
        <v>30</v>
      </c>
      <c r="H3875" s="123" t="s">
        <v>60</v>
      </c>
      <c r="I3875" s="126" t="s">
        <v>1701</v>
      </c>
      <c r="J3875" s="123" t="s">
        <v>14160</v>
      </c>
      <c r="K3875" s="123" t="s">
        <v>14158</v>
      </c>
      <c r="L3875" s="131" t="s">
        <v>100</v>
      </c>
      <c r="M3875" s="135" t="s">
        <v>845</v>
      </c>
      <c r="N3875" s="123" t="s">
        <v>845</v>
      </c>
    </row>
    <row r="3876" spans="2:14" hidden="1" x14ac:dyDescent="0.25">
      <c r="B3876" s="120">
        <v>3873</v>
      </c>
      <c r="C3876" s="123">
        <v>10099556469</v>
      </c>
      <c r="D3876" s="126" t="s">
        <v>14161</v>
      </c>
      <c r="E3876" s="126" t="s">
        <v>14162</v>
      </c>
      <c r="F3876" s="123" t="s">
        <v>30</v>
      </c>
      <c r="G3876" s="123" t="s">
        <v>30</v>
      </c>
      <c r="H3876" s="123" t="s">
        <v>30</v>
      </c>
      <c r="I3876" s="126" t="s">
        <v>1941</v>
      </c>
      <c r="J3876" s="123" t="s">
        <v>14163</v>
      </c>
      <c r="K3876" s="123" t="s">
        <v>14161</v>
      </c>
      <c r="L3876" s="131" t="s">
        <v>100</v>
      </c>
      <c r="M3876" s="135" t="s">
        <v>845</v>
      </c>
      <c r="N3876" s="123" t="s">
        <v>845</v>
      </c>
    </row>
    <row r="3877" spans="2:14" hidden="1" x14ac:dyDescent="0.25">
      <c r="B3877" s="120">
        <v>3874</v>
      </c>
      <c r="C3877" s="123">
        <v>10071651563</v>
      </c>
      <c r="D3877" s="126" t="s">
        <v>14164</v>
      </c>
      <c r="E3877" s="126" t="s">
        <v>14165</v>
      </c>
      <c r="F3877" s="123" t="s">
        <v>30</v>
      </c>
      <c r="G3877" s="123" t="s">
        <v>30</v>
      </c>
      <c r="H3877" s="123" t="s">
        <v>88</v>
      </c>
      <c r="I3877" s="126" t="s">
        <v>14166</v>
      </c>
      <c r="J3877" s="123" t="s">
        <v>14167</v>
      </c>
      <c r="K3877" s="123" t="s">
        <v>14168</v>
      </c>
      <c r="L3877" s="131" t="s">
        <v>100</v>
      </c>
      <c r="M3877" s="135" t="s">
        <v>845</v>
      </c>
      <c r="N3877" s="123" t="s">
        <v>845</v>
      </c>
    </row>
    <row r="3878" spans="2:14" hidden="1" x14ac:dyDescent="0.25">
      <c r="B3878" s="120">
        <v>3875</v>
      </c>
      <c r="C3878" s="123">
        <v>10415455742</v>
      </c>
      <c r="D3878" s="126" t="s">
        <v>14169</v>
      </c>
      <c r="E3878" s="126" t="s">
        <v>14170</v>
      </c>
      <c r="F3878" s="123" t="s">
        <v>30</v>
      </c>
      <c r="G3878" s="123" t="s">
        <v>30</v>
      </c>
      <c r="H3878" s="123" t="s">
        <v>45</v>
      </c>
      <c r="I3878" s="126" t="s">
        <v>1701</v>
      </c>
      <c r="J3878" s="123" t="s">
        <v>14171</v>
      </c>
      <c r="K3878" s="123" t="s">
        <v>14169</v>
      </c>
      <c r="L3878" s="131" t="s">
        <v>100</v>
      </c>
      <c r="M3878" s="135" t="s">
        <v>845</v>
      </c>
      <c r="N3878" s="123" t="s">
        <v>845</v>
      </c>
    </row>
    <row r="3879" spans="2:14" hidden="1" x14ac:dyDescent="0.25">
      <c r="B3879" s="120">
        <v>3876</v>
      </c>
      <c r="C3879" s="123">
        <v>10100776231</v>
      </c>
      <c r="D3879" s="126" t="s">
        <v>14172</v>
      </c>
      <c r="E3879" s="126" t="s">
        <v>14173</v>
      </c>
      <c r="F3879" s="123" t="s">
        <v>30</v>
      </c>
      <c r="G3879" s="123" t="s">
        <v>30</v>
      </c>
      <c r="H3879" s="123" t="s">
        <v>68</v>
      </c>
      <c r="I3879" s="126" t="s">
        <v>11197</v>
      </c>
      <c r="J3879" s="123" t="s">
        <v>14174</v>
      </c>
      <c r="K3879" s="123" t="s">
        <v>14172</v>
      </c>
      <c r="L3879" s="131" t="s">
        <v>100</v>
      </c>
      <c r="M3879" s="135" t="s">
        <v>845</v>
      </c>
      <c r="N3879" s="123" t="s">
        <v>845</v>
      </c>
    </row>
    <row r="3880" spans="2:14" hidden="1" x14ac:dyDescent="0.25">
      <c r="B3880" s="120">
        <v>3877</v>
      </c>
      <c r="C3880" s="123">
        <v>10415482812</v>
      </c>
      <c r="D3880" s="126" t="s">
        <v>14175</v>
      </c>
      <c r="E3880" s="126" t="s">
        <v>14176</v>
      </c>
      <c r="F3880" s="123" t="s">
        <v>30</v>
      </c>
      <c r="G3880" s="123" t="s">
        <v>30</v>
      </c>
      <c r="H3880" s="123" t="s">
        <v>75</v>
      </c>
      <c r="I3880" s="126" t="s">
        <v>1737</v>
      </c>
      <c r="J3880" s="123" t="s">
        <v>14177</v>
      </c>
      <c r="K3880" s="123" t="s">
        <v>14175</v>
      </c>
      <c r="L3880" s="131" t="s">
        <v>100</v>
      </c>
      <c r="M3880" s="135" t="s">
        <v>845</v>
      </c>
      <c r="N3880" s="123" t="s">
        <v>845</v>
      </c>
    </row>
    <row r="3881" spans="2:14" hidden="1" x14ac:dyDescent="0.25">
      <c r="B3881" s="120">
        <v>3878</v>
      </c>
      <c r="C3881" s="123">
        <v>10157425264</v>
      </c>
      <c r="D3881" s="126" t="s">
        <v>14178</v>
      </c>
      <c r="E3881" s="126" t="s">
        <v>14179</v>
      </c>
      <c r="F3881" s="123" t="s">
        <v>30</v>
      </c>
      <c r="G3881" s="123" t="s">
        <v>170</v>
      </c>
      <c r="H3881" s="123" t="s">
        <v>174</v>
      </c>
      <c r="I3881" s="126" t="s">
        <v>1701</v>
      </c>
      <c r="J3881" s="123" t="s">
        <v>14180</v>
      </c>
      <c r="K3881" s="123" t="s">
        <v>14178</v>
      </c>
      <c r="L3881" s="131" t="s">
        <v>100</v>
      </c>
      <c r="M3881" s="135" t="s">
        <v>845</v>
      </c>
      <c r="N3881" s="123" t="s">
        <v>845</v>
      </c>
    </row>
    <row r="3882" spans="2:14" hidden="1" x14ac:dyDescent="0.25">
      <c r="B3882" s="120">
        <v>3879</v>
      </c>
      <c r="C3882" s="123">
        <v>10431179364</v>
      </c>
      <c r="D3882" s="126" t="s">
        <v>14181</v>
      </c>
      <c r="E3882" s="126" t="s">
        <v>14182</v>
      </c>
      <c r="F3882" s="123" t="s">
        <v>30</v>
      </c>
      <c r="G3882" s="123" t="s">
        <v>30</v>
      </c>
      <c r="H3882" s="123" t="s">
        <v>60</v>
      </c>
      <c r="I3882" s="126" t="s">
        <v>14183</v>
      </c>
      <c r="J3882" s="123" t="s">
        <v>14184</v>
      </c>
      <c r="K3882" s="123" t="s">
        <v>14185</v>
      </c>
      <c r="L3882" s="131" t="s">
        <v>100</v>
      </c>
      <c r="M3882" s="135" t="s">
        <v>845</v>
      </c>
      <c r="N3882" s="123" t="s">
        <v>845</v>
      </c>
    </row>
    <row r="3883" spans="2:14" hidden="1" x14ac:dyDescent="0.25">
      <c r="B3883" s="120">
        <v>3880</v>
      </c>
      <c r="C3883" s="123">
        <v>10018190147</v>
      </c>
      <c r="D3883" s="126" t="s">
        <v>14186</v>
      </c>
      <c r="E3883" s="126" t="s">
        <v>14187</v>
      </c>
      <c r="F3883" s="123" t="s">
        <v>30</v>
      </c>
      <c r="G3883" s="123" t="s">
        <v>30</v>
      </c>
      <c r="H3883" s="123" t="s">
        <v>51</v>
      </c>
      <c r="I3883" s="126" t="s">
        <v>1931</v>
      </c>
      <c r="J3883" s="123" t="s">
        <v>14188</v>
      </c>
      <c r="K3883" s="123" t="s">
        <v>14186</v>
      </c>
      <c r="L3883" s="131" t="s">
        <v>100</v>
      </c>
      <c r="M3883" s="135" t="s">
        <v>845</v>
      </c>
      <c r="N3883" s="123" t="s">
        <v>845</v>
      </c>
    </row>
    <row r="3884" spans="2:14" hidden="1" x14ac:dyDescent="0.25">
      <c r="B3884" s="120">
        <v>3881</v>
      </c>
      <c r="C3884" s="123">
        <v>10702505688</v>
      </c>
      <c r="D3884" s="126" t="s">
        <v>14189</v>
      </c>
      <c r="E3884" s="126" t="s">
        <v>14190</v>
      </c>
      <c r="F3884" s="123" t="s">
        <v>30</v>
      </c>
      <c r="G3884" s="123" t="s">
        <v>30</v>
      </c>
      <c r="H3884" s="123" t="s">
        <v>75</v>
      </c>
      <c r="I3884" s="126" t="s">
        <v>1701</v>
      </c>
      <c r="J3884" s="123" t="s">
        <v>14191</v>
      </c>
      <c r="K3884" s="123" t="s">
        <v>14189</v>
      </c>
      <c r="L3884" s="131" t="s">
        <v>100</v>
      </c>
      <c r="M3884" s="135" t="s">
        <v>845</v>
      </c>
      <c r="N3884" s="123" t="s">
        <v>845</v>
      </c>
    </row>
    <row r="3885" spans="2:14" hidden="1" x14ac:dyDescent="0.25">
      <c r="B3885" s="120">
        <v>3882</v>
      </c>
      <c r="C3885" s="123">
        <v>10458041429</v>
      </c>
      <c r="D3885" s="126" t="s">
        <v>14192</v>
      </c>
      <c r="E3885" s="126" t="s">
        <v>14193</v>
      </c>
      <c r="F3885" s="123" t="s">
        <v>30</v>
      </c>
      <c r="G3885" s="123" t="s">
        <v>30</v>
      </c>
      <c r="H3885" s="123" t="s">
        <v>72</v>
      </c>
      <c r="I3885" s="126" t="s">
        <v>1424</v>
      </c>
      <c r="J3885" s="123" t="s">
        <v>14194</v>
      </c>
      <c r="K3885" s="123" t="s">
        <v>14195</v>
      </c>
      <c r="L3885" s="131" t="s">
        <v>100</v>
      </c>
      <c r="M3885" s="135" t="s">
        <v>845</v>
      </c>
      <c r="N3885" s="123" t="s">
        <v>845</v>
      </c>
    </row>
    <row r="3886" spans="2:14" hidden="1" x14ac:dyDescent="0.25">
      <c r="B3886" s="120">
        <v>3883</v>
      </c>
      <c r="C3886" s="123">
        <v>15603919006</v>
      </c>
      <c r="D3886" s="126" t="s">
        <v>14196</v>
      </c>
      <c r="E3886" s="126" t="s">
        <v>14197</v>
      </c>
      <c r="F3886" s="123" t="s">
        <v>30</v>
      </c>
      <c r="G3886" s="123" t="s">
        <v>30</v>
      </c>
      <c r="H3886" s="123" t="s">
        <v>50</v>
      </c>
      <c r="I3886" s="126" t="s">
        <v>1950</v>
      </c>
      <c r="J3886" s="123" t="s">
        <v>14198</v>
      </c>
      <c r="K3886" s="123" t="s">
        <v>14196</v>
      </c>
      <c r="L3886" s="131" t="s">
        <v>100</v>
      </c>
      <c r="M3886" s="135" t="s">
        <v>845</v>
      </c>
      <c r="N3886" s="123" t="s">
        <v>845</v>
      </c>
    </row>
    <row r="3887" spans="2:14" hidden="1" x14ac:dyDescent="0.25">
      <c r="B3887" s="120">
        <v>3884</v>
      </c>
      <c r="C3887" s="123">
        <v>10444334601</v>
      </c>
      <c r="D3887" s="126" t="s">
        <v>14199</v>
      </c>
      <c r="E3887" s="126" t="s">
        <v>14200</v>
      </c>
      <c r="F3887" s="123" t="s">
        <v>30</v>
      </c>
      <c r="G3887" s="123" t="s">
        <v>30</v>
      </c>
      <c r="H3887" s="123" t="s">
        <v>72</v>
      </c>
      <c r="I3887" s="126" t="s">
        <v>1706</v>
      </c>
      <c r="J3887" s="123" t="s">
        <v>14201</v>
      </c>
      <c r="K3887" s="123" t="s">
        <v>14199</v>
      </c>
      <c r="L3887" s="131" t="s">
        <v>100</v>
      </c>
      <c r="M3887" s="135" t="s">
        <v>845</v>
      </c>
      <c r="N3887" s="123" t="s">
        <v>845</v>
      </c>
    </row>
    <row r="3888" spans="2:14" hidden="1" x14ac:dyDescent="0.25">
      <c r="B3888" s="120">
        <v>3885</v>
      </c>
      <c r="C3888" s="123">
        <v>10432662590</v>
      </c>
      <c r="D3888" s="126" t="s">
        <v>14202</v>
      </c>
      <c r="E3888" s="126" t="s">
        <v>14203</v>
      </c>
      <c r="F3888" s="123" t="s">
        <v>3637</v>
      </c>
      <c r="G3888" s="123" t="s">
        <v>14204</v>
      </c>
      <c r="H3888" s="123" t="s">
        <v>14204</v>
      </c>
      <c r="I3888" s="126" t="s">
        <v>8659</v>
      </c>
      <c r="J3888" s="123" t="s">
        <v>14205</v>
      </c>
      <c r="K3888" s="123" t="s">
        <v>14202</v>
      </c>
      <c r="L3888" s="131" t="s">
        <v>100</v>
      </c>
      <c r="M3888" s="135" t="s">
        <v>845</v>
      </c>
      <c r="N3888" s="123" t="s">
        <v>845</v>
      </c>
    </row>
    <row r="3889" spans="2:14" hidden="1" x14ac:dyDescent="0.25">
      <c r="B3889" s="120">
        <v>3886</v>
      </c>
      <c r="C3889" s="123">
        <v>10067671045</v>
      </c>
      <c r="D3889" s="126" t="s">
        <v>14206</v>
      </c>
      <c r="E3889" s="126" t="s">
        <v>14207</v>
      </c>
      <c r="F3889" s="123" t="s">
        <v>30</v>
      </c>
      <c r="G3889" s="123" t="s">
        <v>30</v>
      </c>
      <c r="H3889" s="123" t="s">
        <v>41</v>
      </c>
      <c r="I3889" s="126" t="s">
        <v>1932</v>
      </c>
      <c r="J3889" s="123" t="s">
        <v>14208</v>
      </c>
      <c r="K3889" s="123" t="s">
        <v>14209</v>
      </c>
      <c r="L3889" s="131" t="s">
        <v>100</v>
      </c>
      <c r="M3889" s="135" t="s">
        <v>845</v>
      </c>
      <c r="N3889" s="123" t="s">
        <v>845</v>
      </c>
    </row>
    <row r="3890" spans="2:14" hidden="1" x14ac:dyDescent="0.25">
      <c r="B3890" s="120">
        <v>3887</v>
      </c>
      <c r="C3890" s="123">
        <v>10738989622</v>
      </c>
      <c r="D3890" s="126" t="s">
        <v>14210</v>
      </c>
      <c r="E3890" s="126" t="s">
        <v>14211</v>
      </c>
      <c r="F3890" s="123" t="s">
        <v>67</v>
      </c>
      <c r="G3890" s="123" t="s">
        <v>67</v>
      </c>
      <c r="H3890" s="123" t="s">
        <v>67</v>
      </c>
      <c r="I3890" s="126" t="s">
        <v>1727</v>
      </c>
      <c r="J3890" s="123" t="s">
        <v>14212</v>
      </c>
      <c r="K3890" s="123" t="s">
        <v>14210</v>
      </c>
      <c r="L3890" s="131" t="s">
        <v>100</v>
      </c>
      <c r="M3890" s="135" t="s">
        <v>845</v>
      </c>
      <c r="N3890" s="123" t="s">
        <v>845</v>
      </c>
    </row>
    <row r="3891" spans="2:14" hidden="1" x14ac:dyDescent="0.25">
      <c r="B3891" s="120">
        <v>3888</v>
      </c>
      <c r="C3891" s="123">
        <v>10068905503</v>
      </c>
      <c r="D3891" s="126" t="s">
        <v>14213</v>
      </c>
      <c r="E3891" s="126" t="s">
        <v>14214</v>
      </c>
      <c r="F3891" s="123" t="s">
        <v>30</v>
      </c>
      <c r="G3891" s="123" t="s">
        <v>30</v>
      </c>
      <c r="H3891" s="123" t="s">
        <v>50</v>
      </c>
      <c r="I3891" s="126" t="s">
        <v>8743</v>
      </c>
      <c r="J3891" s="123" t="s">
        <v>14215</v>
      </c>
      <c r="K3891" s="123" t="s">
        <v>14213</v>
      </c>
      <c r="L3891" s="131" t="s">
        <v>100</v>
      </c>
      <c r="M3891" s="135" t="s">
        <v>845</v>
      </c>
      <c r="N3891" s="123" t="s">
        <v>845</v>
      </c>
    </row>
    <row r="3892" spans="2:14" hidden="1" x14ac:dyDescent="0.25">
      <c r="B3892" s="120">
        <v>3889</v>
      </c>
      <c r="C3892" s="123">
        <v>10701652156</v>
      </c>
      <c r="D3892" s="126" t="s">
        <v>14216</v>
      </c>
      <c r="E3892" s="126" t="s">
        <v>14217</v>
      </c>
      <c r="F3892" s="123" t="s">
        <v>30</v>
      </c>
      <c r="G3892" s="123" t="s">
        <v>30</v>
      </c>
      <c r="H3892" s="123" t="s">
        <v>50</v>
      </c>
      <c r="I3892" s="126" t="s">
        <v>1930</v>
      </c>
      <c r="J3892" s="123" t="s">
        <v>14218</v>
      </c>
      <c r="K3892" s="123" t="s">
        <v>14219</v>
      </c>
      <c r="L3892" s="131" t="s">
        <v>100</v>
      </c>
      <c r="M3892" s="135" t="s">
        <v>845</v>
      </c>
      <c r="N3892" s="123" t="s">
        <v>845</v>
      </c>
    </row>
    <row r="3893" spans="2:14" hidden="1" x14ac:dyDescent="0.25">
      <c r="B3893" s="120">
        <v>3890</v>
      </c>
      <c r="C3893" s="123">
        <v>10078706690</v>
      </c>
      <c r="D3893" s="126" t="s">
        <v>14220</v>
      </c>
      <c r="E3893" s="126" t="s">
        <v>14221</v>
      </c>
      <c r="F3893" s="123" t="s">
        <v>30</v>
      </c>
      <c r="G3893" s="123" t="s">
        <v>168</v>
      </c>
      <c r="H3893" s="123" t="s">
        <v>168</v>
      </c>
      <c r="I3893" s="126" t="s">
        <v>1564</v>
      </c>
      <c r="J3893" s="123" t="s">
        <v>14222</v>
      </c>
      <c r="K3893" s="123" t="s">
        <v>14220</v>
      </c>
      <c r="L3893" s="131" t="s">
        <v>100</v>
      </c>
      <c r="M3893" s="135" t="s">
        <v>845</v>
      </c>
      <c r="N3893" s="123" t="s">
        <v>845</v>
      </c>
    </row>
    <row r="3894" spans="2:14" hidden="1" x14ac:dyDescent="0.25">
      <c r="B3894" s="120">
        <v>3891</v>
      </c>
      <c r="C3894" s="123">
        <v>10074328160</v>
      </c>
      <c r="D3894" s="126" t="s">
        <v>14223</v>
      </c>
      <c r="E3894" s="126" t="s">
        <v>14224</v>
      </c>
      <c r="F3894" s="123" t="s">
        <v>30</v>
      </c>
      <c r="G3894" s="123" t="s">
        <v>30</v>
      </c>
      <c r="H3894" s="123" t="s">
        <v>52</v>
      </c>
      <c r="I3894" s="126" t="s">
        <v>1701</v>
      </c>
      <c r="J3894" s="123" t="s">
        <v>14225</v>
      </c>
      <c r="K3894" s="123" t="s">
        <v>14223</v>
      </c>
      <c r="L3894" s="131" t="s">
        <v>100</v>
      </c>
      <c r="M3894" s="135" t="s">
        <v>845</v>
      </c>
      <c r="N3894" s="123" t="s">
        <v>845</v>
      </c>
    </row>
    <row r="3895" spans="2:14" hidden="1" x14ac:dyDescent="0.25">
      <c r="B3895" s="120">
        <v>3892</v>
      </c>
      <c r="C3895" s="123">
        <v>10447203133</v>
      </c>
      <c r="D3895" s="126" t="s">
        <v>14226</v>
      </c>
      <c r="E3895" s="126" t="s">
        <v>14227</v>
      </c>
      <c r="F3895" s="123" t="s">
        <v>30</v>
      </c>
      <c r="G3895" s="123" t="s">
        <v>30</v>
      </c>
      <c r="H3895" s="123" t="s">
        <v>79</v>
      </c>
      <c r="I3895" s="126" t="s">
        <v>1424</v>
      </c>
      <c r="J3895" s="123" t="s">
        <v>14228</v>
      </c>
      <c r="K3895" s="123" t="s">
        <v>14226</v>
      </c>
      <c r="L3895" s="131" t="s">
        <v>100</v>
      </c>
      <c r="M3895" s="135" t="s">
        <v>845</v>
      </c>
      <c r="N3895" s="123" t="s">
        <v>845</v>
      </c>
    </row>
    <row r="3896" spans="2:14" hidden="1" x14ac:dyDescent="0.25">
      <c r="B3896" s="120">
        <v>3893</v>
      </c>
      <c r="C3896" s="123">
        <v>10425348162</v>
      </c>
      <c r="D3896" s="126" t="s">
        <v>14229</v>
      </c>
      <c r="E3896" s="126" t="s">
        <v>14230</v>
      </c>
      <c r="F3896" s="123" t="s">
        <v>30</v>
      </c>
      <c r="G3896" s="123" t="s">
        <v>30</v>
      </c>
      <c r="H3896" s="123" t="s">
        <v>45</v>
      </c>
      <c r="I3896" s="126" t="s">
        <v>1701</v>
      </c>
      <c r="J3896" s="123" t="s">
        <v>14231</v>
      </c>
      <c r="K3896" s="123" t="s">
        <v>14229</v>
      </c>
      <c r="L3896" s="131" t="s">
        <v>100</v>
      </c>
      <c r="M3896" s="135" t="s">
        <v>845</v>
      </c>
      <c r="N3896" s="123" t="s">
        <v>845</v>
      </c>
    </row>
    <row r="3897" spans="2:14" hidden="1" x14ac:dyDescent="0.25">
      <c r="B3897" s="120">
        <v>3894</v>
      </c>
      <c r="C3897" s="123">
        <v>10721554240</v>
      </c>
      <c r="D3897" s="126" t="s">
        <v>14232</v>
      </c>
      <c r="E3897" s="126" t="s">
        <v>14233</v>
      </c>
      <c r="F3897" s="123" t="s">
        <v>93</v>
      </c>
      <c r="G3897" s="123" t="s">
        <v>160</v>
      </c>
      <c r="H3897" s="123" t="s">
        <v>160</v>
      </c>
      <c r="I3897" s="126" t="s">
        <v>1424</v>
      </c>
      <c r="J3897" s="123" t="s">
        <v>14234</v>
      </c>
      <c r="K3897" s="123" t="s">
        <v>14235</v>
      </c>
      <c r="L3897" s="131" t="s">
        <v>100</v>
      </c>
      <c r="M3897" s="135" t="s">
        <v>845</v>
      </c>
      <c r="N3897" s="123" t="s">
        <v>845</v>
      </c>
    </row>
    <row r="3898" spans="2:14" hidden="1" x14ac:dyDescent="0.25">
      <c r="B3898" s="120">
        <v>3895</v>
      </c>
      <c r="C3898" s="123">
        <v>10409036070</v>
      </c>
      <c r="D3898" s="126" t="s">
        <v>14236</v>
      </c>
      <c r="E3898" s="126" t="s">
        <v>14237</v>
      </c>
      <c r="F3898" s="123" t="s">
        <v>30</v>
      </c>
      <c r="G3898" s="123" t="s">
        <v>30</v>
      </c>
      <c r="H3898" s="123" t="s">
        <v>45</v>
      </c>
      <c r="I3898" s="126" t="s">
        <v>1950</v>
      </c>
      <c r="J3898" s="123" t="s">
        <v>14238</v>
      </c>
      <c r="K3898" s="123" t="s">
        <v>14236</v>
      </c>
      <c r="L3898" s="131" t="s">
        <v>100</v>
      </c>
      <c r="M3898" s="135" t="s">
        <v>845</v>
      </c>
      <c r="N3898" s="123" t="s">
        <v>845</v>
      </c>
    </row>
    <row r="3899" spans="2:14" hidden="1" x14ac:dyDescent="0.25">
      <c r="B3899" s="120">
        <v>3896</v>
      </c>
      <c r="C3899" s="123">
        <v>10469368926</v>
      </c>
      <c r="D3899" s="126" t="s">
        <v>14239</v>
      </c>
      <c r="E3899" s="126" t="s">
        <v>14240</v>
      </c>
      <c r="F3899" s="123" t="s">
        <v>30</v>
      </c>
      <c r="G3899" s="123" t="s">
        <v>170</v>
      </c>
      <c r="H3899" s="123" t="s">
        <v>176</v>
      </c>
      <c r="I3899" s="126" t="s">
        <v>14241</v>
      </c>
      <c r="J3899" s="123" t="s">
        <v>14242</v>
      </c>
      <c r="K3899" s="123" t="s">
        <v>14239</v>
      </c>
      <c r="L3899" s="131" t="s">
        <v>100</v>
      </c>
      <c r="M3899" s="135" t="s">
        <v>845</v>
      </c>
      <c r="N3899" s="123" t="s">
        <v>845</v>
      </c>
    </row>
    <row r="3900" spans="2:14" hidden="1" x14ac:dyDescent="0.25">
      <c r="B3900" s="120">
        <v>3897</v>
      </c>
      <c r="C3900" s="123">
        <v>10727222443</v>
      </c>
      <c r="D3900" s="126" t="s">
        <v>14243</v>
      </c>
      <c r="E3900" s="126" t="s">
        <v>14244</v>
      </c>
      <c r="F3900" s="123" t="s">
        <v>61</v>
      </c>
      <c r="G3900" s="123" t="s">
        <v>62</v>
      </c>
      <c r="H3900" s="123" t="s">
        <v>14245</v>
      </c>
      <c r="I3900" s="126" t="s">
        <v>1948</v>
      </c>
      <c r="J3900" s="123" t="s">
        <v>14246</v>
      </c>
      <c r="K3900" s="123" t="s">
        <v>14243</v>
      </c>
      <c r="L3900" s="131" t="s">
        <v>100</v>
      </c>
      <c r="M3900" s="135" t="s">
        <v>845</v>
      </c>
      <c r="N3900" s="123" t="s">
        <v>845</v>
      </c>
    </row>
    <row r="3901" spans="2:14" hidden="1" x14ac:dyDescent="0.25">
      <c r="B3901" s="120">
        <v>3898</v>
      </c>
      <c r="C3901" s="123">
        <v>10257001038</v>
      </c>
      <c r="D3901" s="126" t="s">
        <v>14247</v>
      </c>
      <c r="E3901" s="126" t="s">
        <v>14248</v>
      </c>
      <c r="F3901" s="123" t="s">
        <v>67</v>
      </c>
      <c r="G3901" s="123" t="s">
        <v>67</v>
      </c>
      <c r="H3901" s="123" t="s">
        <v>81</v>
      </c>
      <c r="I3901" s="126" t="s">
        <v>1952</v>
      </c>
      <c r="J3901" s="123" t="s">
        <v>14249</v>
      </c>
      <c r="K3901" s="123" t="s">
        <v>14250</v>
      </c>
      <c r="L3901" s="131" t="s">
        <v>100</v>
      </c>
      <c r="M3901" s="135" t="s">
        <v>845</v>
      </c>
      <c r="N3901" s="123" t="s">
        <v>845</v>
      </c>
    </row>
    <row r="3902" spans="2:14" hidden="1" x14ac:dyDescent="0.25">
      <c r="B3902" s="120">
        <v>3899</v>
      </c>
      <c r="C3902" s="123">
        <v>10483559599</v>
      </c>
      <c r="D3902" s="126" t="s">
        <v>14251</v>
      </c>
      <c r="E3902" s="126" t="s">
        <v>14252</v>
      </c>
      <c r="F3902" s="123" t="s">
        <v>30</v>
      </c>
      <c r="G3902" s="123" t="s">
        <v>30</v>
      </c>
      <c r="H3902" s="123" t="s">
        <v>85</v>
      </c>
      <c r="I3902" s="126" t="s">
        <v>14253</v>
      </c>
      <c r="J3902" s="123" t="s">
        <v>14254</v>
      </c>
      <c r="K3902" s="123" t="s">
        <v>14255</v>
      </c>
      <c r="L3902" s="131" t="s">
        <v>100</v>
      </c>
      <c r="M3902" s="135" t="s">
        <v>845</v>
      </c>
      <c r="N3902" s="123" t="s">
        <v>845</v>
      </c>
    </row>
    <row r="3903" spans="2:14" hidden="1" x14ac:dyDescent="0.25">
      <c r="B3903" s="120">
        <v>3900</v>
      </c>
      <c r="C3903" s="123">
        <v>10463130405</v>
      </c>
      <c r="D3903" s="126" t="s">
        <v>14256</v>
      </c>
      <c r="E3903" s="126" t="s">
        <v>14257</v>
      </c>
      <c r="F3903" s="123" t="s">
        <v>67</v>
      </c>
      <c r="G3903" s="123" t="s">
        <v>67</v>
      </c>
      <c r="H3903" s="123" t="s">
        <v>94</v>
      </c>
      <c r="I3903" s="126" t="s">
        <v>1952</v>
      </c>
      <c r="J3903" s="123" t="s">
        <v>14258</v>
      </c>
      <c r="K3903" s="123" t="s">
        <v>14259</v>
      </c>
      <c r="L3903" s="131" t="s">
        <v>100</v>
      </c>
      <c r="M3903" s="135" t="s">
        <v>845</v>
      </c>
      <c r="N3903" s="123" t="s">
        <v>845</v>
      </c>
    </row>
    <row r="3904" spans="2:14" hidden="1" x14ac:dyDescent="0.25">
      <c r="B3904" s="120">
        <v>3901</v>
      </c>
      <c r="C3904" s="123">
        <v>10450377134</v>
      </c>
      <c r="D3904" s="126" t="s">
        <v>14260</v>
      </c>
      <c r="E3904" s="126" t="s">
        <v>14261</v>
      </c>
      <c r="F3904" s="123" t="s">
        <v>30</v>
      </c>
      <c r="G3904" s="123" t="s">
        <v>30</v>
      </c>
      <c r="H3904" s="123" t="s">
        <v>43</v>
      </c>
      <c r="I3904" s="126" t="s">
        <v>1939</v>
      </c>
      <c r="J3904" s="123" t="s">
        <v>14262</v>
      </c>
      <c r="K3904" s="123" t="s">
        <v>14260</v>
      </c>
      <c r="L3904" s="131" t="s">
        <v>100</v>
      </c>
      <c r="M3904" s="135" t="s">
        <v>845</v>
      </c>
      <c r="N3904" s="123" t="s">
        <v>845</v>
      </c>
    </row>
    <row r="3905" spans="2:14" hidden="1" x14ac:dyDescent="0.25">
      <c r="B3905" s="120">
        <v>3902</v>
      </c>
      <c r="C3905" s="123">
        <v>10101667133</v>
      </c>
      <c r="D3905" s="126" t="s">
        <v>14263</v>
      </c>
      <c r="E3905" s="126" t="s">
        <v>14264</v>
      </c>
      <c r="F3905" s="123" t="s">
        <v>30</v>
      </c>
      <c r="G3905" s="123" t="s">
        <v>30</v>
      </c>
      <c r="H3905" s="123" t="s">
        <v>72</v>
      </c>
      <c r="I3905" s="126" t="s">
        <v>1701</v>
      </c>
      <c r="J3905" s="123" t="s">
        <v>14265</v>
      </c>
      <c r="K3905" s="123" t="s">
        <v>14263</v>
      </c>
      <c r="L3905" s="131" t="s">
        <v>100</v>
      </c>
      <c r="M3905" s="135" t="s">
        <v>845</v>
      </c>
      <c r="N3905" s="123" t="s">
        <v>845</v>
      </c>
    </row>
    <row r="3906" spans="2:14" hidden="1" x14ac:dyDescent="0.25">
      <c r="B3906" s="120">
        <v>3903</v>
      </c>
      <c r="C3906" s="123">
        <v>10432596597</v>
      </c>
      <c r="D3906" s="126" t="s">
        <v>14266</v>
      </c>
      <c r="E3906" s="126" t="s">
        <v>14267</v>
      </c>
      <c r="F3906" s="123" t="s">
        <v>30</v>
      </c>
      <c r="G3906" s="123" t="s">
        <v>30</v>
      </c>
      <c r="H3906" s="123" t="s">
        <v>30</v>
      </c>
      <c r="I3906" s="126" t="s">
        <v>1941</v>
      </c>
      <c r="J3906" s="123" t="s">
        <v>14268</v>
      </c>
      <c r="K3906" s="123" t="s">
        <v>14269</v>
      </c>
      <c r="L3906" s="131" t="s">
        <v>100</v>
      </c>
      <c r="M3906" s="135" t="s">
        <v>845</v>
      </c>
      <c r="N3906" s="123" t="s">
        <v>845</v>
      </c>
    </row>
    <row r="3907" spans="2:14" hidden="1" x14ac:dyDescent="0.25">
      <c r="B3907" s="120">
        <v>3904</v>
      </c>
      <c r="C3907" s="123">
        <v>10209925759</v>
      </c>
      <c r="D3907" s="126" t="s">
        <v>14270</v>
      </c>
      <c r="E3907" s="126" t="s">
        <v>14271</v>
      </c>
      <c r="F3907" s="123" t="s">
        <v>30</v>
      </c>
      <c r="G3907" s="123" t="s">
        <v>30</v>
      </c>
      <c r="H3907" s="123" t="s">
        <v>43</v>
      </c>
      <c r="I3907" s="126" t="s">
        <v>14272</v>
      </c>
      <c r="J3907" s="123" t="s">
        <v>14273</v>
      </c>
      <c r="K3907" s="123" t="s">
        <v>14270</v>
      </c>
      <c r="L3907" s="131" t="s">
        <v>100</v>
      </c>
      <c r="M3907" s="135" t="s">
        <v>845</v>
      </c>
      <c r="N3907" s="123" t="s">
        <v>845</v>
      </c>
    </row>
    <row r="3908" spans="2:14" hidden="1" x14ac:dyDescent="0.25">
      <c r="B3908" s="120">
        <v>3905</v>
      </c>
      <c r="C3908" s="123">
        <v>10763448946</v>
      </c>
      <c r="D3908" s="126" t="s">
        <v>14274</v>
      </c>
      <c r="E3908" s="126" t="s">
        <v>14275</v>
      </c>
      <c r="F3908" s="123" t="s">
        <v>30</v>
      </c>
      <c r="G3908" s="123" t="s">
        <v>30</v>
      </c>
      <c r="H3908" s="123" t="s">
        <v>40</v>
      </c>
      <c r="I3908" s="126" t="s">
        <v>1931</v>
      </c>
      <c r="J3908" s="123" t="s">
        <v>14276</v>
      </c>
      <c r="K3908" s="123" t="s">
        <v>14274</v>
      </c>
      <c r="L3908" s="131" t="s">
        <v>100</v>
      </c>
      <c r="M3908" s="135" t="s">
        <v>845</v>
      </c>
      <c r="N3908" s="123" t="s">
        <v>845</v>
      </c>
    </row>
    <row r="3909" spans="2:14" hidden="1" x14ac:dyDescent="0.25">
      <c r="B3909" s="120">
        <v>3906</v>
      </c>
      <c r="C3909" s="123">
        <v>10488648476</v>
      </c>
      <c r="D3909" s="126" t="s">
        <v>14277</v>
      </c>
      <c r="E3909" s="126" t="s">
        <v>14278</v>
      </c>
      <c r="F3909" s="123" t="s">
        <v>30</v>
      </c>
      <c r="G3909" s="123" t="s">
        <v>30</v>
      </c>
      <c r="H3909" s="123" t="s">
        <v>74</v>
      </c>
      <c r="I3909" s="126" t="s">
        <v>1952</v>
      </c>
      <c r="J3909" s="123" t="s">
        <v>14279</v>
      </c>
      <c r="K3909" s="123" t="s">
        <v>14277</v>
      </c>
      <c r="L3909" s="131" t="s">
        <v>100</v>
      </c>
      <c r="M3909" s="135" t="s">
        <v>845</v>
      </c>
      <c r="N3909" s="123" t="s">
        <v>845</v>
      </c>
    </row>
    <row r="3910" spans="2:14" hidden="1" x14ac:dyDescent="0.25">
      <c r="B3910" s="120">
        <v>3907</v>
      </c>
      <c r="C3910" s="123">
        <v>10427866195</v>
      </c>
      <c r="D3910" s="126" t="s">
        <v>14280</v>
      </c>
      <c r="E3910" s="126" t="s">
        <v>14281</v>
      </c>
      <c r="F3910" s="123" t="s">
        <v>30</v>
      </c>
      <c r="G3910" s="123" t="s">
        <v>30</v>
      </c>
      <c r="H3910" s="123" t="s">
        <v>51</v>
      </c>
      <c r="I3910" s="126" t="s">
        <v>1931</v>
      </c>
      <c r="J3910" s="123" t="s">
        <v>14282</v>
      </c>
      <c r="K3910" s="123" t="s">
        <v>14280</v>
      </c>
      <c r="L3910" s="131" t="s">
        <v>100</v>
      </c>
      <c r="M3910" s="135" t="s">
        <v>845</v>
      </c>
      <c r="N3910" s="123" t="s">
        <v>845</v>
      </c>
    </row>
    <row r="3911" spans="2:14" hidden="1" x14ac:dyDescent="0.25">
      <c r="B3911" s="120">
        <v>3908</v>
      </c>
      <c r="C3911" s="123">
        <v>10211007287</v>
      </c>
      <c r="D3911" s="126" t="s">
        <v>14283</v>
      </c>
      <c r="E3911" s="126" t="s">
        <v>14284</v>
      </c>
      <c r="F3911" s="123" t="s">
        <v>30</v>
      </c>
      <c r="G3911" s="123" t="s">
        <v>54</v>
      </c>
      <c r="H3911" s="123" t="s">
        <v>54</v>
      </c>
      <c r="I3911" s="126" t="s">
        <v>1958</v>
      </c>
      <c r="J3911" s="123" t="s">
        <v>14285</v>
      </c>
      <c r="K3911" s="123" t="s">
        <v>14283</v>
      </c>
      <c r="L3911" s="131" t="s">
        <v>100</v>
      </c>
      <c r="M3911" s="135" t="s">
        <v>845</v>
      </c>
      <c r="N3911" s="123" t="s">
        <v>845</v>
      </c>
    </row>
    <row r="3912" spans="2:14" hidden="1" x14ac:dyDescent="0.25">
      <c r="B3912" s="120">
        <v>3909</v>
      </c>
      <c r="C3912" s="123">
        <v>10458671139</v>
      </c>
      <c r="D3912" s="126" t="s">
        <v>14286</v>
      </c>
      <c r="E3912" s="126" t="s">
        <v>14287</v>
      </c>
      <c r="F3912" s="123" t="s">
        <v>30</v>
      </c>
      <c r="G3912" s="123" t="s">
        <v>30</v>
      </c>
      <c r="H3912" s="123" t="s">
        <v>52</v>
      </c>
      <c r="I3912" s="126" t="s">
        <v>1424</v>
      </c>
      <c r="J3912" s="123" t="s">
        <v>14288</v>
      </c>
      <c r="K3912" s="123" t="s">
        <v>14286</v>
      </c>
      <c r="L3912" s="131" t="s">
        <v>100</v>
      </c>
      <c r="M3912" s="135" t="s">
        <v>845</v>
      </c>
      <c r="N3912" s="123" t="s">
        <v>845</v>
      </c>
    </row>
    <row r="3913" spans="2:14" hidden="1" x14ac:dyDescent="0.25">
      <c r="B3913" s="120">
        <v>3910</v>
      </c>
      <c r="C3913" s="123">
        <v>10421330722</v>
      </c>
      <c r="D3913" s="126" t="s">
        <v>14289</v>
      </c>
      <c r="E3913" s="126" t="s">
        <v>14290</v>
      </c>
      <c r="F3913" s="123" t="s">
        <v>30</v>
      </c>
      <c r="G3913" s="123" t="s">
        <v>31</v>
      </c>
      <c r="H3913" s="123" t="s">
        <v>139</v>
      </c>
      <c r="I3913" s="126" t="s">
        <v>1952</v>
      </c>
      <c r="J3913" s="123" t="s">
        <v>14291</v>
      </c>
      <c r="K3913" s="123" t="s">
        <v>14289</v>
      </c>
      <c r="L3913" s="131" t="s">
        <v>100</v>
      </c>
      <c r="M3913" s="135" t="s">
        <v>845</v>
      </c>
      <c r="N3913" s="123" t="s">
        <v>845</v>
      </c>
    </row>
    <row r="3914" spans="2:14" hidden="1" x14ac:dyDescent="0.25">
      <c r="B3914" s="120">
        <v>3911</v>
      </c>
      <c r="C3914" s="123">
        <v>10102126471</v>
      </c>
      <c r="D3914" s="126" t="s">
        <v>14292</v>
      </c>
      <c r="E3914" s="126" t="s">
        <v>14293</v>
      </c>
      <c r="F3914" s="123" t="s">
        <v>30</v>
      </c>
      <c r="G3914" s="123" t="s">
        <v>30</v>
      </c>
      <c r="H3914" s="123" t="s">
        <v>58</v>
      </c>
      <c r="I3914" s="126" t="s">
        <v>1655</v>
      </c>
      <c r="J3914" s="123" t="s">
        <v>5467</v>
      </c>
      <c r="K3914" s="123" t="s">
        <v>14294</v>
      </c>
      <c r="L3914" s="131" t="s">
        <v>100</v>
      </c>
      <c r="M3914" s="135" t="s">
        <v>845</v>
      </c>
      <c r="N3914" s="123" t="s">
        <v>845</v>
      </c>
    </row>
    <row r="3915" spans="2:14" hidden="1" x14ac:dyDescent="0.25">
      <c r="B3915" s="120">
        <v>3912</v>
      </c>
      <c r="C3915" s="123">
        <v>10085812772</v>
      </c>
      <c r="D3915" s="126" t="s">
        <v>14295</v>
      </c>
      <c r="E3915" s="126" t="s">
        <v>14296</v>
      </c>
      <c r="F3915" s="123" t="s">
        <v>30</v>
      </c>
      <c r="G3915" s="123" t="s">
        <v>30</v>
      </c>
      <c r="H3915" s="123" t="s">
        <v>72</v>
      </c>
      <c r="I3915" s="126" t="s">
        <v>1564</v>
      </c>
      <c r="J3915" s="123" t="s">
        <v>14297</v>
      </c>
      <c r="K3915" s="123" t="s">
        <v>14295</v>
      </c>
      <c r="L3915" s="131" t="s">
        <v>100</v>
      </c>
      <c r="M3915" s="135" t="s">
        <v>845</v>
      </c>
      <c r="N3915" s="123" t="s">
        <v>845</v>
      </c>
    </row>
    <row r="3916" spans="2:14" hidden="1" x14ac:dyDescent="0.25">
      <c r="B3916" s="120">
        <v>3913</v>
      </c>
      <c r="C3916" s="123">
        <v>10100727744</v>
      </c>
      <c r="D3916" s="126" t="s">
        <v>14298</v>
      </c>
      <c r="E3916" s="126" t="s">
        <v>14299</v>
      </c>
      <c r="F3916" s="123" t="s">
        <v>30</v>
      </c>
      <c r="G3916" s="123" t="s">
        <v>30</v>
      </c>
      <c r="H3916" s="123" t="s">
        <v>75</v>
      </c>
      <c r="I3916" s="126" t="s">
        <v>1706</v>
      </c>
      <c r="J3916" s="123" t="s">
        <v>14300</v>
      </c>
      <c r="K3916" s="123" t="s">
        <v>14301</v>
      </c>
      <c r="L3916" s="131" t="s">
        <v>100</v>
      </c>
      <c r="M3916" s="135" t="s">
        <v>845</v>
      </c>
      <c r="N3916" s="123" t="s">
        <v>845</v>
      </c>
    </row>
    <row r="3917" spans="2:14" hidden="1" x14ac:dyDescent="0.25">
      <c r="B3917" s="120">
        <v>3914</v>
      </c>
      <c r="C3917" s="123">
        <v>10455992601</v>
      </c>
      <c r="D3917" s="126" t="s">
        <v>14302</v>
      </c>
      <c r="E3917" s="126" t="s">
        <v>14303</v>
      </c>
      <c r="F3917" s="123" t="s">
        <v>30</v>
      </c>
      <c r="G3917" s="123" t="s">
        <v>30</v>
      </c>
      <c r="H3917" s="123" t="s">
        <v>51</v>
      </c>
      <c r="I3917" s="126" t="s">
        <v>1701</v>
      </c>
      <c r="J3917" s="123" t="s">
        <v>14304</v>
      </c>
      <c r="K3917" s="123" t="s">
        <v>14302</v>
      </c>
      <c r="L3917" s="131" t="s">
        <v>100</v>
      </c>
      <c r="M3917" s="135" t="s">
        <v>845</v>
      </c>
      <c r="N3917" s="123" t="s">
        <v>845</v>
      </c>
    </row>
    <row r="3918" spans="2:14" hidden="1" x14ac:dyDescent="0.25">
      <c r="B3918" s="120">
        <v>3915</v>
      </c>
      <c r="C3918" s="123">
        <v>10702635832</v>
      </c>
      <c r="D3918" s="126" t="s">
        <v>14305</v>
      </c>
      <c r="E3918" s="126" t="s">
        <v>14306</v>
      </c>
      <c r="F3918" s="123" t="s">
        <v>30</v>
      </c>
      <c r="G3918" s="123" t="s">
        <v>30</v>
      </c>
      <c r="H3918" s="123" t="s">
        <v>41</v>
      </c>
      <c r="I3918" s="126" t="s">
        <v>1209</v>
      </c>
      <c r="J3918" s="123" t="s">
        <v>14307</v>
      </c>
      <c r="K3918" s="123" t="s">
        <v>14305</v>
      </c>
      <c r="L3918" s="131" t="s">
        <v>100</v>
      </c>
      <c r="M3918" s="135" t="s">
        <v>845</v>
      </c>
      <c r="N3918" s="123" t="s">
        <v>845</v>
      </c>
    </row>
    <row r="3919" spans="2:14" hidden="1" x14ac:dyDescent="0.25">
      <c r="B3919" s="120">
        <v>3916</v>
      </c>
      <c r="C3919" s="123">
        <v>10075205797</v>
      </c>
      <c r="D3919" s="126" t="s">
        <v>14308</v>
      </c>
      <c r="E3919" s="126" t="s">
        <v>14309</v>
      </c>
      <c r="F3919" s="123" t="s">
        <v>30</v>
      </c>
      <c r="G3919" s="123" t="s">
        <v>30</v>
      </c>
      <c r="H3919" s="123" t="s">
        <v>72</v>
      </c>
      <c r="I3919" s="126" t="s">
        <v>1694</v>
      </c>
      <c r="J3919" s="123" t="s">
        <v>14310</v>
      </c>
      <c r="K3919" s="123" t="s">
        <v>14311</v>
      </c>
      <c r="L3919" s="131" t="s">
        <v>100</v>
      </c>
      <c r="M3919" s="135" t="s">
        <v>845</v>
      </c>
      <c r="N3919" s="123" t="s">
        <v>845</v>
      </c>
    </row>
    <row r="3920" spans="2:14" hidden="1" x14ac:dyDescent="0.25">
      <c r="B3920" s="120">
        <v>3917</v>
      </c>
      <c r="C3920" s="123">
        <v>10435875560</v>
      </c>
      <c r="D3920" s="126" t="s">
        <v>14312</v>
      </c>
      <c r="E3920" s="126" t="s">
        <v>14313</v>
      </c>
      <c r="F3920" s="123" t="s">
        <v>30</v>
      </c>
      <c r="G3920" s="123" t="s">
        <v>30</v>
      </c>
      <c r="H3920" s="123" t="s">
        <v>43</v>
      </c>
      <c r="I3920" s="126" t="s">
        <v>1439</v>
      </c>
      <c r="J3920" s="123" t="s">
        <v>14314</v>
      </c>
      <c r="K3920" s="123" t="s">
        <v>14312</v>
      </c>
      <c r="L3920" s="131" t="s">
        <v>100</v>
      </c>
      <c r="M3920" s="135" t="s">
        <v>845</v>
      </c>
      <c r="N3920" s="123" t="s">
        <v>845</v>
      </c>
    </row>
    <row r="3921" spans="2:14" hidden="1" x14ac:dyDescent="0.25">
      <c r="B3921" s="120">
        <v>3918</v>
      </c>
      <c r="C3921" s="123">
        <v>10167389649</v>
      </c>
      <c r="D3921" s="126" t="s">
        <v>14315</v>
      </c>
      <c r="E3921" s="126" t="s">
        <v>14316</v>
      </c>
      <c r="F3921" s="123" t="s">
        <v>30</v>
      </c>
      <c r="G3921" s="123" t="s">
        <v>30</v>
      </c>
      <c r="H3921" s="123" t="s">
        <v>41</v>
      </c>
      <c r="I3921" s="126" t="s">
        <v>13409</v>
      </c>
      <c r="J3921" s="123" t="s">
        <v>14317</v>
      </c>
      <c r="K3921" s="123" t="s">
        <v>14318</v>
      </c>
      <c r="L3921" s="131" t="s">
        <v>100</v>
      </c>
      <c r="M3921" s="135" t="s">
        <v>845</v>
      </c>
      <c r="N3921" s="123" t="s">
        <v>845</v>
      </c>
    </row>
    <row r="3922" spans="2:14" hidden="1" x14ac:dyDescent="0.25">
      <c r="B3922" s="120">
        <v>3919</v>
      </c>
      <c r="C3922" s="123">
        <v>10156089368</v>
      </c>
      <c r="D3922" s="126" t="s">
        <v>14319</v>
      </c>
      <c r="E3922" s="126" t="s">
        <v>14320</v>
      </c>
      <c r="F3922" s="123" t="s">
        <v>30</v>
      </c>
      <c r="G3922" s="123" t="s">
        <v>170</v>
      </c>
      <c r="H3922" s="123" t="s">
        <v>171</v>
      </c>
      <c r="I3922" s="126" t="s">
        <v>1970</v>
      </c>
      <c r="J3922" s="123" t="s">
        <v>14321</v>
      </c>
      <c r="K3922" s="123" t="s">
        <v>14322</v>
      </c>
      <c r="L3922" s="131" t="s">
        <v>100</v>
      </c>
      <c r="M3922" s="135" t="s">
        <v>845</v>
      </c>
      <c r="N3922" s="123" t="s">
        <v>845</v>
      </c>
    </row>
    <row r="3923" spans="2:14" hidden="1" x14ac:dyDescent="0.25">
      <c r="B3923" s="120">
        <v>3920</v>
      </c>
      <c r="C3923" s="123">
        <v>10256395946</v>
      </c>
      <c r="D3923" s="126" t="s">
        <v>14323</v>
      </c>
      <c r="E3923" s="126" t="s">
        <v>14324</v>
      </c>
      <c r="F3923" s="123" t="s">
        <v>30</v>
      </c>
      <c r="G3923" s="123" t="s">
        <v>30</v>
      </c>
      <c r="H3923" s="123" t="s">
        <v>72</v>
      </c>
      <c r="I3923" s="126" t="s">
        <v>1963</v>
      </c>
      <c r="J3923" s="123" t="s">
        <v>14325</v>
      </c>
      <c r="K3923" s="123" t="s">
        <v>14326</v>
      </c>
      <c r="L3923" s="131" t="s">
        <v>100</v>
      </c>
      <c r="M3923" s="135" t="s">
        <v>845</v>
      </c>
      <c r="N3923" s="123" t="s">
        <v>845</v>
      </c>
    </row>
    <row r="3924" spans="2:14" hidden="1" x14ac:dyDescent="0.25">
      <c r="B3924" s="120">
        <v>3921</v>
      </c>
      <c r="C3924" s="123">
        <v>10088458546</v>
      </c>
      <c r="D3924" s="126" t="s">
        <v>14327</v>
      </c>
      <c r="E3924" s="126" t="s">
        <v>14328</v>
      </c>
      <c r="F3924" s="123" t="s">
        <v>30</v>
      </c>
      <c r="G3924" s="123" t="s">
        <v>30</v>
      </c>
      <c r="H3924" s="123" t="s">
        <v>38</v>
      </c>
      <c r="I3924" s="126" t="s">
        <v>8743</v>
      </c>
      <c r="J3924" s="123" t="s">
        <v>14329</v>
      </c>
      <c r="K3924" s="123" t="s">
        <v>14327</v>
      </c>
      <c r="L3924" s="131" t="s">
        <v>100</v>
      </c>
      <c r="M3924" s="135" t="s">
        <v>845</v>
      </c>
      <c r="N3924" s="123" t="s">
        <v>845</v>
      </c>
    </row>
    <row r="3925" spans="2:14" hidden="1" x14ac:dyDescent="0.25">
      <c r="B3925" s="120">
        <v>3922</v>
      </c>
      <c r="C3925" s="123">
        <v>10445354410</v>
      </c>
      <c r="D3925" s="126" t="s">
        <v>14330</v>
      </c>
      <c r="E3925" s="126" t="s">
        <v>14331</v>
      </c>
      <c r="F3925" s="123" t="s">
        <v>30</v>
      </c>
      <c r="G3925" s="123" t="s">
        <v>30</v>
      </c>
      <c r="H3925" s="123" t="s">
        <v>75</v>
      </c>
      <c r="I3925" s="126" t="s">
        <v>1655</v>
      </c>
      <c r="J3925" s="123" t="s">
        <v>14332</v>
      </c>
      <c r="K3925" s="123" t="s">
        <v>14330</v>
      </c>
      <c r="L3925" s="131" t="s">
        <v>100</v>
      </c>
      <c r="M3925" s="135" t="s">
        <v>845</v>
      </c>
      <c r="N3925" s="123" t="s">
        <v>845</v>
      </c>
    </row>
    <row r="3926" spans="2:14" hidden="1" x14ac:dyDescent="0.25">
      <c r="B3926" s="120">
        <v>3923</v>
      </c>
      <c r="C3926" s="123">
        <v>10406877618</v>
      </c>
      <c r="D3926" s="126" t="s">
        <v>14333</v>
      </c>
      <c r="E3926" s="126" t="s">
        <v>14334</v>
      </c>
      <c r="F3926" s="123" t="s">
        <v>30</v>
      </c>
      <c r="G3926" s="123" t="s">
        <v>30</v>
      </c>
      <c r="H3926" s="123" t="s">
        <v>58</v>
      </c>
      <c r="I3926" s="126" t="s">
        <v>83</v>
      </c>
      <c r="J3926" s="123" t="s">
        <v>14335</v>
      </c>
      <c r="K3926" s="123" t="s">
        <v>14333</v>
      </c>
      <c r="L3926" s="131" t="s">
        <v>100</v>
      </c>
      <c r="M3926" s="135" t="s">
        <v>845</v>
      </c>
      <c r="N3926" s="123" t="s">
        <v>845</v>
      </c>
    </row>
    <row r="3927" spans="2:14" hidden="1" x14ac:dyDescent="0.25">
      <c r="B3927" s="120">
        <v>3924</v>
      </c>
      <c r="C3927" s="123">
        <v>10161376791</v>
      </c>
      <c r="D3927" s="126" t="s">
        <v>14336</v>
      </c>
      <c r="E3927" s="126" t="s">
        <v>14337</v>
      </c>
      <c r="F3927" s="123" t="s">
        <v>30</v>
      </c>
      <c r="G3927" s="123" t="s">
        <v>30</v>
      </c>
      <c r="H3927" s="123" t="s">
        <v>41</v>
      </c>
      <c r="I3927" s="126" t="s">
        <v>1424</v>
      </c>
      <c r="J3927" s="123" t="s">
        <v>14338</v>
      </c>
      <c r="K3927" s="123" t="s">
        <v>14336</v>
      </c>
      <c r="L3927" s="131" t="s">
        <v>100</v>
      </c>
      <c r="M3927" s="135" t="s">
        <v>845</v>
      </c>
      <c r="N3927" s="123" t="s">
        <v>845</v>
      </c>
    </row>
    <row r="3928" spans="2:14" hidden="1" x14ac:dyDescent="0.25">
      <c r="B3928" s="120">
        <v>3925</v>
      </c>
      <c r="C3928" s="123">
        <v>10419819404</v>
      </c>
      <c r="D3928" s="126" t="s">
        <v>14339</v>
      </c>
      <c r="E3928" s="126" t="s">
        <v>14340</v>
      </c>
      <c r="F3928" s="123" t="s">
        <v>30</v>
      </c>
      <c r="G3928" s="123" t="s">
        <v>30</v>
      </c>
      <c r="H3928" s="123" t="s">
        <v>51</v>
      </c>
      <c r="I3928" s="126" t="s">
        <v>1424</v>
      </c>
      <c r="J3928" s="123" t="s">
        <v>14341</v>
      </c>
      <c r="K3928" s="123" t="s">
        <v>14339</v>
      </c>
      <c r="L3928" s="131" t="s">
        <v>100</v>
      </c>
      <c r="M3928" s="135" t="s">
        <v>845</v>
      </c>
      <c r="N3928" s="123" t="s">
        <v>845</v>
      </c>
    </row>
    <row r="3929" spans="2:14" hidden="1" x14ac:dyDescent="0.25">
      <c r="B3929" s="120">
        <v>3926</v>
      </c>
      <c r="C3929" s="123">
        <v>10466084315</v>
      </c>
      <c r="D3929" s="126" t="s">
        <v>14342</v>
      </c>
      <c r="E3929" s="126" t="s">
        <v>14343</v>
      </c>
      <c r="F3929" s="123" t="s">
        <v>30</v>
      </c>
      <c r="G3929" s="123" t="s">
        <v>30</v>
      </c>
      <c r="H3929" s="123" t="s">
        <v>75</v>
      </c>
      <c r="I3929" s="126" t="s">
        <v>1701</v>
      </c>
      <c r="J3929" s="123" t="s">
        <v>14344</v>
      </c>
      <c r="K3929" s="123" t="s">
        <v>14342</v>
      </c>
      <c r="L3929" s="131" t="s">
        <v>100</v>
      </c>
      <c r="M3929" s="135" t="s">
        <v>845</v>
      </c>
      <c r="N3929" s="123" t="s">
        <v>845</v>
      </c>
    </row>
    <row r="3930" spans="2:14" hidden="1" x14ac:dyDescent="0.25">
      <c r="B3930" s="120">
        <v>3927</v>
      </c>
      <c r="C3930" s="123">
        <v>10758970120</v>
      </c>
      <c r="D3930" s="126" t="s">
        <v>14345</v>
      </c>
      <c r="E3930" s="126" t="s">
        <v>14346</v>
      </c>
      <c r="F3930" s="123" t="s">
        <v>67</v>
      </c>
      <c r="G3930" s="123" t="s">
        <v>67</v>
      </c>
      <c r="H3930" s="123" t="s">
        <v>67</v>
      </c>
      <c r="I3930" s="126" t="s">
        <v>1942</v>
      </c>
      <c r="J3930" s="123" t="s">
        <v>14347</v>
      </c>
      <c r="K3930" s="123" t="s">
        <v>14348</v>
      </c>
      <c r="L3930" s="131" t="s">
        <v>100</v>
      </c>
      <c r="M3930" s="135" t="s">
        <v>845</v>
      </c>
      <c r="N3930" s="123" t="s">
        <v>845</v>
      </c>
    </row>
    <row r="3931" spans="2:14" hidden="1" x14ac:dyDescent="0.25">
      <c r="B3931" s="120">
        <v>3928</v>
      </c>
      <c r="C3931" s="123">
        <v>10311786119</v>
      </c>
      <c r="D3931" s="126" t="s">
        <v>14349</v>
      </c>
      <c r="E3931" s="126" t="s">
        <v>14350</v>
      </c>
      <c r="F3931" s="123" t="s">
        <v>8921</v>
      </c>
      <c r="G3931" s="123" t="s">
        <v>8922</v>
      </c>
      <c r="H3931" s="123" t="s">
        <v>8923</v>
      </c>
      <c r="I3931" s="126" t="s">
        <v>1950</v>
      </c>
      <c r="J3931" s="123" t="s">
        <v>14351</v>
      </c>
      <c r="K3931" s="123" t="s">
        <v>14349</v>
      </c>
      <c r="L3931" s="131" t="s">
        <v>100</v>
      </c>
      <c r="M3931" s="135" t="s">
        <v>845</v>
      </c>
      <c r="N3931" s="123" t="s">
        <v>845</v>
      </c>
    </row>
    <row r="3932" spans="2:14" hidden="1" x14ac:dyDescent="0.25">
      <c r="B3932" s="120">
        <v>3929</v>
      </c>
      <c r="C3932" s="123">
        <v>10425586241</v>
      </c>
      <c r="D3932" s="126" t="s">
        <v>14352</v>
      </c>
      <c r="E3932" s="126" t="s">
        <v>14353</v>
      </c>
      <c r="F3932" s="123" t="s">
        <v>30</v>
      </c>
      <c r="G3932" s="123" t="s">
        <v>30</v>
      </c>
      <c r="H3932" s="123" t="s">
        <v>41</v>
      </c>
      <c r="I3932" s="126" t="s">
        <v>1706</v>
      </c>
      <c r="J3932" s="123" t="s">
        <v>14354</v>
      </c>
      <c r="K3932" s="123" t="s">
        <v>14352</v>
      </c>
      <c r="L3932" s="131" t="s">
        <v>100</v>
      </c>
      <c r="M3932" s="135" t="s">
        <v>845</v>
      </c>
      <c r="N3932" s="123" t="s">
        <v>845</v>
      </c>
    </row>
    <row r="3933" spans="2:14" hidden="1" x14ac:dyDescent="0.25">
      <c r="B3933" s="120">
        <v>3930</v>
      </c>
      <c r="C3933" s="123">
        <v>10156336128</v>
      </c>
      <c r="D3933" s="126" t="s">
        <v>14355</v>
      </c>
      <c r="E3933" s="126" t="s">
        <v>14356</v>
      </c>
      <c r="F3933" s="123" t="s">
        <v>30</v>
      </c>
      <c r="G3933" s="123" t="s">
        <v>168</v>
      </c>
      <c r="H3933" s="123" t="s">
        <v>168</v>
      </c>
      <c r="I3933" s="126" t="s">
        <v>1936</v>
      </c>
      <c r="J3933" s="123" t="s">
        <v>14357</v>
      </c>
      <c r="K3933" s="123" t="s">
        <v>14355</v>
      </c>
      <c r="L3933" s="131" t="s">
        <v>100</v>
      </c>
      <c r="M3933" s="135" t="s">
        <v>845</v>
      </c>
      <c r="N3933" s="123" t="s">
        <v>845</v>
      </c>
    </row>
    <row r="3934" spans="2:14" hidden="1" x14ac:dyDescent="0.25">
      <c r="B3934" s="120">
        <v>3931</v>
      </c>
      <c r="C3934" s="123">
        <v>10048279142</v>
      </c>
      <c r="D3934" s="126" t="s">
        <v>14358</v>
      </c>
      <c r="E3934" s="126" t="s">
        <v>14359</v>
      </c>
      <c r="F3934" s="123" t="s">
        <v>30</v>
      </c>
      <c r="G3934" s="123" t="s">
        <v>30</v>
      </c>
      <c r="H3934" s="123" t="s">
        <v>80</v>
      </c>
      <c r="I3934" s="126" t="s">
        <v>1701</v>
      </c>
      <c r="J3934" s="123" t="s">
        <v>14360</v>
      </c>
      <c r="K3934" s="123" t="s">
        <v>14358</v>
      </c>
      <c r="L3934" s="131" t="s">
        <v>100</v>
      </c>
      <c r="M3934" s="135" t="s">
        <v>845</v>
      </c>
      <c r="N3934" s="123" t="s">
        <v>845</v>
      </c>
    </row>
    <row r="3935" spans="2:14" hidden="1" x14ac:dyDescent="0.25">
      <c r="B3935" s="120">
        <v>3932</v>
      </c>
      <c r="C3935" s="123">
        <v>10425385343</v>
      </c>
      <c r="D3935" s="126" t="s">
        <v>14361</v>
      </c>
      <c r="E3935" s="126" t="s">
        <v>14362</v>
      </c>
      <c r="F3935" s="123" t="s">
        <v>67</v>
      </c>
      <c r="G3935" s="123" t="s">
        <v>67</v>
      </c>
      <c r="H3935" s="123" t="s">
        <v>94</v>
      </c>
      <c r="I3935" s="126" t="s">
        <v>1701</v>
      </c>
      <c r="J3935" s="123" t="s">
        <v>14363</v>
      </c>
      <c r="K3935" s="123" t="s">
        <v>14361</v>
      </c>
      <c r="L3935" s="131" t="s">
        <v>100</v>
      </c>
      <c r="M3935" s="135" t="s">
        <v>845</v>
      </c>
      <c r="N3935" s="123" t="s">
        <v>845</v>
      </c>
    </row>
    <row r="3936" spans="2:14" hidden="1" x14ac:dyDescent="0.25">
      <c r="B3936" s="120">
        <v>3933</v>
      </c>
      <c r="C3936" s="123">
        <v>10458624882</v>
      </c>
      <c r="D3936" s="126" t="s">
        <v>14364</v>
      </c>
      <c r="E3936" s="126" t="s">
        <v>14365</v>
      </c>
      <c r="F3936" s="123" t="s">
        <v>30</v>
      </c>
      <c r="G3936" s="123" t="s">
        <v>30</v>
      </c>
      <c r="H3936" s="123" t="s">
        <v>34</v>
      </c>
      <c r="I3936" s="126" t="s">
        <v>1961</v>
      </c>
      <c r="J3936" s="123" t="s">
        <v>14366</v>
      </c>
      <c r="K3936" s="123" t="s">
        <v>14364</v>
      </c>
      <c r="L3936" s="131" t="s">
        <v>100</v>
      </c>
      <c r="M3936" s="135" t="s">
        <v>845</v>
      </c>
      <c r="N3936" s="123" t="s">
        <v>845</v>
      </c>
    </row>
    <row r="3937" spans="2:14" hidden="1" x14ac:dyDescent="0.25">
      <c r="B3937" s="120">
        <v>3934</v>
      </c>
      <c r="C3937" s="123">
        <v>10417696739</v>
      </c>
      <c r="D3937" s="126" t="s">
        <v>14367</v>
      </c>
      <c r="E3937" s="126" t="s">
        <v>14368</v>
      </c>
      <c r="F3937" s="123" t="s">
        <v>30</v>
      </c>
      <c r="G3937" s="123" t="s">
        <v>30</v>
      </c>
      <c r="H3937" s="123" t="s">
        <v>51</v>
      </c>
      <c r="I3937" s="126" t="s">
        <v>1701</v>
      </c>
      <c r="J3937" s="123" t="s">
        <v>14369</v>
      </c>
      <c r="K3937" s="123" t="s">
        <v>14367</v>
      </c>
      <c r="L3937" s="131" t="s">
        <v>100</v>
      </c>
      <c r="M3937" s="135" t="s">
        <v>845</v>
      </c>
      <c r="N3937" s="123" t="s">
        <v>845</v>
      </c>
    </row>
    <row r="3938" spans="2:14" hidden="1" x14ac:dyDescent="0.25">
      <c r="B3938" s="120">
        <v>3935</v>
      </c>
      <c r="C3938" s="123">
        <v>10746409856</v>
      </c>
      <c r="D3938" s="126" t="s">
        <v>14370</v>
      </c>
      <c r="E3938" s="126" t="s">
        <v>14371</v>
      </c>
      <c r="F3938" s="123" t="s">
        <v>30</v>
      </c>
      <c r="G3938" s="123" t="s">
        <v>30</v>
      </c>
      <c r="H3938" s="123" t="s">
        <v>58</v>
      </c>
      <c r="I3938" s="126" t="s">
        <v>1701</v>
      </c>
      <c r="J3938" s="123" t="s">
        <v>14372</v>
      </c>
      <c r="K3938" s="123" t="s">
        <v>14370</v>
      </c>
      <c r="L3938" s="131" t="s">
        <v>100</v>
      </c>
      <c r="M3938" s="135" t="s">
        <v>845</v>
      </c>
      <c r="N3938" s="123" t="s">
        <v>845</v>
      </c>
    </row>
    <row r="3939" spans="2:14" hidden="1" x14ac:dyDescent="0.25">
      <c r="B3939" s="120">
        <v>3936</v>
      </c>
      <c r="C3939" s="123">
        <v>10418259855</v>
      </c>
      <c r="D3939" s="126" t="s">
        <v>14373</v>
      </c>
      <c r="E3939" s="126" t="s">
        <v>14374</v>
      </c>
      <c r="F3939" s="123" t="s">
        <v>30</v>
      </c>
      <c r="G3939" s="123" t="s">
        <v>30</v>
      </c>
      <c r="H3939" s="123" t="s">
        <v>75</v>
      </c>
      <c r="I3939" s="126" t="s">
        <v>13118</v>
      </c>
      <c r="J3939" s="123" t="s">
        <v>14375</v>
      </c>
      <c r="K3939" s="123" t="s">
        <v>14373</v>
      </c>
      <c r="L3939" s="131" t="s">
        <v>100</v>
      </c>
      <c r="M3939" s="135" t="s">
        <v>845</v>
      </c>
      <c r="N3939" s="123" t="s">
        <v>845</v>
      </c>
    </row>
    <row r="3940" spans="2:14" hidden="1" x14ac:dyDescent="0.25">
      <c r="B3940" s="120">
        <v>3937</v>
      </c>
      <c r="C3940" s="123">
        <v>10460764772</v>
      </c>
      <c r="D3940" s="126" t="s">
        <v>14376</v>
      </c>
      <c r="E3940" s="126" t="s">
        <v>14377</v>
      </c>
      <c r="F3940" s="123" t="s">
        <v>30</v>
      </c>
      <c r="G3940" s="123" t="s">
        <v>30</v>
      </c>
      <c r="H3940" s="123" t="s">
        <v>103</v>
      </c>
      <c r="I3940" s="126" t="s">
        <v>8659</v>
      </c>
      <c r="J3940" s="123" t="s">
        <v>14378</v>
      </c>
      <c r="K3940" s="123" t="s">
        <v>14376</v>
      </c>
      <c r="L3940" s="131" t="s">
        <v>100</v>
      </c>
      <c r="M3940" s="135" t="s">
        <v>845</v>
      </c>
      <c r="N3940" s="123" t="s">
        <v>845</v>
      </c>
    </row>
    <row r="3941" spans="2:14" hidden="1" x14ac:dyDescent="0.25">
      <c r="B3941" s="120">
        <v>3938</v>
      </c>
      <c r="C3941" s="123">
        <v>10421931297</v>
      </c>
      <c r="D3941" s="126" t="s">
        <v>14379</v>
      </c>
      <c r="E3941" s="126" t="s">
        <v>14380</v>
      </c>
      <c r="F3941" s="123" t="s">
        <v>30</v>
      </c>
      <c r="G3941" s="123" t="s">
        <v>30</v>
      </c>
      <c r="H3941" s="123" t="s">
        <v>43</v>
      </c>
      <c r="I3941" s="126" t="s">
        <v>1643</v>
      </c>
      <c r="J3941" s="123" t="s">
        <v>14381</v>
      </c>
      <c r="K3941" s="123" t="s">
        <v>14379</v>
      </c>
      <c r="L3941" s="131" t="s">
        <v>100</v>
      </c>
      <c r="M3941" s="135" t="s">
        <v>845</v>
      </c>
      <c r="N3941" s="123" t="s">
        <v>845</v>
      </c>
    </row>
    <row r="3942" spans="2:14" hidden="1" x14ac:dyDescent="0.25">
      <c r="B3942" s="120">
        <v>3939</v>
      </c>
      <c r="C3942" s="123">
        <v>10420620981</v>
      </c>
      <c r="D3942" s="126" t="s">
        <v>14382</v>
      </c>
      <c r="E3942" s="126" t="s">
        <v>14383</v>
      </c>
      <c r="F3942" s="123" t="s">
        <v>30</v>
      </c>
      <c r="G3942" s="123" t="s">
        <v>30</v>
      </c>
      <c r="H3942" s="123" t="s">
        <v>30</v>
      </c>
      <c r="I3942" s="126" t="s">
        <v>1564</v>
      </c>
      <c r="J3942" s="123" t="s">
        <v>14384</v>
      </c>
      <c r="K3942" s="123" t="s">
        <v>14382</v>
      </c>
      <c r="L3942" s="131" t="s">
        <v>100</v>
      </c>
      <c r="M3942" s="135" t="s">
        <v>845</v>
      </c>
      <c r="N3942" s="123" t="s">
        <v>845</v>
      </c>
    </row>
    <row r="3943" spans="2:14" hidden="1" x14ac:dyDescent="0.25">
      <c r="B3943" s="120">
        <v>3940</v>
      </c>
      <c r="C3943" s="123">
        <v>10085719144</v>
      </c>
      <c r="D3943" s="126" t="s">
        <v>14385</v>
      </c>
      <c r="E3943" s="126" t="s">
        <v>14386</v>
      </c>
      <c r="F3943" s="123" t="s">
        <v>30</v>
      </c>
      <c r="G3943" s="123" t="s">
        <v>30</v>
      </c>
      <c r="H3943" s="123" t="s">
        <v>75</v>
      </c>
      <c r="I3943" s="126" t="s">
        <v>1701</v>
      </c>
      <c r="J3943" s="123" t="s">
        <v>14387</v>
      </c>
      <c r="K3943" s="123" t="s">
        <v>14388</v>
      </c>
      <c r="L3943" s="131" t="s">
        <v>100</v>
      </c>
      <c r="M3943" s="135" t="s">
        <v>845</v>
      </c>
      <c r="N3943" s="123" t="s">
        <v>845</v>
      </c>
    </row>
    <row r="3944" spans="2:14" hidden="1" x14ac:dyDescent="0.25">
      <c r="B3944" s="120">
        <v>3941</v>
      </c>
      <c r="C3944" s="123">
        <v>10704037380</v>
      </c>
      <c r="D3944" s="126" t="s">
        <v>14389</v>
      </c>
      <c r="E3944" s="126" t="s">
        <v>14390</v>
      </c>
      <c r="F3944" s="123" t="s">
        <v>30</v>
      </c>
      <c r="G3944" s="123" t="s">
        <v>30</v>
      </c>
      <c r="H3944" s="123" t="s">
        <v>75</v>
      </c>
      <c r="I3944" s="126" t="s">
        <v>1424</v>
      </c>
      <c r="J3944" s="123" t="s">
        <v>14391</v>
      </c>
      <c r="K3944" s="123" t="s">
        <v>14389</v>
      </c>
      <c r="L3944" s="131" t="s">
        <v>100</v>
      </c>
      <c r="M3944" s="135" t="s">
        <v>845</v>
      </c>
      <c r="N3944" s="123" t="s">
        <v>845</v>
      </c>
    </row>
    <row r="3945" spans="2:14" hidden="1" x14ac:dyDescent="0.25">
      <c r="B3945" s="120">
        <v>3942</v>
      </c>
      <c r="C3945" s="123">
        <v>10767505791</v>
      </c>
      <c r="D3945" s="126" t="s">
        <v>14392</v>
      </c>
      <c r="E3945" s="126" t="s">
        <v>14393</v>
      </c>
      <c r="F3945" s="123" t="s">
        <v>30</v>
      </c>
      <c r="G3945" s="123" t="s">
        <v>30</v>
      </c>
      <c r="H3945" s="123" t="s">
        <v>45</v>
      </c>
      <c r="I3945" s="126" t="s">
        <v>1949</v>
      </c>
      <c r="J3945" s="123" t="s">
        <v>14394</v>
      </c>
      <c r="K3945" s="123" t="s">
        <v>14395</v>
      </c>
      <c r="L3945" s="131" t="s">
        <v>100</v>
      </c>
      <c r="M3945" s="135" t="s">
        <v>845</v>
      </c>
      <c r="N3945" s="123" t="s">
        <v>845</v>
      </c>
    </row>
    <row r="3946" spans="2:14" hidden="1" x14ac:dyDescent="0.25">
      <c r="B3946" s="120">
        <v>3943</v>
      </c>
      <c r="C3946" s="123">
        <v>10464349443</v>
      </c>
      <c r="D3946" s="126" t="s">
        <v>14396</v>
      </c>
      <c r="E3946" s="126" t="s">
        <v>14397</v>
      </c>
      <c r="F3946" s="123" t="s">
        <v>30</v>
      </c>
      <c r="G3946" s="123" t="s">
        <v>30</v>
      </c>
      <c r="H3946" s="123" t="s">
        <v>58</v>
      </c>
      <c r="I3946" s="126" t="s">
        <v>1706</v>
      </c>
      <c r="J3946" s="123" t="s">
        <v>14398</v>
      </c>
      <c r="K3946" s="123" t="s">
        <v>14396</v>
      </c>
      <c r="L3946" s="131" t="s">
        <v>100</v>
      </c>
      <c r="M3946" s="135" t="s">
        <v>845</v>
      </c>
      <c r="N3946" s="123" t="s">
        <v>845</v>
      </c>
    </row>
    <row r="3947" spans="2:14" hidden="1" x14ac:dyDescent="0.25">
      <c r="B3947" s="120">
        <v>3944</v>
      </c>
      <c r="C3947" s="123">
        <v>10157612960</v>
      </c>
      <c r="D3947" s="126" t="s">
        <v>14399</v>
      </c>
      <c r="E3947" s="126" t="s">
        <v>14400</v>
      </c>
      <c r="F3947" s="123" t="s">
        <v>30</v>
      </c>
      <c r="G3947" s="123" t="s">
        <v>170</v>
      </c>
      <c r="H3947" s="123" t="s">
        <v>174</v>
      </c>
      <c r="I3947" s="126" t="s">
        <v>1424</v>
      </c>
      <c r="J3947" s="123" t="s">
        <v>14401</v>
      </c>
      <c r="K3947" s="123" t="s">
        <v>14399</v>
      </c>
      <c r="L3947" s="131" t="s">
        <v>100</v>
      </c>
      <c r="M3947" s="135" t="s">
        <v>845</v>
      </c>
      <c r="N3947" s="123" t="s">
        <v>845</v>
      </c>
    </row>
    <row r="3948" spans="2:14" hidden="1" x14ac:dyDescent="0.25">
      <c r="B3948" s="120">
        <v>3945</v>
      </c>
      <c r="C3948" s="123">
        <v>10081250834</v>
      </c>
      <c r="D3948" s="126" t="s">
        <v>14402</v>
      </c>
      <c r="E3948" s="126" t="s">
        <v>14403</v>
      </c>
      <c r="F3948" s="123" t="s">
        <v>30</v>
      </c>
      <c r="G3948" s="123" t="s">
        <v>30</v>
      </c>
      <c r="H3948" s="123" t="s">
        <v>147</v>
      </c>
      <c r="I3948" s="126" t="s">
        <v>1949</v>
      </c>
      <c r="J3948" s="123" t="s">
        <v>14404</v>
      </c>
      <c r="K3948" s="123" t="s">
        <v>14402</v>
      </c>
      <c r="L3948" s="131" t="s">
        <v>100</v>
      </c>
      <c r="M3948" s="135" t="s">
        <v>845</v>
      </c>
      <c r="N3948" s="123" t="s">
        <v>845</v>
      </c>
    </row>
    <row r="3949" spans="2:14" hidden="1" x14ac:dyDescent="0.25">
      <c r="B3949" s="120">
        <v>3946</v>
      </c>
      <c r="C3949" s="123">
        <v>10407413381</v>
      </c>
      <c r="D3949" s="126" t="s">
        <v>14405</v>
      </c>
      <c r="E3949" s="126" t="s">
        <v>14406</v>
      </c>
      <c r="F3949" s="123" t="s">
        <v>30</v>
      </c>
      <c r="G3949" s="123" t="s">
        <v>30</v>
      </c>
      <c r="H3949" s="123" t="s">
        <v>50</v>
      </c>
      <c r="I3949" s="126" t="s">
        <v>1701</v>
      </c>
      <c r="J3949" s="123" t="s">
        <v>14407</v>
      </c>
      <c r="K3949" s="123" t="s">
        <v>14405</v>
      </c>
      <c r="L3949" s="131" t="s">
        <v>100</v>
      </c>
      <c r="M3949" s="135" t="s">
        <v>845</v>
      </c>
      <c r="N3949" s="123" t="s">
        <v>845</v>
      </c>
    </row>
    <row r="3950" spans="2:14" hidden="1" x14ac:dyDescent="0.25">
      <c r="B3950" s="120">
        <v>3947</v>
      </c>
      <c r="C3950" s="123">
        <v>10442980450</v>
      </c>
      <c r="D3950" s="126" t="s">
        <v>14408</v>
      </c>
      <c r="E3950" s="126" t="s">
        <v>14409</v>
      </c>
      <c r="F3950" s="123" t="s">
        <v>30</v>
      </c>
      <c r="G3950" s="123" t="s">
        <v>30</v>
      </c>
      <c r="H3950" s="123" t="s">
        <v>58</v>
      </c>
      <c r="I3950" s="126" t="s">
        <v>12285</v>
      </c>
      <c r="J3950" s="123" t="s">
        <v>14410</v>
      </c>
      <c r="K3950" s="123" t="s">
        <v>14408</v>
      </c>
      <c r="L3950" s="131" t="s">
        <v>100</v>
      </c>
      <c r="M3950" s="135" t="s">
        <v>845</v>
      </c>
      <c r="N3950" s="123" t="s">
        <v>845</v>
      </c>
    </row>
    <row r="3951" spans="2:14" hidden="1" x14ac:dyDescent="0.25">
      <c r="B3951" s="120">
        <v>3948</v>
      </c>
      <c r="C3951" s="123">
        <v>10479922018</v>
      </c>
      <c r="D3951" s="126" t="s">
        <v>14411</v>
      </c>
      <c r="E3951" s="126" t="s">
        <v>14412</v>
      </c>
      <c r="F3951" s="123" t="s">
        <v>30</v>
      </c>
      <c r="G3951" s="123" t="s">
        <v>48</v>
      </c>
      <c r="H3951" s="123" t="s">
        <v>155</v>
      </c>
      <c r="I3951" s="126" t="s">
        <v>1962</v>
      </c>
      <c r="J3951" s="123" t="s">
        <v>14413</v>
      </c>
      <c r="K3951" s="123" t="s">
        <v>14411</v>
      </c>
      <c r="L3951" s="131" t="s">
        <v>100</v>
      </c>
      <c r="M3951" s="135" t="s">
        <v>845</v>
      </c>
      <c r="N3951" s="123" t="s">
        <v>845</v>
      </c>
    </row>
    <row r="3952" spans="2:14" hidden="1" x14ac:dyDescent="0.25">
      <c r="B3952" s="120">
        <v>3949</v>
      </c>
      <c r="C3952" s="123">
        <v>10429451057</v>
      </c>
      <c r="D3952" s="126" t="s">
        <v>14414</v>
      </c>
      <c r="E3952" s="126" t="s">
        <v>14415</v>
      </c>
      <c r="F3952" s="123" t="s">
        <v>30</v>
      </c>
      <c r="G3952" s="123" t="s">
        <v>30</v>
      </c>
      <c r="H3952" s="123" t="s">
        <v>58</v>
      </c>
      <c r="I3952" s="126" t="s">
        <v>1701</v>
      </c>
      <c r="J3952" s="123" t="s">
        <v>14416</v>
      </c>
      <c r="K3952" s="123" t="s">
        <v>14414</v>
      </c>
      <c r="L3952" s="131" t="s">
        <v>100</v>
      </c>
      <c r="M3952" s="135" t="s">
        <v>845</v>
      </c>
      <c r="N3952" s="123" t="s">
        <v>845</v>
      </c>
    </row>
    <row r="3953" spans="2:14" hidden="1" x14ac:dyDescent="0.25">
      <c r="B3953" s="120">
        <v>3950</v>
      </c>
      <c r="C3953" s="123">
        <v>10067614165</v>
      </c>
      <c r="D3953" s="126" t="s">
        <v>14417</v>
      </c>
      <c r="E3953" s="126" t="s">
        <v>14418</v>
      </c>
      <c r="F3953" s="123" t="s">
        <v>30</v>
      </c>
      <c r="G3953" s="123" t="s">
        <v>30</v>
      </c>
      <c r="H3953" s="123" t="s">
        <v>45</v>
      </c>
      <c r="I3953" s="126" t="s">
        <v>1930</v>
      </c>
      <c r="J3953" s="123" t="s">
        <v>14419</v>
      </c>
      <c r="K3953" s="123" t="s">
        <v>14420</v>
      </c>
      <c r="L3953" s="131" t="s">
        <v>100</v>
      </c>
      <c r="M3953" s="135" t="s">
        <v>845</v>
      </c>
      <c r="N3953" s="123" t="s">
        <v>845</v>
      </c>
    </row>
    <row r="3954" spans="2:14" hidden="1" x14ac:dyDescent="0.25">
      <c r="B3954" s="120">
        <v>3951</v>
      </c>
      <c r="C3954" s="123">
        <v>10438182727</v>
      </c>
      <c r="D3954" s="126" t="s">
        <v>14421</v>
      </c>
      <c r="E3954" s="126" t="s">
        <v>14422</v>
      </c>
      <c r="F3954" s="123" t="s">
        <v>30</v>
      </c>
      <c r="G3954" s="123" t="s">
        <v>30</v>
      </c>
      <c r="H3954" s="123" t="s">
        <v>51</v>
      </c>
      <c r="I3954" s="126" t="s">
        <v>1931</v>
      </c>
      <c r="J3954" s="123" t="s">
        <v>14423</v>
      </c>
      <c r="K3954" s="123" t="s">
        <v>14421</v>
      </c>
      <c r="L3954" s="131" t="s">
        <v>100</v>
      </c>
      <c r="M3954" s="135" t="s">
        <v>845</v>
      </c>
      <c r="N3954" s="123" t="s">
        <v>845</v>
      </c>
    </row>
    <row r="3955" spans="2:14" hidden="1" x14ac:dyDescent="0.25">
      <c r="B3955" s="120">
        <v>3952</v>
      </c>
      <c r="C3955" s="123">
        <v>10043279632</v>
      </c>
      <c r="D3955" s="126" t="s">
        <v>14424</v>
      </c>
      <c r="E3955" s="126" t="s">
        <v>14425</v>
      </c>
      <c r="F3955" s="123" t="s">
        <v>30</v>
      </c>
      <c r="G3955" s="123" t="s">
        <v>30</v>
      </c>
      <c r="H3955" s="123" t="s">
        <v>68</v>
      </c>
      <c r="I3955" s="126" t="s">
        <v>14002</v>
      </c>
      <c r="J3955" s="123" t="s">
        <v>14426</v>
      </c>
      <c r="K3955" s="123" t="s">
        <v>14424</v>
      </c>
      <c r="L3955" s="131" t="s">
        <v>100</v>
      </c>
      <c r="M3955" s="135" t="s">
        <v>845</v>
      </c>
      <c r="N3955" s="123" t="s">
        <v>845</v>
      </c>
    </row>
    <row r="3956" spans="2:14" hidden="1" x14ac:dyDescent="0.25">
      <c r="B3956" s="120">
        <v>3953</v>
      </c>
      <c r="C3956" s="123">
        <v>10095561051</v>
      </c>
      <c r="D3956" s="126" t="s">
        <v>14427</v>
      </c>
      <c r="E3956" s="126" t="s">
        <v>14428</v>
      </c>
      <c r="F3956" s="123" t="s">
        <v>30</v>
      </c>
      <c r="G3956" s="123" t="s">
        <v>30</v>
      </c>
      <c r="H3956" s="123" t="s">
        <v>43</v>
      </c>
      <c r="I3956" s="126" t="s">
        <v>1701</v>
      </c>
      <c r="J3956" s="123" t="s">
        <v>14429</v>
      </c>
      <c r="K3956" s="123" t="s">
        <v>14427</v>
      </c>
      <c r="L3956" s="131" t="s">
        <v>100</v>
      </c>
      <c r="M3956" s="135" t="s">
        <v>845</v>
      </c>
      <c r="N3956" s="123" t="s">
        <v>845</v>
      </c>
    </row>
    <row r="3957" spans="2:14" hidden="1" x14ac:dyDescent="0.25">
      <c r="B3957" s="120">
        <v>3954</v>
      </c>
      <c r="C3957" s="123">
        <v>10230097823</v>
      </c>
      <c r="D3957" s="126" t="s">
        <v>14430</v>
      </c>
      <c r="E3957" s="126" t="s">
        <v>14431</v>
      </c>
      <c r="F3957" s="123" t="s">
        <v>30</v>
      </c>
      <c r="G3957" s="123" t="s">
        <v>30</v>
      </c>
      <c r="H3957" s="123" t="s">
        <v>43</v>
      </c>
      <c r="I3957" s="126" t="s">
        <v>8743</v>
      </c>
      <c r="J3957" s="123" t="s">
        <v>14432</v>
      </c>
      <c r="K3957" s="123" t="s">
        <v>14430</v>
      </c>
      <c r="L3957" s="131" t="s">
        <v>100</v>
      </c>
      <c r="M3957" s="135" t="s">
        <v>845</v>
      </c>
      <c r="N3957" s="123" t="s">
        <v>845</v>
      </c>
    </row>
    <row r="3958" spans="2:14" hidden="1" x14ac:dyDescent="0.25">
      <c r="B3958" s="120">
        <v>3955</v>
      </c>
      <c r="C3958" s="123">
        <v>10420335755</v>
      </c>
      <c r="D3958" s="126" t="s">
        <v>14433</v>
      </c>
      <c r="E3958" s="126" t="s">
        <v>14434</v>
      </c>
      <c r="F3958" s="123" t="s">
        <v>30</v>
      </c>
      <c r="G3958" s="123" t="s">
        <v>30</v>
      </c>
      <c r="H3958" s="123" t="s">
        <v>43</v>
      </c>
      <c r="I3958" s="126" t="s">
        <v>1701</v>
      </c>
      <c r="J3958" s="123" t="s">
        <v>14435</v>
      </c>
      <c r="K3958" s="123" t="s">
        <v>14433</v>
      </c>
      <c r="L3958" s="131" t="s">
        <v>100</v>
      </c>
      <c r="M3958" s="135" t="s">
        <v>845</v>
      </c>
      <c r="N3958" s="123" t="s">
        <v>845</v>
      </c>
    </row>
    <row r="3959" spans="2:14" hidden="1" x14ac:dyDescent="0.25">
      <c r="B3959" s="120">
        <v>3956</v>
      </c>
      <c r="C3959" s="123">
        <v>10705726600</v>
      </c>
      <c r="D3959" s="126" t="s">
        <v>14436</v>
      </c>
      <c r="E3959" s="126" t="s">
        <v>14437</v>
      </c>
      <c r="F3959" s="123" t="s">
        <v>30</v>
      </c>
      <c r="G3959" s="123" t="s">
        <v>30</v>
      </c>
      <c r="H3959" s="123" t="s">
        <v>50</v>
      </c>
      <c r="I3959" s="126" t="s">
        <v>11197</v>
      </c>
      <c r="J3959" s="123" t="s">
        <v>14438</v>
      </c>
      <c r="K3959" s="123" t="s">
        <v>14436</v>
      </c>
      <c r="L3959" s="131" t="s">
        <v>100</v>
      </c>
      <c r="M3959" s="135" t="s">
        <v>845</v>
      </c>
      <c r="N3959" s="123" t="s">
        <v>845</v>
      </c>
    </row>
    <row r="3960" spans="2:14" hidden="1" x14ac:dyDescent="0.25">
      <c r="B3960" s="120">
        <v>3957</v>
      </c>
      <c r="C3960" s="123">
        <v>10258488291</v>
      </c>
      <c r="D3960" s="126" t="s">
        <v>14439</v>
      </c>
      <c r="E3960" s="126" t="s">
        <v>14440</v>
      </c>
      <c r="F3960" s="123" t="s">
        <v>67</v>
      </c>
      <c r="G3960" s="123" t="s">
        <v>67</v>
      </c>
      <c r="H3960" s="123" t="s">
        <v>67</v>
      </c>
      <c r="I3960" s="126" t="s">
        <v>1564</v>
      </c>
      <c r="J3960" s="123" t="s">
        <v>14441</v>
      </c>
      <c r="K3960" s="123" t="s">
        <v>14439</v>
      </c>
      <c r="L3960" s="131" t="s">
        <v>100</v>
      </c>
      <c r="M3960" s="135" t="s">
        <v>845</v>
      </c>
      <c r="N3960" s="123" t="s">
        <v>845</v>
      </c>
    </row>
    <row r="3961" spans="2:14" hidden="1" x14ac:dyDescent="0.25">
      <c r="B3961" s="120">
        <v>3958</v>
      </c>
      <c r="C3961" s="123">
        <v>10103691651</v>
      </c>
      <c r="D3961" s="126" t="s">
        <v>14442</v>
      </c>
      <c r="E3961" s="126" t="s">
        <v>14443</v>
      </c>
      <c r="F3961" s="123" t="s">
        <v>30</v>
      </c>
      <c r="G3961" s="123" t="s">
        <v>30</v>
      </c>
      <c r="H3961" s="123" t="s">
        <v>43</v>
      </c>
      <c r="I3961" s="126" t="s">
        <v>1965</v>
      </c>
      <c r="J3961" s="123" t="s">
        <v>14444</v>
      </c>
      <c r="K3961" s="123" t="s">
        <v>14442</v>
      </c>
      <c r="L3961" s="131" t="s">
        <v>100</v>
      </c>
      <c r="M3961" s="135" t="s">
        <v>845</v>
      </c>
      <c r="N3961" s="123" t="s">
        <v>845</v>
      </c>
    </row>
    <row r="3962" spans="2:14" hidden="1" x14ac:dyDescent="0.25">
      <c r="B3962" s="120">
        <v>3959</v>
      </c>
      <c r="C3962" s="123">
        <v>10437908732</v>
      </c>
      <c r="D3962" s="126" t="s">
        <v>14445</v>
      </c>
      <c r="E3962" s="126" t="s">
        <v>14446</v>
      </c>
      <c r="F3962" s="123" t="s">
        <v>30</v>
      </c>
      <c r="G3962" s="123" t="s">
        <v>30</v>
      </c>
      <c r="H3962" s="123" t="s">
        <v>43</v>
      </c>
      <c r="I3962" s="126" t="s">
        <v>1701</v>
      </c>
      <c r="J3962" s="123" t="s">
        <v>14447</v>
      </c>
      <c r="K3962" s="123" t="s">
        <v>14445</v>
      </c>
      <c r="L3962" s="131" t="s">
        <v>100</v>
      </c>
      <c r="M3962" s="135" t="s">
        <v>845</v>
      </c>
      <c r="N3962" s="123" t="s">
        <v>845</v>
      </c>
    </row>
    <row r="3963" spans="2:14" hidden="1" x14ac:dyDescent="0.25">
      <c r="B3963" s="120">
        <v>3960</v>
      </c>
      <c r="C3963" s="123">
        <v>10700511257</v>
      </c>
      <c r="D3963" s="126" t="s">
        <v>14448</v>
      </c>
      <c r="E3963" s="126" t="s">
        <v>14449</v>
      </c>
      <c r="F3963" s="123" t="s">
        <v>30</v>
      </c>
      <c r="G3963" s="123" t="s">
        <v>30</v>
      </c>
      <c r="H3963" s="123" t="s">
        <v>30</v>
      </c>
      <c r="I3963" s="126" t="s">
        <v>1930</v>
      </c>
      <c r="J3963" s="123" t="s">
        <v>14450</v>
      </c>
      <c r="K3963" s="123" t="s">
        <v>14448</v>
      </c>
      <c r="L3963" s="131" t="s">
        <v>100</v>
      </c>
      <c r="M3963" s="135" t="s">
        <v>845</v>
      </c>
      <c r="N3963" s="123" t="s">
        <v>845</v>
      </c>
    </row>
    <row r="3964" spans="2:14" hidden="1" x14ac:dyDescent="0.25">
      <c r="B3964" s="120">
        <v>3961</v>
      </c>
      <c r="C3964" s="123">
        <v>10704600441</v>
      </c>
      <c r="D3964" s="126" t="s">
        <v>14451</v>
      </c>
      <c r="E3964" s="126" t="s">
        <v>14452</v>
      </c>
      <c r="F3964" s="123" t="s">
        <v>30</v>
      </c>
      <c r="G3964" s="123" t="s">
        <v>30</v>
      </c>
      <c r="H3964" s="123" t="s">
        <v>60</v>
      </c>
      <c r="I3964" s="126" t="s">
        <v>1564</v>
      </c>
      <c r="J3964" s="123" t="s">
        <v>14453</v>
      </c>
      <c r="K3964" s="123" t="s">
        <v>14451</v>
      </c>
      <c r="L3964" s="131" t="s">
        <v>100</v>
      </c>
      <c r="M3964" s="135" t="s">
        <v>845</v>
      </c>
      <c r="N3964" s="123" t="s">
        <v>845</v>
      </c>
    </row>
    <row r="3965" spans="2:14" hidden="1" x14ac:dyDescent="0.25">
      <c r="B3965" s="120">
        <v>3962</v>
      </c>
      <c r="C3965" s="123">
        <v>10400515048</v>
      </c>
      <c r="D3965" s="126" t="s">
        <v>14454</v>
      </c>
      <c r="E3965" s="126" t="s">
        <v>14455</v>
      </c>
      <c r="F3965" s="123" t="s">
        <v>30</v>
      </c>
      <c r="G3965" s="123" t="s">
        <v>30</v>
      </c>
      <c r="H3965" s="123" t="s">
        <v>58</v>
      </c>
      <c r="I3965" s="126" t="s">
        <v>1701</v>
      </c>
      <c r="J3965" s="123" t="s">
        <v>14456</v>
      </c>
      <c r="K3965" s="123" t="s">
        <v>14454</v>
      </c>
      <c r="L3965" s="131" t="s">
        <v>100</v>
      </c>
      <c r="M3965" s="135" t="s">
        <v>845</v>
      </c>
      <c r="N3965" s="123" t="s">
        <v>845</v>
      </c>
    </row>
    <row r="3966" spans="2:14" hidden="1" x14ac:dyDescent="0.25">
      <c r="B3966" s="120">
        <v>3963</v>
      </c>
      <c r="C3966" s="123">
        <v>10751483371</v>
      </c>
      <c r="D3966" s="126" t="s">
        <v>14457</v>
      </c>
      <c r="E3966" s="126" t="s">
        <v>14458</v>
      </c>
      <c r="F3966" s="123" t="s">
        <v>30</v>
      </c>
      <c r="G3966" s="123" t="s">
        <v>54</v>
      </c>
      <c r="H3966" s="123" t="s">
        <v>55</v>
      </c>
      <c r="I3966" s="126" t="s">
        <v>1551</v>
      </c>
      <c r="J3966" s="123" t="s">
        <v>14459</v>
      </c>
      <c r="K3966" s="123" t="s">
        <v>14457</v>
      </c>
      <c r="L3966" s="131" t="s">
        <v>100</v>
      </c>
      <c r="M3966" s="135" t="s">
        <v>845</v>
      </c>
      <c r="N3966" s="123" t="s">
        <v>845</v>
      </c>
    </row>
    <row r="3967" spans="2:14" hidden="1" x14ac:dyDescent="0.25">
      <c r="B3967" s="120">
        <v>3964</v>
      </c>
      <c r="C3967" s="123">
        <v>10106437101</v>
      </c>
      <c r="D3967" s="126" t="s">
        <v>14460</v>
      </c>
      <c r="E3967" s="126" t="s">
        <v>14461</v>
      </c>
      <c r="F3967" s="123" t="s">
        <v>30</v>
      </c>
      <c r="G3967" s="123" t="s">
        <v>30</v>
      </c>
      <c r="H3967" s="123" t="s">
        <v>43</v>
      </c>
      <c r="I3967" s="126" t="s">
        <v>1564</v>
      </c>
      <c r="J3967" s="123" t="s">
        <v>14462</v>
      </c>
      <c r="K3967" s="123" t="s">
        <v>14460</v>
      </c>
      <c r="L3967" s="131" t="s">
        <v>100</v>
      </c>
      <c r="M3967" s="135" t="s">
        <v>845</v>
      </c>
      <c r="N3967" s="123" t="s">
        <v>845</v>
      </c>
    </row>
    <row r="3968" spans="2:14" hidden="1" x14ac:dyDescent="0.25">
      <c r="B3968" s="120">
        <v>3965</v>
      </c>
      <c r="C3968" s="123">
        <v>10469107669</v>
      </c>
      <c r="D3968" s="126" t="s">
        <v>14463</v>
      </c>
      <c r="E3968" s="126" t="s">
        <v>14464</v>
      </c>
      <c r="F3968" s="123" t="s">
        <v>183</v>
      </c>
      <c r="G3968" s="123" t="s">
        <v>5020</v>
      </c>
      <c r="H3968" s="123" t="s">
        <v>5020</v>
      </c>
      <c r="I3968" s="126" t="s">
        <v>1701</v>
      </c>
      <c r="J3968" s="123" t="s">
        <v>14465</v>
      </c>
      <c r="K3968" s="123" t="s">
        <v>14466</v>
      </c>
      <c r="L3968" s="131" t="s">
        <v>100</v>
      </c>
      <c r="M3968" s="135" t="s">
        <v>845</v>
      </c>
      <c r="N3968" s="123" t="s">
        <v>845</v>
      </c>
    </row>
    <row r="3969" spans="2:14" hidden="1" x14ac:dyDescent="0.25">
      <c r="B3969" s="120">
        <v>3966</v>
      </c>
      <c r="C3969" s="123">
        <v>10437491912</v>
      </c>
      <c r="D3969" s="126" t="s">
        <v>14467</v>
      </c>
      <c r="E3969" s="126" t="s">
        <v>14468</v>
      </c>
      <c r="F3969" s="123" t="s">
        <v>30</v>
      </c>
      <c r="G3969" s="123" t="s">
        <v>30</v>
      </c>
      <c r="H3969" s="123" t="s">
        <v>43</v>
      </c>
      <c r="I3969" s="126" t="s">
        <v>1701</v>
      </c>
      <c r="J3969" s="123" t="s">
        <v>14469</v>
      </c>
      <c r="K3969" s="123" t="s">
        <v>14467</v>
      </c>
      <c r="L3969" s="131" t="s">
        <v>100</v>
      </c>
      <c r="M3969" s="135" t="s">
        <v>845</v>
      </c>
      <c r="N3969" s="123" t="s">
        <v>845</v>
      </c>
    </row>
    <row r="3970" spans="2:14" hidden="1" x14ac:dyDescent="0.25">
      <c r="B3970" s="120">
        <v>3967</v>
      </c>
      <c r="C3970" s="123">
        <v>10104543397</v>
      </c>
      <c r="D3970" s="126" t="s">
        <v>14470</v>
      </c>
      <c r="E3970" s="126" t="s">
        <v>14471</v>
      </c>
      <c r="F3970" s="123" t="s">
        <v>30</v>
      </c>
      <c r="G3970" s="123" t="s">
        <v>30</v>
      </c>
      <c r="H3970" s="123" t="s">
        <v>72</v>
      </c>
      <c r="I3970" s="126" t="s">
        <v>14472</v>
      </c>
      <c r="J3970" s="123" t="s">
        <v>14473</v>
      </c>
      <c r="K3970" s="123" t="s">
        <v>14470</v>
      </c>
      <c r="L3970" s="131" t="s">
        <v>100</v>
      </c>
      <c r="M3970" s="135" t="s">
        <v>845</v>
      </c>
      <c r="N3970" s="123" t="s">
        <v>845</v>
      </c>
    </row>
    <row r="3971" spans="2:14" hidden="1" x14ac:dyDescent="0.25">
      <c r="B3971" s="120">
        <v>3968</v>
      </c>
      <c r="C3971" s="123">
        <v>10086014829</v>
      </c>
      <c r="D3971" s="126" t="s">
        <v>14474</v>
      </c>
      <c r="E3971" s="126" t="s">
        <v>14475</v>
      </c>
      <c r="F3971" s="123" t="s">
        <v>30</v>
      </c>
      <c r="G3971" s="123" t="s">
        <v>30</v>
      </c>
      <c r="H3971" s="123" t="s">
        <v>43</v>
      </c>
      <c r="I3971" s="126" t="s">
        <v>1963</v>
      </c>
      <c r="J3971" s="123" t="s">
        <v>14476</v>
      </c>
      <c r="K3971" s="123" t="s">
        <v>14477</v>
      </c>
      <c r="L3971" s="131" t="s">
        <v>100</v>
      </c>
      <c r="M3971" s="135" t="s">
        <v>845</v>
      </c>
      <c r="N3971" s="123" t="s">
        <v>845</v>
      </c>
    </row>
    <row r="3972" spans="2:14" hidden="1" x14ac:dyDescent="0.25">
      <c r="B3972" s="120">
        <v>3969</v>
      </c>
      <c r="C3972" s="123">
        <v>10773411269</v>
      </c>
      <c r="D3972" s="126" t="s">
        <v>14478</v>
      </c>
      <c r="E3972" s="126" t="s">
        <v>14479</v>
      </c>
      <c r="F3972" s="123" t="s">
        <v>30</v>
      </c>
      <c r="G3972" s="123" t="s">
        <v>54</v>
      </c>
      <c r="H3972" s="123" t="s">
        <v>117</v>
      </c>
      <c r="I3972" s="126" t="s">
        <v>1950</v>
      </c>
      <c r="J3972" s="123" t="s">
        <v>14480</v>
      </c>
      <c r="K3972" s="123" t="s">
        <v>14478</v>
      </c>
      <c r="L3972" s="131" t="s">
        <v>100</v>
      </c>
      <c r="M3972" s="135" t="s">
        <v>845</v>
      </c>
      <c r="N3972" s="123" t="s">
        <v>845</v>
      </c>
    </row>
    <row r="3973" spans="2:14" hidden="1" x14ac:dyDescent="0.25">
      <c r="B3973" s="120">
        <v>3970</v>
      </c>
      <c r="C3973" s="123">
        <v>10464772460</v>
      </c>
      <c r="D3973" s="126" t="s">
        <v>14481</v>
      </c>
      <c r="E3973" s="126" t="s">
        <v>14482</v>
      </c>
      <c r="F3973" s="123" t="s">
        <v>30</v>
      </c>
      <c r="G3973" s="123" t="s">
        <v>30</v>
      </c>
      <c r="H3973" s="123" t="s">
        <v>72</v>
      </c>
      <c r="I3973" s="126" t="s">
        <v>1394</v>
      </c>
      <c r="J3973" s="123" t="s">
        <v>14483</v>
      </c>
      <c r="K3973" s="123" t="s">
        <v>14481</v>
      </c>
      <c r="L3973" s="131" t="s">
        <v>100</v>
      </c>
      <c r="M3973" s="135" t="s">
        <v>845</v>
      </c>
      <c r="N3973" s="123" t="s">
        <v>845</v>
      </c>
    </row>
    <row r="3974" spans="2:14" hidden="1" x14ac:dyDescent="0.25">
      <c r="B3974" s="120">
        <v>3971</v>
      </c>
      <c r="C3974" s="123">
        <v>10700833963</v>
      </c>
      <c r="D3974" s="126" t="s">
        <v>14484</v>
      </c>
      <c r="E3974" s="126" t="s">
        <v>14485</v>
      </c>
      <c r="F3974" s="123" t="s">
        <v>30</v>
      </c>
      <c r="G3974" s="123" t="s">
        <v>30</v>
      </c>
      <c r="H3974" s="123" t="s">
        <v>30</v>
      </c>
      <c r="I3974" s="126" t="s">
        <v>1950</v>
      </c>
      <c r="J3974" s="123" t="s">
        <v>14486</v>
      </c>
      <c r="K3974" s="123" t="s">
        <v>14487</v>
      </c>
      <c r="L3974" s="131" t="s">
        <v>100</v>
      </c>
      <c r="M3974" s="135" t="s">
        <v>845</v>
      </c>
      <c r="N3974" s="123" t="s">
        <v>845</v>
      </c>
    </row>
    <row r="3975" spans="2:14" hidden="1" x14ac:dyDescent="0.25">
      <c r="B3975" s="120">
        <v>3972</v>
      </c>
      <c r="C3975" s="123">
        <v>10752805135</v>
      </c>
      <c r="D3975" s="126" t="s">
        <v>14488</v>
      </c>
      <c r="E3975" s="126" t="s">
        <v>14489</v>
      </c>
      <c r="F3975" s="123" t="s">
        <v>30</v>
      </c>
      <c r="G3975" s="123" t="s">
        <v>30</v>
      </c>
      <c r="H3975" s="123" t="s">
        <v>75</v>
      </c>
      <c r="I3975" s="126" t="s">
        <v>1954</v>
      </c>
      <c r="J3975" s="123" t="s">
        <v>14490</v>
      </c>
      <c r="K3975" s="123" t="s">
        <v>14488</v>
      </c>
      <c r="L3975" s="131" t="s">
        <v>100</v>
      </c>
      <c r="M3975" s="135" t="s">
        <v>845</v>
      </c>
      <c r="N3975" s="123" t="s">
        <v>845</v>
      </c>
    </row>
    <row r="3976" spans="2:14" hidden="1" x14ac:dyDescent="0.25">
      <c r="B3976" s="120">
        <v>3973</v>
      </c>
      <c r="C3976" s="123">
        <v>10806551321</v>
      </c>
      <c r="D3976" s="126" t="s">
        <v>14491</v>
      </c>
      <c r="E3976" s="126" t="s">
        <v>14492</v>
      </c>
      <c r="F3976" s="123" t="s">
        <v>30</v>
      </c>
      <c r="G3976" s="123" t="s">
        <v>30</v>
      </c>
      <c r="H3976" s="123" t="s">
        <v>41</v>
      </c>
      <c r="I3976" s="126" t="s">
        <v>9748</v>
      </c>
      <c r="J3976" s="123" t="s">
        <v>14493</v>
      </c>
      <c r="K3976" s="123" t="s">
        <v>14494</v>
      </c>
      <c r="L3976" s="131" t="s">
        <v>100</v>
      </c>
      <c r="M3976" s="135" t="s">
        <v>845</v>
      </c>
      <c r="N3976" s="123" t="s">
        <v>845</v>
      </c>
    </row>
    <row r="3977" spans="2:14" hidden="1" x14ac:dyDescent="0.25">
      <c r="B3977" s="120">
        <v>3974</v>
      </c>
      <c r="C3977" s="123">
        <v>10748028167</v>
      </c>
      <c r="D3977" s="126" t="s">
        <v>14495</v>
      </c>
      <c r="E3977" s="126" t="s">
        <v>14496</v>
      </c>
      <c r="F3977" s="123" t="s">
        <v>30</v>
      </c>
      <c r="G3977" s="123" t="s">
        <v>30</v>
      </c>
      <c r="H3977" s="123" t="s">
        <v>127</v>
      </c>
      <c r="I3977" s="126" t="s">
        <v>1701</v>
      </c>
      <c r="J3977" s="123" t="s">
        <v>14497</v>
      </c>
      <c r="K3977" s="123" t="s">
        <v>14495</v>
      </c>
      <c r="L3977" s="131" t="s">
        <v>100</v>
      </c>
      <c r="M3977" s="135" t="s">
        <v>845</v>
      </c>
      <c r="N3977" s="123" t="s">
        <v>845</v>
      </c>
    </row>
    <row r="3978" spans="2:14" hidden="1" x14ac:dyDescent="0.25">
      <c r="B3978" s="120">
        <v>3975</v>
      </c>
      <c r="C3978" s="123">
        <v>10206545475</v>
      </c>
      <c r="D3978" s="126" t="s">
        <v>14498</v>
      </c>
      <c r="E3978" s="126" t="s">
        <v>14499</v>
      </c>
      <c r="F3978" s="123" t="s">
        <v>30</v>
      </c>
      <c r="G3978" s="123" t="s">
        <v>30</v>
      </c>
      <c r="H3978" s="123" t="s">
        <v>30</v>
      </c>
      <c r="I3978" s="126" t="s">
        <v>1930</v>
      </c>
      <c r="J3978" s="123" t="s">
        <v>14500</v>
      </c>
      <c r="K3978" s="123" t="s">
        <v>14498</v>
      </c>
      <c r="L3978" s="131" t="s">
        <v>100</v>
      </c>
      <c r="M3978" s="135" t="s">
        <v>845</v>
      </c>
      <c r="N3978" s="123" t="s">
        <v>845</v>
      </c>
    </row>
    <row r="3979" spans="2:14" hidden="1" x14ac:dyDescent="0.25">
      <c r="B3979" s="120">
        <v>3976</v>
      </c>
      <c r="C3979" s="123">
        <v>10435956705</v>
      </c>
      <c r="D3979" s="126" t="s">
        <v>14501</v>
      </c>
      <c r="E3979" s="126" t="s">
        <v>14502</v>
      </c>
      <c r="F3979" s="123" t="s">
        <v>30</v>
      </c>
      <c r="G3979" s="123" t="s">
        <v>30</v>
      </c>
      <c r="H3979" s="123" t="s">
        <v>50</v>
      </c>
      <c r="I3979" s="126" t="s">
        <v>1949</v>
      </c>
      <c r="J3979" s="123" t="s">
        <v>14503</v>
      </c>
      <c r="K3979" s="123" t="s">
        <v>14501</v>
      </c>
      <c r="L3979" s="131" t="s">
        <v>100</v>
      </c>
      <c r="M3979" s="135" t="s">
        <v>845</v>
      </c>
      <c r="N3979" s="123" t="s">
        <v>845</v>
      </c>
    </row>
    <row r="3980" spans="2:14" hidden="1" x14ac:dyDescent="0.25">
      <c r="B3980" s="120">
        <v>3977</v>
      </c>
      <c r="C3980" s="123">
        <v>10473251375</v>
      </c>
      <c r="D3980" s="126" t="s">
        <v>14504</v>
      </c>
      <c r="E3980" s="126" t="s">
        <v>14505</v>
      </c>
      <c r="F3980" s="123" t="s">
        <v>30</v>
      </c>
      <c r="G3980" s="123" t="s">
        <v>30</v>
      </c>
      <c r="H3980" s="123" t="s">
        <v>45</v>
      </c>
      <c r="I3980" s="126" t="s">
        <v>1365</v>
      </c>
      <c r="J3980" s="123" t="s">
        <v>14506</v>
      </c>
      <c r="K3980" s="123" t="s">
        <v>14507</v>
      </c>
      <c r="L3980" s="131" t="s">
        <v>100</v>
      </c>
      <c r="M3980" s="135" t="s">
        <v>845</v>
      </c>
      <c r="N3980" s="123" t="s">
        <v>845</v>
      </c>
    </row>
    <row r="3981" spans="2:14" hidden="1" x14ac:dyDescent="0.25">
      <c r="B3981" s="120">
        <v>3978</v>
      </c>
      <c r="C3981" s="123">
        <v>10094825224</v>
      </c>
      <c r="D3981" s="126" t="s">
        <v>14508</v>
      </c>
      <c r="E3981" s="126" t="s">
        <v>14509</v>
      </c>
      <c r="F3981" s="123" t="s">
        <v>30</v>
      </c>
      <c r="G3981" s="123" t="s">
        <v>30</v>
      </c>
      <c r="H3981" s="123" t="s">
        <v>72</v>
      </c>
      <c r="I3981" s="126" t="s">
        <v>8659</v>
      </c>
      <c r="J3981" s="123" t="s">
        <v>14510</v>
      </c>
      <c r="K3981" s="123" t="s">
        <v>14508</v>
      </c>
      <c r="L3981" s="131" t="s">
        <v>100</v>
      </c>
      <c r="M3981" s="135" t="s">
        <v>845</v>
      </c>
      <c r="N3981" s="123" t="s">
        <v>845</v>
      </c>
    </row>
    <row r="3982" spans="2:14" hidden="1" x14ac:dyDescent="0.25">
      <c r="B3982" s="120">
        <v>3979</v>
      </c>
      <c r="C3982" s="123">
        <v>10407307874</v>
      </c>
      <c r="D3982" s="126" t="s">
        <v>14511</v>
      </c>
      <c r="E3982" s="126" t="s">
        <v>14512</v>
      </c>
      <c r="F3982" s="123" t="s">
        <v>30</v>
      </c>
      <c r="G3982" s="123" t="s">
        <v>170</v>
      </c>
      <c r="H3982" s="123" t="s">
        <v>171</v>
      </c>
      <c r="I3982" s="126" t="s">
        <v>1971</v>
      </c>
      <c r="J3982" s="123" t="s">
        <v>14513</v>
      </c>
      <c r="K3982" s="123" t="s">
        <v>14511</v>
      </c>
      <c r="L3982" s="131" t="s">
        <v>100</v>
      </c>
      <c r="M3982" s="135" t="s">
        <v>845</v>
      </c>
      <c r="N3982" s="123" t="s">
        <v>845</v>
      </c>
    </row>
    <row r="3983" spans="2:14" hidden="1" x14ac:dyDescent="0.25">
      <c r="B3983" s="120">
        <v>3980</v>
      </c>
      <c r="C3983" s="123">
        <v>10721908793</v>
      </c>
      <c r="D3983" s="126" t="s">
        <v>14514</v>
      </c>
      <c r="E3983" s="126" t="s">
        <v>14515</v>
      </c>
      <c r="F3983" s="123" t="s">
        <v>30</v>
      </c>
      <c r="G3983" s="123" t="s">
        <v>30</v>
      </c>
      <c r="H3983" s="123" t="s">
        <v>60</v>
      </c>
      <c r="I3983" s="126" t="s">
        <v>1948</v>
      </c>
      <c r="J3983" s="123" t="s">
        <v>14516</v>
      </c>
      <c r="K3983" s="123" t="s">
        <v>14514</v>
      </c>
      <c r="L3983" s="131" t="s">
        <v>100</v>
      </c>
      <c r="M3983" s="135" t="s">
        <v>845</v>
      </c>
      <c r="N3983" s="123" t="s">
        <v>845</v>
      </c>
    </row>
    <row r="3984" spans="2:14" hidden="1" x14ac:dyDescent="0.25">
      <c r="B3984" s="120">
        <v>3981</v>
      </c>
      <c r="C3984" s="123">
        <v>10761796017</v>
      </c>
      <c r="D3984" s="126" t="s">
        <v>14517</v>
      </c>
      <c r="E3984" s="126" t="s">
        <v>14518</v>
      </c>
      <c r="F3984" s="123" t="s">
        <v>30</v>
      </c>
      <c r="G3984" s="123" t="s">
        <v>30</v>
      </c>
      <c r="H3984" s="123" t="s">
        <v>30</v>
      </c>
      <c r="I3984" s="126" t="s">
        <v>1499</v>
      </c>
      <c r="J3984" s="123" t="s">
        <v>14519</v>
      </c>
      <c r="K3984" s="123" t="s">
        <v>14520</v>
      </c>
      <c r="L3984" s="131" t="s">
        <v>100</v>
      </c>
      <c r="M3984" s="135" t="s">
        <v>845</v>
      </c>
      <c r="N3984" s="123" t="s">
        <v>845</v>
      </c>
    </row>
    <row r="3985" spans="2:14" hidden="1" x14ac:dyDescent="0.25">
      <c r="B3985" s="120">
        <v>3982</v>
      </c>
      <c r="C3985" s="123">
        <v>10153551346</v>
      </c>
      <c r="D3985" s="126" t="s">
        <v>14521</v>
      </c>
      <c r="E3985" s="126" t="s">
        <v>14522</v>
      </c>
      <c r="F3985" s="123" t="s">
        <v>30</v>
      </c>
      <c r="G3985" s="123" t="s">
        <v>31</v>
      </c>
      <c r="H3985" s="123" t="s">
        <v>9381</v>
      </c>
      <c r="I3985" s="126" t="s">
        <v>1564</v>
      </c>
      <c r="J3985" s="123" t="s">
        <v>14523</v>
      </c>
      <c r="K3985" s="123" t="s">
        <v>14521</v>
      </c>
      <c r="L3985" s="131" t="s">
        <v>100</v>
      </c>
      <c r="M3985" s="135" t="s">
        <v>845</v>
      </c>
      <c r="N3985" s="123" t="s">
        <v>845</v>
      </c>
    </row>
    <row r="3986" spans="2:14" hidden="1" x14ac:dyDescent="0.25">
      <c r="B3986" s="120">
        <v>3983</v>
      </c>
      <c r="C3986" s="123">
        <v>10212891857</v>
      </c>
      <c r="D3986" s="126" t="s">
        <v>14524</v>
      </c>
      <c r="E3986" s="126" t="s">
        <v>14525</v>
      </c>
      <c r="F3986" s="123" t="s">
        <v>30</v>
      </c>
      <c r="G3986" s="123" t="s">
        <v>30</v>
      </c>
      <c r="H3986" s="123" t="s">
        <v>75</v>
      </c>
      <c r="I3986" s="126" t="s">
        <v>3919</v>
      </c>
      <c r="J3986" s="123" t="s">
        <v>14526</v>
      </c>
      <c r="K3986" s="123" t="s">
        <v>14524</v>
      </c>
      <c r="L3986" s="131" t="s">
        <v>100</v>
      </c>
      <c r="M3986" s="135" t="s">
        <v>845</v>
      </c>
      <c r="N3986" s="123" t="s">
        <v>845</v>
      </c>
    </row>
    <row r="3987" spans="2:14" hidden="1" x14ac:dyDescent="0.25">
      <c r="B3987" s="120">
        <v>3984</v>
      </c>
      <c r="C3987" s="123">
        <v>10046505978</v>
      </c>
      <c r="D3987" s="126" t="s">
        <v>14527</v>
      </c>
      <c r="E3987" s="126" t="s">
        <v>14528</v>
      </c>
      <c r="F3987" s="123" t="s">
        <v>14529</v>
      </c>
      <c r="G3987" s="123" t="s">
        <v>14530</v>
      </c>
      <c r="H3987" s="123" t="s">
        <v>14530</v>
      </c>
      <c r="I3987" s="126" t="s">
        <v>1944</v>
      </c>
      <c r="J3987" s="123" t="s">
        <v>14531</v>
      </c>
      <c r="K3987" s="123" t="s">
        <v>14527</v>
      </c>
      <c r="L3987" s="131" t="s">
        <v>100</v>
      </c>
      <c r="M3987" s="135" t="s">
        <v>845</v>
      </c>
      <c r="N3987" s="123" t="s">
        <v>845</v>
      </c>
    </row>
    <row r="3988" spans="2:14" hidden="1" x14ac:dyDescent="0.25">
      <c r="B3988" s="120">
        <v>3985</v>
      </c>
      <c r="C3988" s="123">
        <v>10255450285</v>
      </c>
      <c r="D3988" s="126" t="s">
        <v>14532</v>
      </c>
      <c r="E3988" s="126" t="s">
        <v>14533</v>
      </c>
      <c r="F3988" s="123" t="s">
        <v>67</v>
      </c>
      <c r="G3988" s="123" t="s">
        <v>67</v>
      </c>
      <c r="H3988" s="123" t="s">
        <v>67</v>
      </c>
      <c r="I3988" s="126" t="s">
        <v>14534</v>
      </c>
      <c r="J3988" s="123" t="s">
        <v>14535</v>
      </c>
      <c r="K3988" s="123" t="s">
        <v>14532</v>
      </c>
      <c r="L3988" s="131" t="s">
        <v>100</v>
      </c>
      <c r="M3988" s="135" t="s">
        <v>845</v>
      </c>
      <c r="N3988" s="123" t="s">
        <v>845</v>
      </c>
    </row>
    <row r="3989" spans="2:14" hidden="1" x14ac:dyDescent="0.25">
      <c r="B3989" s="120">
        <v>3986</v>
      </c>
      <c r="C3989" s="123">
        <v>10103620436</v>
      </c>
      <c r="D3989" s="126" t="s">
        <v>14536</v>
      </c>
      <c r="E3989" s="126" t="s">
        <v>14537</v>
      </c>
      <c r="F3989" s="123" t="s">
        <v>30</v>
      </c>
      <c r="G3989" s="123" t="s">
        <v>31</v>
      </c>
      <c r="H3989" s="123" t="s">
        <v>9381</v>
      </c>
      <c r="I3989" s="126" t="s">
        <v>1701</v>
      </c>
      <c r="J3989" s="123" t="s">
        <v>14538</v>
      </c>
      <c r="K3989" s="123" t="s">
        <v>14536</v>
      </c>
      <c r="L3989" s="131" t="s">
        <v>100</v>
      </c>
      <c r="M3989" s="135" t="s">
        <v>845</v>
      </c>
      <c r="N3989" s="123" t="s">
        <v>845</v>
      </c>
    </row>
    <row r="3990" spans="2:14" hidden="1" x14ac:dyDescent="0.25">
      <c r="B3990" s="120">
        <v>3987</v>
      </c>
      <c r="C3990" s="123">
        <v>10096344711</v>
      </c>
      <c r="D3990" s="126" t="s">
        <v>14539</v>
      </c>
      <c r="E3990" s="126" t="s">
        <v>14540</v>
      </c>
      <c r="F3990" s="123" t="s">
        <v>67</v>
      </c>
      <c r="G3990" s="123" t="s">
        <v>67</v>
      </c>
      <c r="H3990" s="123" t="s">
        <v>94</v>
      </c>
      <c r="I3990" s="126" t="s">
        <v>1424</v>
      </c>
      <c r="J3990" s="123" t="s">
        <v>14541</v>
      </c>
      <c r="K3990" s="123" t="s">
        <v>14539</v>
      </c>
      <c r="L3990" s="131" t="s">
        <v>100</v>
      </c>
      <c r="M3990" s="135" t="s">
        <v>845</v>
      </c>
      <c r="N3990" s="123" t="s">
        <v>845</v>
      </c>
    </row>
    <row r="3991" spans="2:14" hidden="1" x14ac:dyDescent="0.25">
      <c r="B3991" s="120">
        <v>3988</v>
      </c>
      <c r="C3991" s="123">
        <v>10702613596</v>
      </c>
      <c r="D3991" s="126" t="s">
        <v>14542</v>
      </c>
      <c r="E3991" s="126" t="s">
        <v>14543</v>
      </c>
      <c r="F3991" s="123" t="s">
        <v>1972</v>
      </c>
      <c r="G3991" s="123" t="s">
        <v>1972</v>
      </c>
      <c r="H3991" s="123" t="s">
        <v>1972</v>
      </c>
      <c r="I3991" s="126" t="s">
        <v>1564</v>
      </c>
      <c r="J3991" s="123" t="s">
        <v>14544</v>
      </c>
      <c r="K3991" s="123" t="s">
        <v>14542</v>
      </c>
      <c r="L3991" s="131" t="s">
        <v>100</v>
      </c>
      <c r="M3991" s="135" t="s">
        <v>845</v>
      </c>
      <c r="N3991" s="123" t="s">
        <v>845</v>
      </c>
    </row>
    <row r="3992" spans="2:14" hidden="1" x14ac:dyDescent="0.25">
      <c r="B3992" s="120">
        <v>3989</v>
      </c>
      <c r="C3992" s="123">
        <v>10093673684</v>
      </c>
      <c r="D3992" s="126" t="s">
        <v>14545</v>
      </c>
      <c r="E3992" s="126" t="s">
        <v>14546</v>
      </c>
      <c r="F3992" s="123" t="s">
        <v>30</v>
      </c>
      <c r="G3992" s="123" t="s">
        <v>30</v>
      </c>
      <c r="H3992" s="123" t="s">
        <v>45</v>
      </c>
      <c r="I3992" s="126" t="s">
        <v>12353</v>
      </c>
      <c r="J3992" s="123" t="s">
        <v>14547</v>
      </c>
      <c r="K3992" s="123" t="s">
        <v>14545</v>
      </c>
      <c r="L3992" s="131" t="s">
        <v>100</v>
      </c>
      <c r="M3992" s="135" t="s">
        <v>845</v>
      </c>
      <c r="N3992" s="123" t="s">
        <v>845</v>
      </c>
    </row>
    <row r="3993" spans="2:14" hidden="1" x14ac:dyDescent="0.25">
      <c r="B3993" s="120">
        <v>3990</v>
      </c>
      <c r="C3993" s="123">
        <v>10432692235</v>
      </c>
      <c r="D3993" s="126" t="s">
        <v>14548</v>
      </c>
      <c r="E3993" s="126" t="s">
        <v>14549</v>
      </c>
      <c r="F3993" s="123" t="s">
        <v>67</v>
      </c>
      <c r="G3993" s="123" t="s">
        <v>67</v>
      </c>
      <c r="H3993" s="123" t="s">
        <v>67</v>
      </c>
      <c r="I3993" s="126" t="s">
        <v>1424</v>
      </c>
      <c r="J3993" s="123" t="s">
        <v>14550</v>
      </c>
      <c r="K3993" s="123" t="s">
        <v>14551</v>
      </c>
      <c r="L3993" s="131" t="s">
        <v>100</v>
      </c>
      <c r="M3993" s="135" t="s">
        <v>845</v>
      </c>
      <c r="N3993" s="123" t="s">
        <v>845</v>
      </c>
    </row>
    <row r="3994" spans="2:14" hidden="1" x14ac:dyDescent="0.25">
      <c r="B3994" s="120">
        <v>3991</v>
      </c>
      <c r="C3994" s="123">
        <v>10464744911</v>
      </c>
      <c r="D3994" s="126" t="s">
        <v>14552</v>
      </c>
      <c r="E3994" s="126" t="s">
        <v>14553</v>
      </c>
      <c r="F3994" s="123" t="s">
        <v>30</v>
      </c>
      <c r="G3994" s="123" t="s">
        <v>30</v>
      </c>
      <c r="H3994" s="123" t="s">
        <v>50</v>
      </c>
      <c r="I3994" s="126" t="s">
        <v>6924</v>
      </c>
      <c r="J3994" s="123" t="s">
        <v>14554</v>
      </c>
      <c r="K3994" s="123" t="s">
        <v>14552</v>
      </c>
      <c r="L3994" s="131" t="s">
        <v>100</v>
      </c>
      <c r="M3994" s="135" t="s">
        <v>845</v>
      </c>
      <c r="N3994" s="123" t="s">
        <v>845</v>
      </c>
    </row>
    <row r="3995" spans="2:14" hidden="1" x14ac:dyDescent="0.25">
      <c r="B3995" s="120">
        <v>3992</v>
      </c>
      <c r="C3995" s="123">
        <v>10432126744</v>
      </c>
      <c r="D3995" s="126" t="s">
        <v>14555</v>
      </c>
      <c r="E3995" s="126" t="s">
        <v>14556</v>
      </c>
      <c r="F3995" s="123" t="s">
        <v>30</v>
      </c>
      <c r="G3995" s="123" t="s">
        <v>30</v>
      </c>
      <c r="H3995" s="123" t="s">
        <v>60</v>
      </c>
      <c r="I3995" s="126" t="s">
        <v>101</v>
      </c>
      <c r="J3995" s="123" t="s">
        <v>14557</v>
      </c>
      <c r="K3995" s="123" t="s">
        <v>14555</v>
      </c>
      <c r="L3995" s="131" t="s">
        <v>100</v>
      </c>
      <c r="M3995" s="135" t="s">
        <v>845</v>
      </c>
      <c r="N3995" s="123" t="s">
        <v>845</v>
      </c>
    </row>
    <row r="3996" spans="2:14" hidden="1" x14ac:dyDescent="0.25">
      <c r="B3996" s="120">
        <v>3993</v>
      </c>
      <c r="C3996" s="123">
        <v>10098799139</v>
      </c>
      <c r="D3996" s="126" t="s">
        <v>14558</v>
      </c>
      <c r="E3996" s="126" t="s">
        <v>14559</v>
      </c>
      <c r="F3996" s="123" t="s">
        <v>30</v>
      </c>
      <c r="G3996" s="123" t="s">
        <v>30</v>
      </c>
      <c r="H3996" s="123" t="s">
        <v>35</v>
      </c>
      <c r="I3996" s="126" t="s">
        <v>1701</v>
      </c>
      <c r="J3996" s="123" t="s">
        <v>14560</v>
      </c>
      <c r="K3996" s="123" t="s">
        <v>14558</v>
      </c>
      <c r="L3996" s="131" t="s">
        <v>100</v>
      </c>
      <c r="M3996" s="135" t="s">
        <v>845</v>
      </c>
      <c r="N3996" s="123" t="s">
        <v>845</v>
      </c>
    </row>
    <row r="3997" spans="2:14" hidden="1" x14ac:dyDescent="0.25">
      <c r="B3997" s="120">
        <v>3994</v>
      </c>
      <c r="C3997" s="123">
        <v>10401832845</v>
      </c>
      <c r="D3997" s="126" t="s">
        <v>14561</v>
      </c>
      <c r="E3997" s="126" t="s">
        <v>14562</v>
      </c>
      <c r="F3997" s="123" t="s">
        <v>30</v>
      </c>
      <c r="G3997" s="123" t="s">
        <v>30</v>
      </c>
      <c r="H3997" s="123" t="s">
        <v>43</v>
      </c>
      <c r="I3997" s="126" t="s">
        <v>1737</v>
      </c>
      <c r="J3997" s="123" t="s">
        <v>14563</v>
      </c>
      <c r="K3997" s="123" t="s">
        <v>14561</v>
      </c>
      <c r="L3997" s="131" t="s">
        <v>100</v>
      </c>
      <c r="M3997" s="135" t="s">
        <v>845</v>
      </c>
      <c r="N3997" s="123" t="s">
        <v>845</v>
      </c>
    </row>
    <row r="3998" spans="2:14" hidden="1" x14ac:dyDescent="0.25">
      <c r="B3998" s="120">
        <v>3995</v>
      </c>
      <c r="C3998" s="123">
        <v>10410670025</v>
      </c>
      <c r="D3998" s="126" t="s">
        <v>14564</v>
      </c>
      <c r="E3998" s="126" t="s">
        <v>14565</v>
      </c>
      <c r="F3998" s="123" t="s">
        <v>30</v>
      </c>
      <c r="G3998" s="123" t="s">
        <v>31</v>
      </c>
      <c r="H3998" s="123" t="s">
        <v>148</v>
      </c>
      <c r="I3998" s="126" t="s">
        <v>1564</v>
      </c>
      <c r="J3998" s="123" t="s">
        <v>14566</v>
      </c>
      <c r="K3998" s="123" t="s">
        <v>14564</v>
      </c>
      <c r="L3998" s="131" t="s">
        <v>100</v>
      </c>
      <c r="M3998" s="135" t="s">
        <v>845</v>
      </c>
      <c r="N3998" s="123" t="s">
        <v>845</v>
      </c>
    </row>
    <row r="3999" spans="2:14" hidden="1" x14ac:dyDescent="0.25">
      <c r="B3999" s="120">
        <v>3996</v>
      </c>
      <c r="C3999" s="123">
        <v>10070589643</v>
      </c>
      <c r="D3999" s="126" t="s">
        <v>14567</v>
      </c>
      <c r="E3999" s="126" t="s">
        <v>14568</v>
      </c>
      <c r="F3999" s="123" t="s">
        <v>30</v>
      </c>
      <c r="G3999" s="123" t="s">
        <v>30</v>
      </c>
      <c r="H3999" s="123" t="s">
        <v>30</v>
      </c>
      <c r="I3999" s="126" t="s">
        <v>10050</v>
      </c>
      <c r="J3999" s="123" t="s">
        <v>14569</v>
      </c>
      <c r="K3999" s="123" t="s">
        <v>14570</v>
      </c>
      <c r="L3999" s="131" t="s">
        <v>100</v>
      </c>
      <c r="M3999" s="135" t="s">
        <v>845</v>
      </c>
      <c r="N3999" s="123" t="s">
        <v>845</v>
      </c>
    </row>
    <row r="4000" spans="2:14" hidden="1" x14ac:dyDescent="0.25">
      <c r="B4000" s="120">
        <v>3997</v>
      </c>
      <c r="C4000" s="123">
        <v>10097309251</v>
      </c>
      <c r="D4000" s="126" t="s">
        <v>14571</v>
      </c>
      <c r="E4000" s="126" t="s">
        <v>14572</v>
      </c>
      <c r="F4000" s="123" t="s">
        <v>30</v>
      </c>
      <c r="G4000" s="123" t="s">
        <v>30</v>
      </c>
      <c r="H4000" s="123" t="s">
        <v>75</v>
      </c>
      <c r="I4000" s="126" t="s">
        <v>14573</v>
      </c>
      <c r="J4000" s="123" t="s">
        <v>14574</v>
      </c>
      <c r="K4000" s="123" t="s">
        <v>14575</v>
      </c>
      <c r="L4000" s="131" t="s">
        <v>100</v>
      </c>
      <c r="M4000" s="135" t="s">
        <v>845</v>
      </c>
      <c r="N4000" s="123" t="s">
        <v>845</v>
      </c>
    </row>
    <row r="4001" spans="2:14" hidden="1" x14ac:dyDescent="0.25">
      <c r="B4001" s="120">
        <v>3998</v>
      </c>
      <c r="C4001" s="123">
        <v>10257580771</v>
      </c>
      <c r="D4001" s="126" t="s">
        <v>14576</v>
      </c>
      <c r="E4001" s="126" t="s">
        <v>14577</v>
      </c>
      <c r="F4001" s="123" t="s">
        <v>30</v>
      </c>
      <c r="G4001" s="123" t="s">
        <v>30</v>
      </c>
      <c r="H4001" s="123" t="s">
        <v>75</v>
      </c>
      <c r="I4001" s="126" t="s">
        <v>1561</v>
      </c>
      <c r="J4001" s="123" t="s">
        <v>14578</v>
      </c>
      <c r="K4001" s="123" t="s">
        <v>14576</v>
      </c>
      <c r="L4001" s="131" t="s">
        <v>100</v>
      </c>
      <c r="M4001" s="135" t="s">
        <v>845</v>
      </c>
      <c r="N4001" s="123" t="s">
        <v>845</v>
      </c>
    </row>
    <row r="4002" spans="2:14" hidden="1" x14ac:dyDescent="0.25">
      <c r="B4002" s="120">
        <v>3999</v>
      </c>
      <c r="C4002" s="123">
        <v>10102277525</v>
      </c>
      <c r="D4002" s="126" t="s">
        <v>14579</v>
      </c>
      <c r="E4002" s="126" t="s">
        <v>14580</v>
      </c>
      <c r="F4002" s="123" t="s">
        <v>30</v>
      </c>
      <c r="G4002" s="123" t="s">
        <v>30</v>
      </c>
      <c r="H4002" s="123" t="s">
        <v>60</v>
      </c>
      <c r="I4002" s="126" t="s">
        <v>1931</v>
      </c>
      <c r="J4002" s="123" t="s">
        <v>14581</v>
      </c>
      <c r="K4002" s="123" t="s">
        <v>14579</v>
      </c>
      <c r="L4002" s="131" t="s">
        <v>100</v>
      </c>
      <c r="M4002" s="135" t="s">
        <v>845</v>
      </c>
      <c r="N4002" s="123" t="s">
        <v>845</v>
      </c>
    </row>
    <row r="4003" spans="2:14" hidden="1" x14ac:dyDescent="0.25">
      <c r="B4003" s="120">
        <v>4000</v>
      </c>
      <c r="C4003" s="123">
        <v>10482056704</v>
      </c>
      <c r="D4003" s="126" t="s">
        <v>14582</v>
      </c>
      <c r="E4003" s="126" t="s">
        <v>14583</v>
      </c>
      <c r="F4003" s="123" t="s">
        <v>30</v>
      </c>
      <c r="G4003" s="123" t="s">
        <v>30</v>
      </c>
      <c r="H4003" s="123" t="s">
        <v>41</v>
      </c>
      <c r="I4003" s="126" t="s">
        <v>10422</v>
      </c>
      <c r="J4003" s="123" t="s">
        <v>14584</v>
      </c>
      <c r="K4003" s="123" t="s">
        <v>14582</v>
      </c>
      <c r="L4003" s="131" t="s">
        <v>100</v>
      </c>
      <c r="M4003" s="135" t="s">
        <v>845</v>
      </c>
      <c r="N4003" s="123" t="s">
        <v>845</v>
      </c>
    </row>
    <row r="4004" spans="2:14" hidden="1" x14ac:dyDescent="0.25">
      <c r="B4004" s="120">
        <v>4001</v>
      </c>
      <c r="C4004" s="123">
        <v>10409336961</v>
      </c>
      <c r="D4004" s="126" t="s">
        <v>14585</v>
      </c>
      <c r="E4004" s="126" t="s">
        <v>14586</v>
      </c>
      <c r="F4004" s="123" t="s">
        <v>30</v>
      </c>
      <c r="G4004" s="123" t="s">
        <v>30</v>
      </c>
      <c r="H4004" s="123" t="s">
        <v>51</v>
      </c>
      <c r="I4004" s="126" t="s">
        <v>14587</v>
      </c>
      <c r="J4004" s="123" t="s">
        <v>14588</v>
      </c>
      <c r="K4004" s="123" t="s">
        <v>14589</v>
      </c>
      <c r="L4004" s="131" t="s">
        <v>100</v>
      </c>
      <c r="M4004" s="135" t="s">
        <v>845</v>
      </c>
      <c r="N4004" s="123" t="s">
        <v>845</v>
      </c>
    </row>
    <row r="4005" spans="2:14" hidden="1" x14ac:dyDescent="0.25">
      <c r="B4005" s="120">
        <v>4002</v>
      </c>
      <c r="C4005" s="123">
        <v>10413646222</v>
      </c>
      <c r="D4005" s="126" t="s">
        <v>14590</v>
      </c>
      <c r="E4005" s="126" t="s">
        <v>14591</v>
      </c>
      <c r="F4005" s="123" t="s">
        <v>30</v>
      </c>
      <c r="G4005" s="123" t="s">
        <v>30</v>
      </c>
      <c r="H4005" s="123" t="s">
        <v>30</v>
      </c>
      <c r="I4005" s="126" t="s">
        <v>1930</v>
      </c>
      <c r="J4005" s="123" t="s">
        <v>14592</v>
      </c>
      <c r="K4005" s="123" t="s">
        <v>14590</v>
      </c>
      <c r="L4005" s="131" t="s">
        <v>100</v>
      </c>
      <c r="M4005" s="135" t="s">
        <v>845</v>
      </c>
      <c r="N4005" s="123" t="s">
        <v>845</v>
      </c>
    </row>
    <row r="4006" spans="2:14" hidden="1" x14ac:dyDescent="0.25">
      <c r="B4006" s="120">
        <v>4003</v>
      </c>
      <c r="C4006" s="123">
        <v>10255839611</v>
      </c>
      <c r="D4006" s="126" t="s">
        <v>14593</v>
      </c>
      <c r="E4006" s="126" t="s">
        <v>14594</v>
      </c>
      <c r="F4006" s="123" t="s">
        <v>67</v>
      </c>
      <c r="G4006" s="123" t="s">
        <v>67</v>
      </c>
      <c r="H4006" s="123" t="s">
        <v>81</v>
      </c>
      <c r="I4006" s="126" t="s">
        <v>9561</v>
      </c>
      <c r="J4006" s="123" t="s">
        <v>14595</v>
      </c>
      <c r="K4006" s="123" t="s">
        <v>14596</v>
      </c>
      <c r="L4006" s="131" t="s">
        <v>100</v>
      </c>
      <c r="M4006" s="135" t="s">
        <v>845</v>
      </c>
      <c r="N4006" s="123" t="s">
        <v>845</v>
      </c>
    </row>
    <row r="4007" spans="2:14" hidden="1" x14ac:dyDescent="0.25">
      <c r="B4007" s="120">
        <v>4004</v>
      </c>
      <c r="C4007" s="123">
        <v>10408327224</v>
      </c>
      <c r="D4007" s="126" t="s">
        <v>14597</v>
      </c>
      <c r="E4007" s="126" t="s">
        <v>14598</v>
      </c>
      <c r="F4007" s="123" t="s">
        <v>30</v>
      </c>
      <c r="G4007" s="123" t="s">
        <v>168</v>
      </c>
      <c r="H4007" s="123" t="s">
        <v>168</v>
      </c>
      <c r="I4007" s="126" t="s">
        <v>1930</v>
      </c>
      <c r="J4007" s="123" t="s">
        <v>14599</v>
      </c>
      <c r="K4007" s="123" t="s">
        <v>14597</v>
      </c>
      <c r="L4007" s="131" t="s">
        <v>100</v>
      </c>
      <c r="M4007" s="135" t="s">
        <v>845</v>
      </c>
      <c r="N4007" s="123" t="s">
        <v>845</v>
      </c>
    </row>
    <row r="4008" spans="2:14" hidden="1" x14ac:dyDescent="0.25">
      <c r="B4008" s="120">
        <v>4005</v>
      </c>
      <c r="C4008" s="123">
        <v>10421753925</v>
      </c>
      <c r="D4008" s="126" t="s">
        <v>14600</v>
      </c>
      <c r="E4008" s="126" t="s">
        <v>14601</v>
      </c>
      <c r="F4008" s="123" t="s">
        <v>30</v>
      </c>
      <c r="G4008" s="123" t="s">
        <v>30</v>
      </c>
      <c r="H4008" s="123" t="s">
        <v>75</v>
      </c>
      <c r="I4008" s="126" t="s">
        <v>1701</v>
      </c>
      <c r="J4008" s="123" t="s">
        <v>14602</v>
      </c>
      <c r="K4008" s="123" t="s">
        <v>14600</v>
      </c>
      <c r="L4008" s="131" t="s">
        <v>100</v>
      </c>
      <c r="M4008" s="135" t="s">
        <v>845</v>
      </c>
      <c r="N4008" s="123" t="s">
        <v>845</v>
      </c>
    </row>
    <row r="4009" spans="2:14" hidden="1" x14ac:dyDescent="0.25">
      <c r="B4009" s="120">
        <v>4006</v>
      </c>
      <c r="C4009" s="123">
        <v>10012996875</v>
      </c>
      <c r="D4009" s="126" t="s">
        <v>14603</v>
      </c>
      <c r="E4009" s="126" t="s">
        <v>14604</v>
      </c>
      <c r="F4009" s="123" t="s">
        <v>30</v>
      </c>
      <c r="G4009" s="123" t="s">
        <v>30</v>
      </c>
      <c r="H4009" s="123" t="s">
        <v>127</v>
      </c>
      <c r="I4009" s="126" t="s">
        <v>193</v>
      </c>
      <c r="J4009" s="123" t="s">
        <v>14605</v>
      </c>
      <c r="K4009" s="123" t="s">
        <v>14606</v>
      </c>
      <c r="L4009" s="131" t="s">
        <v>100</v>
      </c>
      <c r="M4009" s="135" t="s">
        <v>845</v>
      </c>
      <c r="N4009" s="123" t="s">
        <v>845</v>
      </c>
    </row>
    <row r="4010" spans="2:14" hidden="1" x14ac:dyDescent="0.25">
      <c r="B4010" s="120">
        <v>4007</v>
      </c>
      <c r="C4010" s="123">
        <v>10416743393</v>
      </c>
      <c r="D4010" s="126" t="s">
        <v>14607</v>
      </c>
      <c r="E4010" s="126" t="s">
        <v>14608</v>
      </c>
      <c r="F4010" s="123" t="s">
        <v>30</v>
      </c>
      <c r="G4010" s="123" t="s">
        <v>30</v>
      </c>
      <c r="H4010" s="123" t="s">
        <v>41</v>
      </c>
      <c r="I4010" s="126" t="s">
        <v>1564</v>
      </c>
      <c r="J4010" s="123" t="s">
        <v>14609</v>
      </c>
      <c r="K4010" s="123" t="s">
        <v>14607</v>
      </c>
      <c r="L4010" s="131" t="s">
        <v>100</v>
      </c>
      <c r="M4010" s="135" t="s">
        <v>845</v>
      </c>
      <c r="N4010" s="123" t="s">
        <v>845</v>
      </c>
    </row>
    <row r="4011" spans="2:14" hidden="1" x14ac:dyDescent="0.25">
      <c r="B4011" s="120">
        <v>4008</v>
      </c>
      <c r="C4011" s="123">
        <v>10400042301</v>
      </c>
      <c r="D4011" s="126" t="s">
        <v>14610</v>
      </c>
      <c r="E4011" s="126" t="s">
        <v>14611</v>
      </c>
      <c r="F4011" s="123" t="s">
        <v>30</v>
      </c>
      <c r="G4011" s="123" t="s">
        <v>30</v>
      </c>
      <c r="H4011" s="123" t="s">
        <v>38</v>
      </c>
      <c r="I4011" s="126" t="s">
        <v>1209</v>
      </c>
      <c r="J4011" s="123" t="s">
        <v>14612</v>
      </c>
      <c r="K4011" s="123" t="s">
        <v>14610</v>
      </c>
      <c r="L4011" s="131" t="s">
        <v>100</v>
      </c>
      <c r="M4011" s="135" t="s">
        <v>845</v>
      </c>
      <c r="N4011" s="123" t="s">
        <v>845</v>
      </c>
    </row>
    <row r="4012" spans="2:14" hidden="1" x14ac:dyDescent="0.25">
      <c r="B4012" s="120">
        <v>4009</v>
      </c>
      <c r="C4012" s="123">
        <v>10401808448</v>
      </c>
      <c r="D4012" s="126" t="s">
        <v>14613</v>
      </c>
      <c r="E4012" s="126" t="s">
        <v>14614</v>
      </c>
      <c r="F4012" s="123" t="s">
        <v>30</v>
      </c>
      <c r="G4012" s="123" t="s">
        <v>30</v>
      </c>
      <c r="H4012" s="123" t="s">
        <v>30</v>
      </c>
      <c r="I4012" s="126" t="s">
        <v>1930</v>
      </c>
      <c r="J4012" s="123" t="s">
        <v>14615</v>
      </c>
      <c r="K4012" s="123" t="s">
        <v>14613</v>
      </c>
      <c r="L4012" s="131" t="s">
        <v>100</v>
      </c>
      <c r="M4012" s="135" t="s">
        <v>845</v>
      </c>
      <c r="N4012" s="123" t="s">
        <v>845</v>
      </c>
    </row>
    <row r="4013" spans="2:14" hidden="1" x14ac:dyDescent="0.25">
      <c r="B4013" s="120">
        <v>4010</v>
      </c>
      <c r="C4013" s="123">
        <v>10739501330</v>
      </c>
      <c r="D4013" s="126" t="s">
        <v>14616</v>
      </c>
      <c r="E4013" s="126" t="s">
        <v>14617</v>
      </c>
      <c r="F4013" s="123" t="s">
        <v>30</v>
      </c>
      <c r="G4013" s="123" t="s">
        <v>30</v>
      </c>
      <c r="H4013" s="123" t="s">
        <v>60</v>
      </c>
      <c r="I4013" s="126" t="s">
        <v>1643</v>
      </c>
      <c r="J4013" s="123" t="s">
        <v>14618</v>
      </c>
      <c r="K4013" s="123" t="s">
        <v>14616</v>
      </c>
      <c r="L4013" s="131" t="s">
        <v>100</v>
      </c>
      <c r="M4013" s="135" t="s">
        <v>845</v>
      </c>
      <c r="N4013" s="123" t="s">
        <v>845</v>
      </c>
    </row>
    <row r="4014" spans="2:14" hidden="1" x14ac:dyDescent="0.25">
      <c r="B4014" s="120">
        <v>4011</v>
      </c>
      <c r="C4014" s="123">
        <v>10106076401</v>
      </c>
      <c r="D4014" s="126" t="s">
        <v>14619</v>
      </c>
      <c r="E4014" s="126" t="s">
        <v>14620</v>
      </c>
      <c r="F4014" s="123" t="s">
        <v>30</v>
      </c>
      <c r="G4014" s="123" t="s">
        <v>30</v>
      </c>
      <c r="H4014" s="123" t="s">
        <v>40</v>
      </c>
      <c r="I4014" s="126" t="s">
        <v>1931</v>
      </c>
      <c r="J4014" s="123" t="s">
        <v>14621</v>
      </c>
      <c r="K4014" s="123" t="s">
        <v>14622</v>
      </c>
      <c r="L4014" s="131" t="s">
        <v>100</v>
      </c>
      <c r="M4014" s="135" t="s">
        <v>845</v>
      </c>
      <c r="N4014" s="123" t="s">
        <v>845</v>
      </c>
    </row>
    <row r="4015" spans="2:14" hidden="1" x14ac:dyDescent="0.25">
      <c r="B4015" s="120">
        <v>4012</v>
      </c>
      <c r="C4015" s="123">
        <v>10460120778</v>
      </c>
      <c r="D4015" s="126" t="s">
        <v>14623</v>
      </c>
      <c r="E4015" s="126" t="s">
        <v>14624</v>
      </c>
      <c r="F4015" s="123" t="s">
        <v>30</v>
      </c>
      <c r="G4015" s="123" t="s">
        <v>30</v>
      </c>
      <c r="H4015" s="123" t="s">
        <v>72</v>
      </c>
      <c r="I4015" s="126" t="s">
        <v>1551</v>
      </c>
      <c r="J4015" s="123" t="s">
        <v>14625</v>
      </c>
      <c r="K4015" s="123" t="s">
        <v>14623</v>
      </c>
      <c r="L4015" s="131" t="s">
        <v>100</v>
      </c>
      <c r="M4015" s="135" t="s">
        <v>845</v>
      </c>
      <c r="N4015" s="123" t="s">
        <v>845</v>
      </c>
    </row>
    <row r="4016" spans="2:14" hidden="1" x14ac:dyDescent="0.25">
      <c r="B4016" s="120">
        <v>4013</v>
      </c>
      <c r="C4016" s="123">
        <v>10715826963</v>
      </c>
      <c r="D4016" s="126" t="s">
        <v>14626</v>
      </c>
      <c r="E4016" s="126" t="s">
        <v>14627</v>
      </c>
      <c r="F4016" s="123" t="s">
        <v>30</v>
      </c>
      <c r="G4016" s="123" t="s">
        <v>30</v>
      </c>
      <c r="H4016" s="123" t="s">
        <v>39</v>
      </c>
      <c r="I4016" s="126" t="s">
        <v>8659</v>
      </c>
      <c r="J4016" s="123" t="s">
        <v>14628</v>
      </c>
      <c r="K4016" s="123" t="s">
        <v>14626</v>
      </c>
      <c r="L4016" s="131" t="s">
        <v>100</v>
      </c>
      <c r="M4016" s="135" t="s">
        <v>845</v>
      </c>
      <c r="N4016" s="123" t="s">
        <v>845</v>
      </c>
    </row>
    <row r="4017" spans="2:14" hidden="1" x14ac:dyDescent="0.25">
      <c r="B4017" s="120">
        <v>4014</v>
      </c>
      <c r="C4017" s="123">
        <v>10701574597</v>
      </c>
      <c r="D4017" s="126" t="s">
        <v>14629</v>
      </c>
      <c r="E4017" s="126" t="s">
        <v>14630</v>
      </c>
      <c r="F4017" s="123" t="s">
        <v>30</v>
      </c>
      <c r="G4017" s="123" t="s">
        <v>30</v>
      </c>
      <c r="H4017" s="123" t="s">
        <v>50</v>
      </c>
      <c r="I4017" s="126" t="s">
        <v>3734</v>
      </c>
      <c r="J4017" s="123" t="s">
        <v>14631</v>
      </c>
      <c r="K4017" s="123" t="s">
        <v>14632</v>
      </c>
      <c r="L4017" s="131" t="s">
        <v>100</v>
      </c>
      <c r="M4017" s="135" t="s">
        <v>845</v>
      </c>
      <c r="N4017" s="123" t="s">
        <v>845</v>
      </c>
    </row>
    <row r="4018" spans="2:14" hidden="1" x14ac:dyDescent="0.25">
      <c r="B4018" s="120">
        <v>4015</v>
      </c>
      <c r="C4018" s="123">
        <v>10702317130</v>
      </c>
      <c r="D4018" s="126" t="s">
        <v>14633</v>
      </c>
      <c r="E4018" s="126" t="s">
        <v>14634</v>
      </c>
      <c r="F4018" s="123" t="s">
        <v>30</v>
      </c>
      <c r="G4018" s="123" t="s">
        <v>30</v>
      </c>
      <c r="H4018" s="123" t="s">
        <v>72</v>
      </c>
      <c r="I4018" s="126" t="s">
        <v>1561</v>
      </c>
      <c r="J4018" s="123" t="s">
        <v>14635</v>
      </c>
      <c r="K4018" s="123" t="s">
        <v>14636</v>
      </c>
      <c r="L4018" s="131" t="s">
        <v>100</v>
      </c>
      <c r="M4018" s="135" t="s">
        <v>845</v>
      </c>
      <c r="N4018" s="123" t="s">
        <v>845</v>
      </c>
    </row>
    <row r="4019" spans="2:14" hidden="1" x14ac:dyDescent="0.25">
      <c r="B4019" s="120">
        <v>4016</v>
      </c>
      <c r="C4019" s="123">
        <v>10415121704</v>
      </c>
      <c r="D4019" s="126" t="s">
        <v>14637</v>
      </c>
      <c r="E4019" s="126" t="s">
        <v>14638</v>
      </c>
      <c r="F4019" s="123" t="s">
        <v>30</v>
      </c>
      <c r="G4019" s="123" t="s">
        <v>30</v>
      </c>
      <c r="H4019" s="123" t="s">
        <v>37</v>
      </c>
      <c r="I4019" s="126" t="s">
        <v>1701</v>
      </c>
      <c r="J4019" s="123" t="s">
        <v>14639</v>
      </c>
      <c r="K4019" s="123" t="s">
        <v>14640</v>
      </c>
      <c r="L4019" s="131" t="s">
        <v>100</v>
      </c>
      <c r="M4019" s="135" t="s">
        <v>845</v>
      </c>
      <c r="N4019" s="123" t="s">
        <v>845</v>
      </c>
    </row>
    <row r="4020" spans="2:14" hidden="1" x14ac:dyDescent="0.25">
      <c r="B4020" s="120">
        <v>4017</v>
      </c>
      <c r="C4020" s="123">
        <v>10096570606</v>
      </c>
      <c r="D4020" s="126" t="s">
        <v>14641</v>
      </c>
      <c r="E4020" s="126" t="s">
        <v>14642</v>
      </c>
      <c r="F4020" s="123" t="s">
        <v>30</v>
      </c>
      <c r="G4020" s="123" t="s">
        <v>30</v>
      </c>
      <c r="H4020" s="123" t="s">
        <v>43</v>
      </c>
      <c r="I4020" s="126" t="s">
        <v>1737</v>
      </c>
      <c r="J4020" s="123" t="s">
        <v>14643</v>
      </c>
      <c r="K4020" s="123" t="s">
        <v>14644</v>
      </c>
      <c r="L4020" s="131" t="s">
        <v>100</v>
      </c>
      <c r="M4020" s="135" t="s">
        <v>845</v>
      </c>
      <c r="N4020" s="123" t="s">
        <v>845</v>
      </c>
    </row>
    <row r="4021" spans="2:14" hidden="1" x14ac:dyDescent="0.25">
      <c r="B4021" s="120">
        <v>4018</v>
      </c>
      <c r="C4021" s="123">
        <v>10413931571</v>
      </c>
      <c r="D4021" s="126" t="s">
        <v>14645</v>
      </c>
      <c r="E4021" s="126" t="s">
        <v>14646</v>
      </c>
      <c r="F4021" s="123" t="s">
        <v>30</v>
      </c>
      <c r="G4021" s="123" t="s">
        <v>168</v>
      </c>
      <c r="H4021" s="123" t="s">
        <v>168</v>
      </c>
      <c r="I4021" s="126" t="s">
        <v>14647</v>
      </c>
      <c r="J4021" s="123" t="s">
        <v>14648</v>
      </c>
      <c r="K4021" s="123" t="s">
        <v>14645</v>
      </c>
      <c r="L4021" s="131" t="s">
        <v>100</v>
      </c>
      <c r="M4021" s="135" t="s">
        <v>845</v>
      </c>
      <c r="N4021" s="123" t="s">
        <v>845</v>
      </c>
    </row>
    <row r="4022" spans="2:14" hidden="1" x14ac:dyDescent="0.25">
      <c r="B4022" s="120">
        <v>4019</v>
      </c>
      <c r="C4022" s="123">
        <v>10257197765</v>
      </c>
      <c r="D4022" s="126" t="s">
        <v>14649</v>
      </c>
      <c r="E4022" s="126" t="s">
        <v>14650</v>
      </c>
      <c r="F4022" s="123" t="s">
        <v>30</v>
      </c>
      <c r="G4022" s="123" t="s">
        <v>30</v>
      </c>
      <c r="H4022" s="123" t="s">
        <v>75</v>
      </c>
      <c r="I4022" s="126" t="s">
        <v>1944</v>
      </c>
      <c r="J4022" s="123" t="s">
        <v>14651</v>
      </c>
      <c r="K4022" s="123" t="s">
        <v>14649</v>
      </c>
      <c r="L4022" s="131" t="s">
        <v>100</v>
      </c>
      <c r="M4022" s="135" t="s">
        <v>845</v>
      </c>
      <c r="N4022" s="123" t="s">
        <v>845</v>
      </c>
    </row>
    <row r="4023" spans="2:14" hidden="1" x14ac:dyDescent="0.25">
      <c r="B4023" s="120">
        <v>4020</v>
      </c>
      <c r="C4023" s="123">
        <v>10156323646</v>
      </c>
      <c r="D4023" s="126" t="s">
        <v>14652</v>
      </c>
      <c r="E4023" s="126" t="s">
        <v>14653</v>
      </c>
      <c r="F4023" s="123" t="s">
        <v>30</v>
      </c>
      <c r="G4023" s="123" t="s">
        <v>168</v>
      </c>
      <c r="H4023" s="123" t="s">
        <v>168</v>
      </c>
      <c r="I4023" s="126" t="s">
        <v>1655</v>
      </c>
      <c r="J4023" s="123" t="s">
        <v>14654</v>
      </c>
      <c r="K4023" s="123" t="s">
        <v>14652</v>
      </c>
      <c r="L4023" s="131" t="s">
        <v>100</v>
      </c>
      <c r="M4023" s="135" t="s">
        <v>845</v>
      </c>
      <c r="N4023" s="123" t="s">
        <v>845</v>
      </c>
    </row>
    <row r="4024" spans="2:14" hidden="1" x14ac:dyDescent="0.25">
      <c r="B4024" s="120">
        <v>4021</v>
      </c>
      <c r="C4024" s="123">
        <v>10069723743</v>
      </c>
      <c r="D4024" s="126" t="s">
        <v>14655</v>
      </c>
      <c r="E4024" s="126" t="s">
        <v>14656</v>
      </c>
      <c r="F4024" s="123" t="s">
        <v>30</v>
      </c>
      <c r="G4024" s="123" t="s">
        <v>30</v>
      </c>
      <c r="H4024" s="123" t="s">
        <v>40</v>
      </c>
      <c r="I4024" s="126" t="s">
        <v>14657</v>
      </c>
      <c r="J4024" s="123" t="s">
        <v>14658</v>
      </c>
      <c r="K4024" s="123" t="s">
        <v>14655</v>
      </c>
      <c r="L4024" s="131" t="s">
        <v>100</v>
      </c>
      <c r="M4024" s="135" t="s">
        <v>845</v>
      </c>
      <c r="N4024" s="123" t="s">
        <v>845</v>
      </c>
    </row>
    <row r="4025" spans="2:14" hidden="1" x14ac:dyDescent="0.25">
      <c r="B4025" s="120">
        <v>4022</v>
      </c>
      <c r="C4025" s="123">
        <v>10410005293</v>
      </c>
      <c r="D4025" s="126" t="s">
        <v>14659</v>
      </c>
      <c r="E4025" s="126" t="s">
        <v>14660</v>
      </c>
      <c r="F4025" s="123" t="s">
        <v>30</v>
      </c>
      <c r="G4025" s="123" t="s">
        <v>31</v>
      </c>
      <c r="H4025" s="123" t="s">
        <v>32</v>
      </c>
      <c r="I4025" s="126" t="s">
        <v>10025</v>
      </c>
      <c r="J4025" s="123" t="s">
        <v>14661</v>
      </c>
      <c r="K4025" s="123" t="s">
        <v>14659</v>
      </c>
      <c r="L4025" s="131" t="s">
        <v>100</v>
      </c>
      <c r="M4025" s="135" t="s">
        <v>845</v>
      </c>
      <c r="N4025" s="123" t="s">
        <v>845</v>
      </c>
    </row>
    <row r="4026" spans="2:14" hidden="1" x14ac:dyDescent="0.25">
      <c r="B4026" s="120">
        <v>4023</v>
      </c>
      <c r="C4026" s="123">
        <v>10440583836</v>
      </c>
      <c r="D4026" s="126" t="s">
        <v>14662</v>
      </c>
      <c r="E4026" s="126" t="s">
        <v>14663</v>
      </c>
      <c r="F4026" s="123" t="s">
        <v>30</v>
      </c>
      <c r="G4026" s="123" t="s">
        <v>31</v>
      </c>
      <c r="H4026" s="123" t="s">
        <v>148</v>
      </c>
      <c r="I4026" s="126" t="s">
        <v>1561</v>
      </c>
      <c r="J4026" s="123" t="s">
        <v>14664</v>
      </c>
      <c r="K4026" s="123" t="s">
        <v>14662</v>
      </c>
      <c r="L4026" s="131" t="s">
        <v>100</v>
      </c>
      <c r="M4026" s="135" t="s">
        <v>845</v>
      </c>
      <c r="N4026" s="123" t="s">
        <v>845</v>
      </c>
    </row>
    <row r="4027" spans="2:14" hidden="1" x14ac:dyDescent="0.25">
      <c r="B4027" s="120">
        <v>4024</v>
      </c>
      <c r="C4027" s="123">
        <v>10477504031</v>
      </c>
      <c r="D4027" s="126" t="s">
        <v>14665</v>
      </c>
      <c r="E4027" s="126" t="s">
        <v>14666</v>
      </c>
      <c r="F4027" s="123" t="s">
        <v>30</v>
      </c>
      <c r="G4027" s="123" t="s">
        <v>168</v>
      </c>
      <c r="H4027" s="123" t="s">
        <v>180</v>
      </c>
      <c r="I4027" s="126" t="s">
        <v>1424</v>
      </c>
      <c r="J4027" s="123" t="s">
        <v>14667</v>
      </c>
      <c r="K4027" s="123" t="s">
        <v>14665</v>
      </c>
      <c r="L4027" s="131" t="s">
        <v>100</v>
      </c>
      <c r="M4027" s="135" t="s">
        <v>845</v>
      </c>
      <c r="N4027" s="123" t="s">
        <v>845</v>
      </c>
    </row>
    <row r="4028" spans="2:14" hidden="1" x14ac:dyDescent="0.25">
      <c r="B4028" s="120">
        <v>4025</v>
      </c>
      <c r="C4028" s="123">
        <v>10158601953</v>
      </c>
      <c r="D4028" s="126" t="s">
        <v>14668</v>
      </c>
      <c r="E4028" s="126" t="s">
        <v>14669</v>
      </c>
      <c r="F4028" s="123" t="s">
        <v>30</v>
      </c>
      <c r="G4028" s="123" t="s">
        <v>168</v>
      </c>
      <c r="H4028" s="123" t="s">
        <v>168</v>
      </c>
      <c r="I4028" s="126" t="s">
        <v>14670</v>
      </c>
      <c r="J4028" s="123" t="s">
        <v>14671</v>
      </c>
      <c r="K4028" s="123" t="s">
        <v>14668</v>
      </c>
      <c r="L4028" s="131" t="s">
        <v>100</v>
      </c>
      <c r="M4028" s="135" t="s">
        <v>845</v>
      </c>
      <c r="N4028" s="123" t="s">
        <v>845</v>
      </c>
    </row>
    <row r="4029" spans="2:14" hidden="1" x14ac:dyDescent="0.25">
      <c r="B4029" s="120">
        <v>4026</v>
      </c>
      <c r="C4029" s="123">
        <v>10107656460</v>
      </c>
      <c r="D4029" s="126" t="s">
        <v>14672</v>
      </c>
      <c r="E4029" s="126" t="s">
        <v>14673</v>
      </c>
      <c r="F4029" s="123" t="s">
        <v>30</v>
      </c>
      <c r="G4029" s="123" t="s">
        <v>30</v>
      </c>
      <c r="H4029" s="123" t="s">
        <v>30</v>
      </c>
      <c r="I4029" s="126" t="s">
        <v>11311</v>
      </c>
      <c r="J4029" s="123" t="s">
        <v>14674</v>
      </c>
      <c r="K4029" s="123" t="s">
        <v>14675</v>
      </c>
      <c r="L4029" s="131" t="s">
        <v>100</v>
      </c>
      <c r="M4029" s="135" t="s">
        <v>845</v>
      </c>
      <c r="N4029" s="123" t="s">
        <v>845</v>
      </c>
    </row>
    <row r="4030" spans="2:14" hidden="1" x14ac:dyDescent="0.25">
      <c r="B4030" s="120">
        <v>4027</v>
      </c>
      <c r="C4030" s="123">
        <v>10158556737</v>
      </c>
      <c r="D4030" s="126" t="s">
        <v>14676</v>
      </c>
      <c r="E4030" s="126" t="s">
        <v>14677</v>
      </c>
      <c r="F4030" s="123" t="s">
        <v>30</v>
      </c>
      <c r="G4030" s="123" t="s">
        <v>168</v>
      </c>
      <c r="H4030" s="123" t="s">
        <v>168</v>
      </c>
      <c r="I4030" s="126" t="s">
        <v>1655</v>
      </c>
      <c r="J4030" s="123" t="s">
        <v>14678</v>
      </c>
      <c r="K4030" s="123" t="s">
        <v>14676</v>
      </c>
      <c r="L4030" s="131" t="s">
        <v>100</v>
      </c>
      <c r="M4030" s="135" t="s">
        <v>845</v>
      </c>
      <c r="N4030" s="123" t="s">
        <v>845</v>
      </c>
    </row>
    <row r="4031" spans="2:14" hidden="1" x14ac:dyDescent="0.25">
      <c r="B4031" s="120">
        <v>4028</v>
      </c>
      <c r="C4031" s="123">
        <v>10215580330</v>
      </c>
      <c r="D4031" s="126" t="s">
        <v>14679</v>
      </c>
      <c r="E4031" s="126" t="s">
        <v>14680</v>
      </c>
      <c r="F4031" s="123" t="s">
        <v>30</v>
      </c>
      <c r="G4031" s="123" t="s">
        <v>31</v>
      </c>
      <c r="H4031" s="123" t="s">
        <v>92</v>
      </c>
      <c r="I4031" s="126" t="s">
        <v>14681</v>
      </c>
      <c r="J4031" s="123" t="s">
        <v>14682</v>
      </c>
      <c r="K4031" s="123" t="s">
        <v>14683</v>
      </c>
      <c r="L4031" s="131" t="s">
        <v>100</v>
      </c>
      <c r="M4031" s="135" t="s">
        <v>845</v>
      </c>
      <c r="N4031" s="123" t="s">
        <v>845</v>
      </c>
    </row>
    <row r="4032" spans="2:14" hidden="1" x14ac:dyDescent="0.25">
      <c r="B4032" s="120">
        <v>4029</v>
      </c>
      <c r="C4032" s="123">
        <v>10405654003</v>
      </c>
      <c r="D4032" s="126" t="s">
        <v>14684</v>
      </c>
      <c r="E4032" s="126" t="s">
        <v>14685</v>
      </c>
      <c r="F4032" s="123" t="s">
        <v>30</v>
      </c>
      <c r="G4032" s="123" t="s">
        <v>30</v>
      </c>
      <c r="H4032" s="123" t="s">
        <v>41</v>
      </c>
      <c r="I4032" s="126" t="s">
        <v>1706</v>
      </c>
      <c r="J4032" s="123" t="s">
        <v>14686</v>
      </c>
      <c r="K4032" s="123" t="s">
        <v>14687</v>
      </c>
      <c r="L4032" s="131" t="s">
        <v>100</v>
      </c>
      <c r="M4032" s="135" t="s">
        <v>845</v>
      </c>
      <c r="N4032" s="123" t="s">
        <v>845</v>
      </c>
    </row>
    <row r="4033" spans="2:14" hidden="1" x14ac:dyDescent="0.25">
      <c r="B4033" s="120">
        <v>4030</v>
      </c>
      <c r="C4033" s="123">
        <v>10719873460</v>
      </c>
      <c r="D4033" s="126" t="s">
        <v>14688</v>
      </c>
      <c r="E4033" s="126" t="s">
        <v>14689</v>
      </c>
      <c r="F4033" s="123" t="s">
        <v>30</v>
      </c>
      <c r="G4033" s="123" t="s">
        <v>30</v>
      </c>
      <c r="H4033" s="123" t="s">
        <v>41</v>
      </c>
      <c r="I4033" s="126" t="s">
        <v>1424</v>
      </c>
      <c r="J4033" s="123" t="s">
        <v>14690</v>
      </c>
      <c r="K4033" s="123" t="s">
        <v>14688</v>
      </c>
      <c r="L4033" s="131" t="s">
        <v>100</v>
      </c>
      <c r="M4033" s="135" t="s">
        <v>845</v>
      </c>
      <c r="N4033" s="123" t="s">
        <v>845</v>
      </c>
    </row>
    <row r="4034" spans="2:14" hidden="1" x14ac:dyDescent="0.25">
      <c r="B4034" s="120">
        <v>4031</v>
      </c>
      <c r="C4034" s="123">
        <v>10099940951</v>
      </c>
      <c r="D4034" s="126" t="s">
        <v>14691</v>
      </c>
      <c r="E4034" s="126" t="s">
        <v>14692</v>
      </c>
      <c r="F4034" s="123" t="s">
        <v>67</v>
      </c>
      <c r="G4034" s="123" t="s">
        <v>67</v>
      </c>
      <c r="H4034" s="123" t="s">
        <v>94</v>
      </c>
      <c r="I4034" s="126" t="s">
        <v>1950</v>
      </c>
      <c r="J4034" s="123" t="s">
        <v>14693</v>
      </c>
      <c r="K4034" s="123" t="s">
        <v>14694</v>
      </c>
      <c r="L4034" s="131" t="s">
        <v>100</v>
      </c>
      <c r="M4034" s="135" t="s">
        <v>845</v>
      </c>
      <c r="N4034" s="123" t="s">
        <v>845</v>
      </c>
    </row>
    <row r="4035" spans="2:14" hidden="1" x14ac:dyDescent="0.25">
      <c r="B4035" s="120">
        <v>4032</v>
      </c>
      <c r="C4035" s="123">
        <v>10441255409</v>
      </c>
      <c r="D4035" s="126" t="s">
        <v>14695</v>
      </c>
      <c r="E4035" s="126" t="s">
        <v>14696</v>
      </c>
      <c r="F4035" s="123" t="s">
        <v>30</v>
      </c>
      <c r="G4035" s="123" t="s">
        <v>30</v>
      </c>
      <c r="H4035" s="123" t="s">
        <v>30</v>
      </c>
      <c r="I4035" s="126" t="s">
        <v>1957</v>
      </c>
      <c r="J4035" s="123" t="s">
        <v>14697</v>
      </c>
      <c r="K4035" s="123" t="s">
        <v>14695</v>
      </c>
      <c r="L4035" s="131" t="s">
        <v>100</v>
      </c>
      <c r="M4035" s="135" t="s">
        <v>845</v>
      </c>
      <c r="N4035" s="123" t="s">
        <v>845</v>
      </c>
    </row>
    <row r="4036" spans="2:14" hidden="1" x14ac:dyDescent="0.25">
      <c r="B4036" s="120">
        <v>4033</v>
      </c>
      <c r="C4036" s="123">
        <v>10417818711</v>
      </c>
      <c r="D4036" s="126" t="s">
        <v>14698</v>
      </c>
      <c r="E4036" s="126" t="s">
        <v>14699</v>
      </c>
      <c r="F4036" s="123" t="s">
        <v>30</v>
      </c>
      <c r="G4036" s="123" t="s">
        <v>30</v>
      </c>
      <c r="H4036" s="123" t="s">
        <v>41</v>
      </c>
      <c r="I4036" s="126" t="s">
        <v>1424</v>
      </c>
      <c r="J4036" s="123" t="s">
        <v>14700</v>
      </c>
      <c r="K4036" s="123" t="s">
        <v>14698</v>
      </c>
      <c r="L4036" s="131" t="s">
        <v>100</v>
      </c>
      <c r="M4036" s="135" t="s">
        <v>845</v>
      </c>
      <c r="N4036" s="123" t="s">
        <v>845</v>
      </c>
    </row>
    <row r="4037" spans="2:14" hidden="1" x14ac:dyDescent="0.25">
      <c r="B4037" s="120">
        <v>4034</v>
      </c>
      <c r="C4037" s="123">
        <v>10099898459</v>
      </c>
      <c r="D4037" s="126" t="s">
        <v>14701</v>
      </c>
      <c r="E4037" s="126" t="s">
        <v>14702</v>
      </c>
      <c r="F4037" s="123" t="s">
        <v>30</v>
      </c>
      <c r="G4037" s="123" t="s">
        <v>30</v>
      </c>
      <c r="H4037" s="123" t="s">
        <v>50</v>
      </c>
      <c r="I4037" s="126" t="s">
        <v>1564</v>
      </c>
      <c r="J4037" s="123" t="s">
        <v>14703</v>
      </c>
      <c r="K4037" s="123" t="s">
        <v>14701</v>
      </c>
      <c r="L4037" s="131" t="s">
        <v>100</v>
      </c>
      <c r="M4037" s="135" t="s">
        <v>845</v>
      </c>
      <c r="N4037" s="123" t="s">
        <v>845</v>
      </c>
    </row>
    <row r="4038" spans="2:14" hidden="1" x14ac:dyDescent="0.25">
      <c r="B4038" s="120">
        <v>4035</v>
      </c>
      <c r="C4038" s="123">
        <v>10081461240</v>
      </c>
      <c r="D4038" s="126" t="s">
        <v>14704</v>
      </c>
      <c r="E4038" s="126" t="s">
        <v>14705</v>
      </c>
      <c r="F4038" s="123" t="s">
        <v>30</v>
      </c>
      <c r="G4038" s="123" t="s">
        <v>30</v>
      </c>
      <c r="H4038" s="123" t="s">
        <v>30</v>
      </c>
      <c r="I4038" s="126" t="s">
        <v>1930</v>
      </c>
      <c r="J4038" s="123" t="s">
        <v>14706</v>
      </c>
      <c r="K4038" s="123" t="s">
        <v>14704</v>
      </c>
      <c r="L4038" s="131" t="s">
        <v>100</v>
      </c>
      <c r="M4038" s="135" t="s">
        <v>845</v>
      </c>
      <c r="N4038" s="123" t="s">
        <v>845</v>
      </c>
    </row>
    <row r="4039" spans="2:14" hidden="1" x14ac:dyDescent="0.25">
      <c r="B4039" s="120">
        <v>4036</v>
      </c>
      <c r="C4039" s="123">
        <v>10404266361</v>
      </c>
      <c r="D4039" s="126" t="s">
        <v>14707</v>
      </c>
      <c r="E4039" s="126" t="s">
        <v>14708</v>
      </c>
      <c r="F4039" s="123" t="s">
        <v>30</v>
      </c>
      <c r="G4039" s="123" t="s">
        <v>30</v>
      </c>
      <c r="H4039" s="123" t="s">
        <v>52</v>
      </c>
      <c r="I4039" s="126" t="s">
        <v>1931</v>
      </c>
      <c r="J4039" s="123" t="s">
        <v>14709</v>
      </c>
      <c r="K4039" s="123" t="s">
        <v>14707</v>
      </c>
      <c r="L4039" s="131" t="s">
        <v>100</v>
      </c>
      <c r="M4039" s="135" t="s">
        <v>845</v>
      </c>
      <c r="N4039" s="123" t="s">
        <v>845</v>
      </c>
    </row>
    <row r="4040" spans="2:14" hidden="1" x14ac:dyDescent="0.25">
      <c r="B4040" s="120">
        <v>4037</v>
      </c>
      <c r="C4040" s="123">
        <v>10158560432</v>
      </c>
      <c r="D4040" s="126" t="s">
        <v>14710</v>
      </c>
      <c r="E4040" s="126" t="s">
        <v>14711</v>
      </c>
      <c r="F4040" s="123" t="s">
        <v>30</v>
      </c>
      <c r="G4040" s="123" t="s">
        <v>168</v>
      </c>
      <c r="H4040" s="123" t="s">
        <v>168</v>
      </c>
      <c r="I4040" s="126" t="s">
        <v>1931</v>
      </c>
      <c r="J4040" s="123" t="s">
        <v>14712</v>
      </c>
      <c r="K4040" s="123" t="s">
        <v>14710</v>
      </c>
      <c r="L4040" s="131" t="s">
        <v>100</v>
      </c>
      <c r="M4040" s="135" t="s">
        <v>845</v>
      </c>
      <c r="N4040" s="123" t="s">
        <v>845</v>
      </c>
    </row>
    <row r="4041" spans="2:14" hidden="1" x14ac:dyDescent="0.25">
      <c r="B4041" s="120">
        <v>4038</v>
      </c>
      <c r="C4041" s="123">
        <v>10105419720</v>
      </c>
      <c r="D4041" s="126" t="s">
        <v>14713</v>
      </c>
      <c r="E4041" s="126" t="s">
        <v>14714</v>
      </c>
      <c r="F4041" s="123" t="s">
        <v>30</v>
      </c>
      <c r="G4041" s="123" t="s">
        <v>30</v>
      </c>
      <c r="H4041" s="123" t="s">
        <v>51</v>
      </c>
      <c r="I4041" s="126" t="s">
        <v>1931</v>
      </c>
      <c r="J4041" s="123" t="s">
        <v>14715</v>
      </c>
      <c r="K4041" s="123" t="s">
        <v>14713</v>
      </c>
      <c r="L4041" s="131" t="s">
        <v>100</v>
      </c>
      <c r="M4041" s="135" t="s">
        <v>845</v>
      </c>
      <c r="N4041" s="123" t="s">
        <v>845</v>
      </c>
    </row>
    <row r="4042" spans="2:14" hidden="1" x14ac:dyDescent="0.25">
      <c r="B4042" s="120">
        <v>4039</v>
      </c>
      <c r="C4042" s="123">
        <v>10437669703</v>
      </c>
      <c r="D4042" s="126" t="s">
        <v>14716</v>
      </c>
      <c r="E4042" s="126" t="s">
        <v>14717</v>
      </c>
      <c r="F4042" s="123" t="s">
        <v>30</v>
      </c>
      <c r="G4042" s="123" t="s">
        <v>30</v>
      </c>
      <c r="H4042" s="123" t="s">
        <v>50</v>
      </c>
      <c r="I4042" s="126" t="s">
        <v>1398</v>
      </c>
      <c r="J4042" s="123" t="s">
        <v>14718</v>
      </c>
      <c r="K4042" s="123" t="s">
        <v>14719</v>
      </c>
      <c r="L4042" s="131" t="s">
        <v>100</v>
      </c>
      <c r="M4042" s="135" t="s">
        <v>845</v>
      </c>
      <c r="N4042" s="123" t="s">
        <v>845</v>
      </c>
    </row>
    <row r="4043" spans="2:14" hidden="1" x14ac:dyDescent="0.25">
      <c r="B4043" s="120">
        <v>4040</v>
      </c>
      <c r="C4043" s="123">
        <v>10411886552</v>
      </c>
      <c r="D4043" s="126" t="s">
        <v>14720</v>
      </c>
      <c r="E4043" s="126" t="s">
        <v>14721</v>
      </c>
      <c r="F4043" s="123" t="s">
        <v>30</v>
      </c>
      <c r="G4043" s="123" t="s">
        <v>170</v>
      </c>
      <c r="H4043" s="123" t="s">
        <v>174</v>
      </c>
      <c r="I4043" s="126" t="s">
        <v>9044</v>
      </c>
      <c r="J4043" s="123" t="s">
        <v>14722</v>
      </c>
      <c r="K4043" s="123" t="s">
        <v>14720</v>
      </c>
      <c r="L4043" s="131" t="s">
        <v>100</v>
      </c>
      <c r="M4043" s="135" t="s">
        <v>845</v>
      </c>
      <c r="N4043" s="123" t="s">
        <v>845</v>
      </c>
    </row>
    <row r="4044" spans="2:14" hidden="1" x14ac:dyDescent="0.25">
      <c r="B4044" s="120">
        <v>4041</v>
      </c>
      <c r="C4044" s="123">
        <v>10153935098</v>
      </c>
      <c r="D4044" s="126" t="s">
        <v>14723</v>
      </c>
      <c r="E4044" s="126" t="s">
        <v>14724</v>
      </c>
      <c r="F4044" s="123" t="s">
        <v>30</v>
      </c>
      <c r="G4044" s="123" t="s">
        <v>30</v>
      </c>
      <c r="H4044" s="123" t="s">
        <v>50</v>
      </c>
      <c r="I4044" s="126" t="s">
        <v>1938</v>
      </c>
      <c r="J4044" s="123" t="s">
        <v>14725</v>
      </c>
      <c r="K4044" s="123" t="s">
        <v>14723</v>
      </c>
      <c r="L4044" s="131" t="s">
        <v>100</v>
      </c>
      <c r="M4044" s="135" t="s">
        <v>845</v>
      </c>
      <c r="N4044" s="123" t="s">
        <v>845</v>
      </c>
    </row>
    <row r="4045" spans="2:14" hidden="1" x14ac:dyDescent="0.25">
      <c r="B4045" s="120">
        <v>4042</v>
      </c>
      <c r="C4045" s="123">
        <v>10451815623</v>
      </c>
      <c r="D4045" s="126" t="s">
        <v>14726</v>
      </c>
      <c r="E4045" s="126" t="s">
        <v>14727</v>
      </c>
      <c r="F4045" s="123" t="s">
        <v>30</v>
      </c>
      <c r="G4045" s="123" t="s">
        <v>30</v>
      </c>
      <c r="H4045" s="123" t="s">
        <v>47</v>
      </c>
      <c r="I4045" s="126" t="s">
        <v>9402</v>
      </c>
      <c r="J4045" s="123" t="s">
        <v>14728</v>
      </c>
      <c r="K4045" s="123" t="s">
        <v>14726</v>
      </c>
      <c r="L4045" s="131" t="s">
        <v>100</v>
      </c>
      <c r="M4045" s="135" t="s">
        <v>845</v>
      </c>
      <c r="N4045" s="123" t="s">
        <v>845</v>
      </c>
    </row>
    <row r="4046" spans="2:14" hidden="1" x14ac:dyDescent="0.25">
      <c r="B4046" s="120">
        <v>4043</v>
      </c>
      <c r="C4046" s="123">
        <v>10156464371</v>
      </c>
      <c r="D4046" s="126" t="s">
        <v>14729</v>
      </c>
      <c r="E4046" s="126" t="s">
        <v>14730</v>
      </c>
      <c r="F4046" s="123" t="s">
        <v>30</v>
      </c>
      <c r="G4046" s="123" t="s">
        <v>170</v>
      </c>
      <c r="H4046" s="123" t="s">
        <v>179</v>
      </c>
      <c r="I4046" s="126" t="s">
        <v>1701</v>
      </c>
      <c r="J4046" s="123" t="s">
        <v>14731</v>
      </c>
      <c r="K4046" s="123" t="s">
        <v>14729</v>
      </c>
      <c r="L4046" s="131" t="s">
        <v>100</v>
      </c>
      <c r="M4046" s="135" t="s">
        <v>845</v>
      </c>
      <c r="N4046" s="123" t="s">
        <v>845</v>
      </c>
    </row>
    <row r="4047" spans="2:14" hidden="1" x14ac:dyDescent="0.25">
      <c r="B4047" s="120">
        <v>4044</v>
      </c>
      <c r="C4047" s="123">
        <v>10417784581</v>
      </c>
      <c r="D4047" s="126" t="s">
        <v>14732</v>
      </c>
      <c r="E4047" s="126" t="s">
        <v>14733</v>
      </c>
      <c r="F4047" s="123" t="s">
        <v>30</v>
      </c>
      <c r="G4047" s="123" t="s">
        <v>170</v>
      </c>
      <c r="H4047" s="123" t="s">
        <v>179</v>
      </c>
      <c r="I4047" s="126" t="s">
        <v>1655</v>
      </c>
      <c r="J4047" s="123" t="s">
        <v>14734</v>
      </c>
      <c r="K4047" s="123" t="s">
        <v>14732</v>
      </c>
      <c r="L4047" s="131" t="s">
        <v>100</v>
      </c>
      <c r="M4047" s="135" t="s">
        <v>845</v>
      </c>
      <c r="N4047" s="123" t="s">
        <v>845</v>
      </c>
    </row>
    <row r="4048" spans="2:14" hidden="1" x14ac:dyDescent="0.25">
      <c r="B4048" s="120">
        <v>4045</v>
      </c>
      <c r="C4048" s="123">
        <v>10100045091</v>
      </c>
      <c r="D4048" s="126" t="s">
        <v>14735</v>
      </c>
      <c r="E4048" s="126" t="s">
        <v>14736</v>
      </c>
      <c r="F4048" s="123" t="s">
        <v>30</v>
      </c>
      <c r="G4048" s="123" t="s">
        <v>30</v>
      </c>
      <c r="H4048" s="123" t="s">
        <v>80</v>
      </c>
      <c r="I4048" s="126" t="s">
        <v>1737</v>
      </c>
      <c r="J4048" s="123" t="s">
        <v>14737</v>
      </c>
      <c r="K4048" s="123" t="s">
        <v>14735</v>
      </c>
      <c r="L4048" s="131" t="s">
        <v>100</v>
      </c>
      <c r="M4048" s="135" t="s">
        <v>845</v>
      </c>
      <c r="N4048" s="123" t="s">
        <v>845</v>
      </c>
    </row>
    <row r="4049" spans="2:14" hidden="1" x14ac:dyDescent="0.25">
      <c r="B4049" s="120">
        <v>4046</v>
      </c>
      <c r="C4049" s="123">
        <v>10803666062</v>
      </c>
      <c r="D4049" s="126" t="s">
        <v>14738</v>
      </c>
      <c r="E4049" s="126" t="s">
        <v>14739</v>
      </c>
      <c r="F4049" s="123" t="s">
        <v>30</v>
      </c>
      <c r="G4049" s="123" t="s">
        <v>30</v>
      </c>
      <c r="H4049" s="123" t="s">
        <v>103</v>
      </c>
      <c r="I4049" s="126" t="s">
        <v>1931</v>
      </c>
      <c r="J4049" s="123" t="s">
        <v>14740</v>
      </c>
      <c r="K4049" s="123" t="s">
        <v>14741</v>
      </c>
      <c r="L4049" s="131" t="s">
        <v>100</v>
      </c>
      <c r="M4049" s="135" t="s">
        <v>845</v>
      </c>
      <c r="N4049" s="123" t="s">
        <v>845</v>
      </c>
    </row>
    <row r="4050" spans="2:14" hidden="1" x14ac:dyDescent="0.25">
      <c r="B4050" s="120">
        <v>4047</v>
      </c>
      <c r="C4050" s="123">
        <v>10755990383</v>
      </c>
      <c r="D4050" s="126" t="s">
        <v>14742</v>
      </c>
      <c r="E4050" s="126" t="s">
        <v>14743</v>
      </c>
      <c r="F4050" s="123" t="s">
        <v>30</v>
      </c>
      <c r="G4050" s="123" t="s">
        <v>30</v>
      </c>
      <c r="H4050" s="123" t="s">
        <v>30</v>
      </c>
      <c r="I4050" s="126" t="s">
        <v>1365</v>
      </c>
      <c r="J4050" s="123" t="s">
        <v>14744</v>
      </c>
      <c r="K4050" s="123" t="s">
        <v>14742</v>
      </c>
      <c r="L4050" s="131" t="s">
        <v>100</v>
      </c>
      <c r="M4050" s="135" t="s">
        <v>845</v>
      </c>
      <c r="N4050" s="123" t="s">
        <v>845</v>
      </c>
    </row>
    <row r="4051" spans="2:14" hidden="1" x14ac:dyDescent="0.25">
      <c r="B4051" s="120">
        <v>4048</v>
      </c>
      <c r="C4051" s="123">
        <v>10426332545</v>
      </c>
      <c r="D4051" s="126" t="s">
        <v>14745</v>
      </c>
      <c r="E4051" s="126" t="s">
        <v>14746</v>
      </c>
      <c r="F4051" s="123" t="s">
        <v>30</v>
      </c>
      <c r="G4051" s="123" t="s">
        <v>30</v>
      </c>
      <c r="H4051" s="123" t="s">
        <v>41</v>
      </c>
      <c r="I4051" s="126" t="s">
        <v>8659</v>
      </c>
      <c r="J4051" s="123" t="s">
        <v>14747</v>
      </c>
      <c r="K4051" s="123" t="s">
        <v>14745</v>
      </c>
      <c r="L4051" s="131" t="s">
        <v>100</v>
      </c>
      <c r="M4051" s="135" t="s">
        <v>845</v>
      </c>
      <c r="N4051" s="123" t="s">
        <v>845</v>
      </c>
    </row>
    <row r="4052" spans="2:14" hidden="1" x14ac:dyDescent="0.25">
      <c r="B4052" s="120">
        <v>4049</v>
      </c>
      <c r="C4052" s="123">
        <v>10721913703</v>
      </c>
      <c r="D4052" s="126" t="s">
        <v>14748</v>
      </c>
      <c r="E4052" s="126" t="s">
        <v>14749</v>
      </c>
      <c r="F4052" s="123" t="s">
        <v>67</v>
      </c>
      <c r="G4052" s="123" t="s">
        <v>67</v>
      </c>
      <c r="H4052" s="123" t="s">
        <v>67</v>
      </c>
      <c r="I4052" s="126" t="s">
        <v>1478</v>
      </c>
      <c r="J4052" s="123" t="s">
        <v>14750</v>
      </c>
      <c r="K4052" s="123" t="s">
        <v>14751</v>
      </c>
      <c r="L4052" s="131" t="s">
        <v>100</v>
      </c>
      <c r="M4052" s="135" t="s">
        <v>845</v>
      </c>
      <c r="N4052" s="123" t="s">
        <v>845</v>
      </c>
    </row>
    <row r="4053" spans="2:14" hidden="1" x14ac:dyDescent="0.25">
      <c r="B4053" s="120">
        <v>4050</v>
      </c>
      <c r="C4053" s="123">
        <v>10400358627</v>
      </c>
      <c r="D4053" s="126" t="s">
        <v>14752</v>
      </c>
      <c r="E4053" s="126" t="s">
        <v>14753</v>
      </c>
      <c r="F4053" s="123" t="s">
        <v>30</v>
      </c>
      <c r="G4053" s="123" t="s">
        <v>30</v>
      </c>
      <c r="H4053" s="123" t="s">
        <v>35</v>
      </c>
      <c r="I4053" s="126" t="s">
        <v>8825</v>
      </c>
      <c r="J4053" s="123" t="s">
        <v>14754</v>
      </c>
      <c r="K4053" s="123" t="s">
        <v>14752</v>
      </c>
      <c r="L4053" s="131" t="s">
        <v>100</v>
      </c>
      <c r="M4053" s="135" t="s">
        <v>845</v>
      </c>
      <c r="N4053" s="123" t="s">
        <v>845</v>
      </c>
    </row>
    <row r="4054" spans="2:14" hidden="1" x14ac:dyDescent="0.25">
      <c r="B4054" s="120">
        <v>4051</v>
      </c>
      <c r="C4054" s="123">
        <v>10085346666</v>
      </c>
      <c r="D4054" s="126" t="s">
        <v>14755</v>
      </c>
      <c r="E4054" s="126" t="s">
        <v>14756</v>
      </c>
      <c r="F4054" s="123" t="s">
        <v>30</v>
      </c>
      <c r="G4054" s="123" t="s">
        <v>30</v>
      </c>
      <c r="H4054" s="123" t="s">
        <v>72</v>
      </c>
      <c r="I4054" s="126" t="s">
        <v>1936</v>
      </c>
      <c r="J4054" s="123" t="s">
        <v>14757</v>
      </c>
      <c r="K4054" s="123" t="s">
        <v>14755</v>
      </c>
      <c r="L4054" s="131" t="s">
        <v>100</v>
      </c>
      <c r="M4054" s="135" t="s">
        <v>845</v>
      </c>
      <c r="N4054" s="123" t="s">
        <v>845</v>
      </c>
    </row>
    <row r="4055" spans="2:14" hidden="1" x14ac:dyDescent="0.25">
      <c r="B4055" s="120">
        <v>4052</v>
      </c>
      <c r="C4055" s="123">
        <v>10443122899</v>
      </c>
      <c r="D4055" s="126" t="s">
        <v>14758</v>
      </c>
      <c r="E4055" s="126" t="s">
        <v>14759</v>
      </c>
      <c r="F4055" s="123" t="s">
        <v>30</v>
      </c>
      <c r="G4055" s="123" t="s">
        <v>30</v>
      </c>
      <c r="H4055" s="123" t="s">
        <v>58</v>
      </c>
      <c r="I4055" s="126" t="s">
        <v>1564</v>
      </c>
      <c r="J4055" s="123" t="s">
        <v>14760</v>
      </c>
      <c r="K4055" s="123" t="s">
        <v>14758</v>
      </c>
      <c r="L4055" s="131" t="s">
        <v>100</v>
      </c>
      <c r="M4055" s="135" t="s">
        <v>845</v>
      </c>
      <c r="N4055" s="123" t="s">
        <v>845</v>
      </c>
    </row>
    <row r="4056" spans="2:14" hidden="1" x14ac:dyDescent="0.25">
      <c r="B4056" s="120">
        <v>4053</v>
      </c>
      <c r="C4056" s="123">
        <v>10401639107</v>
      </c>
      <c r="D4056" s="126" t="s">
        <v>14761</v>
      </c>
      <c r="E4056" s="126" t="s">
        <v>14762</v>
      </c>
      <c r="F4056" s="123" t="s">
        <v>30</v>
      </c>
      <c r="G4056" s="123" t="s">
        <v>30</v>
      </c>
      <c r="H4056" s="123" t="s">
        <v>41</v>
      </c>
      <c r="I4056" s="126" t="s">
        <v>1737</v>
      </c>
      <c r="J4056" s="123" t="s">
        <v>14763</v>
      </c>
      <c r="K4056" s="123" t="s">
        <v>14761</v>
      </c>
      <c r="L4056" s="131" t="s">
        <v>100</v>
      </c>
      <c r="M4056" s="135" t="s">
        <v>845</v>
      </c>
      <c r="N4056" s="123" t="s">
        <v>845</v>
      </c>
    </row>
    <row r="4057" spans="2:14" hidden="1" x14ac:dyDescent="0.25">
      <c r="B4057" s="120">
        <v>4054</v>
      </c>
      <c r="C4057" s="123">
        <v>10106270495</v>
      </c>
      <c r="D4057" s="126" t="s">
        <v>14764</v>
      </c>
      <c r="E4057" s="126" t="s">
        <v>14765</v>
      </c>
      <c r="F4057" s="123" t="s">
        <v>30</v>
      </c>
      <c r="G4057" s="123" t="s">
        <v>30</v>
      </c>
      <c r="H4057" s="123" t="s">
        <v>72</v>
      </c>
      <c r="I4057" s="126" t="s">
        <v>14766</v>
      </c>
      <c r="J4057" s="123" t="s">
        <v>14767</v>
      </c>
      <c r="K4057" s="123" t="s">
        <v>14764</v>
      </c>
      <c r="L4057" s="131" t="s">
        <v>100</v>
      </c>
      <c r="M4057" s="135" t="s">
        <v>845</v>
      </c>
      <c r="N4057" s="123" t="s">
        <v>845</v>
      </c>
    </row>
    <row r="4058" spans="2:14" hidden="1" x14ac:dyDescent="0.25">
      <c r="B4058" s="120">
        <v>4055</v>
      </c>
      <c r="C4058" s="123">
        <v>10437236823</v>
      </c>
      <c r="D4058" s="126" t="s">
        <v>14768</v>
      </c>
      <c r="E4058" s="126" t="s">
        <v>14769</v>
      </c>
      <c r="F4058" s="123" t="s">
        <v>30</v>
      </c>
      <c r="G4058" s="123" t="s">
        <v>30</v>
      </c>
      <c r="H4058" s="123" t="s">
        <v>110</v>
      </c>
      <c r="I4058" s="126" t="s">
        <v>1701</v>
      </c>
      <c r="J4058" s="123" t="s">
        <v>14770</v>
      </c>
      <c r="K4058" s="123" t="s">
        <v>14768</v>
      </c>
      <c r="L4058" s="131" t="s">
        <v>100</v>
      </c>
      <c r="M4058" s="135" t="s">
        <v>845</v>
      </c>
      <c r="N4058" s="123" t="s">
        <v>845</v>
      </c>
    </row>
    <row r="4059" spans="2:14" hidden="1" x14ac:dyDescent="0.25">
      <c r="B4059" s="120">
        <v>4056</v>
      </c>
      <c r="C4059" s="123">
        <v>10098260795</v>
      </c>
      <c r="D4059" s="126" t="s">
        <v>14771</v>
      </c>
      <c r="E4059" s="126" t="s">
        <v>14772</v>
      </c>
      <c r="F4059" s="123" t="s">
        <v>30</v>
      </c>
      <c r="G4059" s="123" t="s">
        <v>30</v>
      </c>
      <c r="H4059" s="123" t="s">
        <v>50</v>
      </c>
      <c r="I4059" s="126" t="s">
        <v>9903</v>
      </c>
      <c r="J4059" s="123" t="s">
        <v>14773</v>
      </c>
      <c r="K4059" s="123" t="s">
        <v>14774</v>
      </c>
      <c r="L4059" s="131" t="s">
        <v>100</v>
      </c>
      <c r="M4059" s="135" t="s">
        <v>845</v>
      </c>
      <c r="N4059" s="123" t="s">
        <v>845</v>
      </c>
    </row>
    <row r="4060" spans="2:14" hidden="1" x14ac:dyDescent="0.25">
      <c r="B4060" s="120">
        <v>4057</v>
      </c>
      <c r="C4060" s="123">
        <v>10479609956</v>
      </c>
      <c r="D4060" s="126" t="s">
        <v>14775</v>
      </c>
      <c r="E4060" s="126" t="s">
        <v>14776</v>
      </c>
      <c r="F4060" s="123" t="s">
        <v>30</v>
      </c>
      <c r="G4060" s="123" t="s">
        <v>30</v>
      </c>
      <c r="H4060" s="123" t="s">
        <v>35</v>
      </c>
      <c r="I4060" s="126" t="s">
        <v>14777</v>
      </c>
      <c r="J4060" s="123" t="s">
        <v>14778</v>
      </c>
      <c r="K4060" s="123" t="s">
        <v>14779</v>
      </c>
      <c r="L4060" s="131" t="s">
        <v>100</v>
      </c>
      <c r="M4060" s="135" t="s">
        <v>845</v>
      </c>
      <c r="N4060" s="123" t="s">
        <v>845</v>
      </c>
    </row>
    <row r="4061" spans="2:14" hidden="1" x14ac:dyDescent="0.25">
      <c r="B4061" s="120">
        <v>4058</v>
      </c>
      <c r="C4061" s="123">
        <v>10083815197</v>
      </c>
      <c r="D4061" s="126" t="s">
        <v>14780</v>
      </c>
      <c r="E4061" s="126" t="s">
        <v>14781</v>
      </c>
      <c r="F4061" s="123" t="s">
        <v>67</v>
      </c>
      <c r="G4061" s="123" t="s">
        <v>67</v>
      </c>
      <c r="H4061" s="123" t="s">
        <v>67</v>
      </c>
      <c r="I4061" s="126" t="s">
        <v>13402</v>
      </c>
      <c r="J4061" s="123" t="s">
        <v>14782</v>
      </c>
      <c r="K4061" s="123" t="s">
        <v>14780</v>
      </c>
      <c r="L4061" s="131" t="s">
        <v>100</v>
      </c>
      <c r="M4061" s="135" t="s">
        <v>845</v>
      </c>
      <c r="N4061" s="123" t="s">
        <v>845</v>
      </c>
    </row>
    <row r="4062" spans="2:14" hidden="1" x14ac:dyDescent="0.25">
      <c r="B4062" s="120">
        <v>4059</v>
      </c>
      <c r="C4062" s="123">
        <v>10106501942</v>
      </c>
      <c r="D4062" s="126" t="s">
        <v>14783</v>
      </c>
      <c r="E4062" s="126" t="s">
        <v>14784</v>
      </c>
      <c r="F4062" s="123" t="s">
        <v>30</v>
      </c>
      <c r="G4062" s="123" t="s">
        <v>30</v>
      </c>
      <c r="H4062" s="123" t="s">
        <v>38</v>
      </c>
      <c r="I4062" s="126" t="s">
        <v>1209</v>
      </c>
      <c r="J4062" s="123" t="s">
        <v>14785</v>
      </c>
      <c r="K4062" s="123" t="s">
        <v>14783</v>
      </c>
      <c r="L4062" s="131" t="s">
        <v>100</v>
      </c>
      <c r="M4062" s="135" t="s">
        <v>845</v>
      </c>
      <c r="N4062" s="123" t="s">
        <v>845</v>
      </c>
    </row>
    <row r="4063" spans="2:14" hidden="1" x14ac:dyDescent="0.25">
      <c r="B4063" s="120">
        <v>4060</v>
      </c>
      <c r="C4063" s="123">
        <v>10414877074</v>
      </c>
      <c r="D4063" s="126" t="s">
        <v>14786</v>
      </c>
      <c r="E4063" s="126" t="s">
        <v>14787</v>
      </c>
      <c r="F4063" s="123" t="s">
        <v>30</v>
      </c>
      <c r="G4063" s="123" t="s">
        <v>30</v>
      </c>
      <c r="H4063" s="123" t="s">
        <v>40</v>
      </c>
      <c r="I4063" s="126" t="s">
        <v>1564</v>
      </c>
      <c r="J4063" s="123" t="s">
        <v>14788</v>
      </c>
      <c r="K4063" s="123" t="s">
        <v>14786</v>
      </c>
      <c r="L4063" s="131" t="s">
        <v>100</v>
      </c>
      <c r="M4063" s="135" t="s">
        <v>845</v>
      </c>
      <c r="N4063" s="123" t="s">
        <v>845</v>
      </c>
    </row>
    <row r="4064" spans="2:14" hidden="1" x14ac:dyDescent="0.25">
      <c r="B4064" s="120">
        <v>4061</v>
      </c>
      <c r="C4064" s="123">
        <v>10092542837</v>
      </c>
      <c r="D4064" s="126" t="s">
        <v>14789</v>
      </c>
      <c r="E4064" s="126" t="s">
        <v>14790</v>
      </c>
      <c r="F4064" s="123" t="s">
        <v>30</v>
      </c>
      <c r="G4064" s="123" t="s">
        <v>30</v>
      </c>
      <c r="H4064" s="123" t="s">
        <v>38</v>
      </c>
      <c r="I4064" s="126" t="s">
        <v>1960</v>
      </c>
      <c r="J4064" s="123" t="s">
        <v>14791</v>
      </c>
      <c r="K4064" s="123" t="s">
        <v>14792</v>
      </c>
      <c r="L4064" s="131" t="s">
        <v>100</v>
      </c>
      <c r="M4064" s="135" t="s">
        <v>845</v>
      </c>
      <c r="N4064" s="123" t="s">
        <v>845</v>
      </c>
    </row>
    <row r="4065" spans="2:14" hidden="1" x14ac:dyDescent="0.25">
      <c r="B4065" s="120">
        <v>4062</v>
      </c>
      <c r="C4065" s="123">
        <v>10081819446</v>
      </c>
      <c r="D4065" s="126" t="s">
        <v>14793</v>
      </c>
      <c r="E4065" s="126" t="s">
        <v>14794</v>
      </c>
      <c r="F4065" s="123" t="s">
        <v>30</v>
      </c>
      <c r="G4065" s="123" t="s">
        <v>30</v>
      </c>
      <c r="H4065" s="123" t="s">
        <v>233</v>
      </c>
      <c r="I4065" s="126" t="s">
        <v>1945</v>
      </c>
      <c r="J4065" s="123" t="s">
        <v>14795</v>
      </c>
      <c r="K4065" s="123" t="s">
        <v>14796</v>
      </c>
      <c r="L4065" s="131" t="s">
        <v>100</v>
      </c>
      <c r="M4065" s="135" t="s">
        <v>845</v>
      </c>
      <c r="N4065" s="123" t="s">
        <v>845</v>
      </c>
    </row>
    <row r="4066" spans="2:14" hidden="1" x14ac:dyDescent="0.25">
      <c r="B4066" s="120">
        <v>4063</v>
      </c>
      <c r="C4066" s="123">
        <v>10615927011</v>
      </c>
      <c r="D4066" s="126" t="s">
        <v>14797</v>
      </c>
      <c r="E4066" s="126" t="s">
        <v>14798</v>
      </c>
      <c r="F4066" s="123" t="s">
        <v>30</v>
      </c>
      <c r="G4066" s="123" t="s">
        <v>30</v>
      </c>
      <c r="H4066" s="123" t="s">
        <v>72</v>
      </c>
      <c r="I4066" s="126" t="s">
        <v>1931</v>
      </c>
      <c r="J4066" s="123" t="s">
        <v>14799</v>
      </c>
      <c r="K4066" s="123" t="s">
        <v>14797</v>
      </c>
      <c r="L4066" s="131" t="s">
        <v>100</v>
      </c>
      <c r="M4066" s="135" t="s">
        <v>845</v>
      </c>
      <c r="N4066" s="123" t="s">
        <v>845</v>
      </c>
    </row>
    <row r="4067" spans="2:14" hidden="1" x14ac:dyDescent="0.25">
      <c r="B4067" s="120">
        <v>4064</v>
      </c>
      <c r="C4067" s="123">
        <v>10723698478</v>
      </c>
      <c r="D4067" s="126" t="s">
        <v>14800</v>
      </c>
      <c r="E4067" s="126" t="s">
        <v>14801</v>
      </c>
      <c r="F4067" s="123" t="s">
        <v>30</v>
      </c>
      <c r="G4067" s="123" t="s">
        <v>30</v>
      </c>
      <c r="H4067" s="123" t="s">
        <v>64</v>
      </c>
      <c r="I4067" s="126" t="s">
        <v>1978</v>
      </c>
      <c r="J4067" s="123" t="s">
        <v>14802</v>
      </c>
      <c r="K4067" s="123" t="s">
        <v>14800</v>
      </c>
      <c r="L4067" s="131" t="s">
        <v>100</v>
      </c>
      <c r="M4067" s="135" t="s">
        <v>845</v>
      </c>
      <c r="N4067" s="123" t="s">
        <v>845</v>
      </c>
    </row>
    <row r="4068" spans="2:14" hidden="1" x14ac:dyDescent="0.25">
      <c r="B4068" s="120">
        <v>4065</v>
      </c>
      <c r="C4068" s="123">
        <v>10427981938</v>
      </c>
      <c r="D4068" s="126" t="s">
        <v>14803</v>
      </c>
      <c r="E4068" s="126" t="s">
        <v>14804</v>
      </c>
      <c r="F4068" s="123" t="s">
        <v>67</v>
      </c>
      <c r="G4068" s="123" t="s">
        <v>67</v>
      </c>
      <c r="H4068" s="123" t="s">
        <v>67</v>
      </c>
      <c r="I4068" s="126" t="s">
        <v>1931</v>
      </c>
      <c r="J4068" s="123" t="s">
        <v>14805</v>
      </c>
      <c r="K4068" s="123" t="s">
        <v>14803</v>
      </c>
      <c r="L4068" s="131" t="s">
        <v>100</v>
      </c>
      <c r="M4068" s="135" t="s">
        <v>845</v>
      </c>
      <c r="N4068" s="123" t="s">
        <v>845</v>
      </c>
    </row>
    <row r="4069" spans="2:14" hidden="1" x14ac:dyDescent="0.25">
      <c r="B4069" s="120">
        <v>4066</v>
      </c>
      <c r="C4069" s="123">
        <v>10158518631</v>
      </c>
      <c r="D4069" s="126" t="s">
        <v>14806</v>
      </c>
      <c r="E4069" s="126" t="s">
        <v>14807</v>
      </c>
      <c r="F4069" s="123" t="s">
        <v>30</v>
      </c>
      <c r="G4069" s="123" t="s">
        <v>168</v>
      </c>
      <c r="H4069" s="123" t="s">
        <v>168</v>
      </c>
      <c r="I4069" s="126" t="s">
        <v>1551</v>
      </c>
      <c r="J4069" s="123" t="s">
        <v>14808</v>
      </c>
      <c r="K4069" s="123" t="s">
        <v>14806</v>
      </c>
      <c r="L4069" s="131" t="s">
        <v>100</v>
      </c>
      <c r="M4069" s="135" t="s">
        <v>845</v>
      </c>
      <c r="N4069" s="123" t="s">
        <v>845</v>
      </c>
    </row>
    <row r="4070" spans="2:14" hidden="1" x14ac:dyDescent="0.25">
      <c r="B4070" s="120">
        <v>4067</v>
      </c>
      <c r="C4070" s="123">
        <v>10786334271</v>
      </c>
      <c r="D4070" s="126" t="s">
        <v>14809</v>
      </c>
      <c r="E4070" s="126" t="s">
        <v>14810</v>
      </c>
      <c r="F4070" s="123" t="s">
        <v>30</v>
      </c>
      <c r="G4070" s="123" t="s">
        <v>54</v>
      </c>
      <c r="H4070" s="123" t="s">
        <v>54</v>
      </c>
      <c r="I4070" s="126" t="s">
        <v>1737</v>
      </c>
      <c r="J4070" s="123" t="s">
        <v>14811</v>
      </c>
      <c r="K4070" s="123" t="s">
        <v>14809</v>
      </c>
      <c r="L4070" s="131" t="s">
        <v>100</v>
      </c>
      <c r="M4070" s="135" t="s">
        <v>845</v>
      </c>
      <c r="N4070" s="123" t="s">
        <v>845</v>
      </c>
    </row>
    <row r="4071" spans="2:14" hidden="1" x14ac:dyDescent="0.25">
      <c r="B4071" s="120">
        <v>4068</v>
      </c>
      <c r="C4071" s="123">
        <v>10404651299</v>
      </c>
      <c r="D4071" s="126" t="s">
        <v>14812</v>
      </c>
      <c r="E4071" s="126" t="s">
        <v>14813</v>
      </c>
      <c r="F4071" s="123" t="s">
        <v>30</v>
      </c>
      <c r="G4071" s="123" t="s">
        <v>30</v>
      </c>
      <c r="H4071" s="123" t="s">
        <v>41</v>
      </c>
      <c r="I4071" s="126" t="s">
        <v>1931</v>
      </c>
      <c r="J4071" s="123" t="s">
        <v>14814</v>
      </c>
      <c r="K4071" s="123" t="s">
        <v>14812</v>
      </c>
      <c r="L4071" s="131" t="s">
        <v>100</v>
      </c>
      <c r="M4071" s="135" t="s">
        <v>845</v>
      </c>
      <c r="N4071" s="123" t="s">
        <v>845</v>
      </c>
    </row>
    <row r="4072" spans="2:14" hidden="1" x14ac:dyDescent="0.25">
      <c r="B4072" s="120">
        <v>4069</v>
      </c>
      <c r="C4072" s="123">
        <v>15149302724</v>
      </c>
      <c r="D4072" s="126" t="s">
        <v>14815</v>
      </c>
      <c r="E4072" s="126" t="s">
        <v>14816</v>
      </c>
      <c r="F4072" s="123" t="s">
        <v>30</v>
      </c>
      <c r="G4072" s="123" t="s">
        <v>30</v>
      </c>
      <c r="H4072" s="123" t="s">
        <v>39</v>
      </c>
      <c r="I4072" s="126" t="s">
        <v>8743</v>
      </c>
      <c r="J4072" s="123" t="s">
        <v>14817</v>
      </c>
      <c r="K4072" s="123" t="s">
        <v>14815</v>
      </c>
      <c r="L4072" s="131" t="s">
        <v>100</v>
      </c>
      <c r="M4072" s="135" t="s">
        <v>845</v>
      </c>
      <c r="N4072" s="123" t="s">
        <v>845</v>
      </c>
    </row>
    <row r="4073" spans="2:14" hidden="1" x14ac:dyDescent="0.25">
      <c r="B4073" s="120">
        <v>4070</v>
      </c>
      <c r="C4073" s="123">
        <v>10069346966</v>
      </c>
      <c r="D4073" s="126" t="s">
        <v>14818</v>
      </c>
      <c r="E4073" s="126" t="s">
        <v>14819</v>
      </c>
      <c r="F4073" s="123" t="s">
        <v>30</v>
      </c>
      <c r="G4073" s="123" t="s">
        <v>30</v>
      </c>
      <c r="H4073" s="123" t="s">
        <v>58</v>
      </c>
      <c r="I4073" s="126" t="s">
        <v>1963</v>
      </c>
      <c r="J4073" s="123" t="s">
        <v>14820</v>
      </c>
      <c r="K4073" s="123" t="s">
        <v>14821</v>
      </c>
      <c r="L4073" s="131" t="s">
        <v>100</v>
      </c>
      <c r="M4073" s="135" t="s">
        <v>845</v>
      </c>
      <c r="N4073" s="123" t="s">
        <v>845</v>
      </c>
    </row>
    <row r="4074" spans="2:14" hidden="1" x14ac:dyDescent="0.25">
      <c r="B4074" s="120">
        <v>4071</v>
      </c>
      <c r="C4074" s="123">
        <v>10400848781</v>
      </c>
      <c r="D4074" s="126" t="s">
        <v>14822</v>
      </c>
      <c r="E4074" s="126" t="s">
        <v>14823</v>
      </c>
      <c r="F4074" s="123" t="s">
        <v>67</v>
      </c>
      <c r="G4074" s="123" t="s">
        <v>67</v>
      </c>
      <c r="H4074" s="123" t="s">
        <v>67</v>
      </c>
      <c r="I4074" s="126" t="s">
        <v>1701</v>
      </c>
      <c r="J4074" s="123" t="s">
        <v>14824</v>
      </c>
      <c r="K4074" s="123" t="s">
        <v>14822</v>
      </c>
      <c r="L4074" s="131" t="s">
        <v>100</v>
      </c>
      <c r="M4074" s="135" t="s">
        <v>845</v>
      </c>
      <c r="N4074" s="123" t="s">
        <v>845</v>
      </c>
    </row>
    <row r="4075" spans="2:14" hidden="1" x14ac:dyDescent="0.25">
      <c r="B4075" s="120">
        <v>4072</v>
      </c>
      <c r="C4075" s="123">
        <v>10414621843</v>
      </c>
      <c r="D4075" s="126" t="s">
        <v>14825</v>
      </c>
      <c r="E4075" s="126" t="s">
        <v>14826</v>
      </c>
      <c r="F4075" s="123" t="s">
        <v>30</v>
      </c>
      <c r="G4075" s="123" t="s">
        <v>30</v>
      </c>
      <c r="H4075" s="123" t="s">
        <v>72</v>
      </c>
      <c r="I4075" s="126" t="s">
        <v>8725</v>
      </c>
      <c r="J4075" s="123" t="s">
        <v>14827</v>
      </c>
      <c r="K4075" s="123" t="s">
        <v>14825</v>
      </c>
      <c r="L4075" s="131" t="s">
        <v>100</v>
      </c>
      <c r="M4075" s="135" t="s">
        <v>845</v>
      </c>
      <c r="N4075" s="123" t="s">
        <v>845</v>
      </c>
    </row>
    <row r="4076" spans="2:14" hidden="1" x14ac:dyDescent="0.25">
      <c r="B4076" s="120">
        <v>4073</v>
      </c>
      <c r="C4076" s="123">
        <v>10415652769</v>
      </c>
      <c r="D4076" s="126" t="s">
        <v>14828</v>
      </c>
      <c r="E4076" s="126" t="s">
        <v>14829</v>
      </c>
      <c r="F4076" s="123" t="s">
        <v>30</v>
      </c>
      <c r="G4076" s="123" t="s">
        <v>31</v>
      </c>
      <c r="H4076" s="123" t="s">
        <v>139</v>
      </c>
      <c r="I4076" s="126" t="s">
        <v>1706</v>
      </c>
      <c r="J4076" s="123" t="s">
        <v>14830</v>
      </c>
      <c r="K4076" s="123" t="s">
        <v>14828</v>
      </c>
      <c r="L4076" s="131" t="s">
        <v>100</v>
      </c>
      <c r="M4076" s="135" t="s">
        <v>845</v>
      </c>
      <c r="N4076" s="123" t="s">
        <v>845</v>
      </c>
    </row>
    <row r="4077" spans="2:14" hidden="1" x14ac:dyDescent="0.25">
      <c r="B4077" s="120">
        <v>4074</v>
      </c>
      <c r="C4077" s="123">
        <v>10200696706</v>
      </c>
      <c r="D4077" s="126" t="s">
        <v>14831</v>
      </c>
      <c r="E4077" s="126" t="s">
        <v>14832</v>
      </c>
      <c r="F4077" s="123" t="s">
        <v>30</v>
      </c>
      <c r="G4077" s="123" t="s">
        <v>30</v>
      </c>
      <c r="H4077" s="123" t="s">
        <v>30</v>
      </c>
      <c r="I4077" s="126" t="s">
        <v>1942</v>
      </c>
      <c r="J4077" s="123" t="s">
        <v>14833</v>
      </c>
      <c r="K4077" s="123" t="s">
        <v>14831</v>
      </c>
      <c r="L4077" s="131" t="s">
        <v>100</v>
      </c>
      <c r="M4077" s="135" t="s">
        <v>845</v>
      </c>
      <c r="N4077" s="123" t="s">
        <v>845</v>
      </c>
    </row>
    <row r="4078" spans="2:14" hidden="1" x14ac:dyDescent="0.25">
      <c r="B4078" s="120">
        <v>4075</v>
      </c>
      <c r="C4078" s="123">
        <v>10466254857</v>
      </c>
      <c r="D4078" s="126" t="s">
        <v>14834</v>
      </c>
      <c r="E4078" s="126" t="s">
        <v>14835</v>
      </c>
      <c r="F4078" s="123" t="s">
        <v>30</v>
      </c>
      <c r="G4078" s="123" t="s">
        <v>30</v>
      </c>
      <c r="H4078" s="123" t="s">
        <v>40</v>
      </c>
      <c r="I4078" s="126" t="s">
        <v>1970</v>
      </c>
      <c r="J4078" s="123" t="s">
        <v>14836</v>
      </c>
      <c r="K4078" s="123" t="s">
        <v>14834</v>
      </c>
      <c r="L4078" s="131" t="s">
        <v>100</v>
      </c>
      <c r="M4078" s="135" t="s">
        <v>845</v>
      </c>
      <c r="N4078" s="123" t="s">
        <v>845</v>
      </c>
    </row>
    <row r="4079" spans="2:14" hidden="1" x14ac:dyDescent="0.25">
      <c r="B4079" s="120">
        <v>4076</v>
      </c>
      <c r="C4079" s="123">
        <v>10456601303</v>
      </c>
      <c r="D4079" s="126" t="s">
        <v>14837</v>
      </c>
      <c r="E4079" s="126" t="s">
        <v>14838</v>
      </c>
      <c r="F4079" s="123" t="s">
        <v>30</v>
      </c>
      <c r="G4079" s="123" t="s">
        <v>170</v>
      </c>
      <c r="H4079" s="123" t="s">
        <v>174</v>
      </c>
      <c r="I4079" s="126" t="s">
        <v>1701</v>
      </c>
      <c r="J4079" s="123" t="s">
        <v>14839</v>
      </c>
      <c r="K4079" s="123" t="s">
        <v>14837</v>
      </c>
      <c r="L4079" s="131" t="s">
        <v>100</v>
      </c>
      <c r="M4079" s="135" t="s">
        <v>845</v>
      </c>
      <c r="N4079" s="123" t="s">
        <v>845</v>
      </c>
    </row>
    <row r="4080" spans="2:14" hidden="1" x14ac:dyDescent="0.25">
      <c r="B4080" s="120">
        <v>4077</v>
      </c>
      <c r="C4080" s="123">
        <v>10100788450</v>
      </c>
      <c r="D4080" s="126" t="s">
        <v>14840</v>
      </c>
      <c r="E4080" s="126" t="s">
        <v>14841</v>
      </c>
      <c r="F4080" s="123" t="s">
        <v>30</v>
      </c>
      <c r="G4080" s="123" t="s">
        <v>30</v>
      </c>
      <c r="H4080" s="123" t="s">
        <v>68</v>
      </c>
      <c r="I4080" s="126" t="s">
        <v>14842</v>
      </c>
      <c r="J4080" s="123" t="s">
        <v>14843</v>
      </c>
      <c r="K4080" s="123" t="s">
        <v>14840</v>
      </c>
      <c r="L4080" s="131" t="s">
        <v>100</v>
      </c>
      <c r="M4080" s="135" t="s">
        <v>845</v>
      </c>
      <c r="N4080" s="123" t="s">
        <v>845</v>
      </c>
    </row>
    <row r="4081" spans="2:14" hidden="1" x14ac:dyDescent="0.25">
      <c r="B4081" s="120">
        <v>4078</v>
      </c>
      <c r="C4081" s="123">
        <v>10446648930</v>
      </c>
      <c r="D4081" s="126" t="s">
        <v>14844</v>
      </c>
      <c r="E4081" s="126" t="s">
        <v>14845</v>
      </c>
      <c r="F4081" s="123" t="s">
        <v>30</v>
      </c>
      <c r="G4081" s="123" t="s">
        <v>30</v>
      </c>
      <c r="H4081" s="123" t="s">
        <v>38</v>
      </c>
      <c r="I4081" s="126" t="s">
        <v>1930</v>
      </c>
      <c r="J4081" s="123" t="s">
        <v>14846</v>
      </c>
      <c r="K4081" s="123" t="s">
        <v>14844</v>
      </c>
      <c r="L4081" s="131" t="s">
        <v>100</v>
      </c>
      <c r="M4081" s="135" t="s">
        <v>845</v>
      </c>
      <c r="N4081" s="123" t="s">
        <v>845</v>
      </c>
    </row>
    <row r="4082" spans="2:14" hidden="1" x14ac:dyDescent="0.25">
      <c r="B4082" s="120">
        <v>4079</v>
      </c>
      <c r="C4082" s="123">
        <v>10040465672</v>
      </c>
      <c r="D4082" s="126" t="s">
        <v>14847</v>
      </c>
      <c r="E4082" s="126" t="s">
        <v>14848</v>
      </c>
      <c r="F4082" s="123" t="s">
        <v>30</v>
      </c>
      <c r="G4082" s="123" t="s">
        <v>30</v>
      </c>
      <c r="H4082" s="123" t="s">
        <v>156</v>
      </c>
      <c r="I4082" s="126" t="s">
        <v>1209</v>
      </c>
      <c r="J4082" s="123" t="s">
        <v>14849</v>
      </c>
      <c r="K4082" s="123" t="s">
        <v>14847</v>
      </c>
      <c r="L4082" s="131" t="s">
        <v>100</v>
      </c>
      <c r="M4082" s="135" t="s">
        <v>845</v>
      </c>
      <c r="N4082" s="123" t="s">
        <v>845</v>
      </c>
    </row>
    <row r="4083" spans="2:14" hidden="1" x14ac:dyDescent="0.25">
      <c r="B4083" s="120">
        <v>4080</v>
      </c>
      <c r="C4083" s="123">
        <v>10768022271</v>
      </c>
      <c r="D4083" s="126" t="s">
        <v>14850</v>
      </c>
      <c r="E4083" s="126" t="s">
        <v>14851</v>
      </c>
      <c r="F4083" s="123" t="s">
        <v>30</v>
      </c>
      <c r="G4083" s="123" t="s">
        <v>30</v>
      </c>
      <c r="H4083" s="123" t="s">
        <v>30</v>
      </c>
      <c r="I4083" s="126" t="s">
        <v>1424</v>
      </c>
      <c r="J4083" s="123" t="s">
        <v>14852</v>
      </c>
      <c r="K4083" s="123" t="s">
        <v>14853</v>
      </c>
      <c r="L4083" s="131" t="s">
        <v>100</v>
      </c>
      <c r="M4083" s="135" t="s">
        <v>845</v>
      </c>
      <c r="N4083" s="123" t="s">
        <v>845</v>
      </c>
    </row>
    <row r="4084" spans="2:14" hidden="1" x14ac:dyDescent="0.25">
      <c r="B4084" s="120">
        <v>4081</v>
      </c>
      <c r="C4084" s="123">
        <v>10418582192</v>
      </c>
      <c r="D4084" s="126" t="s">
        <v>14854</v>
      </c>
      <c r="E4084" s="126" t="s">
        <v>14855</v>
      </c>
      <c r="F4084" s="123" t="s">
        <v>30</v>
      </c>
      <c r="G4084" s="123" t="s">
        <v>30</v>
      </c>
      <c r="H4084" s="123" t="s">
        <v>51</v>
      </c>
      <c r="I4084" s="126" t="s">
        <v>1701</v>
      </c>
      <c r="J4084" s="123" t="s">
        <v>14856</v>
      </c>
      <c r="K4084" s="123" t="s">
        <v>14854</v>
      </c>
      <c r="L4084" s="131" t="s">
        <v>100</v>
      </c>
      <c r="M4084" s="135" t="s">
        <v>845</v>
      </c>
      <c r="N4084" s="123" t="s">
        <v>845</v>
      </c>
    </row>
    <row r="4085" spans="2:14" hidden="1" x14ac:dyDescent="0.25">
      <c r="B4085" s="120">
        <v>4082</v>
      </c>
      <c r="C4085" s="123">
        <v>10097978498</v>
      </c>
      <c r="D4085" s="126" t="s">
        <v>14857</v>
      </c>
      <c r="E4085" s="126" t="s">
        <v>14858</v>
      </c>
      <c r="F4085" s="123" t="s">
        <v>30</v>
      </c>
      <c r="G4085" s="123" t="s">
        <v>30</v>
      </c>
      <c r="H4085" s="123" t="s">
        <v>103</v>
      </c>
      <c r="I4085" s="126" t="s">
        <v>1950</v>
      </c>
      <c r="J4085" s="123" t="s">
        <v>14859</v>
      </c>
      <c r="K4085" s="123" t="s">
        <v>14860</v>
      </c>
      <c r="L4085" s="131" t="s">
        <v>100</v>
      </c>
      <c r="M4085" s="135" t="s">
        <v>845</v>
      </c>
      <c r="N4085" s="123" t="s">
        <v>845</v>
      </c>
    </row>
    <row r="4086" spans="2:14" hidden="1" x14ac:dyDescent="0.25">
      <c r="B4086" s="120">
        <v>4083</v>
      </c>
      <c r="C4086" s="123">
        <v>10157275416</v>
      </c>
      <c r="D4086" s="126" t="s">
        <v>14861</v>
      </c>
      <c r="E4086" s="126" t="s">
        <v>14862</v>
      </c>
      <c r="F4086" s="123" t="s">
        <v>30</v>
      </c>
      <c r="G4086" s="123" t="s">
        <v>168</v>
      </c>
      <c r="H4086" s="123" t="s">
        <v>168</v>
      </c>
      <c r="I4086" s="126" t="s">
        <v>1930</v>
      </c>
      <c r="J4086" s="123" t="s">
        <v>14863</v>
      </c>
      <c r="K4086" s="123" t="s">
        <v>14861</v>
      </c>
      <c r="L4086" s="131" t="s">
        <v>100</v>
      </c>
      <c r="M4086" s="135" t="s">
        <v>845</v>
      </c>
      <c r="N4086" s="123" t="s">
        <v>845</v>
      </c>
    </row>
    <row r="4087" spans="2:14" hidden="1" x14ac:dyDescent="0.25">
      <c r="B4087" s="120">
        <v>4084</v>
      </c>
      <c r="C4087" s="123">
        <v>10410354671</v>
      </c>
      <c r="D4087" s="126" t="s">
        <v>14864</v>
      </c>
      <c r="E4087" s="126" t="s">
        <v>14865</v>
      </c>
      <c r="F4087" s="123" t="s">
        <v>30</v>
      </c>
      <c r="G4087" s="123" t="s">
        <v>30</v>
      </c>
      <c r="H4087" s="123" t="s">
        <v>72</v>
      </c>
      <c r="I4087" s="126" t="s">
        <v>1701</v>
      </c>
      <c r="J4087" s="123" t="s">
        <v>14866</v>
      </c>
      <c r="K4087" s="123" t="s">
        <v>14867</v>
      </c>
      <c r="L4087" s="131" t="s">
        <v>100</v>
      </c>
      <c r="M4087" s="135" t="s">
        <v>845</v>
      </c>
      <c r="N4087" s="123" t="s">
        <v>845</v>
      </c>
    </row>
    <row r="4088" spans="2:14" hidden="1" x14ac:dyDescent="0.25">
      <c r="B4088" s="120">
        <v>4085</v>
      </c>
      <c r="C4088" s="123">
        <v>10440364654</v>
      </c>
      <c r="D4088" s="126" t="s">
        <v>14868</v>
      </c>
      <c r="E4088" s="126" t="s">
        <v>14869</v>
      </c>
      <c r="F4088" s="123" t="s">
        <v>30</v>
      </c>
      <c r="G4088" s="123" t="s">
        <v>54</v>
      </c>
      <c r="H4088" s="123" t="s">
        <v>54</v>
      </c>
      <c r="I4088" s="126" t="s">
        <v>1931</v>
      </c>
      <c r="J4088" s="123" t="s">
        <v>14870</v>
      </c>
      <c r="K4088" s="123" t="s">
        <v>14868</v>
      </c>
      <c r="L4088" s="131" t="s">
        <v>100</v>
      </c>
      <c r="M4088" s="135" t="s">
        <v>845</v>
      </c>
      <c r="N4088" s="123" t="s">
        <v>845</v>
      </c>
    </row>
    <row r="4089" spans="2:14" hidden="1" x14ac:dyDescent="0.25">
      <c r="B4089" s="120">
        <v>4086</v>
      </c>
      <c r="C4089" s="123">
        <v>10734320078</v>
      </c>
      <c r="D4089" s="126" t="s">
        <v>14871</v>
      </c>
      <c r="E4089" s="126" t="s">
        <v>14872</v>
      </c>
      <c r="F4089" s="123" t="s">
        <v>30</v>
      </c>
      <c r="G4089" s="123" t="s">
        <v>170</v>
      </c>
      <c r="H4089" s="123" t="s">
        <v>182</v>
      </c>
      <c r="I4089" s="126" t="s">
        <v>1655</v>
      </c>
      <c r="J4089" s="123" t="s">
        <v>14873</v>
      </c>
      <c r="K4089" s="123" t="s">
        <v>14871</v>
      </c>
      <c r="L4089" s="131" t="s">
        <v>100</v>
      </c>
      <c r="M4089" s="135" t="s">
        <v>845</v>
      </c>
      <c r="N4089" s="123" t="s">
        <v>845</v>
      </c>
    </row>
    <row r="4090" spans="2:14" hidden="1" x14ac:dyDescent="0.25">
      <c r="B4090" s="120">
        <v>4087</v>
      </c>
      <c r="C4090" s="123">
        <v>10413100475</v>
      </c>
      <c r="D4090" s="126" t="s">
        <v>14874</v>
      </c>
      <c r="E4090" s="126" t="s">
        <v>14875</v>
      </c>
      <c r="F4090" s="123" t="s">
        <v>30</v>
      </c>
      <c r="G4090" s="123" t="s">
        <v>170</v>
      </c>
      <c r="H4090" s="123" t="s">
        <v>171</v>
      </c>
      <c r="I4090" s="126" t="s">
        <v>1706</v>
      </c>
      <c r="J4090" s="123" t="s">
        <v>14876</v>
      </c>
      <c r="K4090" s="123" t="s">
        <v>14874</v>
      </c>
      <c r="L4090" s="131" t="s">
        <v>100</v>
      </c>
      <c r="M4090" s="135" t="s">
        <v>845</v>
      </c>
      <c r="N4090" s="123" t="s">
        <v>845</v>
      </c>
    </row>
    <row r="4091" spans="2:14" hidden="1" x14ac:dyDescent="0.25">
      <c r="B4091" s="120">
        <v>4088</v>
      </c>
      <c r="C4091" s="123">
        <v>10731141466</v>
      </c>
      <c r="D4091" s="126" t="s">
        <v>14877</v>
      </c>
      <c r="E4091" s="126" t="s">
        <v>14878</v>
      </c>
      <c r="F4091" s="123" t="s">
        <v>30</v>
      </c>
      <c r="G4091" s="123" t="s">
        <v>170</v>
      </c>
      <c r="H4091" s="123" t="s">
        <v>179</v>
      </c>
      <c r="I4091" s="126" t="s">
        <v>1942</v>
      </c>
      <c r="J4091" s="123" t="s">
        <v>14879</v>
      </c>
      <c r="K4091" s="123" t="s">
        <v>14880</v>
      </c>
      <c r="L4091" s="131" t="s">
        <v>100</v>
      </c>
      <c r="M4091" s="135" t="s">
        <v>845</v>
      </c>
      <c r="N4091" s="123" t="s">
        <v>845</v>
      </c>
    </row>
    <row r="4092" spans="2:14" hidden="1" x14ac:dyDescent="0.25">
      <c r="B4092" s="120">
        <v>4089</v>
      </c>
      <c r="C4092" s="123">
        <v>10316555930</v>
      </c>
      <c r="D4092" s="126" t="s">
        <v>14881</v>
      </c>
      <c r="E4092" s="126" t="s">
        <v>14882</v>
      </c>
      <c r="F4092" s="123" t="s">
        <v>30</v>
      </c>
      <c r="G4092" s="123" t="s">
        <v>30</v>
      </c>
      <c r="H4092" s="123" t="s">
        <v>88</v>
      </c>
      <c r="I4092" s="126" t="s">
        <v>8743</v>
      </c>
      <c r="J4092" s="123" t="s">
        <v>14883</v>
      </c>
      <c r="K4092" s="123" t="s">
        <v>14881</v>
      </c>
      <c r="L4092" s="131" t="s">
        <v>100</v>
      </c>
      <c r="M4092" s="135" t="s">
        <v>845</v>
      </c>
      <c r="N4092" s="123" t="s">
        <v>845</v>
      </c>
    </row>
    <row r="4093" spans="2:14" hidden="1" x14ac:dyDescent="0.25">
      <c r="B4093" s="120">
        <v>4090</v>
      </c>
      <c r="C4093" s="123">
        <v>10740680809</v>
      </c>
      <c r="D4093" s="126" t="s">
        <v>14884</v>
      </c>
      <c r="E4093" s="126" t="s">
        <v>14885</v>
      </c>
      <c r="F4093" s="123" t="s">
        <v>30</v>
      </c>
      <c r="G4093" s="123" t="s">
        <v>30</v>
      </c>
      <c r="H4093" s="123" t="s">
        <v>88</v>
      </c>
      <c r="I4093" s="126" t="s">
        <v>14886</v>
      </c>
      <c r="J4093" s="123" t="s">
        <v>14887</v>
      </c>
      <c r="K4093" s="123" t="s">
        <v>14884</v>
      </c>
      <c r="L4093" s="131" t="s">
        <v>100</v>
      </c>
      <c r="M4093" s="135" t="s">
        <v>845</v>
      </c>
      <c r="N4093" s="123" t="s">
        <v>845</v>
      </c>
    </row>
    <row r="4094" spans="2:14" hidden="1" x14ac:dyDescent="0.25">
      <c r="B4094" s="120">
        <v>4091</v>
      </c>
      <c r="C4094" s="123">
        <v>10084636920</v>
      </c>
      <c r="D4094" s="126" t="s">
        <v>14888</v>
      </c>
      <c r="E4094" s="126" t="s">
        <v>14889</v>
      </c>
      <c r="F4094" s="123" t="s">
        <v>30</v>
      </c>
      <c r="G4094" s="123" t="s">
        <v>30</v>
      </c>
      <c r="H4094" s="123" t="s">
        <v>88</v>
      </c>
      <c r="I4094" s="126" t="s">
        <v>1701</v>
      </c>
      <c r="J4094" s="123" t="s">
        <v>14890</v>
      </c>
      <c r="K4094" s="123" t="s">
        <v>14888</v>
      </c>
      <c r="L4094" s="131" t="s">
        <v>100</v>
      </c>
      <c r="M4094" s="135" t="s">
        <v>845</v>
      </c>
      <c r="N4094" s="123" t="s">
        <v>845</v>
      </c>
    </row>
    <row r="4095" spans="2:14" hidden="1" x14ac:dyDescent="0.25">
      <c r="B4095" s="120">
        <v>4092</v>
      </c>
      <c r="C4095" s="123">
        <v>10421447042</v>
      </c>
      <c r="D4095" s="126" t="s">
        <v>14891</v>
      </c>
      <c r="E4095" s="126" t="s">
        <v>14892</v>
      </c>
      <c r="F4095" s="123" t="s">
        <v>30</v>
      </c>
      <c r="G4095" s="123" t="s">
        <v>30</v>
      </c>
      <c r="H4095" s="123" t="s">
        <v>52</v>
      </c>
      <c r="I4095" s="126" t="s">
        <v>1931</v>
      </c>
      <c r="J4095" s="123" t="s">
        <v>14893</v>
      </c>
      <c r="K4095" s="123" t="s">
        <v>14894</v>
      </c>
      <c r="L4095" s="131" t="s">
        <v>100</v>
      </c>
      <c r="M4095" s="135" t="s">
        <v>845</v>
      </c>
      <c r="N4095" s="123" t="s">
        <v>845</v>
      </c>
    </row>
    <row r="4096" spans="2:14" hidden="1" x14ac:dyDescent="0.25">
      <c r="B4096" s="120">
        <v>4093</v>
      </c>
      <c r="C4096" s="123">
        <v>10157616990</v>
      </c>
      <c r="D4096" s="126" t="s">
        <v>14895</v>
      </c>
      <c r="E4096" s="126" t="s">
        <v>14896</v>
      </c>
      <c r="F4096" s="123" t="s">
        <v>30</v>
      </c>
      <c r="G4096" s="123" t="s">
        <v>170</v>
      </c>
      <c r="H4096" s="123" t="s">
        <v>171</v>
      </c>
      <c r="I4096" s="126" t="s">
        <v>1935</v>
      </c>
      <c r="J4096" s="123" t="s">
        <v>14897</v>
      </c>
      <c r="K4096" s="123" t="s">
        <v>14895</v>
      </c>
      <c r="L4096" s="131" t="s">
        <v>100</v>
      </c>
      <c r="M4096" s="135" t="s">
        <v>845</v>
      </c>
      <c r="N4096" s="123" t="s">
        <v>845</v>
      </c>
    </row>
    <row r="4097" spans="2:14" hidden="1" x14ac:dyDescent="0.25">
      <c r="B4097" s="120">
        <v>4094</v>
      </c>
      <c r="C4097" s="123">
        <v>10445049641</v>
      </c>
      <c r="D4097" s="126" t="s">
        <v>14898</v>
      </c>
      <c r="E4097" s="126" t="s">
        <v>14899</v>
      </c>
      <c r="F4097" s="123" t="s">
        <v>30</v>
      </c>
      <c r="G4097" s="123" t="s">
        <v>170</v>
      </c>
      <c r="H4097" s="123" t="s">
        <v>174</v>
      </c>
      <c r="I4097" s="126" t="s">
        <v>1701</v>
      </c>
      <c r="J4097" s="123" t="s">
        <v>14900</v>
      </c>
      <c r="K4097" s="123" t="s">
        <v>14898</v>
      </c>
      <c r="L4097" s="131" t="s">
        <v>100</v>
      </c>
      <c r="M4097" s="135" t="s">
        <v>845</v>
      </c>
      <c r="N4097" s="123" t="s">
        <v>845</v>
      </c>
    </row>
    <row r="4098" spans="2:14" hidden="1" x14ac:dyDescent="0.25">
      <c r="B4098" s="120">
        <v>4095</v>
      </c>
      <c r="C4098" s="123">
        <v>10441624820</v>
      </c>
      <c r="D4098" s="126" t="s">
        <v>14901</v>
      </c>
      <c r="E4098" s="126" t="s">
        <v>14902</v>
      </c>
      <c r="F4098" s="123" t="s">
        <v>30</v>
      </c>
      <c r="G4098" s="123" t="s">
        <v>30</v>
      </c>
      <c r="H4098" s="123" t="s">
        <v>65</v>
      </c>
      <c r="I4098" s="126" t="s">
        <v>1960</v>
      </c>
      <c r="J4098" s="123" t="s">
        <v>14903</v>
      </c>
      <c r="K4098" s="123" t="s">
        <v>14901</v>
      </c>
      <c r="L4098" s="131" t="s">
        <v>100</v>
      </c>
      <c r="M4098" s="135" t="s">
        <v>845</v>
      </c>
      <c r="N4098" s="123" t="s">
        <v>845</v>
      </c>
    </row>
    <row r="4099" spans="2:14" hidden="1" x14ac:dyDescent="0.25">
      <c r="B4099" s="120">
        <v>4096</v>
      </c>
      <c r="C4099" s="123">
        <v>10412687049</v>
      </c>
      <c r="D4099" s="126" t="s">
        <v>14904</v>
      </c>
      <c r="E4099" s="126" t="s">
        <v>14905</v>
      </c>
      <c r="F4099" s="123" t="s">
        <v>30</v>
      </c>
      <c r="G4099" s="123" t="s">
        <v>30</v>
      </c>
      <c r="H4099" s="123" t="s">
        <v>30</v>
      </c>
      <c r="I4099" s="126" t="s">
        <v>9575</v>
      </c>
      <c r="J4099" s="123" t="s">
        <v>14906</v>
      </c>
      <c r="K4099" s="123" t="s">
        <v>14904</v>
      </c>
      <c r="L4099" s="131" t="s">
        <v>100</v>
      </c>
      <c r="M4099" s="135" t="s">
        <v>845</v>
      </c>
      <c r="N4099" s="123" t="s">
        <v>845</v>
      </c>
    </row>
    <row r="4100" spans="2:14" hidden="1" x14ac:dyDescent="0.25">
      <c r="B4100" s="120">
        <v>4097</v>
      </c>
      <c r="C4100" s="123">
        <v>10423920161</v>
      </c>
      <c r="D4100" s="126" t="s">
        <v>14907</v>
      </c>
      <c r="E4100" s="126" t="s">
        <v>14908</v>
      </c>
      <c r="F4100" s="123" t="s">
        <v>30</v>
      </c>
      <c r="G4100" s="123" t="s">
        <v>30</v>
      </c>
      <c r="H4100" s="123" t="s">
        <v>72</v>
      </c>
      <c r="I4100" s="126" t="s">
        <v>1950</v>
      </c>
      <c r="J4100" s="123" t="s">
        <v>14909</v>
      </c>
      <c r="K4100" s="123" t="s">
        <v>14910</v>
      </c>
      <c r="L4100" s="131" t="s">
        <v>100</v>
      </c>
      <c r="M4100" s="135" t="s">
        <v>845</v>
      </c>
      <c r="N4100" s="123" t="s">
        <v>845</v>
      </c>
    </row>
    <row r="4101" spans="2:14" hidden="1" x14ac:dyDescent="0.25">
      <c r="B4101" s="120">
        <v>4098</v>
      </c>
      <c r="C4101" s="123">
        <v>10452265236</v>
      </c>
      <c r="D4101" s="126" t="s">
        <v>14911</v>
      </c>
      <c r="E4101" s="126" t="s">
        <v>14912</v>
      </c>
      <c r="F4101" s="123" t="s">
        <v>30</v>
      </c>
      <c r="G4101" s="123" t="s">
        <v>30</v>
      </c>
      <c r="H4101" s="123" t="s">
        <v>88</v>
      </c>
      <c r="I4101" s="126" t="s">
        <v>8743</v>
      </c>
      <c r="J4101" s="123" t="s">
        <v>14913</v>
      </c>
      <c r="K4101" s="123" t="s">
        <v>14911</v>
      </c>
      <c r="L4101" s="131" t="s">
        <v>100</v>
      </c>
      <c r="M4101" s="135" t="s">
        <v>845</v>
      </c>
      <c r="N4101" s="123" t="s">
        <v>845</v>
      </c>
    </row>
    <row r="4102" spans="2:14" hidden="1" x14ac:dyDescent="0.25">
      <c r="B4102" s="120">
        <v>4099</v>
      </c>
      <c r="C4102" s="123">
        <v>10438860083</v>
      </c>
      <c r="D4102" s="126" t="s">
        <v>14914</v>
      </c>
      <c r="E4102" s="126" t="s">
        <v>14915</v>
      </c>
      <c r="F4102" s="123" t="s">
        <v>30</v>
      </c>
      <c r="G4102" s="123" t="s">
        <v>30</v>
      </c>
      <c r="H4102" s="123" t="s">
        <v>30</v>
      </c>
      <c r="I4102" s="126" t="s">
        <v>1930</v>
      </c>
      <c r="J4102" s="123" t="s">
        <v>14916</v>
      </c>
      <c r="K4102" s="123" t="s">
        <v>14917</v>
      </c>
      <c r="L4102" s="131" t="s">
        <v>100</v>
      </c>
      <c r="M4102" s="135" t="s">
        <v>845</v>
      </c>
      <c r="N4102" s="123" t="s">
        <v>845</v>
      </c>
    </row>
    <row r="4103" spans="2:14" hidden="1" x14ac:dyDescent="0.25">
      <c r="B4103" s="120">
        <v>4100</v>
      </c>
      <c r="C4103" s="123">
        <v>10621986240</v>
      </c>
      <c r="D4103" s="126" t="s">
        <v>14918</v>
      </c>
      <c r="E4103" s="126" t="s">
        <v>14919</v>
      </c>
      <c r="F4103" s="123" t="s">
        <v>30</v>
      </c>
      <c r="G4103" s="123" t="s">
        <v>30</v>
      </c>
      <c r="H4103" s="123" t="s">
        <v>75</v>
      </c>
      <c r="I4103" s="126" t="s">
        <v>1424</v>
      </c>
      <c r="J4103" s="123" t="s">
        <v>14920</v>
      </c>
      <c r="K4103" s="123" t="s">
        <v>14918</v>
      </c>
      <c r="L4103" s="131" t="s">
        <v>100</v>
      </c>
      <c r="M4103" s="135" t="s">
        <v>845</v>
      </c>
      <c r="N4103" s="123" t="s">
        <v>845</v>
      </c>
    </row>
    <row r="4104" spans="2:14" hidden="1" x14ac:dyDescent="0.25">
      <c r="B4104" s="120">
        <v>4101</v>
      </c>
      <c r="C4104" s="123">
        <v>10065768921</v>
      </c>
      <c r="D4104" s="126" t="s">
        <v>14921</v>
      </c>
      <c r="E4104" s="126" t="s">
        <v>14922</v>
      </c>
      <c r="F4104" s="123" t="s">
        <v>30</v>
      </c>
      <c r="G4104" s="123" t="s">
        <v>30</v>
      </c>
      <c r="H4104" s="123" t="s">
        <v>79</v>
      </c>
      <c r="I4104" s="126" t="s">
        <v>10495</v>
      </c>
      <c r="J4104" s="123" t="s">
        <v>14923</v>
      </c>
      <c r="K4104" s="123" t="s">
        <v>14921</v>
      </c>
      <c r="L4104" s="131" t="s">
        <v>100</v>
      </c>
      <c r="M4104" s="135" t="s">
        <v>845</v>
      </c>
      <c r="N4104" s="123" t="s">
        <v>845</v>
      </c>
    </row>
    <row r="4105" spans="2:14" hidden="1" x14ac:dyDescent="0.25">
      <c r="B4105" s="120">
        <v>4102</v>
      </c>
      <c r="C4105" s="123">
        <v>10448413115</v>
      </c>
      <c r="D4105" s="126" t="s">
        <v>14924</v>
      </c>
      <c r="E4105" s="126" t="s">
        <v>14925</v>
      </c>
      <c r="F4105" s="123" t="s">
        <v>30</v>
      </c>
      <c r="G4105" s="123" t="s">
        <v>30</v>
      </c>
      <c r="H4105" s="123" t="s">
        <v>51</v>
      </c>
      <c r="I4105" s="126" t="s">
        <v>1701</v>
      </c>
      <c r="J4105" s="123" t="s">
        <v>14926</v>
      </c>
      <c r="K4105" s="123" t="s">
        <v>14924</v>
      </c>
      <c r="L4105" s="131" t="s">
        <v>100</v>
      </c>
      <c r="M4105" s="135" t="s">
        <v>845</v>
      </c>
      <c r="N4105" s="123" t="s">
        <v>845</v>
      </c>
    </row>
    <row r="4106" spans="2:14" hidden="1" x14ac:dyDescent="0.25">
      <c r="B4106" s="120">
        <v>4103</v>
      </c>
      <c r="C4106" s="123">
        <v>10723873121</v>
      </c>
      <c r="D4106" s="126" t="s">
        <v>14927</v>
      </c>
      <c r="E4106" s="126" t="s">
        <v>14928</v>
      </c>
      <c r="F4106" s="123" t="s">
        <v>30</v>
      </c>
      <c r="G4106" s="123" t="s">
        <v>30</v>
      </c>
      <c r="H4106" s="123" t="s">
        <v>72</v>
      </c>
      <c r="I4106" s="126" t="s">
        <v>1767</v>
      </c>
      <c r="J4106" s="123" t="s">
        <v>14929</v>
      </c>
      <c r="K4106" s="123" t="s">
        <v>14927</v>
      </c>
      <c r="L4106" s="131" t="s">
        <v>100</v>
      </c>
      <c r="M4106" s="135" t="s">
        <v>845</v>
      </c>
      <c r="N4106" s="123" t="s">
        <v>845</v>
      </c>
    </row>
    <row r="4107" spans="2:14" hidden="1" x14ac:dyDescent="0.25">
      <c r="B4107" s="120">
        <v>4104</v>
      </c>
      <c r="C4107" s="123">
        <v>10468066322</v>
      </c>
      <c r="D4107" s="126" t="s">
        <v>14930</v>
      </c>
      <c r="E4107" s="126" t="s">
        <v>14931</v>
      </c>
      <c r="F4107" s="123" t="s">
        <v>67</v>
      </c>
      <c r="G4107" s="123" t="s">
        <v>67</v>
      </c>
      <c r="H4107" s="123" t="s">
        <v>143</v>
      </c>
      <c r="I4107" s="126" t="s">
        <v>9044</v>
      </c>
      <c r="J4107" s="123" t="s">
        <v>14932</v>
      </c>
      <c r="K4107" s="123" t="s">
        <v>14930</v>
      </c>
      <c r="L4107" s="131" t="s">
        <v>100</v>
      </c>
      <c r="M4107" s="135" t="s">
        <v>845</v>
      </c>
      <c r="N4107" s="123" t="s">
        <v>845</v>
      </c>
    </row>
    <row r="4108" spans="2:14" hidden="1" x14ac:dyDescent="0.25">
      <c r="B4108" s="120">
        <v>4105</v>
      </c>
      <c r="C4108" s="123">
        <v>10403522789</v>
      </c>
      <c r="D4108" s="126" t="s">
        <v>14933</v>
      </c>
      <c r="E4108" s="126" t="s">
        <v>14934</v>
      </c>
      <c r="F4108" s="123" t="s">
        <v>30</v>
      </c>
      <c r="G4108" s="123" t="s">
        <v>30</v>
      </c>
      <c r="H4108" s="123" t="s">
        <v>147</v>
      </c>
      <c r="I4108" s="126" t="s">
        <v>8725</v>
      </c>
      <c r="J4108" s="123" t="s">
        <v>14935</v>
      </c>
      <c r="K4108" s="123" t="s">
        <v>14933</v>
      </c>
      <c r="L4108" s="131" t="s">
        <v>100</v>
      </c>
      <c r="M4108" s="135" t="s">
        <v>845</v>
      </c>
      <c r="N4108" s="123" t="s">
        <v>845</v>
      </c>
    </row>
    <row r="4109" spans="2:14" hidden="1" x14ac:dyDescent="0.25">
      <c r="B4109" s="120">
        <v>4106</v>
      </c>
      <c r="C4109" s="123">
        <v>10097403479</v>
      </c>
      <c r="D4109" s="126" t="s">
        <v>14936</v>
      </c>
      <c r="E4109" s="126" t="s">
        <v>14937</v>
      </c>
      <c r="F4109" s="123" t="s">
        <v>30</v>
      </c>
      <c r="G4109" s="123" t="s">
        <v>30</v>
      </c>
      <c r="H4109" s="123" t="s">
        <v>50</v>
      </c>
      <c r="I4109" s="126" t="s">
        <v>1701</v>
      </c>
      <c r="J4109" s="123" t="s">
        <v>14938</v>
      </c>
      <c r="K4109" s="123" t="s">
        <v>14936</v>
      </c>
      <c r="L4109" s="131" t="s">
        <v>100</v>
      </c>
      <c r="M4109" s="135" t="s">
        <v>845</v>
      </c>
      <c r="N4109" s="123" t="s">
        <v>845</v>
      </c>
    </row>
    <row r="4110" spans="2:14" hidden="1" x14ac:dyDescent="0.25">
      <c r="B4110" s="120">
        <v>4107</v>
      </c>
      <c r="C4110" s="123">
        <v>10157662452</v>
      </c>
      <c r="D4110" s="126" t="s">
        <v>14939</v>
      </c>
      <c r="E4110" s="126" t="s">
        <v>14940</v>
      </c>
      <c r="F4110" s="123" t="s">
        <v>30</v>
      </c>
      <c r="G4110" s="123" t="s">
        <v>170</v>
      </c>
      <c r="H4110" s="123" t="s">
        <v>171</v>
      </c>
      <c r="I4110" s="126" t="s">
        <v>1809</v>
      </c>
      <c r="J4110" s="123" t="s">
        <v>14941</v>
      </c>
      <c r="K4110" s="123" t="s">
        <v>14939</v>
      </c>
      <c r="L4110" s="131" t="s">
        <v>100</v>
      </c>
      <c r="M4110" s="135" t="s">
        <v>845</v>
      </c>
      <c r="N4110" s="123" t="s">
        <v>845</v>
      </c>
    </row>
    <row r="4111" spans="2:14" hidden="1" x14ac:dyDescent="0.25">
      <c r="B4111" s="120">
        <v>4108</v>
      </c>
      <c r="C4111" s="123">
        <v>10473329994</v>
      </c>
      <c r="D4111" s="126" t="s">
        <v>14942</v>
      </c>
      <c r="E4111" s="126" t="s">
        <v>14943</v>
      </c>
      <c r="F4111" s="123" t="s">
        <v>30</v>
      </c>
      <c r="G4111" s="123" t="s">
        <v>30</v>
      </c>
      <c r="H4111" s="123" t="s">
        <v>72</v>
      </c>
      <c r="I4111" s="126" t="s">
        <v>1564</v>
      </c>
      <c r="J4111" s="123" t="s">
        <v>14944</v>
      </c>
      <c r="K4111" s="123" t="s">
        <v>14942</v>
      </c>
      <c r="L4111" s="131" t="s">
        <v>100</v>
      </c>
      <c r="M4111" s="135" t="s">
        <v>845</v>
      </c>
      <c r="N4111" s="123" t="s">
        <v>845</v>
      </c>
    </row>
    <row r="4112" spans="2:14" hidden="1" x14ac:dyDescent="0.25">
      <c r="B4112" s="120">
        <v>4109</v>
      </c>
      <c r="C4112" s="123">
        <v>10451293384</v>
      </c>
      <c r="D4112" s="126" t="s">
        <v>14945</v>
      </c>
      <c r="E4112" s="126" t="s">
        <v>14946</v>
      </c>
      <c r="F4112" s="123" t="s">
        <v>30</v>
      </c>
      <c r="G4112" s="123" t="s">
        <v>30</v>
      </c>
      <c r="H4112" s="123" t="s">
        <v>72</v>
      </c>
      <c r="I4112" s="126" t="s">
        <v>1701</v>
      </c>
      <c r="J4112" s="123" t="s">
        <v>14947</v>
      </c>
      <c r="K4112" s="123" t="s">
        <v>14948</v>
      </c>
      <c r="L4112" s="131" t="s">
        <v>100</v>
      </c>
      <c r="M4112" s="135" t="s">
        <v>845</v>
      </c>
      <c r="N4112" s="123" t="s">
        <v>845</v>
      </c>
    </row>
    <row r="4113" spans="2:14" hidden="1" x14ac:dyDescent="0.25">
      <c r="B4113" s="120">
        <v>4110</v>
      </c>
      <c r="C4113" s="123">
        <v>10157514020</v>
      </c>
      <c r="D4113" s="126" t="s">
        <v>14949</v>
      </c>
      <c r="E4113" s="126" t="s">
        <v>14950</v>
      </c>
      <c r="F4113" s="123" t="s">
        <v>30</v>
      </c>
      <c r="G4113" s="123" t="s">
        <v>54</v>
      </c>
      <c r="H4113" s="123" t="s">
        <v>54</v>
      </c>
      <c r="I4113" s="126" t="s">
        <v>1809</v>
      </c>
      <c r="J4113" s="123" t="s">
        <v>14951</v>
      </c>
      <c r="K4113" s="123" t="s">
        <v>14949</v>
      </c>
      <c r="L4113" s="131" t="s">
        <v>100</v>
      </c>
      <c r="M4113" s="135" t="s">
        <v>845</v>
      </c>
      <c r="N4113" s="123" t="s">
        <v>845</v>
      </c>
    </row>
    <row r="4114" spans="2:14" hidden="1" x14ac:dyDescent="0.25">
      <c r="B4114" s="120">
        <v>4111</v>
      </c>
      <c r="C4114" s="123">
        <v>10765141431</v>
      </c>
      <c r="D4114" s="126" t="s">
        <v>14952</v>
      </c>
      <c r="E4114" s="126" t="s">
        <v>14953</v>
      </c>
      <c r="F4114" s="123" t="s">
        <v>30</v>
      </c>
      <c r="G4114" s="123" t="s">
        <v>30</v>
      </c>
      <c r="H4114" s="123" t="s">
        <v>30</v>
      </c>
      <c r="I4114" s="126" t="s">
        <v>1932</v>
      </c>
      <c r="J4114" s="123" t="s">
        <v>14954</v>
      </c>
      <c r="K4114" s="123" t="s">
        <v>14955</v>
      </c>
      <c r="L4114" s="131" t="s">
        <v>100</v>
      </c>
      <c r="M4114" s="135" t="s">
        <v>845</v>
      </c>
      <c r="N4114" s="123" t="s">
        <v>845</v>
      </c>
    </row>
    <row r="4115" spans="2:14" hidden="1" x14ac:dyDescent="0.25">
      <c r="B4115" s="120">
        <v>4112</v>
      </c>
      <c r="C4115" s="123">
        <v>10101175061</v>
      </c>
      <c r="D4115" s="126" t="s">
        <v>14956</v>
      </c>
      <c r="E4115" s="126" t="s">
        <v>14957</v>
      </c>
      <c r="F4115" s="123" t="s">
        <v>30</v>
      </c>
      <c r="G4115" s="123" t="s">
        <v>30</v>
      </c>
      <c r="H4115" s="123" t="s">
        <v>43</v>
      </c>
      <c r="I4115" s="126" t="s">
        <v>1551</v>
      </c>
      <c r="J4115" s="123" t="s">
        <v>14958</v>
      </c>
      <c r="K4115" s="123" t="s">
        <v>14956</v>
      </c>
      <c r="L4115" s="131" t="s">
        <v>100</v>
      </c>
      <c r="M4115" s="135" t="s">
        <v>845</v>
      </c>
      <c r="N4115" s="123" t="s">
        <v>845</v>
      </c>
    </row>
    <row r="4116" spans="2:14" hidden="1" x14ac:dyDescent="0.25">
      <c r="B4116" s="120">
        <v>4113</v>
      </c>
      <c r="C4116" s="123">
        <v>10101616105</v>
      </c>
      <c r="D4116" s="126" t="s">
        <v>14959</v>
      </c>
      <c r="E4116" s="126" t="s">
        <v>14960</v>
      </c>
      <c r="F4116" s="123" t="s">
        <v>30</v>
      </c>
      <c r="G4116" s="123" t="s">
        <v>30</v>
      </c>
      <c r="H4116" s="123" t="s">
        <v>50</v>
      </c>
      <c r="I4116" s="126" t="s">
        <v>1424</v>
      </c>
      <c r="J4116" s="123" t="s">
        <v>14961</v>
      </c>
      <c r="K4116" s="123" t="s">
        <v>14959</v>
      </c>
      <c r="L4116" s="131" t="s">
        <v>100</v>
      </c>
      <c r="M4116" s="135" t="s">
        <v>845</v>
      </c>
      <c r="N4116" s="123" t="s">
        <v>845</v>
      </c>
    </row>
    <row r="4117" spans="2:14" hidden="1" x14ac:dyDescent="0.25">
      <c r="B4117" s="120">
        <v>4114</v>
      </c>
      <c r="C4117" s="123">
        <v>10483055957</v>
      </c>
      <c r="D4117" s="126" t="s">
        <v>14962</v>
      </c>
      <c r="E4117" s="126" t="s">
        <v>14963</v>
      </c>
      <c r="F4117" s="123" t="s">
        <v>30</v>
      </c>
      <c r="G4117" s="123" t="s">
        <v>30</v>
      </c>
      <c r="H4117" s="123" t="s">
        <v>58</v>
      </c>
      <c r="I4117" s="126" t="s">
        <v>9239</v>
      </c>
      <c r="J4117" s="123" t="s">
        <v>14964</v>
      </c>
      <c r="K4117" s="123" t="s">
        <v>14965</v>
      </c>
      <c r="L4117" s="131" t="s">
        <v>100</v>
      </c>
      <c r="M4117" s="135" t="s">
        <v>845</v>
      </c>
      <c r="N4117" s="123" t="s">
        <v>845</v>
      </c>
    </row>
    <row r="4118" spans="2:14" hidden="1" x14ac:dyDescent="0.25">
      <c r="B4118" s="120">
        <v>4115</v>
      </c>
      <c r="C4118" s="123">
        <v>10467773611</v>
      </c>
      <c r="D4118" s="126" t="s">
        <v>14966</v>
      </c>
      <c r="E4118" s="126" t="s">
        <v>14967</v>
      </c>
      <c r="F4118" s="123" t="s">
        <v>67</v>
      </c>
      <c r="G4118" s="123" t="s">
        <v>67</v>
      </c>
      <c r="H4118" s="123" t="s">
        <v>67</v>
      </c>
      <c r="I4118" s="126" t="s">
        <v>101</v>
      </c>
      <c r="J4118" s="123" t="s">
        <v>14968</v>
      </c>
      <c r="K4118" s="123" t="s">
        <v>14966</v>
      </c>
      <c r="L4118" s="131" t="s">
        <v>100</v>
      </c>
      <c r="M4118" s="135" t="s">
        <v>845</v>
      </c>
      <c r="N4118" s="123" t="s">
        <v>845</v>
      </c>
    </row>
    <row r="4119" spans="2:14" hidden="1" x14ac:dyDescent="0.25">
      <c r="B4119" s="120">
        <v>4116</v>
      </c>
      <c r="C4119" s="123">
        <v>10448798351</v>
      </c>
      <c r="D4119" s="126" t="s">
        <v>14969</v>
      </c>
      <c r="E4119" s="126" t="s">
        <v>14970</v>
      </c>
      <c r="F4119" s="123" t="s">
        <v>30</v>
      </c>
      <c r="G4119" s="123" t="s">
        <v>170</v>
      </c>
      <c r="H4119" s="123" t="s">
        <v>170</v>
      </c>
      <c r="I4119" s="126" t="s">
        <v>1701</v>
      </c>
      <c r="J4119" s="123" t="s">
        <v>14971</v>
      </c>
      <c r="K4119" s="123" t="s">
        <v>14969</v>
      </c>
      <c r="L4119" s="131" t="s">
        <v>100</v>
      </c>
      <c r="M4119" s="135" t="s">
        <v>845</v>
      </c>
      <c r="N4119" s="123" t="s">
        <v>845</v>
      </c>
    </row>
    <row r="4120" spans="2:14" hidden="1" x14ac:dyDescent="0.25">
      <c r="B4120" s="120">
        <v>4117</v>
      </c>
      <c r="C4120" s="123">
        <v>10106434048</v>
      </c>
      <c r="D4120" s="126" t="s">
        <v>14972</v>
      </c>
      <c r="E4120" s="126" t="s">
        <v>14973</v>
      </c>
      <c r="F4120" s="123" t="s">
        <v>30</v>
      </c>
      <c r="G4120" s="123" t="s">
        <v>30</v>
      </c>
      <c r="H4120" s="123" t="s">
        <v>37</v>
      </c>
      <c r="I4120" s="126" t="s">
        <v>1701</v>
      </c>
      <c r="J4120" s="123" t="s">
        <v>14974</v>
      </c>
      <c r="K4120" s="123" t="s">
        <v>14975</v>
      </c>
      <c r="L4120" s="131" t="s">
        <v>100</v>
      </c>
      <c r="M4120" s="135" t="s">
        <v>845</v>
      </c>
      <c r="N4120" s="123" t="s">
        <v>845</v>
      </c>
    </row>
    <row r="4121" spans="2:14" hidden="1" x14ac:dyDescent="0.25">
      <c r="B4121" s="120">
        <v>4118</v>
      </c>
      <c r="C4121" s="123">
        <v>10742418168</v>
      </c>
      <c r="D4121" s="126" t="s">
        <v>14976</v>
      </c>
      <c r="E4121" s="126" t="s">
        <v>14977</v>
      </c>
      <c r="F4121" s="123" t="s">
        <v>30</v>
      </c>
      <c r="G4121" s="123" t="s">
        <v>170</v>
      </c>
      <c r="H4121" s="123" t="s">
        <v>175</v>
      </c>
      <c r="I4121" s="126" t="s">
        <v>1939</v>
      </c>
      <c r="J4121" s="123" t="s">
        <v>14978</v>
      </c>
      <c r="K4121" s="123" t="s">
        <v>14976</v>
      </c>
      <c r="L4121" s="131" t="s">
        <v>100</v>
      </c>
      <c r="M4121" s="135" t="s">
        <v>845</v>
      </c>
      <c r="N4121" s="123" t="s">
        <v>845</v>
      </c>
    </row>
    <row r="4122" spans="2:14" hidden="1" x14ac:dyDescent="0.25">
      <c r="B4122" s="120">
        <v>4119</v>
      </c>
      <c r="C4122" s="123">
        <v>10487405600</v>
      </c>
      <c r="D4122" s="126" t="s">
        <v>14979</v>
      </c>
      <c r="E4122" s="126" t="s">
        <v>14980</v>
      </c>
      <c r="F4122" s="123" t="s">
        <v>30</v>
      </c>
      <c r="G4122" s="123" t="s">
        <v>30</v>
      </c>
      <c r="H4122" s="123" t="s">
        <v>43</v>
      </c>
      <c r="I4122" s="126" t="s">
        <v>1701</v>
      </c>
      <c r="J4122" s="123" t="s">
        <v>14981</v>
      </c>
      <c r="K4122" s="123" t="s">
        <v>14979</v>
      </c>
      <c r="L4122" s="131" t="s">
        <v>100</v>
      </c>
      <c r="M4122" s="135" t="s">
        <v>845</v>
      </c>
      <c r="N4122" s="123" t="s">
        <v>845</v>
      </c>
    </row>
    <row r="4123" spans="2:14" hidden="1" x14ac:dyDescent="0.25">
      <c r="B4123" s="120">
        <v>4120</v>
      </c>
      <c r="C4123" s="123">
        <v>10473778608</v>
      </c>
      <c r="D4123" s="126" t="s">
        <v>14982</v>
      </c>
      <c r="E4123" s="126" t="s">
        <v>14983</v>
      </c>
      <c r="F4123" s="123" t="s">
        <v>30</v>
      </c>
      <c r="G4123" s="123" t="s">
        <v>30</v>
      </c>
      <c r="H4123" s="123" t="s">
        <v>30</v>
      </c>
      <c r="I4123" s="126" t="s">
        <v>1499</v>
      </c>
      <c r="J4123" s="123" t="s">
        <v>14984</v>
      </c>
      <c r="K4123" s="123" t="s">
        <v>14982</v>
      </c>
      <c r="L4123" s="131" t="s">
        <v>100</v>
      </c>
      <c r="M4123" s="135" t="s">
        <v>845</v>
      </c>
      <c r="N4123" s="123" t="s">
        <v>845</v>
      </c>
    </row>
    <row r="4124" spans="2:14" hidden="1" x14ac:dyDescent="0.25">
      <c r="B4124" s="120">
        <v>4121</v>
      </c>
      <c r="C4124" s="123">
        <v>10426452443</v>
      </c>
      <c r="D4124" s="126" t="s">
        <v>14985</v>
      </c>
      <c r="E4124" s="126" t="s">
        <v>14986</v>
      </c>
      <c r="F4124" s="123" t="s">
        <v>30</v>
      </c>
      <c r="G4124" s="123" t="s">
        <v>30</v>
      </c>
      <c r="H4124" s="123" t="s">
        <v>58</v>
      </c>
      <c r="I4124" s="126" t="s">
        <v>1551</v>
      </c>
      <c r="J4124" s="123" t="s">
        <v>14987</v>
      </c>
      <c r="K4124" s="123" t="s">
        <v>14985</v>
      </c>
      <c r="L4124" s="131" t="s">
        <v>100</v>
      </c>
      <c r="M4124" s="135" t="s">
        <v>845</v>
      </c>
      <c r="N4124" s="123" t="s">
        <v>845</v>
      </c>
    </row>
    <row r="4125" spans="2:14" hidden="1" x14ac:dyDescent="0.25">
      <c r="B4125" s="120">
        <v>4122</v>
      </c>
      <c r="C4125" s="123">
        <v>10095299160</v>
      </c>
      <c r="D4125" s="126" t="s">
        <v>14988</v>
      </c>
      <c r="E4125" s="126" t="s">
        <v>14989</v>
      </c>
      <c r="F4125" s="123" t="s">
        <v>67</v>
      </c>
      <c r="G4125" s="123" t="s">
        <v>67</v>
      </c>
      <c r="H4125" s="123" t="s">
        <v>94</v>
      </c>
      <c r="I4125" s="126" t="s">
        <v>1942</v>
      </c>
      <c r="J4125" s="123" t="s">
        <v>14990</v>
      </c>
      <c r="K4125" s="123" t="s">
        <v>14988</v>
      </c>
      <c r="L4125" s="131" t="s">
        <v>100</v>
      </c>
      <c r="M4125" s="135" t="s">
        <v>845</v>
      </c>
      <c r="N4125" s="123" t="s">
        <v>845</v>
      </c>
    </row>
    <row r="4126" spans="2:14" hidden="1" x14ac:dyDescent="0.25">
      <c r="B4126" s="120">
        <v>4123</v>
      </c>
      <c r="C4126" s="123">
        <v>10082152259</v>
      </c>
      <c r="D4126" s="126" t="s">
        <v>14991</v>
      </c>
      <c r="E4126" s="126" t="s">
        <v>14992</v>
      </c>
      <c r="F4126" s="123" t="s">
        <v>30</v>
      </c>
      <c r="G4126" s="123" t="s">
        <v>31</v>
      </c>
      <c r="H4126" s="123" t="s">
        <v>150</v>
      </c>
      <c r="I4126" s="126" t="s">
        <v>1643</v>
      </c>
      <c r="J4126" s="123" t="s">
        <v>14993</v>
      </c>
      <c r="K4126" s="123" t="s">
        <v>14991</v>
      </c>
      <c r="L4126" s="131" t="s">
        <v>100</v>
      </c>
      <c r="M4126" s="135" t="s">
        <v>845</v>
      </c>
      <c r="N4126" s="123" t="s">
        <v>845</v>
      </c>
    </row>
    <row r="4127" spans="2:14" hidden="1" x14ac:dyDescent="0.25">
      <c r="B4127" s="120">
        <v>4124</v>
      </c>
      <c r="C4127" s="123">
        <v>10715291113</v>
      </c>
      <c r="D4127" s="126" t="s">
        <v>14994</v>
      </c>
      <c r="E4127" s="126" t="s">
        <v>14995</v>
      </c>
      <c r="F4127" s="123" t="s">
        <v>30</v>
      </c>
      <c r="G4127" s="123" t="s">
        <v>30</v>
      </c>
      <c r="H4127" s="123" t="s">
        <v>52</v>
      </c>
      <c r="I4127" s="126" t="s">
        <v>1931</v>
      </c>
      <c r="J4127" s="123" t="s">
        <v>14996</v>
      </c>
      <c r="K4127" s="123" t="s">
        <v>14994</v>
      </c>
      <c r="L4127" s="131" t="s">
        <v>100</v>
      </c>
      <c r="M4127" s="135" t="s">
        <v>845</v>
      </c>
      <c r="N4127" s="123" t="s">
        <v>845</v>
      </c>
    </row>
    <row r="4128" spans="2:14" hidden="1" x14ac:dyDescent="0.25">
      <c r="B4128" s="120">
        <v>4125</v>
      </c>
      <c r="C4128" s="123">
        <v>10730135071</v>
      </c>
      <c r="D4128" s="126" t="s">
        <v>14997</v>
      </c>
      <c r="E4128" s="126" t="s">
        <v>14998</v>
      </c>
      <c r="F4128" s="123" t="s">
        <v>30</v>
      </c>
      <c r="G4128" s="123" t="s">
        <v>30</v>
      </c>
      <c r="H4128" s="123" t="s">
        <v>60</v>
      </c>
      <c r="I4128" s="126" t="s">
        <v>1528</v>
      </c>
      <c r="J4128" s="123" t="s">
        <v>14999</v>
      </c>
      <c r="K4128" s="123" t="s">
        <v>14997</v>
      </c>
      <c r="L4128" s="131" t="s">
        <v>100</v>
      </c>
      <c r="M4128" s="135" t="s">
        <v>845</v>
      </c>
      <c r="N4128" s="123" t="s">
        <v>845</v>
      </c>
    </row>
    <row r="4129" spans="2:14" hidden="1" x14ac:dyDescent="0.25">
      <c r="B4129" s="120">
        <v>4126</v>
      </c>
      <c r="C4129" s="123">
        <v>10465807810</v>
      </c>
      <c r="D4129" s="126" t="s">
        <v>15000</v>
      </c>
      <c r="E4129" s="126" t="s">
        <v>15001</v>
      </c>
      <c r="F4129" s="123" t="s">
        <v>30</v>
      </c>
      <c r="G4129" s="123" t="s">
        <v>30</v>
      </c>
      <c r="H4129" s="123" t="s">
        <v>58</v>
      </c>
      <c r="I4129" s="126" t="s">
        <v>1424</v>
      </c>
      <c r="J4129" s="123" t="s">
        <v>15002</v>
      </c>
      <c r="K4129" s="123" t="s">
        <v>15000</v>
      </c>
      <c r="L4129" s="131" t="s">
        <v>100</v>
      </c>
      <c r="M4129" s="135" t="s">
        <v>845</v>
      </c>
      <c r="N4129" s="123" t="s">
        <v>845</v>
      </c>
    </row>
    <row r="4130" spans="2:14" hidden="1" x14ac:dyDescent="0.25">
      <c r="B4130" s="120">
        <v>4127</v>
      </c>
      <c r="C4130" s="123">
        <v>10156328613</v>
      </c>
      <c r="D4130" s="126" t="s">
        <v>15003</v>
      </c>
      <c r="E4130" s="126" t="s">
        <v>15004</v>
      </c>
      <c r="F4130" s="123" t="s">
        <v>30</v>
      </c>
      <c r="G4130" s="123" t="s">
        <v>168</v>
      </c>
      <c r="H4130" s="123" t="s">
        <v>168</v>
      </c>
      <c r="I4130" s="126" t="s">
        <v>1956</v>
      </c>
      <c r="J4130" s="123" t="s">
        <v>15005</v>
      </c>
      <c r="K4130" s="123" t="s">
        <v>15006</v>
      </c>
      <c r="L4130" s="131" t="s">
        <v>100</v>
      </c>
      <c r="M4130" s="135" t="s">
        <v>845</v>
      </c>
      <c r="N4130" s="123" t="s">
        <v>845</v>
      </c>
    </row>
    <row r="4131" spans="2:14" hidden="1" x14ac:dyDescent="0.25">
      <c r="B4131" s="120">
        <v>4128</v>
      </c>
      <c r="C4131" s="123">
        <v>10735016500</v>
      </c>
      <c r="D4131" s="126" t="s">
        <v>15007</v>
      </c>
      <c r="E4131" s="126" t="s">
        <v>15008</v>
      </c>
      <c r="F4131" s="123" t="s">
        <v>30</v>
      </c>
      <c r="G4131" s="123" t="s">
        <v>168</v>
      </c>
      <c r="H4131" s="123" t="s">
        <v>180</v>
      </c>
      <c r="I4131" s="126" t="s">
        <v>1701</v>
      </c>
      <c r="J4131" s="123" t="s">
        <v>15009</v>
      </c>
      <c r="K4131" s="123" t="s">
        <v>15007</v>
      </c>
      <c r="L4131" s="131" t="s">
        <v>100</v>
      </c>
      <c r="M4131" s="135" t="s">
        <v>845</v>
      </c>
      <c r="N4131" s="123" t="s">
        <v>845</v>
      </c>
    </row>
    <row r="4132" spans="2:14" hidden="1" x14ac:dyDescent="0.25">
      <c r="B4132" s="120">
        <v>4129</v>
      </c>
      <c r="C4132" s="123">
        <v>10433612227</v>
      </c>
      <c r="D4132" s="126" t="s">
        <v>15010</v>
      </c>
      <c r="E4132" s="126" t="s">
        <v>15011</v>
      </c>
      <c r="F4132" s="123" t="s">
        <v>30</v>
      </c>
      <c r="G4132" s="123" t="s">
        <v>30</v>
      </c>
      <c r="H4132" s="123" t="s">
        <v>72</v>
      </c>
      <c r="I4132" s="126" t="s">
        <v>1934</v>
      </c>
      <c r="J4132" s="123" t="s">
        <v>15012</v>
      </c>
      <c r="K4132" s="123" t="s">
        <v>15010</v>
      </c>
      <c r="L4132" s="131" t="s">
        <v>100</v>
      </c>
      <c r="M4132" s="135" t="s">
        <v>845</v>
      </c>
      <c r="N4132" s="123" t="s">
        <v>845</v>
      </c>
    </row>
    <row r="4133" spans="2:14" hidden="1" x14ac:dyDescent="0.25">
      <c r="B4133" s="120">
        <v>4130</v>
      </c>
      <c r="C4133" s="123">
        <v>10423526004</v>
      </c>
      <c r="D4133" s="126" t="s">
        <v>15013</v>
      </c>
      <c r="E4133" s="126" t="s">
        <v>15014</v>
      </c>
      <c r="F4133" s="123" t="s">
        <v>30</v>
      </c>
      <c r="G4133" s="123" t="s">
        <v>30</v>
      </c>
      <c r="H4133" s="123" t="s">
        <v>38</v>
      </c>
      <c r="I4133" s="126" t="s">
        <v>8743</v>
      </c>
      <c r="J4133" s="123" t="s">
        <v>15015</v>
      </c>
      <c r="K4133" s="123" t="s">
        <v>15013</v>
      </c>
      <c r="L4133" s="131" t="s">
        <v>100</v>
      </c>
      <c r="M4133" s="135" t="s">
        <v>845</v>
      </c>
      <c r="N4133" s="123" t="s">
        <v>845</v>
      </c>
    </row>
    <row r="4134" spans="2:14" hidden="1" x14ac:dyDescent="0.25">
      <c r="B4134" s="120">
        <v>4131</v>
      </c>
      <c r="C4134" s="123">
        <v>10100521411</v>
      </c>
      <c r="D4134" s="126" t="s">
        <v>15016</v>
      </c>
      <c r="E4134" s="126" t="s">
        <v>15017</v>
      </c>
      <c r="F4134" s="123" t="s">
        <v>30</v>
      </c>
      <c r="G4134" s="123" t="s">
        <v>30</v>
      </c>
      <c r="H4134" s="123" t="s">
        <v>52</v>
      </c>
      <c r="I4134" s="126" t="s">
        <v>1949</v>
      </c>
      <c r="J4134" s="123" t="s">
        <v>15018</v>
      </c>
      <c r="K4134" s="123" t="s">
        <v>15019</v>
      </c>
      <c r="L4134" s="131" t="s">
        <v>100</v>
      </c>
      <c r="M4134" s="135" t="s">
        <v>845</v>
      </c>
      <c r="N4134" s="123" t="s">
        <v>845</v>
      </c>
    </row>
    <row r="4135" spans="2:14" hidden="1" x14ac:dyDescent="0.25">
      <c r="B4135" s="120">
        <v>4132</v>
      </c>
      <c r="C4135" s="123">
        <v>10098052173</v>
      </c>
      <c r="D4135" s="126" t="s">
        <v>15020</v>
      </c>
      <c r="E4135" s="126" t="s">
        <v>15021</v>
      </c>
      <c r="F4135" s="123" t="s">
        <v>30</v>
      </c>
      <c r="G4135" s="123" t="s">
        <v>30</v>
      </c>
      <c r="H4135" s="123" t="s">
        <v>60</v>
      </c>
      <c r="I4135" s="126" t="s">
        <v>1207</v>
      </c>
      <c r="J4135" s="123" t="s">
        <v>15022</v>
      </c>
      <c r="K4135" s="123" t="s">
        <v>15020</v>
      </c>
      <c r="L4135" s="131" t="s">
        <v>100</v>
      </c>
      <c r="M4135" s="135" t="s">
        <v>845</v>
      </c>
      <c r="N4135" s="123" t="s">
        <v>845</v>
      </c>
    </row>
    <row r="4136" spans="2:14" hidden="1" x14ac:dyDescent="0.25">
      <c r="B4136" s="120">
        <v>4133</v>
      </c>
      <c r="C4136" s="123">
        <v>10423197159</v>
      </c>
      <c r="D4136" s="126" t="s">
        <v>15023</v>
      </c>
      <c r="E4136" s="126" t="s">
        <v>15024</v>
      </c>
      <c r="F4136" s="123" t="s">
        <v>30</v>
      </c>
      <c r="G4136" s="123" t="s">
        <v>30</v>
      </c>
      <c r="H4136" s="123" t="s">
        <v>39</v>
      </c>
      <c r="I4136" s="126" t="s">
        <v>1701</v>
      </c>
      <c r="J4136" s="123" t="s">
        <v>15025</v>
      </c>
      <c r="K4136" s="123" t="s">
        <v>15023</v>
      </c>
      <c r="L4136" s="131" t="s">
        <v>100</v>
      </c>
      <c r="M4136" s="135" t="s">
        <v>845</v>
      </c>
      <c r="N4136" s="123" t="s">
        <v>845</v>
      </c>
    </row>
    <row r="4137" spans="2:14" hidden="1" x14ac:dyDescent="0.25">
      <c r="B4137" s="120">
        <v>4134</v>
      </c>
      <c r="C4137" s="123">
        <v>10411540818</v>
      </c>
      <c r="D4137" s="126" t="s">
        <v>15026</v>
      </c>
      <c r="E4137" s="126" t="s">
        <v>15027</v>
      </c>
      <c r="F4137" s="123" t="s">
        <v>30</v>
      </c>
      <c r="G4137" s="123" t="s">
        <v>168</v>
      </c>
      <c r="H4137" s="123" t="s">
        <v>177</v>
      </c>
      <c r="I4137" s="126" t="s">
        <v>1424</v>
      </c>
      <c r="J4137" s="123" t="s">
        <v>15028</v>
      </c>
      <c r="K4137" s="123" t="s">
        <v>15026</v>
      </c>
      <c r="L4137" s="131" t="s">
        <v>100</v>
      </c>
      <c r="M4137" s="135" t="s">
        <v>845</v>
      </c>
      <c r="N4137" s="123" t="s">
        <v>845</v>
      </c>
    </row>
    <row r="4138" spans="2:14" hidden="1" x14ac:dyDescent="0.25">
      <c r="B4138" s="120">
        <v>4135</v>
      </c>
      <c r="C4138" s="123">
        <v>10412032841</v>
      </c>
      <c r="D4138" s="126" t="s">
        <v>15029</v>
      </c>
      <c r="E4138" s="126" t="s">
        <v>15030</v>
      </c>
      <c r="F4138" s="123" t="s">
        <v>30</v>
      </c>
      <c r="G4138" s="123" t="s">
        <v>30</v>
      </c>
      <c r="H4138" s="123" t="s">
        <v>30</v>
      </c>
      <c r="I4138" s="126" t="s">
        <v>1941</v>
      </c>
      <c r="J4138" s="123" t="s">
        <v>15031</v>
      </c>
      <c r="K4138" s="123" t="s">
        <v>15029</v>
      </c>
      <c r="L4138" s="131" t="s">
        <v>100</v>
      </c>
      <c r="M4138" s="135" t="s">
        <v>845</v>
      </c>
      <c r="N4138" s="123" t="s">
        <v>845</v>
      </c>
    </row>
    <row r="4139" spans="2:14" hidden="1" x14ac:dyDescent="0.25">
      <c r="B4139" s="120">
        <v>4136</v>
      </c>
      <c r="C4139" s="123">
        <v>10091355383</v>
      </c>
      <c r="D4139" s="126" t="s">
        <v>15032</v>
      </c>
      <c r="E4139" s="126" t="s">
        <v>15033</v>
      </c>
      <c r="F4139" s="123" t="s">
        <v>30</v>
      </c>
      <c r="G4139" s="123" t="s">
        <v>30</v>
      </c>
      <c r="H4139" s="123" t="s">
        <v>38</v>
      </c>
      <c r="I4139" s="126" t="s">
        <v>1701</v>
      </c>
      <c r="J4139" s="123" t="s">
        <v>15034</v>
      </c>
      <c r="K4139" s="123" t="s">
        <v>15032</v>
      </c>
      <c r="L4139" s="131" t="s">
        <v>100</v>
      </c>
      <c r="M4139" s="135" t="s">
        <v>845</v>
      </c>
      <c r="N4139" s="123" t="s">
        <v>845</v>
      </c>
    </row>
    <row r="4140" spans="2:14" hidden="1" x14ac:dyDescent="0.25">
      <c r="B4140" s="120">
        <v>4137</v>
      </c>
      <c r="C4140" s="123">
        <v>10078032958</v>
      </c>
      <c r="D4140" s="126" t="s">
        <v>15035</v>
      </c>
      <c r="E4140" s="126" t="s">
        <v>15036</v>
      </c>
      <c r="F4140" s="123" t="s">
        <v>30</v>
      </c>
      <c r="G4140" s="123" t="s">
        <v>30</v>
      </c>
      <c r="H4140" s="123" t="s">
        <v>44</v>
      </c>
      <c r="I4140" s="126" t="s">
        <v>9625</v>
      </c>
      <c r="J4140" s="123" t="s">
        <v>15037</v>
      </c>
      <c r="K4140" s="123" t="s">
        <v>15035</v>
      </c>
      <c r="L4140" s="131" t="s">
        <v>100</v>
      </c>
      <c r="M4140" s="135" t="s">
        <v>845</v>
      </c>
      <c r="N4140" s="123" t="s">
        <v>845</v>
      </c>
    </row>
    <row r="4141" spans="2:14" hidden="1" x14ac:dyDescent="0.25">
      <c r="B4141" s="120">
        <v>4138</v>
      </c>
      <c r="C4141" s="123">
        <v>10099433090</v>
      </c>
      <c r="D4141" s="126" t="s">
        <v>15038</v>
      </c>
      <c r="E4141" s="126" t="s">
        <v>15039</v>
      </c>
      <c r="F4141" s="123" t="s">
        <v>30</v>
      </c>
      <c r="G4141" s="123" t="s">
        <v>30</v>
      </c>
      <c r="H4141" s="123" t="s">
        <v>41</v>
      </c>
      <c r="I4141" s="126" t="s">
        <v>1805</v>
      </c>
      <c r="J4141" s="123" t="s">
        <v>15040</v>
      </c>
      <c r="K4141" s="123" t="s">
        <v>15038</v>
      </c>
      <c r="L4141" s="131" t="s">
        <v>100</v>
      </c>
      <c r="M4141" s="135" t="s">
        <v>845</v>
      </c>
      <c r="N4141" s="123" t="s">
        <v>845</v>
      </c>
    </row>
    <row r="4142" spans="2:14" hidden="1" x14ac:dyDescent="0.25">
      <c r="B4142" s="120">
        <v>4139</v>
      </c>
      <c r="C4142" s="123">
        <v>10805025064</v>
      </c>
      <c r="D4142" s="126" t="s">
        <v>15041</v>
      </c>
      <c r="E4142" s="126" t="s">
        <v>15042</v>
      </c>
      <c r="F4142" s="123" t="s">
        <v>30</v>
      </c>
      <c r="G4142" s="123" t="s">
        <v>30</v>
      </c>
      <c r="H4142" s="123" t="s">
        <v>75</v>
      </c>
      <c r="I4142" s="126" t="s">
        <v>9903</v>
      </c>
      <c r="J4142" s="123" t="s">
        <v>15043</v>
      </c>
      <c r="K4142" s="123" t="s">
        <v>15041</v>
      </c>
      <c r="L4142" s="131" t="s">
        <v>100</v>
      </c>
      <c r="M4142" s="135" t="s">
        <v>845</v>
      </c>
      <c r="N4142" s="123" t="s">
        <v>845</v>
      </c>
    </row>
    <row r="4143" spans="2:14" hidden="1" x14ac:dyDescent="0.25">
      <c r="B4143" s="120">
        <v>4140</v>
      </c>
      <c r="C4143" s="123">
        <v>10750926130</v>
      </c>
      <c r="D4143" s="126" t="s">
        <v>15044</v>
      </c>
      <c r="E4143" s="126" t="s">
        <v>15045</v>
      </c>
      <c r="F4143" s="123" t="s">
        <v>30</v>
      </c>
      <c r="G4143" s="123" t="s">
        <v>31</v>
      </c>
      <c r="H4143" s="123" t="s">
        <v>139</v>
      </c>
      <c r="I4143" s="126" t="s">
        <v>1944</v>
      </c>
      <c r="J4143" s="123" t="s">
        <v>15046</v>
      </c>
      <c r="K4143" s="123" t="s">
        <v>15044</v>
      </c>
      <c r="L4143" s="131" t="s">
        <v>100</v>
      </c>
      <c r="M4143" s="135" t="s">
        <v>845</v>
      </c>
      <c r="N4143" s="123" t="s">
        <v>845</v>
      </c>
    </row>
    <row r="4144" spans="2:14" hidden="1" x14ac:dyDescent="0.25">
      <c r="B4144" s="120">
        <v>4141</v>
      </c>
      <c r="C4144" s="123">
        <v>10096857018</v>
      </c>
      <c r="D4144" s="126" t="s">
        <v>15047</v>
      </c>
      <c r="E4144" s="126" t="s">
        <v>15048</v>
      </c>
      <c r="F4144" s="123" t="s">
        <v>30</v>
      </c>
      <c r="G4144" s="123" t="s">
        <v>30</v>
      </c>
      <c r="H4144" s="123" t="s">
        <v>43</v>
      </c>
      <c r="I4144" s="126" t="s">
        <v>1365</v>
      </c>
      <c r="J4144" s="123" t="s">
        <v>15049</v>
      </c>
      <c r="K4144" s="123" t="s">
        <v>15050</v>
      </c>
      <c r="L4144" s="131" t="s">
        <v>100</v>
      </c>
      <c r="M4144" s="135" t="s">
        <v>845</v>
      </c>
      <c r="N4144" s="123" t="s">
        <v>845</v>
      </c>
    </row>
    <row r="4145" spans="2:14" hidden="1" x14ac:dyDescent="0.25">
      <c r="B4145" s="120">
        <v>4142</v>
      </c>
      <c r="C4145" s="123">
        <v>10460502093</v>
      </c>
      <c r="D4145" s="126" t="s">
        <v>15051</v>
      </c>
      <c r="E4145" s="126" t="s">
        <v>15052</v>
      </c>
      <c r="F4145" s="123" t="s">
        <v>30</v>
      </c>
      <c r="G4145" s="123" t="s">
        <v>31</v>
      </c>
      <c r="H4145" s="123" t="s">
        <v>139</v>
      </c>
      <c r="I4145" s="126" t="s">
        <v>1805</v>
      </c>
      <c r="J4145" s="123" t="s">
        <v>15053</v>
      </c>
      <c r="K4145" s="123" t="s">
        <v>15051</v>
      </c>
      <c r="L4145" s="131" t="s">
        <v>100</v>
      </c>
      <c r="M4145" s="135" t="s">
        <v>845</v>
      </c>
      <c r="N4145" s="123" t="s">
        <v>845</v>
      </c>
    </row>
    <row r="4146" spans="2:14" hidden="1" x14ac:dyDescent="0.25">
      <c r="B4146" s="120">
        <v>4143</v>
      </c>
      <c r="C4146" s="123">
        <v>10441771156</v>
      </c>
      <c r="D4146" s="126" t="s">
        <v>15054</v>
      </c>
      <c r="E4146" s="126" t="s">
        <v>15055</v>
      </c>
      <c r="F4146" s="123" t="s">
        <v>30</v>
      </c>
      <c r="G4146" s="123" t="s">
        <v>30</v>
      </c>
      <c r="H4146" s="123" t="s">
        <v>58</v>
      </c>
      <c r="I4146" s="126" t="s">
        <v>15056</v>
      </c>
      <c r="J4146" s="123" t="s">
        <v>15057</v>
      </c>
      <c r="K4146" s="123" t="s">
        <v>15058</v>
      </c>
      <c r="L4146" s="131" t="s">
        <v>100</v>
      </c>
      <c r="M4146" s="135" t="s">
        <v>845</v>
      </c>
      <c r="N4146" s="123" t="s">
        <v>845</v>
      </c>
    </row>
    <row r="4147" spans="2:14" hidden="1" x14ac:dyDescent="0.25">
      <c r="B4147" s="120">
        <v>4144</v>
      </c>
      <c r="C4147" s="123">
        <v>10416713036</v>
      </c>
      <c r="D4147" s="126" t="s">
        <v>15059</v>
      </c>
      <c r="E4147" s="126" t="s">
        <v>15060</v>
      </c>
      <c r="F4147" s="123" t="s">
        <v>30</v>
      </c>
      <c r="G4147" s="123" t="s">
        <v>30</v>
      </c>
      <c r="H4147" s="123" t="s">
        <v>52</v>
      </c>
      <c r="I4147" s="126" t="s">
        <v>1450</v>
      </c>
      <c r="J4147" s="123" t="s">
        <v>15061</v>
      </c>
      <c r="K4147" s="123" t="s">
        <v>15062</v>
      </c>
      <c r="L4147" s="131" t="s">
        <v>100</v>
      </c>
      <c r="M4147" s="135" t="s">
        <v>845</v>
      </c>
      <c r="N4147" s="123" t="s">
        <v>845</v>
      </c>
    </row>
    <row r="4148" spans="2:14" hidden="1" x14ac:dyDescent="0.25">
      <c r="B4148" s="120">
        <v>4145</v>
      </c>
      <c r="C4148" s="123">
        <v>10157317275</v>
      </c>
      <c r="D4148" s="126" t="s">
        <v>15063</v>
      </c>
      <c r="E4148" s="126" t="s">
        <v>15064</v>
      </c>
      <c r="F4148" s="123" t="s">
        <v>30</v>
      </c>
      <c r="G4148" s="123" t="s">
        <v>170</v>
      </c>
      <c r="H4148" s="123" t="s">
        <v>170</v>
      </c>
      <c r="I4148" s="126" t="s">
        <v>1946</v>
      </c>
      <c r="J4148" s="123" t="s">
        <v>15065</v>
      </c>
      <c r="K4148" s="123" t="s">
        <v>15066</v>
      </c>
      <c r="L4148" s="131" t="s">
        <v>100</v>
      </c>
      <c r="M4148" s="135" t="s">
        <v>845</v>
      </c>
      <c r="N4148" s="123" t="s">
        <v>845</v>
      </c>
    </row>
    <row r="4149" spans="2:14" hidden="1" x14ac:dyDescent="0.25">
      <c r="B4149" s="120">
        <v>4146</v>
      </c>
      <c r="C4149" s="123">
        <v>10417218993</v>
      </c>
      <c r="D4149" s="126" t="s">
        <v>15067</v>
      </c>
      <c r="E4149" s="126" t="s">
        <v>15068</v>
      </c>
      <c r="F4149" s="123" t="s">
        <v>30</v>
      </c>
      <c r="G4149" s="123" t="s">
        <v>30</v>
      </c>
      <c r="H4149" s="123" t="s">
        <v>43</v>
      </c>
      <c r="I4149" s="126" t="s">
        <v>8884</v>
      </c>
      <c r="J4149" s="123" t="s">
        <v>15069</v>
      </c>
      <c r="K4149" s="123" t="s">
        <v>15067</v>
      </c>
      <c r="L4149" s="131" t="s">
        <v>100</v>
      </c>
      <c r="M4149" s="135" t="s">
        <v>845</v>
      </c>
      <c r="N4149" s="123" t="s">
        <v>845</v>
      </c>
    </row>
    <row r="4150" spans="2:14" hidden="1" x14ac:dyDescent="0.25">
      <c r="B4150" s="120">
        <v>4147</v>
      </c>
      <c r="C4150" s="123">
        <v>10327289255</v>
      </c>
      <c r="D4150" s="126" t="s">
        <v>15070</v>
      </c>
      <c r="E4150" s="126" t="s">
        <v>15071</v>
      </c>
      <c r="F4150" s="123" t="s">
        <v>30</v>
      </c>
      <c r="G4150" s="123" t="s">
        <v>54</v>
      </c>
      <c r="H4150" s="123" t="s">
        <v>54</v>
      </c>
      <c r="I4150" s="126" t="s">
        <v>1655</v>
      </c>
      <c r="J4150" s="123" t="s">
        <v>15072</v>
      </c>
      <c r="K4150" s="123" t="s">
        <v>15070</v>
      </c>
      <c r="L4150" s="131" t="s">
        <v>100</v>
      </c>
      <c r="M4150" s="135" t="s">
        <v>845</v>
      </c>
      <c r="N4150" s="123" t="s">
        <v>845</v>
      </c>
    </row>
    <row r="4151" spans="2:14" hidden="1" x14ac:dyDescent="0.25">
      <c r="B4151" s="120">
        <v>4148</v>
      </c>
      <c r="C4151" s="123">
        <v>10100984062</v>
      </c>
      <c r="D4151" s="126" t="s">
        <v>15073</v>
      </c>
      <c r="E4151" s="126" t="s">
        <v>15074</v>
      </c>
      <c r="F4151" s="123" t="s">
        <v>30</v>
      </c>
      <c r="G4151" s="123" t="s">
        <v>30</v>
      </c>
      <c r="H4151" s="123" t="s">
        <v>68</v>
      </c>
      <c r="I4151" s="126" t="s">
        <v>15075</v>
      </c>
      <c r="J4151" s="123" t="s">
        <v>15076</v>
      </c>
      <c r="K4151" s="123" t="s">
        <v>15073</v>
      </c>
      <c r="L4151" s="131" t="s">
        <v>100</v>
      </c>
      <c r="M4151" s="135" t="s">
        <v>845</v>
      </c>
      <c r="N4151" s="123" t="s">
        <v>845</v>
      </c>
    </row>
    <row r="4152" spans="2:14" hidden="1" x14ac:dyDescent="0.25">
      <c r="B4152" s="120">
        <v>4149</v>
      </c>
      <c r="C4152" s="123">
        <v>10482756641</v>
      </c>
      <c r="D4152" s="126" t="s">
        <v>15077</v>
      </c>
      <c r="E4152" s="126" t="s">
        <v>15078</v>
      </c>
      <c r="F4152" s="123" t="s">
        <v>30</v>
      </c>
      <c r="G4152" s="123" t="s">
        <v>30</v>
      </c>
      <c r="H4152" s="123" t="s">
        <v>74</v>
      </c>
      <c r="I4152" s="126" t="s">
        <v>1701</v>
      </c>
      <c r="J4152" s="123" t="s">
        <v>15079</v>
      </c>
      <c r="K4152" s="123" t="s">
        <v>15077</v>
      </c>
      <c r="L4152" s="131" t="s">
        <v>100</v>
      </c>
      <c r="M4152" s="135" t="s">
        <v>845</v>
      </c>
      <c r="N4152" s="123" t="s">
        <v>845</v>
      </c>
    </row>
    <row r="4153" spans="2:14" hidden="1" x14ac:dyDescent="0.25">
      <c r="B4153" s="120">
        <v>4150</v>
      </c>
      <c r="C4153" s="123">
        <v>10455050885</v>
      </c>
      <c r="D4153" s="126" t="s">
        <v>15080</v>
      </c>
      <c r="E4153" s="126" t="s">
        <v>15081</v>
      </c>
      <c r="F4153" s="123" t="s">
        <v>30</v>
      </c>
      <c r="G4153" s="123" t="s">
        <v>168</v>
      </c>
      <c r="H4153" s="123" t="s">
        <v>168</v>
      </c>
      <c r="I4153" s="126" t="s">
        <v>1931</v>
      </c>
      <c r="J4153" s="123" t="s">
        <v>15082</v>
      </c>
      <c r="K4153" s="123" t="s">
        <v>15080</v>
      </c>
      <c r="L4153" s="131" t="s">
        <v>100</v>
      </c>
      <c r="M4153" s="135" t="s">
        <v>845</v>
      </c>
      <c r="N4153" s="123" t="s">
        <v>845</v>
      </c>
    </row>
    <row r="4154" spans="2:14" hidden="1" x14ac:dyDescent="0.25">
      <c r="B4154" s="120">
        <v>4151</v>
      </c>
      <c r="C4154" s="123">
        <v>10157138656</v>
      </c>
      <c r="D4154" s="126" t="s">
        <v>15083</v>
      </c>
      <c r="E4154" s="126" t="s">
        <v>15084</v>
      </c>
      <c r="F4154" s="123" t="s">
        <v>30</v>
      </c>
      <c r="G4154" s="123" t="s">
        <v>168</v>
      </c>
      <c r="H4154" s="123" t="s">
        <v>168</v>
      </c>
      <c r="I4154" s="126" t="s">
        <v>1930</v>
      </c>
      <c r="J4154" s="123" t="s">
        <v>15085</v>
      </c>
      <c r="K4154" s="123" t="s">
        <v>15083</v>
      </c>
      <c r="L4154" s="131" t="s">
        <v>100</v>
      </c>
      <c r="M4154" s="135" t="s">
        <v>845</v>
      </c>
      <c r="N4154" s="123" t="s">
        <v>845</v>
      </c>
    </row>
    <row r="4155" spans="2:14" hidden="1" x14ac:dyDescent="0.25">
      <c r="B4155" s="120">
        <v>4152</v>
      </c>
      <c r="C4155" s="123">
        <v>10437862741</v>
      </c>
      <c r="D4155" s="126" t="s">
        <v>15086</v>
      </c>
      <c r="E4155" s="126" t="s">
        <v>15087</v>
      </c>
      <c r="F4155" s="123" t="s">
        <v>67</v>
      </c>
      <c r="G4155" s="123" t="s">
        <v>67</v>
      </c>
      <c r="H4155" s="123" t="s">
        <v>94</v>
      </c>
      <c r="I4155" s="126" t="s">
        <v>1507</v>
      </c>
      <c r="J4155" s="123" t="s">
        <v>15088</v>
      </c>
      <c r="K4155" s="123" t="s">
        <v>15089</v>
      </c>
      <c r="L4155" s="131" t="s">
        <v>100</v>
      </c>
      <c r="M4155" s="135" t="s">
        <v>845</v>
      </c>
      <c r="N4155" s="123" t="s">
        <v>845</v>
      </c>
    </row>
    <row r="4156" spans="2:14" hidden="1" x14ac:dyDescent="0.25">
      <c r="B4156" s="120">
        <v>4153</v>
      </c>
      <c r="C4156" s="123">
        <v>10802905306</v>
      </c>
      <c r="D4156" s="126" t="s">
        <v>15090</v>
      </c>
      <c r="E4156" s="126" t="s">
        <v>15091</v>
      </c>
      <c r="F4156" s="123" t="s">
        <v>30</v>
      </c>
      <c r="G4156" s="123" t="s">
        <v>30</v>
      </c>
      <c r="H4156" s="123" t="s">
        <v>43</v>
      </c>
      <c r="I4156" s="126" t="s">
        <v>1701</v>
      </c>
      <c r="J4156" s="123" t="s">
        <v>15092</v>
      </c>
      <c r="K4156" s="123" t="s">
        <v>15090</v>
      </c>
      <c r="L4156" s="131" t="s">
        <v>100</v>
      </c>
      <c r="M4156" s="135" t="s">
        <v>845</v>
      </c>
      <c r="N4156" s="123" t="s">
        <v>845</v>
      </c>
    </row>
    <row r="4157" spans="2:14" hidden="1" x14ac:dyDescent="0.25">
      <c r="B4157" s="120">
        <v>4154</v>
      </c>
      <c r="C4157" s="123">
        <v>10744061364</v>
      </c>
      <c r="D4157" s="126" t="s">
        <v>15093</v>
      </c>
      <c r="E4157" s="126" t="s">
        <v>15094</v>
      </c>
      <c r="F4157" s="123" t="s">
        <v>30</v>
      </c>
      <c r="G4157" s="123" t="s">
        <v>30</v>
      </c>
      <c r="H4157" s="123" t="s">
        <v>72</v>
      </c>
      <c r="I4157" s="126" t="s">
        <v>9914</v>
      </c>
      <c r="J4157" s="123" t="s">
        <v>15095</v>
      </c>
      <c r="K4157" s="123" t="s">
        <v>15096</v>
      </c>
      <c r="L4157" s="131" t="s">
        <v>100</v>
      </c>
      <c r="M4157" s="135" t="s">
        <v>845</v>
      </c>
      <c r="N4157" s="123" t="s">
        <v>845</v>
      </c>
    </row>
    <row r="4158" spans="2:14" hidden="1" x14ac:dyDescent="0.25">
      <c r="B4158" s="120">
        <v>4155</v>
      </c>
      <c r="C4158" s="123">
        <v>10467962308</v>
      </c>
      <c r="D4158" s="126" t="s">
        <v>15097</v>
      </c>
      <c r="E4158" s="126" t="s">
        <v>15098</v>
      </c>
      <c r="F4158" s="123" t="s">
        <v>30</v>
      </c>
      <c r="G4158" s="123" t="s">
        <v>30</v>
      </c>
      <c r="H4158" s="123" t="s">
        <v>85</v>
      </c>
      <c r="I4158" s="126" t="s">
        <v>1737</v>
      </c>
      <c r="J4158" s="123" t="s">
        <v>15099</v>
      </c>
      <c r="K4158" s="123" t="s">
        <v>15097</v>
      </c>
      <c r="L4158" s="131" t="s">
        <v>100</v>
      </c>
      <c r="M4158" s="135" t="s">
        <v>845</v>
      </c>
      <c r="N4158" s="123" t="s">
        <v>845</v>
      </c>
    </row>
    <row r="4159" spans="2:14" hidden="1" x14ac:dyDescent="0.25">
      <c r="B4159" s="120">
        <v>4156</v>
      </c>
      <c r="C4159" s="123">
        <v>15609903900</v>
      </c>
      <c r="D4159" s="126" t="s">
        <v>15100</v>
      </c>
      <c r="E4159" s="126" t="s">
        <v>15101</v>
      </c>
      <c r="F4159" s="123" t="s">
        <v>30</v>
      </c>
      <c r="G4159" s="123" t="s">
        <v>30</v>
      </c>
      <c r="H4159" s="123" t="s">
        <v>45</v>
      </c>
      <c r="I4159" s="126" t="s">
        <v>1952</v>
      </c>
      <c r="J4159" s="123" t="s">
        <v>15102</v>
      </c>
      <c r="K4159" s="123" t="s">
        <v>15100</v>
      </c>
      <c r="L4159" s="131" t="s">
        <v>100</v>
      </c>
      <c r="M4159" s="135" t="s">
        <v>845</v>
      </c>
      <c r="N4159" s="123" t="s">
        <v>845</v>
      </c>
    </row>
    <row r="4160" spans="2:14" hidden="1" x14ac:dyDescent="0.25">
      <c r="B4160" s="120">
        <v>4157</v>
      </c>
      <c r="C4160" s="123">
        <v>10104089998</v>
      </c>
      <c r="D4160" s="126" t="s">
        <v>15103</v>
      </c>
      <c r="E4160" s="126" t="s">
        <v>15104</v>
      </c>
      <c r="F4160" s="123" t="s">
        <v>30</v>
      </c>
      <c r="G4160" s="123" t="s">
        <v>30</v>
      </c>
      <c r="H4160" s="123" t="s">
        <v>50</v>
      </c>
      <c r="I4160" s="126" t="s">
        <v>1701</v>
      </c>
      <c r="J4160" s="123" t="s">
        <v>15105</v>
      </c>
      <c r="K4160" s="123" t="s">
        <v>15103</v>
      </c>
      <c r="L4160" s="131" t="s">
        <v>100</v>
      </c>
      <c r="M4160" s="135" t="s">
        <v>845</v>
      </c>
      <c r="N4160" s="123" t="s">
        <v>845</v>
      </c>
    </row>
    <row r="4161" spans="2:14" hidden="1" x14ac:dyDescent="0.25">
      <c r="B4161" s="120">
        <v>4158</v>
      </c>
      <c r="C4161" s="123">
        <v>10725441121</v>
      </c>
      <c r="D4161" s="126" t="s">
        <v>15106</v>
      </c>
      <c r="E4161" s="126" t="s">
        <v>15107</v>
      </c>
      <c r="F4161" s="123" t="s">
        <v>67</v>
      </c>
      <c r="G4161" s="123" t="s">
        <v>67</v>
      </c>
      <c r="H4161" s="123" t="s">
        <v>94</v>
      </c>
      <c r="I4161" s="126" t="s">
        <v>1701</v>
      </c>
      <c r="J4161" s="123" t="s">
        <v>15108</v>
      </c>
      <c r="K4161" s="123" t="s">
        <v>15106</v>
      </c>
      <c r="L4161" s="131" t="s">
        <v>100</v>
      </c>
      <c r="M4161" s="135" t="s">
        <v>845</v>
      </c>
      <c r="N4161" s="123" t="s">
        <v>845</v>
      </c>
    </row>
    <row r="4162" spans="2:14" hidden="1" x14ac:dyDescent="0.25">
      <c r="B4162" s="120">
        <v>4159</v>
      </c>
      <c r="C4162" s="123">
        <v>10076441044</v>
      </c>
      <c r="D4162" s="126" t="s">
        <v>15109</v>
      </c>
      <c r="E4162" s="126" t="s">
        <v>15110</v>
      </c>
      <c r="F4162" s="123" t="s">
        <v>30</v>
      </c>
      <c r="G4162" s="123" t="s">
        <v>30</v>
      </c>
      <c r="H4162" s="123" t="s">
        <v>52</v>
      </c>
      <c r="I4162" s="126" t="s">
        <v>1424</v>
      </c>
      <c r="J4162" s="123" t="s">
        <v>15111</v>
      </c>
      <c r="K4162" s="123" t="s">
        <v>15109</v>
      </c>
      <c r="L4162" s="131" t="s">
        <v>100</v>
      </c>
      <c r="M4162" s="135" t="s">
        <v>845</v>
      </c>
      <c r="N4162" s="123" t="s">
        <v>845</v>
      </c>
    </row>
    <row r="4163" spans="2:14" hidden="1" x14ac:dyDescent="0.25">
      <c r="B4163" s="120">
        <v>4160</v>
      </c>
      <c r="C4163" s="123">
        <v>10154299900</v>
      </c>
      <c r="D4163" s="126" t="s">
        <v>15112</v>
      </c>
      <c r="E4163" s="126" t="s">
        <v>15113</v>
      </c>
      <c r="F4163" s="123" t="s">
        <v>30</v>
      </c>
      <c r="G4163" s="123" t="s">
        <v>31</v>
      </c>
      <c r="H4163" s="123" t="s">
        <v>139</v>
      </c>
      <c r="I4163" s="126" t="s">
        <v>1643</v>
      </c>
      <c r="J4163" s="123" t="s">
        <v>15114</v>
      </c>
      <c r="K4163" s="123" t="s">
        <v>15112</v>
      </c>
      <c r="L4163" s="131" t="s">
        <v>100</v>
      </c>
      <c r="M4163" s="135" t="s">
        <v>845</v>
      </c>
      <c r="N4163" s="123" t="s">
        <v>845</v>
      </c>
    </row>
    <row r="4164" spans="2:14" hidden="1" x14ac:dyDescent="0.25">
      <c r="B4164" s="120">
        <v>4161</v>
      </c>
      <c r="C4164" s="123">
        <v>10780107281</v>
      </c>
      <c r="D4164" s="126" t="s">
        <v>15115</v>
      </c>
      <c r="E4164" s="126" t="s">
        <v>15116</v>
      </c>
      <c r="F4164" s="123" t="s">
        <v>30</v>
      </c>
      <c r="G4164" s="123" t="s">
        <v>30</v>
      </c>
      <c r="H4164" s="123" t="s">
        <v>30</v>
      </c>
      <c r="I4164" s="126" t="s">
        <v>1951</v>
      </c>
      <c r="J4164" s="123" t="s">
        <v>15117</v>
      </c>
      <c r="K4164" s="123" t="s">
        <v>15115</v>
      </c>
      <c r="L4164" s="131" t="s">
        <v>100</v>
      </c>
      <c r="M4164" s="135" t="s">
        <v>845</v>
      </c>
      <c r="N4164" s="123" t="s">
        <v>845</v>
      </c>
    </row>
    <row r="4165" spans="2:14" hidden="1" x14ac:dyDescent="0.25">
      <c r="B4165" s="120">
        <v>4162</v>
      </c>
      <c r="C4165" s="123">
        <v>10444328385</v>
      </c>
      <c r="D4165" s="126" t="s">
        <v>15118</v>
      </c>
      <c r="E4165" s="126" t="s">
        <v>15119</v>
      </c>
      <c r="F4165" s="123" t="s">
        <v>30</v>
      </c>
      <c r="G4165" s="123" t="s">
        <v>30</v>
      </c>
      <c r="H4165" s="123" t="s">
        <v>52</v>
      </c>
      <c r="I4165" s="126" t="s">
        <v>1931</v>
      </c>
      <c r="J4165" s="123" t="s">
        <v>15120</v>
      </c>
      <c r="K4165" s="123" t="s">
        <v>15118</v>
      </c>
      <c r="L4165" s="131" t="s">
        <v>100</v>
      </c>
      <c r="M4165" s="135" t="s">
        <v>845</v>
      </c>
      <c r="N4165" s="123" t="s">
        <v>845</v>
      </c>
    </row>
    <row r="4166" spans="2:14" hidden="1" x14ac:dyDescent="0.25">
      <c r="B4166" s="120">
        <v>4163</v>
      </c>
      <c r="C4166" s="123">
        <v>10414392364</v>
      </c>
      <c r="D4166" s="126" t="s">
        <v>15121</v>
      </c>
      <c r="E4166" s="126" t="s">
        <v>15122</v>
      </c>
      <c r="F4166" s="123" t="s">
        <v>30</v>
      </c>
      <c r="G4166" s="123" t="s">
        <v>30</v>
      </c>
      <c r="H4166" s="123" t="s">
        <v>50</v>
      </c>
      <c r="I4166" s="126" t="s">
        <v>1398</v>
      </c>
      <c r="J4166" s="123" t="s">
        <v>15123</v>
      </c>
      <c r="K4166" s="123" t="s">
        <v>15124</v>
      </c>
      <c r="L4166" s="131" t="s">
        <v>100</v>
      </c>
      <c r="M4166" s="135" t="s">
        <v>845</v>
      </c>
      <c r="N4166" s="123" t="s">
        <v>845</v>
      </c>
    </row>
    <row r="4167" spans="2:14" hidden="1" x14ac:dyDescent="0.25">
      <c r="B4167" s="120">
        <v>4164</v>
      </c>
      <c r="C4167" s="123">
        <v>10400413458</v>
      </c>
      <c r="D4167" s="126" t="s">
        <v>15125</v>
      </c>
      <c r="E4167" s="126" t="s">
        <v>15126</v>
      </c>
      <c r="F4167" s="123" t="s">
        <v>30</v>
      </c>
      <c r="G4167" s="123" t="s">
        <v>30</v>
      </c>
      <c r="H4167" s="123" t="s">
        <v>135</v>
      </c>
      <c r="I4167" s="126" t="s">
        <v>1737</v>
      </c>
      <c r="J4167" s="123" t="s">
        <v>15127</v>
      </c>
      <c r="K4167" s="123" t="s">
        <v>15125</v>
      </c>
      <c r="L4167" s="131" t="s">
        <v>100</v>
      </c>
      <c r="M4167" s="135" t="s">
        <v>845</v>
      </c>
      <c r="N4167" s="123" t="s">
        <v>845</v>
      </c>
    </row>
    <row r="4168" spans="2:14" hidden="1" x14ac:dyDescent="0.25">
      <c r="B4168" s="120">
        <v>4165</v>
      </c>
      <c r="C4168" s="123">
        <v>10413983539</v>
      </c>
      <c r="D4168" s="126" t="s">
        <v>15128</v>
      </c>
      <c r="E4168" s="126" t="s">
        <v>15129</v>
      </c>
      <c r="F4168" s="123" t="s">
        <v>30</v>
      </c>
      <c r="G4168" s="123" t="s">
        <v>30</v>
      </c>
      <c r="H4168" s="123" t="s">
        <v>88</v>
      </c>
      <c r="I4168" s="126" t="s">
        <v>10025</v>
      </c>
      <c r="J4168" s="123" t="s">
        <v>15130</v>
      </c>
      <c r="K4168" s="123" t="s">
        <v>15128</v>
      </c>
      <c r="L4168" s="131" t="s">
        <v>100</v>
      </c>
      <c r="M4168" s="135" t="s">
        <v>845</v>
      </c>
      <c r="N4168" s="123" t="s">
        <v>845</v>
      </c>
    </row>
    <row r="4169" spans="2:14" hidden="1" x14ac:dyDescent="0.25">
      <c r="B4169" s="120">
        <v>4166</v>
      </c>
      <c r="C4169" s="123">
        <v>10426169784</v>
      </c>
      <c r="D4169" s="126" t="s">
        <v>15131</v>
      </c>
      <c r="E4169" s="126" t="s">
        <v>15132</v>
      </c>
      <c r="F4169" s="123" t="s">
        <v>30</v>
      </c>
      <c r="G4169" s="123" t="s">
        <v>30</v>
      </c>
      <c r="H4169" s="123" t="s">
        <v>50</v>
      </c>
      <c r="I4169" s="126" t="s">
        <v>8825</v>
      </c>
      <c r="J4169" s="123" t="s">
        <v>15133</v>
      </c>
      <c r="K4169" s="123" t="s">
        <v>15134</v>
      </c>
      <c r="L4169" s="131" t="s">
        <v>100</v>
      </c>
      <c r="M4169" s="135" t="s">
        <v>845</v>
      </c>
      <c r="N4169" s="123" t="s">
        <v>845</v>
      </c>
    </row>
    <row r="4170" spans="2:14" hidden="1" x14ac:dyDescent="0.25">
      <c r="B4170" s="120">
        <v>4167</v>
      </c>
      <c r="C4170" s="123">
        <v>10429596691</v>
      </c>
      <c r="D4170" s="126" t="s">
        <v>15135</v>
      </c>
      <c r="E4170" s="126" t="s">
        <v>15136</v>
      </c>
      <c r="F4170" s="123" t="s">
        <v>30</v>
      </c>
      <c r="G4170" s="123" t="s">
        <v>31</v>
      </c>
      <c r="H4170" s="123" t="s">
        <v>145</v>
      </c>
      <c r="I4170" s="126" t="s">
        <v>1706</v>
      </c>
      <c r="J4170" s="123" t="s">
        <v>15137</v>
      </c>
      <c r="K4170" s="123" t="s">
        <v>15135</v>
      </c>
      <c r="L4170" s="131" t="s">
        <v>100</v>
      </c>
      <c r="M4170" s="135" t="s">
        <v>845</v>
      </c>
      <c r="N4170" s="123" t="s">
        <v>845</v>
      </c>
    </row>
    <row r="4171" spans="2:14" hidden="1" x14ac:dyDescent="0.25">
      <c r="B4171" s="120">
        <v>4168</v>
      </c>
      <c r="C4171" s="123">
        <v>10438858658</v>
      </c>
      <c r="D4171" s="126" t="s">
        <v>15138</v>
      </c>
      <c r="E4171" s="126" t="s">
        <v>15139</v>
      </c>
      <c r="F4171" s="123" t="s">
        <v>30</v>
      </c>
      <c r="G4171" s="123" t="s">
        <v>30</v>
      </c>
      <c r="H4171" s="123" t="s">
        <v>51</v>
      </c>
      <c r="I4171" s="126" t="s">
        <v>8884</v>
      </c>
      <c r="J4171" s="123" t="s">
        <v>15140</v>
      </c>
      <c r="K4171" s="123" t="s">
        <v>15141</v>
      </c>
      <c r="L4171" s="131" t="s">
        <v>100</v>
      </c>
      <c r="M4171" s="135" t="s">
        <v>845</v>
      </c>
      <c r="N4171" s="123" t="s">
        <v>845</v>
      </c>
    </row>
    <row r="4172" spans="2:14" hidden="1" x14ac:dyDescent="0.25">
      <c r="B4172" s="120">
        <v>4169</v>
      </c>
      <c r="C4172" s="123">
        <v>10455897195</v>
      </c>
      <c r="D4172" s="126" t="s">
        <v>15142</v>
      </c>
      <c r="E4172" s="126" t="s">
        <v>15143</v>
      </c>
      <c r="F4172" s="123" t="s">
        <v>99</v>
      </c>
      <c r="G4172" s="123" t="s">
        <v>99</v>
      </c>
      <c r="H4172" s="123" t="s">
        <v>99</v>
      </c>
      <c r="I4172" s="126" t="s">
        <v>1930</v>
      </c>
      <c r="J4172" s="123" t="s">
        <v>15144</v>
      </c>
      <c r="K4172" s="123" t="s">
        <v>15145</v>
      </c>
      <c r="L4172" s="131" t="s">
        <v>100</v>
      </c>
      <c r="M4172" s="135" t="s">
        <v>845</v>
      </c>
      <c r="N4172" s="123" t="s">
        <v>845</v>
      </c>
    </row>
    <row r="4173" spans="2:14" hidden="1" x14ac:dyDescent="0.25">
      <c r="B4173" s="120">
        <v>4170</v>
      </c>
      <c r="C4173" s="123">
        <v>10429772392</v>
      </c>
      <c r="D4173" s="126" t="s">
        <v>15146</v>
      </c>
      <c r="E4173" s="126" t="s">
        <v>15147</v>
      </c>
      <c r="F4173" s="123" t="s">
        <v>30</v>
      </c>
      <c r="G4173" s="123" t="s">
        <v>170</v>
      </c>
      <c r="H4173" s="123" t="s">
        <v>179</v>
      </c>
      <c r="I4173" s="126" t="s">
        <v>8825</v>
      </c>
      <c r="J4173" s="123" t="s">
        <v>15148</v>
      </c>
      <c r="K4173" s="123" t="s">
        <v>15146</v>
      </c>
      <c r="L4173" s="131" t="s">
        <v>100</v>
      </c>
      <c r="M4173" s="135" t="s">
        <v>845</v>
      </c>
      <c r="N4173" s="123" t="s">
        <v>845</v>
      </c>
    </row>
    <row r="4174" spans="2:14" hidden="1" x14ac:dyDescent="0.25">
      <c r="B4174" s="120">
        <v>4171</v>
      </c>
      <c r="C4174" s="123">
        <v>10470820972</v>
      </c>
      <c r="D4174" s="126" t="s">
        <v>15149</v>
      </c>
      <c r="E4174" s="126" t="s">
        <v>15150</v>
      </c>
      <c r="F4174" s="123" t="s">
        <v>30</v>
      </c>
      <c r="G4174" s="123" t="s">
        <v>54</v>
      </c>
      <c r="H4174" s="123" t="s">
        <v>54</v>
      </c>
      <c r="I4174" s="126" t="s">
        <v>1701</v>
      </c>
      <c r="J4174" s="123" t="s">
        <v>15151</v>
      </c>
      <c r="K4174" s="123" t="s">
        <v>15149</v>
      </c>
      <c r="L4174" s="131" t="s">
        <v>100</v>
      </c>
      <c r="M4174" s="135" t="s">
        <v>845</v>
      </c>
      <c r="N4174" s="123" t="s">
        <v>845</v>
      </c>
    </row>
    <row r="4175" spans="2:14" hidden="1" x14ac:dyDescent="0.25">
      <c r="B4175" s="120">
        <v>4172</v>
      </c>
      <c r="C4175" s="123">
        <v>10154360099</v>
      </c>
      <c r="D4175" s="126" t="s">
        <v>15152</v>
      </c>
      <c r="E4175" s="126" t="s">
        <v>15153</v>
      </c>
      <c r="F4175" s="123" t="s">
        <v>30</v>
      </c>
      <c r="G4175" s="123" t="s">
        <v>31</v>
      </c>
      <c r="H4175" s="123" t="s">
        <v>65</v>
      </c>
      <c r="I4175" s="126" t="s">
        <v>1706</v>
      </c>
      <c r="J4175" s="123" t="s">
        <v>15154</v>
      </c>
      <c r="K4175" s="123" t="s">
        <v>15152</v>
      </c>
      <c r="L4175" s="131" t="s">
        <v>100</v>
      </c>
      <c r="M4175" s="135" t="s">
        <v>845</v>
      </c>
      <c r="N4175" s="123" t="s">
        <v>845</v>
      </c>
    </row>
    <row r="4176" spans="2:14" hidden="1" x14ac:dyDescent="0.25">
      <c r="B4176" s="120">
        <v>4173</v>
      </c>
      <c r="C4176" s="123">
        <v>10413790552</v>
      </c>
      <c r="D4176" s="126" t="s">
        <v>15155</v>
      </c>
      <c r="E4176" s="126" t="s">
        <v>15156</v>
      </c>
      <c r="F4176" s="123" t="s">
        <v>30</v>
      </c>
      <c r="G4176" s="123" t="s">
        <v>30</v>
      </c>
      <c r="H4176" s="123" t="s">
        <v>75</v>
      </c>
      <c r="I4176" s="126" t="s">
        <v>1931</v>
      </c>
      <c r="J4176" s="123" t="s">
        <v>15157</v>
      </c>
      <c r="K4176" s="123" t="s">
        <v>15155</v>
      </c>
      <c r="L4176" s="131" t="s">
        <v>100</v>
      </c>
      <c r="M4176" s="135" t="s">
        <v>845</v>
      </c>
      <c r="N4176" s="123" t="s">
        <v>845</v>
      </c>
    </row>
    <row r="4177" spans="2:14" hidden="1" x14ac:dyDescent="0.25">
      <c r="B4177" s="120">
        <v>4174</v>
      </c>
      <c r="C4177" s="123">
        <v>10470399436</v>
      </c>
      <c r="D4177" s="126" t="s">
        <v>15158</v>
      </c>
      <c r="E4177" s="126" t="s">
        <v>15159</v>
      </c>
      <c r="F4177" s="123" t="s">
        <v>30</v>
      </c>
      <c r="G4177" s="123" t="s">
        <v>30</v>
      </c>
      <c r="H4177" s="123" t="s">
        <v>51</v>
      </c>
      <c r="I4177" s="126" t="s">
        <v>1932</v>
      </c>
      <c r="J4177" s="123" t="s">
        <v>15160</v>
      </c>
      <c r="K4177" s="123" t="s">
        <v>15158</v>
      </c>
      <c r="L4177" s="131" t="s">
        <v>100</v>
      </c>
      <c r="M4177" s="135" t="s">
        <v>845</v>
      </c>
      <c r="N4177" s="123" t="s">
        <v>845</v>
      </c>
    </row>
    <row r="4178" spans="2:14" hidden="1" x14ac:dyDescent="0.25">
      <c r="B4178" s="120">
        <v>4175</v>
      </c>
      <c r="C4178" s="123">
        <v>10417855357</v>
      </c>
      <c r="D4178" s="126" t="s">
        <v>15161</v>
      </c>
      <c r="E4178" s="126" t="s">
        <v>15162</v>
      </c>
      <c r="F4178" s="123" t="s">
        <v>67</v>
      </c>
      <c r="G4178" s="123" t="s">
        <v>67</v>
      </c>
      <c r="H4178" s="123" t="s">
        <v>67</v>
      </c>
      <c r="I4178" s="126" t="s">
        <v>1701</v>
      </c>
      <c r="J4178" s="123" t="s">
        <v>15163</v>
      </c>
      <c r="K4178" s="123" t="s">
        <v>15161</v>
      </c>
      <c r="L4178" s="131" t="s">
        <v>100</v>
      </c>
      <c r="M4178" s="135" t="s">
        <v>845</v>
      </c>
      <c r="N4178" s="123" t="s">
        <v>845</v>
      </c>
    </row>
    <row r="4179" spans="2:14" hidden="1" x14ac:dyDescent="0.25">
      <c r="B4179" s="120">
        <v>4176</v>
      </c>
      <c r="C4179" s="123">
        <v>10257240458</v>
      </c>
      <c r="D4179" s="126" t="s">
        <v>15164</v>
      </c>
      <c r="E4179" s="126" t="s">
        <v>15165</v>
      </c>
      <c r="F4179" s="123" t="s">
        <v>67</v>
      </c>
      <c r="G4179" s="123" t="s">
        <v>67</v>
      </c>
      <c r="H4179" s="123" t="s">
        <v>94</v>
      </c>
      <c r="I4179" s="126" t="s">
        <v>1952</v>
      </c>
      <c r="J4179" s="123" t="s">
        <v>15166</v>
      </c>
      <c r="K4179" s="123" t="s">
        <v>15167</v>
      </c>
      <c r="L4179" s="131" t="s">
        <v>100</v>
      </c>
      <c r="M4179" s="135" t="s">
        <v>845</v>
      </c>
      <c r="N4179" s="123" t="s">
        <v>845</v>
      </c>
    </row>
    <row r="4180" spans="2:14" hidden="1" x14ac:dyDescent="0.25">
      <c r="B4180" s="120">
        <v>4177</v>
      </c>
      <c r="C4180" s="123">
        <v>10157260281</v>
      </c>
      <c r="D4180" s="126" t="s">
        <v>15168</v>
      </c>
      <c r="E4180" s="126" t="s">
        <v>15169</v>
      </c>
      <c r="F4180" s="123" t="s">
        <v>30</v>
      </c>
      <c r="G4180" s="123" t="s">
        <v>170</v>
      </c>
      <c r="H4180" s="123" t="s">
        <v>171</v>
      </c>
      <c r="I4180" s="126" t="s">
        <v>1398</v>
      </c>
      <c r="J4180" s="123" t="s">
        <v>15170</v>
      </c>
      <c r="K4180" s="123" t="s">
        <v>15168</v>
      </c>
      <c r="L4180" s="131" t="s">
        <v>100</v>
      </c>
      <c r="M4180" s="135" t="s">
        <v>845</v>
      </c>
      <c r="N4180" s="123" t="s">
        <v>845</v>
      </c>
    </row>
    <row r="4181" spans="2:14" hidden="1" x14ac:dyDescent="0.25">
      <c r="B4181" s="120">
        <v>4178</v>
      </c>
      <c r="C4181" s="123">
        <v>10089412248</v>
      </c>
      <c r="D4181" s="126" t="s">
        <v>15171</v>
      </c>
      <c r="E4181" s="126" t="s">
        <v>15172</v>
      </c>
      <c r="F4181" s="123" t="s">
        <v>30</v>
      </c>
      <c r="G4181" s="123" t="s">
        <v>30</v>
      </c>
      <c r="H4181" s="123" t="s">
        <v>37</v>
      </c>
      <c r="I4181" s="126" t="s">
        <v>1931</v>
      </c>
      <c r="J4181" s="123" t="s">
        <v>15173</v>
      </c>
      <c r="K4181" s="123" t="s">
        <v>15171</v>
      </c>
      <c r="L4181" s="131" t="s">
        <v>100</v>
      </c>
      <c r="M4181" s="135" t="s">
        <v>845</v>
      </c>
      <c r="N4181" s="123" t="s">
        <v>845</v>
      </c>
    </row>
    <row r="4182" spans="2:14" hidden="1" x14ac:dyDescent="0.25">
      <c r="B4182" s="120">
        <v>4179</v>
      </c>
      <c r="C4182" s="123">
        <v>10067649571</v>
      </c>
      <c r="D4182" s="126" t="s">
        <v>15174</v>
      </c>
      <c r="E4182" s="126" t="s">
        <v>15175</v>
      </c>
      <c r="F4182" s="123" t="s">
        <v>30</v>
      </c>
      <c r="G4182" s="123" t="s">
        <v>30</v>
      </c>
      <c r="H4182" s="123" t="s">
        <v>110</v>
      </c>
      <c r="I4182" s="126" t="s">
        <v>1949</v>
      </c>
      <c r="J4182" s="123" t="s">
        <v>15176</v>
      </c>
      <c r="K4182" s="123" t="s">
        <v>15177</v>
      </c>
      <c r="L4182" s="131" t="s">
        <v>100</v>
      </c>
      <c r="M4182" s="135" t="s">
        <v>845</v>
      </c>
      <c r="N4182" s="123" t="s">
        <v>845</v>
      </c>
    </row>
    <row r="4183" spans="2:14" hidden="1" x14ac:dyDescent="0.25">
      <c r="B4183" s="120">
        <v>4180</v>
      </c>
      <c r="C4183" s="123">
        <v>10446454035</v>
      </c>
      <c r="D4183" s="126" t="s">
        <v>15178</v>
      </c>
      <c r="E4183" s="126" t="s">
        <v>15179</v>
      </c>
      <c r="F4183" s="123" t="s">
        <v>30</v>
      </c>
      <c r="G4183" s="123" t="s">
        <v>31</v>
      </c>
      <c r="H4183" s="123" t="s">
        <v>139</v>
      </c>
      <c r="I4183" s="126" t="s">
        <v>1424</v>
      </c>
      <c r="J4183" s="123" t="s">
        <v>15180</v>
      </c>
      <c r="K4183" s="123" t="s">
        <v>15178</v>
      </c>
      <c r="L4183" s="131" t="s">
        <v>100</v>
      </c>
      <c r="M4183" s="135" t="s">
        <v>845</v>
      </c>
      <c r="N4183" s="123" t="s">
        <v>845</v>
      </c>
    </row>
    <row r="4184" spans="2:14" hidden="1" x14ac:dyDescent="0.25">
      <c r="B4184" s="120">
        <v>4181</v>
      </c>
      <c r="C4184" s="123">
        <v>10086299173</v>
      </c>
      <c r="D4184" s="126" t="s">
        <v>15181</v>
      </c>
      <c r="E4184" s="126" t="s">
        <v>15182</v>
      </c>
      <c r="F4184" s="123" t="s">
        <v>30</v>
      </c>
      <c r="G4184" s="123" t="s">
        <v>30</v>
      </c>
      <c r="H4184" s="123" t="s">
        <v>45</v>
      </c>
      <c r="I4184" s="126" t="s">
        <v>1706</v>
      </c>
      <c r="J4184" s="123" t="s">
        <v>15183</v>
      </c>
      <c r="K4184" s="123" t="s">
        <v>15181</v>
      </c>
      <c r="L4184" s="131" t="s">
        <v>100</v>
      </c>
      <c r="M4184" s="135" t="s">
        <v>845</v>
      </c>
      <c r="N4184" s="123" t="s">
        <v>845</v>
      </c>
    </row>
    <row r="4185" spans="2:14" hidden="1" x14ac:dyDescent="0.25">
      <c r="B4185" s="120">
        <v>4182</v>
      </c>
      <c r="C4185" s="123">
        <v>10436099806</v>
      </c>
      <c r="D4185" s="126" t="s">
        <v>15184</v>
      </c>
      <c r="E4185" s="126" t="s">
        <v>15185</v>
      </c>
      <c r="F4185" s="123" t="s">
        <v>30</v>
      </c>
      <c r="G4185" s="123" t="s">
        <v>48</v>
      </c>
      <c r="H4185" s="123" t="s">
        <v>195</v>
      </c>
      <c r="I4185" s="126" t="s">
        <v>8825</v>
      </c>
      <c r="J4185" s="123" t="s">
        <v>15186</v>
      </c>
      <c r="K4185" s="123" t="s">
        <v>15184</v>
      </c>
      <c r="L4185" s="131" t="s">
        <v>100</v>
      </c>
      <c r="M4185" s="135" t="s">
        <v>845</v>
      </c>
      <c r="N4185" s="123" t="s">
        <v>845</v>
      </c>
    </row>
    <row r="4186" spans="2:14" hidden="1" x14ac:dyDescent="0.25">
      <c r="B4186" s="120">
        <v>4183</v>
      </c>
      <c r="C4186" s="123">
        <v>10156210892</v>
      </c>
      <c r="D4186" s="126" t="s">
        <v>15187</v>
      </c>
      <c r="E4186" s="126" t="s">
        <v>15188</v>
      </c>
      <c r="F4186" s="123" t="s">
        <v>30</v>
      </c>
      <c r="G4186" s="123" t="s">
        <v>168</v>
      </c>
      <c r="H4186" s="123" t="s">
        <v>168</v>
      </c>
      <c r="I4186" s="126" t="s">
        <v>1701</v>
      </c>
      <c r="J4186" s="123" t="s">
        <v>15189</v>
      </c>
      <c r="K4186" s="123" t="s">
        <v>15187</v>
      </c>
      <c r="L4186" s="131" t="s">
        <v>100</v>
      </c>
      <c r="M4186" s="135" t="s">
        <v>845</v>
      </c>
      <c r="N4186" s="123" t="s">
        <v>845</v>
      </c>
    </row>
    <row r="4187" spans="2:14" hidden="1" x14ac:dyDescent="0.25">
      <c r="B4187" s="120">
        <v>4184</v>
      </c>
      <c r="C4187" s="123">
        <v>10156210884</v>
      </c>
      <c r="D4187" s="126" t="s">
        <v>15190</v>
      </c>
      <c r="E4187" s="126" t="s">
        <v>15191</v>
      </c>
      <c r="F4187" s="123" t="s">
        <v>30</v>
      </c>
      <c r="G4187" s="123" t="s">
        <v>168</v>
      </c>
      <c r="H4187" s="123" t="s">
        <v>168</v>
      </c>
      <c r="I4187" s="126" t="s">
        <v>1701</v>
      </c>
      <c r="J4187" s="123" t="s">
        <v>15192</v>
      </c>
      <c r="K4187" s="123" t="s">
        <v>15190</v>
      </c>
      <c r="L4187" s="131" t="s">
        <v>100</v>
      </c>
      <c r="M4187" s="135" t="s">
        <v>845</v>
      </c>
      <c r="N4187" s="123" t="s">
        <v>845</v>
      </c>
    </row>
    <row r="4188" spans="2:14" hidden="1" x14ac:dyDescent="0.25">
      <c r="B4188" s="120">
        <v>4185</v>
      </c>
      <c r="C4188" s="123">
        <v>10404267189</v>
      </c>
      <c r="D4188" s="126" t="s">
        <v>15193</v>
      </c>
      <c r="E4188" s="126" t="s">
        <v>15194</v>
      </c>
      <c r="F4188" s="123" t="s">
        <v>30</v>
      </c>
      <c r="G4188" s="123" t="s">
        <v>30</v>
      </c>
      <c r="H4188" s="123" t="s">
        <v>37</v>
      </c>
      <c r="I4188" s="126" t="s">
        <v>8743</v>
      </c>
      <c r="J4188" s="123" t="s">
        <v>15195</v>
      </c>
      <c r="K4188" s="123" t="s">
        <v>15193</v>
      </c>
      <c r="L4188" s="131" t="s">
        <v>100</v>
      </c>
      <c r="M4188" s="135" t="s">
        <v>845</v>
      </c>
      <c r="N4188" s="123" t="s">
        <v>845</v>
      </c>
    </row>
    <row r="4189" spans="2:14" hidden="1" x14ac:dyDescent="0.25">
      <c r="B4189" s="120">
        <v>4186</v>
      </c>
      <c r="C4189" s="123">
        <v>10422895154</v>
      </c>
      <c r="D4189" s="126" t="s">
        <v>15196</v>
      </c>
      <c r="E4189" s="126" t="s">
        <v>15197</v>
      </c>
      <c r="F4189" s="123" t="s">
        <v>30</v>
      </c>
      <c r="G4189" s="123" t="s">
        <v>30</v>
      </c>
      <c r="H4189" s="123" t="s">
        <v>38</v>
      </c>
      <c r="I4189" s="126" t="s">
        <v>1424</v>
      </c>
      <c r="J4189" s="123" t="s">
        <v>15198</v>
      </c>
      <c r="K4189" s="123" t="s">
        <v>15199</v>
      </c>
      <c r="L4189" s="131" t="s">
        <v>100</v>
      </c>
      <c r="M4189" s="135" t="s">
        <v>845</v>
      </c>
      <c r="N4189" s="123" t="s">
        <v>845</v>
      </c>
    </row>
    <row r="4190" spans="2:14" hidden="1" x14ac:dyDescent="0.25">
      <c r="B4190" s="120">
        <v>4187</v>
      </c>
      <c r="C4190" s="123">
        <v>10311805750</v>
      </c>
      <c r="D4190" s="126" t="s">
        <v>15200</v>
      </c>
      <c r="E4190" s="126" t="s">
        <v>15201</v>
      </c>
      <c r="F4190" s="123" t="s">
        <v>15202</v>
      </c>
      <c r="G4190" s="123" t="s">
        <v>15203</v>
      </c>
      <c r="H4190" s="123" t="s">
        <v>15203</v>
      </c>
      <c r="I4190" s="126" t="s">
        <v>12735</v>
      </c>
      <c r="J4190" s="123" t="s">
        <v>15204</v>
      </c>
      <c r="K4190" s="123" t="s">
        <v>15200</v>
      </c>
      <c r="L4190" s="131" t="s">
        <v>100</v>
      </c>
      <c r="M4190" s="135" t="s">
        <v>845</v>
      </c>
      <c r="N4190" s="123" t="s">
        <v>845</v>
      </c>
    </row>
    <row r="4191" spans="2:14" hidden="1" x14ac:dyDescent="0.25">
      <c r="B4191" s="120">
        <v>4188</v>
      </c>
      <c r="C4191" s="123">
        <v>10427541849</v>
      </c>
      <c r="D4191" s="126" t="s">
        <v>15205</v>
      </c>
      <c r="E4191" s="126" t="s">
        <v>15206</v>
      </c>
      <c r="F4191" s="123" t="s">
        <v>30</v>
      </c>
      <c r="G4191" s="123" t="s">
        <v>30</v>
      </c>
      <c r="H4191" s="123" t="s">
        <v>30</v>
      </c>
      <c r="I4191" s="126" t="s">
        <v>6746</v>
      </c>
      <c r="J4191" s="123" t="s">
        <v>15207</v>
      </c>
      <c r="K4191" s="123" t="s">
        <v>15205</v>
      </c>
      <c r="L4191" s="131" t="s">
        <v>100</v>
      </c>
      <c r="M4191" s="135" t="s">
        <v>845</v>
      </c>
      <c r="N4191" s="123" t="s">
        <v>845</v>
      </c>
    </row>
    <row r="4192" spans="2:14" hidden="1" x14ac:dyDescent="0.25">
      <c r="B4192" s="120">
        <v>4189</v>
      </c>
      <c r="C4192" s="123">
        <v>10103025937</v>
      </c>
      <c r="D4192" s="126" t="s">
        <v>15208</v>
      </c>
      <c r="E4192" s="126" t="s">
        <v>15209</v>
      </c>
      <c r="F4192" s="123" t="s">
        <v>30</v>
      </c>
      <c r="G4192" s="123" t="s">
        <v>30</v>
      </c>
      <c r="H4192" s="123" t="s">
        <v>35</v>
      </c>
      <c r="I4192" s="126" t="s">
        <v>1365</v>
      </c>
      <c r="J4192" s="123" t="s">
        <v>15210</v>
      </c>
      <c r="K4192" s="123" t="s">
        <v>15211</v>
      </c>
      <c r="L4192" s="131" t="s">
        <v>100</v>
      </c>
      <c r="M4192" s="135" t="s">
        <v>845</v>
      </c>
      <c r="N4192" s="123" t="s">
        <v>845</v>
      </c>
    </row>
    <row r="4193" spans="2:14" hidden="1" x14ac:dyDescent="0.25">
      <c r="B4193" s="120">
        <v>4190</v>
      </c>
      <c r="C4193" s="123">
        <v>10707958451</v>
      </c>
      <c r="D4193" s="126" t="s">
        <v>15212</v>
      </c>
      <c r="E4193" s="126" t="s">
        <v>15213</v>
      </c>
      <c r="F4193" s="123" t="s">
        <v>30</v>
      </c>
      <c r="G4193" s="123" t="s">
        <v>30</v>
      </c>
      <c r="H4193" s="123" t="s">
        <v>30</v>
      </c>
      <c r="I4193" s="126" t="s">
        <v>1952</v>
      </c>
      <c r="J4193" s="123" t="s">
        <v>15214</v>
      </c>
      <c r="K4193" s="123" t="s">
        <v>15215</v>
      </c>
      <c r="L4193" s="131" t="s">
        <v>100</v>
      </c>
      <c r="M4193" s="135" t="s">
        <v>845</v>
      </c>
      <c r="N4193" s="123" t="s">
        <v>845</v>
      </c>
    </row>
    <row r="4194" spans="2:14" hidden="1" x14ac:dyDescent="0.25">
      <c r="B4194" s="120">
        <v>4191</v>
      </c>
      <c r="C4194" s="123">
        <v>10409353466</v>
      </c>
      <c r="D4194" s="126" t="s">
        <v>15216</v>
      </c>
      <c r="E4194" s="126" t="s">
        <v>15217</v>
      </c>
      <c r="F4194" s="123" t="s">
        <v>67</v>
      </c>
      <c r="G4194" s="123" t="s">
        <v>67</v>
      </c>
      <c r="H4194" s="123" t="s">
        <v>94</v>
      </c>
      <c r="I4194" s="126" t="s">
        <v>1209</v>
      </c>
      <c r="J4194" s="123" t="s">
        <v>15218</v>
      </c>
      <c r="K4194" s="123" t="s">
        <v>15216</v>
      </c>
      <c r="L4194" s="131" t="s">
        <v>100</v>
      </c>
      <c r="M4194" s="135" t="s">
        <v>845</v>
      </c>
      <c r="N4194" s="123" t="s">
        <v>845</v>
      </c>
    </row>
    <row r="4195" spans="2:14" hidden="1" x14ac:dyDescent="0.25">
      <c r="B4195" s="120">
        <v>4192</v>
      </c>
      <c r="C4195" s="123">
        <v>10425944776</v>
      </c>
      <c r="D4195" s="126" t="s">
        <v>15219</v>
      </c>
      <c r="E4195" s="126" t="s">
        <v>15220</v>
      </c>
      <c r="F4195" s="123" t="s">
        <v>30</v>
      </c>
      <c r="G4195" s="123" t="s">
        <v>30</v>
      </c>
      <c r="H4195" s="123" t="s">
        <v>58</v>
      </c>
      <c r="I4195" s="126" t="s">
        <v>1564</v>
      </c>
      <c r="J4195" s="123" t="s">
        <v>15221</v>
      </c>
      <c r="K4195" s="123" t="s">
        <v>15219</v>
      </c>
      <c r="L4195" s="131" t="s">
        <v>100</v>
      </c>
      <c r="M4195" s="135" t="s">
        <v>845</v>
      </c>
      <c r="N4195" s="123" t="s">
        <v>845</v>
      </c>
    </row>
    <row r="4196" spans="2:14" hidden="1" x14ac:dyDescent="0.25">
      <c r="B4196" s="120">
        <v>4193</v>
      </c>
      <c r="C4196" s="123">
        <v>10401339201</v>
      </c>
      <c r="D4196" s="126" t="s">
        <v>15222</v>
      </c>
      <c r="E4196" s="126" t="s">
        <v>15223</v>
      </c>
      <c r="F4196" s="123" t="s">
        <v>30</v>
      </c>
      <c r="G4196" s="123" t="s">
        <v>54</v>
      </c>
      <c r="H4196" s="123" t="s">
        <v>117</v>
      </c>
      <c r="I4196" s="126" t="s">
        <v>8743</v>
      </c>
      <c r="J4196" s="123" t="s">
        <v>15224</v>
      </c>
      <c r="K4196" s="123" t="s">
        <v>15222</v>
      </c>
      <c r="L4196" s="131" t="s">
        <v>100</v>
      </c>
      <c r="M4196" s="135" t="s">
        <v>845</v>
      </c>
      <c r="N4196" s="123" t="s">
        <v>845</v>
      </c>
    </row>
    <row r="4197" spans="2:14" hidden="1" x14ac:dyDescent="0.25">
      <c r="B4197" s="120">
        <v>4194</v>
      </c>
      <c r="C4197" s="123">
        <v>10722228893</v>
      </c>
      <c r="D4197" s="126" t="s">
        <v>15225</v>
      </c>
      <c r="E4197" s="126" t="s">
        <v>15226</v>
      </c>
      <c r="F4197" s="123" t="s">
        <v>30</v>
      </c>
      <c r="G4197" s="123" t="s">
        <v>170</v>
      </c>
      <c r="H4197" s="123" t="s">
        <v>171</v>
      </c>
      <c r="I4197" s="126" t="s">
        <v>14573</v>
      </c>
      <c r="J4197" s="123" t="s">
        <v>15227</v>
      </c>
      <c r="K4197" s="123" t="s">
        <v>15225</v>
      </c>
      <c r="L4197" s="131" t="s">
        <v>100</v>
      </c>
      <c r="M4197" s="135" t="s">
        <v>845</v>
      </c>
      <c r="N4197" s="123" t="s">
        <v>845</v>
      </c>
    </row>
    <row r="4198" spans="2:14" hidden="1" x14ac:dyDescent="0.25">
      <c r="B4198" s="120">
        <v>4195</v>
      </c>
      <c r="C4198" s="123">
        <v>10438641977</v>
      </c>
      <c r="D4198" s="126" t="s">
        <v>15228</v>
      </c>
      <c r="E4198" s="126" t="s">
        <v>15229</v>
      </c>
      <c r="F4198" s="123" t="s">
        <v>67</v>
      </c>
      <c r="G4198" s="123" t="s">
        <v>67</v>
      </c>
      <c r="H4198" s="123" t="s">
        <v>81</v>
      </c>
      <c r="I4198" s="126" t="s">
        <v>1655</v>
      </c>
      <c r="J4198" s="123" t="s">
        <v>15230</v>
      </c>
      <c r="K4198" s="123" t="s">
        <v>15228</v>
      </c>
      <c r="L4198" s="131" t="s">
        <v>100</v>
      </c>
      <c r="M4198" s="135" t="s">
        <v>845</v>
      </c>
      <c r="N4198" s="123" t="s">
        <v>845</v>
      </c>
    </row>
    <row r="4199" spans="2:14" hidden="1" x14ac:dyDescent="0.25">
      <c r="B4199" s="120">
        <v>4196</v>
      </c>
      <c r="C4199" s="123">
        <v>10204361059</v>
      </c>
      <c r="D4199" s="126" t="s">
        <v>15231</v>
      </c>
      <c r="E4199" s="126" t="s">
        <v>15232</v>
      </c>
      <c r="F4199" s="123" t="s">
        <v>30</v>
      </c>
      <c r="G4199" s="123" t="s">
        <v>30</v>
      </c>
      <c r="H4199" s="123" t="s">
        <v>68</v>
      </c>
      <c r="I4199" s="126" t="s">
        <v>1564</v>
      </c>
      <c r="J4199" s="123" t="s">
        <v>15233</v>
      </c>
      <c r="K4199" s="123" t="s">
        <v>15231</v>
      </c>
      <c r="L4199" s="131" t="s">
        <v>100</v>
      </c>
      <c r="M4199" s="135" t="s">
        <v>845</v>
      </c>
      <c r="N4199" s="123" t="s">
        <v>845</v>
      </c>
    </row>
    <row r="4200" spans="2:14" hidden="1" x14ac:dyDescent="0.25">
      <c r="B4200" s="120">
        <v>4197</v>
      </c>
      <c r="C4200" s="123">
        <v>10471445105</v>
      </c>
      <c r="D4200" s="126" t="s">
        <v>15234</v>
      </c>
      <c r="E4200" s="126" t="s">
        <v>15235</v>
      </c>
      <c r="F4200" s="123" t="s">
        <v>30</v>
      </c>
      <c r="G4200" s="123" t="s">
        <v>30</v>
      </c>
      <c r="H4200" s="123" t="s">
        <v>75</v>
      </c>
      <c r="I4200" s="126" t="s">
        <v>1701</v>
      </c>
      <c r="J4200" s="123" t="s">
        <v>15236</v>
      </c>
      <c r="K4200" s="123" t="s">
        <v>15234</v>
      </c>
      <c r="L4200" s="131" t="s">
        <v>100</v>
      </c>
      <c r="M4200" s="135" t="s">
        <v>845</v>
      </c>
      <c r="N4200" s="123" t="s">
        <v>845</v>
      </c>
    </row>
    <row r="4201" spans="2:14" hidden="1" x14ac:dyDescent="0.25">
      <c r="B4201" s="120">
        <v>4198</v>
      </c>
      <c r="C4201" s="123">
        <v>10486700306</v>
      </c>
      <c r="D4201" s="126" t="s">
        <v>15237</v>
      </c>
      <c r="E4201" s="126" t="s">
        <v>15238</v>
      </c>
      <c r="F4201" s="123" t="s">
        <v>30</v>
      </c>
      <c r="G4201" s="123" t="s">
        <v>30</v>
      </c>
      <c r="H4201" s="123" t="s">
        <v>43</v>
      </c>
      <c r="I4201" s="126" t="s">
        <v>1450</v>
      </c>
      <c r="J4201" s="123" t="s">
        <v>15239</v>
      </c>
      <c r="K4201" s="123" t="s">
        <v>15240</v>
      </c>
      <c r="L4201" s="131" t="s">
        <v>100</v>
      </c>
      <c r="M4201" s="135" t="s">
        <v>845</v>
      </c>
      <c r="N4201" s="123" t="s">
        <v>845</v>
      </c>
    </row>
    <row r="4202" spans="2:14" hidden="1" x14ac:dyDescent="0.25">
      <c r="B4202" s="120">
        <v>4199</v>
      </c>
      <c r="C4202" s="123">
        <v>10745286874</v>
      </c>
      <c r="D4202" s="126" t="s">
        <v>15241</v>
      </c>
      <c r="E4202" s="126" t="s">
        <v>15242</v>
      </c>
      <c r="F4202" s="123" t="s">
        <v>30</v>
      </c>
      <c r="G4202" s="123" t="s">
        <v>30</v>
      </c>
      <c r="H4202" s="123" t="s">
        <v>75</v>
      </c>
      <c r="I4202" s="126" t="s">
        <v>1737</v>
      </c>
      <c r="J4202" s="123" t="s">
        <v>15243</v>
      </c>
      <c r="K4202" s="123" t="s">
        <v>15241</v>
      </c>
      <c r="L4202" s="131" t="s">
        <v>100</v>
      </c>
      <c r="M4202" s="135" t="s">
        <v>845</v>
      </c>
      <c r="N4202" s="123" t="s">
        <v>845</v>
      </c>
    </row>
    <row r="4203" spans="2:14" hidden="1" x14ac:dyDescent="0.25">
      <c r="B4203" s="120">
        <v>4200</v>
      </c>
      <c r="C4203" s="123">
        <v>10095949903</v>
      </c>
      <c r="D4203" s="126" t="s">
        <v>15244</v>
      </c>
      <c r="E4203" s="126" t="s">
        <v>15245</v>
      </c>
      <c r="F4203" s="123" t="s">
        <v>30</v>
      </c>
      <c r="G4203" s="123" t="s">
        <v>30</v>
      </c>
      <c r="H4203" s="123" t="s">
        <v>51</v>
      </c>
      <c r="I4203" s="126" t="s">
        <v>1931</v>
      </c>
      <c r="J4203" s="123" t="s">
        <v>15246</v>
      </c>
      <c r="K4203" s="123" t="s">
        <v>15244</v>
      </c>
      <c r="L4203" s="131" t="s">
        <v>100</v>
      </c>
      <c r="M4203" s="135" t="s">
        <v>845</v>
      </c>
      <c r="N4203" s="123" t="s">
        <v>845</v>
      </c>
    </row>
    <row r="4204" spans="2:14" hidden="1" x14ac:dyDescent="0.25">
      <c r="B4204" s="120">
        <v>4201</v>
      </c>
      <c r="C4204" s="123">
        <v>10407140538</v>
      </c>
      <c r="D4204" s="126" t="s">
        <v>15247</v>
      </c>
      <c r="E4204" s="126" t="s">
        <v>15248</v>
      </c>
      <c r="F4204" s="123" t="s">
        <v>30</v>
      </c>
      <c r="G4204" s="123" t="s">
        <v>170</v>
      </c>
      <c r="H4204" s="123" t="s">
        <v>179</v>
      </c>
      <c r="I4204" s="126" t="s">
        <v>8743</v>
      </c>
      <c r="J4204" s="123" t="s">
        <v>15249</v>
      </c>
      <c r="K4204" s="123" t="s">
        <v>15250</v>
      </c>
      <c r="L4204" s="131" t="s">
        <v>100</v>
      </c>
      <c r="M4204" s="135" t="s">
        <v>845</v>
      </c>
      <c r="N4204" s="123" t="s">
        <v>845</v>
      </c>
    </row>
    <row r="4205" spans="2:14" hidden="1" x14ac:dyDescent="0.25">
      <c r="B4205" s="120">
        <v>4202</v>
      </c>
      <c r="C4205" s="123">
        <v>10423294375</v>
      </c>
      <c r="D4205" s="126" t="s">
        <v>15251</v>
      </c>
      <c r="E4205" s="126" t="s">
        <v>15252</v>
      </c>
      <c r="F4205" s="123" t="s">
        <v>30</v>
      </c>
      <c r="G4205" s="123" t="s">
        <v>30</v>
      </c>
      <c r="H4205" s="123" t="s">
        <v>39</v>
      </c>
      <c r="I4205" s="126" t="s">
        <v>1701</v>
      </c>
      <c r="J4205" s="123" t="s">
        <v>15253</v>
      </c>
      <c r="K4205" s="123" t="s">
        <v>15251</v>
      </c>
      <c r="L4205" s="131" t="s">
        <v>100</v>
      </c>
      <c r="M4205" s="135" t="s">
        <v>845</v>
      </c>
      <c r="N4205" s="123" t="s">
        <v>845</v>
      </c>
    </row>
    <row r="4206" spans="2:14" hidden="1" x14ac:dyDescent="0.25">
      <c r="B4206" s="120">
        <v>4203</v>
      </c>
      <c r="C4206" s="123">
        <v>10426870873</v>
      </c>
      <c r="D4206" s="126" t="s">
        <v>15254</v>
      </c>
      <c r="E4206" s="126" t="s">
        <v>15255</v>
      </c>
      <c r="F4206" s="123" t="s">
        <v>30</v>
      </c>
      <c r="G4206" s="123" t="s">
        <v>170</v>
      </c>
      <c r="H4206" s="123" t="s">
        <v>175</v>
      </c>
      <c r="I4206" s="126" t="s">
        <v>1936</v>
      </c>
      <c r="J4206" s="123" t="s">
        <v>15256</v>
      </c>
      <c r="K4206" s="123" t="s">
        <v>15254</v>
      </c>
      <c r="L4206" s="131" t="s">
        <v>100</v>
      </c>
      <c r="M4206" s="135" t="s">
        <v>845</v>
      </c>
      <c r="N4206" s="123" t="s">
        <v>845</v>
      </c>
    </row>
    <row r="4207" spans="2:14" hidden="1" x14ac:dyDescent="0.25">
      <c r="B4207" s="120">
        <v>4204</v>
      </c>
      <c r="C4207" s="123">
        <v>10061970555</v>
      </c>
      <c r="D4207" s="126" t="s">
        <v>15257</v>
      </c>
      <c r="E4207" s="126" t="s">
        <v>15258</v>
      </c>
      <c r="F4207" s="123" t="s">
        <v>67</v>
      </c>
      <c r="G4207" s="123" t="s">
        <v>67</v>
      </c>
      <c r="H4207" s="123" t="s">
        <v>67</v>
      </c>
      <c r="I4207" s="126" t="s">
        <v>8743</v>
      </c>
      <c r="J4207" s="123" t="s">
        <v>15259</v>
      </c>
      <c r="K4207" s="123" t="s">
        <v>15257</v>
      </c>
      <c r="L4207" s="131" t="s">
        <v>100</v>
      </c>
      <c r="M4207" s="135" t="s">
        <v>845</v>
      </c>
      <c r="N4207" s="123" t="s">
        <v>845</v>
      </c>
    </row>
    <row r="4208" spans="2:14" hidden="1" x14ac:dyDescent="0.25">
      <c r="B4208" s="120">
        <v>4205</v>
      </c>
      <c r="C4208" s="123">
        <v>10157413100</v>
      </c>
      <c r="D4208" s="126" t="s">
        <v>15260</v>
      </c>
      <c r="E4208" s="126" t="s">
        <v>15261</v>
      </c>
      <c r="F4208" s="123" t="s">
        <v>30</v>
      </c>
      <c r="G4208" s="123" t="s">
        <v>168</v>
      </c>
      <c r="H4208" s="123" t="s">
        <v>168</v>
      </c>
      <c r="I4208" s="126" t="s">
        <v>8743</v>
      </c>
      <c r="J4208" s="123" t="s">
        <v>15262</v>
      </c>
      <c r="K4208" s="123" t="s">
        <v>15260</v>
      </c>
      <c r="L4208" s="131" t="s">
        <v>100</v>
      </c>
      <c r="M4208" s="135" t="s">
        <v>845</v>
      </c>
      <c r="N4208" s="123" t="s">
        <v>845</v>
      </c>
    </row>
    <row r="4209" spans="2:14" hidden="1" x14ac:dyDescent="0.25">
      <c r="B4209" s="120">
        <v>4206</v>
      </c>
      <c r="C4209" s="123">
        <v>10732670608</v>
      </c>
      <c r="D4209" s="126" t="s">
        <v>15263</v>
      </c>
      <c r="E4209" s="126" t="s">
        <v>15264</v>
      </c>
      <c r="F4209" s="123" t="s">
        <v>30</v>
      </c>
      <c r="G4209" s="123" t="s">
        <v>30</v>
      </c>
      <c r="H4209" s="123" t="s">
        <v>60</v>
      </c>
      <c r="I4209" s="126" t="s">
        <v>1706</v>
      </c>
      <c r="J4209" s="123" t="s">
        <v>15265</v>
      </c>
      <c r="K4209" s="123" t="s">
        <v>15263</v>
      </c>
      <c r="L4209" s="131" t="s">
        <v>100</v>
      </c>
      <c r="M4209" s="135" t="s">
        <v>845</v>
      </c>
      <c r="N4209" s="123" t="s">
        <v>845</v>
      </c>
    </row>
    <row r="4210" spans="2:14" hidden="1" x14ac:dyDescent="0.25">
      <c r="B4210" s="120">
        <v>4207</v>
      </c>
      <c r="C4210" s="123">
        <v>10471962584</v>
      </c>
      <c r="D4210" s="126" t="s">
        <v>15266</v>
      </c>
      <c r="E4210" s="126" t="s">
        <v>15267</v>
      </c>
      <c r="F4210" s="123" t="s">
        <v>30</v>
      </c>
      <c r="G4210" s="123" t="s">
        <v>170</v>
      </c>
      <c r="H4210" s="123" t="s">
        <v>171</v>
      </c>
      <c r="I4210" s="126" t="s">
        <v>14573</v>
      </c>
      <c r="J4210" s="123" t="s">
        <v>15268</v>
      </c>
      <c r="K4210" s="123" t="s">
        <v>15266</v>
      </c>
      <c r="L4210" s="131" t="s">
        <v>100</v>
      </c>
      <c r="M4210" s="135" t="s">
        <v>845</v>
      </c>
      <c r="N4210" s="123" t="s">
        <v>845</v>
      </c>
    </row>
    <row r="4211" spans="2:14" hidden="1" x14ac:dyDescent="0.25">
      <c r="B4211" s="120">
        <v>4208</v>
      </c>
      <c r="C4211" s="123">
        <v>10410309331</v>
      </c>
      <c r="D4211" s="126" t="s">
        <v>15269</v>
      </c>
      <c r="E4211" s="126" t="s">
        <v>15270</v>
      </c>
      <c r="F4211" s="123" t="s">
        <v>30</v>
      </c>
      <c r="G4211" s="123" t="s">
        <v>30</v>
      </c>
      <c r="H4211" s="123" t="s">
        <v>51</v>
      </c>
      <c r="I4211" s="126" t="s">
        <v>12353</v>
      </c>
      <c r="J4211" s="123" t="s">
        <v>15271</v>
      </c>
      <c r="K4211" s="123" t="s">
        <v>15269</v>
      </c>
      <c r="L4211" s="131" t="s">
        <v>100</v>
      </c>
      <c r="M4211" s="135" t="s">
        <v>845</v>
      </c>
      <c r="N4211" s="123" t="s">
        <v>845</v>
      </c>
    </row>
    <row r="4212" spans="2:14" hidden="1" x14ac:dyDescent="0.25">
      <c r="B4212" s="120">
        <v>4209</v>
      </c>
      <c r="C4212" s="123">
        <v>10106474104</v>
      </c>
      <c r="D4212" s="126" t="s">
        <v>15272</v>
      </c>
      <c r="E4212" s="126" t="s">
        <v>15273</v>
      </c>
      <c r="F4212" s="123" t="s">
        <v>30</v>
      </c>
      <c r="G4212" s="123" t="s">
        <v>30</v>
      </c>
      <c r="H4212" s="123" t="s">
        <v>38</v>
      </c>
      <c r="I4212" s="126" t="s">
        <v>1507</v>
      </c>
      <c r="J4212" s="123" t="s">
        <v>15274</v>
      </c>
      <c r="K4212" s="123" t="s">
        <v>15272</v>
      </c>
      <c r="L4212" s="131" t="s">
        <v>100</v>
      </c>
      <c r="M4212" s="135" t="s">
        <v>845</v>
      </c>
      <c r="N4212" s="123" t="s">
        <v>845</v>
      </c>
    </row>
    <row r="4213" spans="2:14" hidden="1" x14ac:dyDescent="0.25">
      <c r="B4213" s="120">
        <v>4210</v>
      </c>
      <c r="C4213" s="123">
        <v>10477784955</v>
      </c>
      <c r="D4213" s="126" t="s">
        <v>15275</v>
      </c>
      <c r="E4213" s="126" t="s">
        <v>15276</v>
      </c>
      <c r="F4213" s="123" t="s">
        <v>67</v>
      </c>
      <c r="G4213" s="123" t="s">
        <v>67</v>
      </c>
      <c r="H4213" s="123" t="s">
        <v>67</v>
      </c>
      <c r="I4213" s="126" t="s">
        <v>1424</v>
      </c>
      <c r="J4213" s="123" t="s">
        <v>15277</v>
      </c>
      <c r="K4213" s="123" t="s">
        <v>15275</v>
      </c>
      <c r="L4213" s="131" t="s">
        <v>100</v>
      </c>
      <c r="M4213" s="135" t="s">
        <v>845</v>
      </c>
      <c r="N4213" s="123" t="s">
        <v>845</v>
      </c>
    </row>
    <row r="4214" spans="2:14" hidden="1" x14ac:dyDescent="0.25">
      <c r="B4214" s="120">
        <v>4211</v>
      </c>
      <c r="C4214" s="123">
        <v>10722659771</v>
      </c>
      <c r="D4214" s="126" t="s">
        <v>15278</v>
      </c>
      <c r="E4214" s="126" t="s">
        <v>15279</v>
      </c>
      <c r="F4214" s="123" t="s">
        <v>30</v>
      </c>
      <c r="G4214" s="123" t="s">
        <v>30</v>
      </c>
      <c r="H4214" s="123" t="s">
        <v>58</v>
      </c>
      <c r="I4214" s="126" t="s">
        <v>1424</v>
      </c>
      <c r="J4214" s="123" t="s">
        <v>15280</v>
      </c>
      <c r="K4214" s="123" t="s">
        <v>15278</v>
      </c>
      <c r="L4214" s="131" t="s">
        <v>100</v>
      </c>
      <c r="M4214" s="135" t="s">
        <v>845</v>
      </c>
      <c r="N4214" s="123" t="s">
        <v>845</v>
      </c>
    </row>
    <row r="4215" spans="2:14" hidden="1" x14ac:dyDescent="0.25">
      <c r="B4215" s="120">
        <v>4212</v>
      </c>
      <c r="C4215" s="123">
        <v>10105265587</v>
      </c>
      <c r="D4215" s="126" t="s">
        <v>15281</v>
      </c>
      <c r="E4215" s="126" t="s">
        <v>15282</v>
      </c>
      <c r="F4215" s="123" t="s">
        <v>30</v>
      </c>
      <c r="G4215" s="123" t="s">
        <v>30</v>
      </c>
      <c r="H4215" s="123" t="s">
        <v>68</v>
      </c>
      <c r="I4215" s="126" t="s">
        <v>1564</v>
      </c>
      <c r="J4215" s="123" t="s">
        <v>15283</v>
      </c>
      <c r="K4215" s="123" t="s">
        <v>15281</v>
      </c>
      <c r="L4215" s="131" t="s">
        <v>100</v>
      </c>
      <c r="M4215" s="135" t="s">
        <v>845</v>
      </c>
      <c r="N4215" s="123" t="s">
        <v>845</v>
      </c>
    </row>
    <row r="4216" spans="2:14" hidden="1" x14ac:dyDescent="0.25">
      <c r="B4216" s="120">
        <v>4213</v>
      </c>
      <c r="C4216" s="123">
        <v>10102854832</v>
      </c>
      <c r="D4216" s="126" t="s">
        <v>15284</v>
      </c>
      <c r="E4216" s="126" t="s">
        <v>15285</v>
      </c>
      <c r="F4216" s="123" t="s">
        <v>30</v>
      </c>
      <c r="G4216" s="123" t="s">
        <v>30</v>
      </c>
      <c r="H4216" s="123" t="s">
        <v>30</v>
      </c>
      <c r="I4216" s="126" t="s">
        <v>1950</v>
      </c>
      <c r="J4216" s="123" t="s">
        <v>15286</v>
      </c>
      <c r="K4216" s="123" t="s">
        <v>15284</v>
      </c>
      <c r="L4216" s="131" t="s">
        <v>100</v>
      </c>
      <c r="M4216" s="135" t="s">
        <v>845</v>
      </c>
      <c r="N4216" s="123" t="s">
        <v>845</v>
      </c>
    </row>
    <row r="4217" spans="2:14" hidden="1" x14ac:dyDescent="0.25">
      <c r="B4217" s="120">
        <v>4214</v>
      </c>
      <c r="C4217" s="123">
        <v>10154354005</v>
      </c>
      <c r="D4217" s="126" t="s">
        <v>15287</v>
      </c>
      <c r="E4217" s="126" t="s">
        <v>15288</v>
      </c>
      <c r="F4217" s="123" t="s">
        <v>30</v>
      </c>
      <c r="G4217" s="123" t="s">
        <v>31</v>
      </c>
      <c r="H4217" s="123" t="s">
        <v>32</v>
      </c>
      <c r="I4217" s="126" t="s">
        <v>1965</v>
      </c>
      <c r="J4217" s="123" t="s">
        <v>15289</v>
      </c>
      <c r="K4217" s="123" t="s">
        <v>15287</v>
      </c>
      <c r="L4217" s="131" t="s">
        <v>100</v>
      </c>
      <c r="M4217" s="135" t="s">
        <v>845</v>
      </c>
      <c r="N4217" s="123" t="s">
        <v>845</v>
      </c>
    </row>
    <row r="4218" spans="2:14" hidden="1" x14ac:dyDescent="0.25">
      <c r="B4218" s="120">
        <v>4215</v>
      </c>
      <c r="C4218" s="123">
        <v>10428619922</v>
      </c>
      <c r="D4218" s="126" t="s">
        <v>15290</v>
      </c>
      <c r="E4218" s="126" t="s">
        <v>15291</v>
      </c>
      <c r="F4218" s="123" t="s">
        <v>30</v>
      </c>
      <c r="G4218" s="123" t="s">
        <v>30</v>
      </c>
      <c r="H4218" s="123" t="s">
        <v>60</v>
      </c>
      <c r="I4218" s="126" t="s">
        <v>1805</v>
      </c>
      <c r="J4218" s="123" t="s">
        <v>15292</v>
      </c>
      <c r="K4218" s="123" t="s">
        <v>15290</v>
      </c>
      <c r="L4218" s="131" t="s">
        <v>100</v>
      </c>
      <c r="M4218" s="135" t="s">
        <v>845</v>
      </c>
      <c r="N4218" s="123" t="s">
        <v>845</v>
      </c>
    </row>
    <row r="4219" spans="2:14" hidden="1" x14ac:dyDescent="0.25">
      <c r="B4219" s="120">
        <v>4216</v>
      </c>
      <c r="C4219" s="123">
        <v>10100864121</v>
      </c>
      <c r="D4219" s="126" t="s">
        <v>15293</v>
      </c>
      <c r="E4219" s="126" t="s">
        <v>15294</v>
      </c>
      <c r="F4219" s="123" t="s">
        <v>30</v>
      </c>
      <c r="G4219" s="123" t="s">
        <v>30</v>
      </c>
      <c r="H4219" s="123" t="s">
        <v>60</v>
      </c>
      <c r="I4219" s="126" t="s">
        <v>1701</v>
      </c>
      <c r="J4219" s="123" t="s">
        <v>15295</v>
      </c>
      <c r="K4219" s="123" t="s">
        <v>15293</v>
      </c>
      <c r="L4219" s="131" t="s">
        <v>100</v>
      </c>
      <c r="M4219" s="135" t="s">
        <v>845</v>
      </c>
      <c r="N4219" s="123" t="s">
        <v>845</v>
      </c>
    </row>
    <row r="4220" spans="2:14" hidden="1" x14ac:dyDescent="0.25">
      <c r="B4220" s="120">
        <v>4217</v>
      </c>
      <c r="C4220" s="123">
        <v>10426600612</v>
      </c>
      <c r="D4220" s="126" t="s">
        <v>15296</v>
      </c>
      <c r="E4220" s="126" t="s">
        <v>15297</v>
      </c>
      <c r="F4220" s="123" t="s">
        <v>30</v>
      </c>
      <c r="G4220" s="123" t="s">
        <v>30</v>
      </c>
      <c r="H4220" s="123" t="s">
        <v>30</v>
      </c>
      <c r="I4220" s="126" t="s">
        <v>1561</v>
      </c>
      <c r="J4220" s="123" t="s">
        <v>15298</v>
      </c>
      <c r="K4220" s="123" t="s">
        <v>15296</v>
      </c>
      <c r="L4220" s="131" t="s">
        <v>100</v>
      </c>
      <c r="M4220" s="135" t="s">
        <v>845</v>
      </c>
      <c r="N4220" s="123" t="s">
        <v>845</v>
      </c>
    </row>
    <row r="4221" spans="2:14" hidden="1" x14ac:dyDescent="0.25">
      <c r="B4221" s="120">
        <v>4218</v>
      </c>
      <c r="C4221" s="123">
        <v>10704150879</v>
      </c>
      <c r="D4221" s="126" t="s">
        <v>15299</v>
      </c>
      <c r="E4221" s="126" t="s">
        <v>15300</v>
      </c>
      <c r="F4221" s="123" t="s">
        <v>30</v>
      </c>
      <c r="G4221" s="123" t="s">
        <v>30</v>
      </c>
      <c r="H4221" s="123" t="s">
        <v>50</v>
      </c>
      <c r="I4221" s="126" t="s">
        <v>1424</v>
      </c>
      <c r="J4221" s="123" t="s">
        <v>15301</v>
      </c>
      <c r="K4221" s="123" t="s">
        <v>15299</v>
      </c>
      <c r="L4221" s="131" t="s">
        <v>100</v>
      </c>
      <c r="M4221" s="135" t="s">
        <v>845</v>
      </c>
      <c r="N4221" s="123" t="s">
        <v>845</v>
      </c>
    </row>
    <row r="4222" spans="2:14" hidden="1" x14ac:dyDescent="0.25">
      <c r="B4222" s="120">
        <v>4219</v>
      </c>
      <c r="C4222" s="123">
        <v>10407030228</v>
      </c>
      <c r="D4222" s="126" t="s">
        <v>15302</v>
      </c>
      <c r="E4222" s="126" t="s">
        <v>15303</v>
      </c>
      <c r="F4222" s="123" t="s">
        <v>30</v>
      </c>
      <c r="G4222" s="123" t="s">
        <v>30</v>
      </c>
      <c r="H4222" s="123" t="s">
        <v>72</v>
      </c>
      <c r="I4222" s="126" t="s">
        <v>1701</v>
      </c>
      <c r="J4222" s="123" t="s">
        <v>15304</v>
      </c>
      <c r="K4222" s="123" t="s">
        <v>15302</v>
      </c>
      <c r="L4222" s="131" t="s">
        <v>100</v>
      </c>
      <c r="M4222" s="135" t="s">
        <v>845</v>
      </c>
      <c r="N4222" s="123" t="s">
        <v>845</v>
      </c>
    </row>
    <row r="4223" spans="2:14" hidden="1" x14ac:dyDescent="0.25">
      <c r="B4223" s="120">
        <v>4220</v>
      </c>
      <c r="C4223" s="123">
        <v>10714617864</v>
      </c>
      <c r="D4223" s="126" t="s">
        <v>15305</v>
      </c>
      <c r="E4223" s="126" t="s">
        <v>15306</v>
      </c>
      <c r="F4223" s="123" t="s">
        <v>67</v>
      </c>
      <c r="G4223" s="123" t="s">
        <v>67</v>
      </c>
      <c r="H4223" s="123" t="s">
        <v>94</v>
      </c>
      <c r="I4223" s="126" t="s">
        <v>6595</v>
      </c>
      <c r="J4223" s="123" t="s">
        <v>15307</v>
      </c>
      <c r="K4223" s="123" t="s">
        <v>15308</v>
      </c>
      <c r="L4223" s="131" t="s">
        <v>100</v>
      </c>
      <c r="M4223" s="135" t="s">
        <v>845</v>
      </c>
      <c r="N4223" s="123" t="s">
        <v>845</v>
      </c>
    </row>
    <row r="4224" spans="2:14" hidden="1" x14ac:dyDescent="0.25">
      <c r="B4224" s="120">
        <v>4221</v>
      </c>
      <c r="C4224" s="123">
        <v>10484568966</v>
      </c>
      <c r="D4224" s="126" t="s">
        <v>15309</v>
      </c>
      <c r="E4224" s="126" t="s">
        <v>15310</v>
      </c>
      <c r="F4224" s="123" t="s">
        <v>30</v>
      </c>
      <c r="G4224" s="123" t="s">
        <v>30</v>
      </c>
      <c r="H4224" s="123" t="s">
        <v>51</v>
      </c>
      <c r="I4224" s="126" t="s">
        <v>1941</v>
      </c>
      <c r="J4224" s="123" t="s">
        <v>15311</v>
      </c>
      <c r="K4224" s="123" t="s">
        <v>15309</v>
      </c>
      <c r="L4224" s="131" t="s">
        <v>100</v>
      </c>
      <c r="M4224" s="135" t="s">
        <v>845</v>
      </c>
      <c r="N4224" s="123" t="s">
        <v>845</v>
      </c>
    </row>
    <row r="4225" spans="2:14" hidden="1" x14ac:dyDescent="0.25">
      <c r="B4225" s="120">
        <v>4222</v>
      </c>
      <c r="C4225" s="123">
        <v>10098393884</v>
      </c>
      <c r="D4225" s="126" t="s">
        <v>15312</v>
      </c>
      <c r="E4225" s="126" t="s">
        <v>15313</v>
      </c>
      <c r="F4225" s="123" t="s">
        <v>30</v>
      </c>
      <c r="G4225" s="123" t="s">
        <v>30</v>
      </c>
      <c r="H4225" s="123" t="s">
        <v>51</v>
      </c>
      <c r="I4225" s="126" t="s">
        <v>1701</v>
      </c>
      <c r="J4225" s="123" t="s">
        <v>15314</v>
      </c>
      <c r="K4225" s="123" t="s">
        <v>15312</v>
      </c>
      <c r="L4225" s="131" t="s">
        <v>100</v>
      </c>
      <c r="M4225" s="135" t="s">
        <v>845</v>
      </c>
      <c r="N4225" s="123" t="s">
        <v>845</v>
      </c>
    </row>
    <row r="4226" spans="2:14" hidden="1" x14ac:dyDescent="0.25">
      <c r="B4226" s="120">
        <v>4223</v>
      </c>
      <c r="C4226" s="123">
        <v>10436632695</v>
      </c>
      <c r="D4226" s="126" t="s">
        <v>15315</v>
      </c>
      <c r="E4226" s="126" t="s">
        <v>15316</v>
      </c>
      <c r="F4226" s="123" t="s">
        <v>30</v>
      </c>
      <c r="G4226" s="123" t="s">
        <v>30</v>
      </c>
      <c r="H4226" s="123" t="s">
        <v>58</v>
      </c>
      <c r="I4226" s="126" t="s">
        <v>9960</v>
      </c>
      <c r="J4226" s="123" t="s">
        <v>15317</v>
      </c>
      <c r="K4226" s="123" t="s">
        <v>15315</v>
      </c>
      <c r="L4226" s="131" t="s">
        <v>100</v>
      </c>
      <c r="M4226" s="135" t="s">
        <v>845</v>
      </c>
      <c r="N4226" s="123" t="s">
        <v>845</v>
      </c>
    </row>
    <row r="4227" spans="2:14" hidden="1" x14ac:dyDescent="0.25">
      <c r="B4227" s="120">
        <v>4224</v>
      </c>
      <c r="C4227" s="123">
        <v>10258086053</v>
      </c>
      <c r="D4227" s="126" t="s">
        <v>15318</v>
      </c>
      <c r="E4227" s="126" t="s">
        <v>15319</v>
      </c>
      <c r="F4227" s="123" t="s">
        <v>67</v>
      </c>
      <c r="G4227" s="123" t="s">
        <v>67</v>
      </c>
      <c r="H4227" s="123" t="s">
        <v>67</v>
      </c>
      <c r="I4227" s="126" t="s">
        <v>1950</v>
      </c>
      <c r="J4227" s="123" t="s">
        <v>15320</v>
      </c>
      <c r="K4227" s="123" t="s">
        <v>15318</v>
      </c>
      <c r="L4227" s="131" t="s">
        <v>100</v>
      </c>
      <c r="M4227" s="135" t="s">
        <v>845</v>
      </c>
      <c r="N4227" s="123" t="s">
        <v>845</v>
      </c>
    </row>
    <row r="4228" spans="2:14" hidden="1" x14ac:dyDescent="0.25">
      <c r="B4228" s="120">
        <v>4225</v>
      </c>
      <c r="C4228" s="123">
        <v>10101966297</v>
      </c>
      <c r="D4228" s="126" t="s">
        <v>15321</v>
      </c>
      <c r="E4228" s="126" t="s">
        <v>15322</v>
      </c>
      <c r="F4228" s="123" t="s">
        <v>30</v>
      </c>
      <c r="G4228" s="123" t="s">
        <v>30</v>
      </c>
      <c r="H4228" s="123" t="s">
        <v>103</v>
      </c>
      <c r="I4228" s="126" t="s">
        <v>1424</v>
      </c>
      <c r="J4228" s="123" t="s">
        <v>15323</v>
      </c>
      <c r="K4228" s="123" t="s">
        <v>15324</v>
      </c>
      <c r="L4228" s="131" t="s">
        <v>100</v>
      </c>
      <c r="M4228" s="135" t="s">
        <v>845</v>
      </c>
      <c r="N4228" s="123" t="s">
        <v>845</v>
      </c>
    </row>
    <row r="4229" spans="2:14" hidden="1" x14ac:dyDescent="0.25">
      <c r="B4229" s="120">
        <v>4226</v>
      </c>
      <c r="C4229" s="123">
        <v>10750269783</v>
      </c>
      <c r="D4229" s="126" t="s">
        <v>15325</v>
      </c>
      <c r="E4229" s="126" t="s">
        <v>15326</v>
      </c>
      <c r="F4229" s="123" t="s">
        <v>30</v>
      </c>
      <c r="G4229" s="123" t="s">
        <v>30</v>
      </c>
      <c r="H4229" s="123" t="s">
        <v>51</v>
      </c>
      <c r="I4229" s="126" t="s">
        <v>1931</v>
      </c>
      <c r="J4229" s="123" t="s">
        <v>15327</v>
      </c>
      <c r="K4229" s="123" t="s">
        <v>15325</v>
      </c>
      <c r="L4229" s="131" t="s">
        <v>100</v>
      </c>
      <c r="M4229" s="135" t="s">
        <v>845</v>
      </c>
      <c r="N4229" s="123" t="s">
        <v>845</v>
      </c>
    </row>
    <row r="4230" spans="2:14" hidden="1" x14ac:dyDescent="0.25">
      <c r="B4230" s="120">
        <v>4227</v>
      </c>
      <c r="C4230" s="123">
        <v>10470611451</v>
      </c>
      <c r="D4230" s="126" t="s">
        <v>15328</v>
      </c>
      <c r="E4230" s="126" t="s">
        <v>15329</v>
      </c>
      <c r="F4230" s="123" t="s">
        <v>30</v>
      </c>
      <c r="G4230" s="123" t="s">
        <v>31</v>
      </c>
      <c r="H4230" s="123" t="s">
        <v>139</v>
      </c>
      <c r="I4230" s="126" t="s">
        <v>13409</v>
      </c>
      <c r="J4230" s="123" t="s">
        <v>15330</v>
      </c>
      <c r="K4230" s="123" t="s">
        <v>15328</v>
      </c>
      <c r="L4230" s="131" t="s">
        <v>100</v>
      </c>
      <c r="M4230" s="135" t="s">
        <v>845</v>
      </c>
      <c r="N4230" s="123" t="s">
        <v>845</v>
      </c>
    </row>
    <row r="4231" spans="2:14" hidden="1" x14ac:dyDescent="0.25">
      <c r="B4231" s="120">
        <v>4228</v>
      </c>
      <c r="C4231" s="123">
        <v>10092400633</v>
      </c>
      <c r="D4231" s="126" t="s">
        <v>15331</v>
      </c>
      <c r="E4231" s="126" t="s">
        <v>15332</v>
      </c>
      <c r="F4231" s="123" t="s">
        <v>67</v>
      </c>
      <c r="G4231" s="123" t="s">
        <v>67</v>
      </c>
      <c r="H4231" s="123" t="s">
        <v>67</v>
      </c>
      <c r="I4231" s="126" t="s">
        <v>1962</v>
      </c>
      <c r="J4231" s="123" t="s">
        <v>15333</v>
      </c>
      <c r="K4231" s="123" t="s">
        <v>15331</v>
      </c>
      <c r="L4231" s="131" t="s">
        <v>100</v>
      </c>
      <c r="M4231" s="135" t="s">
        <v>845</v>
      </c>
      <c r="N4231" s="123" t="s">
        <v>845</v>
      </c>
    </row>
    <row r="4232" spans="2:14" hidden="1" x14ac:dyDescent="0.25">
      <c r="B4232" s="120">
        <v>4229</v>
      </c>
      <c r="C4232" s="123">
        <v>10405354522</v>
      </c>
      <c r="D4232" s="126" t="s">
        <v>15334</v>
      </c>
      <c r="E4232" s="126" t="s">
        <v>15335</v>
      </c>
      <c r="F4232" s="123" t="s">
        <v>67</v>
      </c>
      <c r="G4232" s="123" t="s">
        <v>67</v>
      </c>
      <c r="H4232" s="123" t="s">
        <v>67</v>
      </c>
      <c r="I4232" s="126" t="s">
        <v>1424</v>
      </c>
      <c r="J4232" s="123" t="s">
        <v>15336</v>
      </c>
      <c r="K4232" s="123" t="s">
        <v>15337</v>
      </c>
      <c r="L4232" s="131" t="s">
        <v>100</v>
      </c>
      <c r="M4232" s="135" t="s">
        <v>845</v>
      </c>
      <c r="N4232" s="123" t="s">
        <v>845</v>
      </c>
    </row>
    <row r="4233" spans="2:14" hidden="1" x14ac:dyDescent="0.25">
      <c r="B4233" s="120">
        <v>4230</v>
      </c>
      <c r="C4233" s="123">
        <v>10103106139</v>
      </c>
      <c r="D4233" s="126" t="s">
        <v>15338</v>
      </c>
      <c r="E4233" s="126" t="s">
        <v>15339</v>
      </c>
      <c r="F4233" s="123" t="s">
        <v>30</v>
      </c>
      <c r="G4233" s="123" t="s">
        <v>30</v>
      </c>
      <c r="H4233" s="123" t="s">
        <v>65</v>
      </c>
      <c r="I4233" s="126" t="s">
        <v>8743</v>
      </c>
      <c r="J4233" s="123" t="s">
        <v>15340</v>
      </c>
      <c r="K4233" s="123" t="s">
        <v>15338</v>
      </c>
      <c r="L4233" s="131" t="s">
        <v>100</v>
      </c>
      <c r="M4233" s="135" t="s">
        <v>845</v>
      </c>
      <c r="N4233" s="123" t="s">
        <v>845</v>
      </c>
    </row>
    <row r="4234" spans="2:14" hidden="1" x14ac:dyDescent="0.25">
      <c r="B4234" s="120">
        <v>4231</v>
      </c>
      <c r="C4234" s="123">
        <v>10067996513</v>
      </c>
      <c r="D4234" s="126" t="s">
        <v>15341</v>
      </c>
      <c r="E4234" s="126" t="s">
        <v>15342</v>
      </c>
      <c r="F4234" s="123" t="s">
        <v>30</v>
      </c>
      <c r="G4234" s="123" t="s">
        <v>30</v>
      </c>
      <c r="H4234" s="123" t="s">
        <v>75</v>
      </c>
      <c r="I4234" s="126" t="s">
        <v>1931</v>
      </c>
      <c r="J4234" s="123" t="s">
        <v>15343</v>
      </c>
      <c r="K4234" s="123" t="s">
        <v>15341</v>
      </c>
      <c r="L4234" s="131" t="s">
        <v>100</v>
      </c>
      <c r="M4234" s="135" t="s">
        <v>845</v>
      </c>
      <c r="N4234" s="123" t="s">
        <v>845</v>
      </c>
    </row>
    <row r="4235" spans="2:14" hidden="1" x14ac:dyDescent="0.25">
      <c r="B4235" s="120">
        <v>4232</v>
      </c>
      <c r="C4235" s="123">
        <v>10485857660</v>
      </c>
      <c r="D4235" s="126" t="s">
        <v>15344</v>
      </c>
      <c r="E4235" s="126" t="s">
        <v>15345</v>
      </c>
      <c r="F4235" s="123" t="s">
        <v>30</v>
      </c>
      <c r="G4235" s="123" t="s">
        <v>30</v>
      </c>
      <c r="H4235" s="123" t="s">
        <v>79</v>
      </c>
      <c r="I4235" s="126" t="s">
        <v>8659</v>
      </c>
      <c r="J4235" s="123" t="s">
        <v>15346</v>
      </c>
      <c r="K4235" s="123" t="s">
        <v>15347</v>
      </c>
      <c r="L4235" s="131" t="s">
        <v>100</v>
      </c>
      <c r="M4235" s="135" t="s">
        <v>845</v>
      </c>
      <c r="N4235" s="123" t="s">
        <v>845</v>
      </c>
    </row>
    <row r="4236" spans="2:14" hidden="1" x14ac:dyDescent="0.25">
      <c r="B4236" s="120">
        <v>4233</v>
      </c>
      <c r="C4236" s="123">
        <v>10410029753</v>
      </c>
      <c r="D4236" s="126" t="s">
        <v>15348</v>
      </c>
      <c r="E4236" s="126" t="s">
        <v>15349</v>
      </c>
      <c r="F4236" s="123" t="s">
        <v>30</v>
      </c>
      <c r="G4236" s="123" t="s">
        <v>30</v>
      </c>
      <c r="H4236" s="123" t="s">
        <v>51</v>
      </c>
      <c r="I4236" s="126" t="s">
        <v>1701</v>
      </c>
      <c r="J4236" s="123" t="s">
        <v>15350</v>
      </c>
      <c r="K4236" s="123" t="s">
        <v>15348</v>
      </c>
      <c r="L4236" s="131" t="s">
        <v>100</v>
      </c>
      <c r="M4236" s="135" t="s">
        <v>845</v>
      </c>
      <c r="N4236" s="123" t="s">
        <v>845</v>
      </c>
    </row>
    <row r="4237" spans="2:14" hidden="1" x14ac:dyDescent="0.25">
      <c r="B4237" s="120">
        <v>4234</v>
      </c>
      <c r="C4237" s="123">
        <v>10152978443</v>
      </c>
      <c r="D4237" s="126" t="s">
        <v>15351</v>
      </c>
      <c r="E4237" s="126" t="s">
        <v>15352</v>
      </c>
      <c r="F4237" s="123" t="s">
        <v>30</v>
      </c>
      <c r="G4237" s="123" t="s">
        <v>30</v>
      </c>
      <c r="H4237" s="123" t="s">
        <v>75</v>
      </c>
      <c r="I4237" s="126" t="s">
        <v>1946</v>
      </c>
      <c r="J4237" s="123" t="s">
        <v>15353</v>
      </c>
      <c r="K4237" s="123" t="s">
        <v>15351</v>
      </c>
      <c r="L4237" s="131" t="s">
        <v>100</v>
      </c>
      <c r="M4237" s="135" t="s">
        <v>845</v>
      </c>
      <c r="N4237" s="123" t="s">
        <v>845</v>
      </c>
    </row>
    <row r="4238" spans="2:14" hidden="1" x14ac:dyDescent="0.25">
      <c r="B4238" s="120">
        <v>4235</v>
      </c>
      <c r="C4238" s="123">
        <v>10424600968</v>
      </c>
      <c r="D4238" s="126" t="s">
        <v>15354</v>
      </c>
      <c r="E4238" s="126" t="s">
        <v>15355</v>
      </c>
      <c r="F4238" s="123" t="s">
        <v>30</v>
      </c>
      <c r="G4238" s="123" t="s">
        <v>30</v>
      </c>
      <c r="H4238" s="123" t="s">
        <v>58</v>
      </c>
      <c r="I4238" s="126" t="s">
        <v>15356</v>
      </c>
      <c r="J4238" s="123" t="s">
        <v>15357</v>
      </c>
      <c r="K4238" s="123" t="s">
        <v>15358</v>
      </c>
      <c r="L4238" s="131" t="s">
        <v>100</v>
      </c>
      <c r="M4238" s="135" t="s">
        <v>845</v>
      </c>
      <c r="N4238" s="123" t="s">
        <v>845</v>
      </c>
    </row>
    <row r="4239" spans="2:14" hidden="1" x14ac:dyDescent="0.25">
      <c r="B4239" s="120">
        <v>4236</v>
      </c>
      <c r="C4239" s="123">
        <v>10435987961</v>
      </c>
      <c r="D4239" s="126" t="s">
        <v>15359</v>
      </c>
      <c r="E4239" s="126" t="s">
        <v>15360</v>
      </c>
      <c r="F4239" s="123" t="s">
        <v>30</v>
      </c>
      <c r="G4239" s="123" t="s">
        <v>30</v>
      </c>
      <c r="H4239" s="123" t="s">
        <v>40</v>
      </c>
      <c r="I4239" s="126" t="s">
        <v>1931</v>
      </c>
      <c r="J4239" s="123" t="s">
        <v>15361</v>
      </c>
      <c r="K4239" s="123" t="s">
        <v>15359</v>
      </c>
      <c r="L4239" s="131" t="s">
        <v>100</v>
      </c>
      <c r="M4239" s="135" t="s">
        <v>845</v>
      </c>
      <c r="N4239" s="123" t="s">
        <v>845</v>
      </c>
    </row>
    <row r="4240" spans="2:14" hidden="1" x14ac:dyDescent="0.25">
      <c r="B4240" s="120">
        <v>4237</v>
      </c>
      <c r="C4240" s="123">
        <v>10740966206</v>
      </c>
      <c r="D4240" s="126" t="s">
        <v>15362</v>
      </c>
      <c r="E4240" s="126" t="s">
        <v>15363</v>
      </c>
      <c r="F4240" s="123" t="s">
        <v>30</v>
      </c>
      <c r="G4240" s="123" t="s">
        <v>30</v>
      </c>
      <c r="H4240" s="123" t="s">
        <v>30</v>
      </c>
      <c r="I4240" s="126" t="s">
        <v>1930</v>
      </c>
      <c r="J4240" s="123" t="s">
        <v>15364</v>
      </c>
      <c r="K4240" s="123" t="s">
        <v>15365</v>
      </c>
      <c r="L4240" s="131" t="s">
        <v>100</v>
      </c>
      <c r="M4240" s="135" t="s">
        <v>845</v>
      </c>
      <c r="N4240" s="123" t="s">
        <v>845</v>
      </c>
    </row>
    <row r="4241" spans="2:14" hidden="1" x14ac:dyDescent="0.25">
      <c r="B4241" s="120">
        <v>4238</v>
      </c>
      <c r="C4241" s="123">
        <v>10419752717</v>
      </c>
      <c r="D4241" s="126" t="s">
        <v>15366</v>
      </c>
      <c r="E4241" s="126" t="s">
        <v>15367</v>
      </c>
      <c r="F4241" s="123" t="s">
        <v>30</v>
      </c>
      <c r="G4241" s="123" t="s">
        <v>168</v>
      </c>
      <c r="H4241" s="123" t="s">
        <v>168</v>
      </c>
      <c r="I4241" s="126" t="s">
        <v>1701</v>
      </c>
      <c r="J4241" s="123" t="s">
        <v>15368</v>
      </c>
      <c r="K4241" s="123" t="s">
        <v>15366</v>
      </c>
      <c r="L4241" s="131" t="s">
        <v>100</v>
      </c>
      <c r="M4241" s="135" t="s">
        <v>845</v>
      </c>
      <c r="N4241" s="123" t="s">
        <v>845</v>
      </c>
    </row>
    <row r="4242" spans="2:14" hidden="1" x14ac:dyDescent="0.25">
      <c r="B4242" s="120">
        <v>4239</v>
      </c>
      <c r="C4242" s="123">
        <v>10406912596</v>
      </c>
      <c r="D4242" s="126" t="s">
        <v>15369</v>
      </c>
      <c r="E4242" s="126" t="s">
        <v>15370</v>
      </c>
      <c r="F4242" s="123" t="s">
        <v>30</v>
      </c>
      <c r="G4242" s="123" t="s">
        <v>30</v>
      </c>
      <c r="H4242" s="123" t="s">
        <v>58</v>
      </c>
      <c r="I4242" s="126" t="s">
        <v>1946</v>
      </c>
      <c r="J4242" s="123" t="s">
        <v>15371</v>
      </c>
      <c r="K4242" s="123" t="s">
        <v>15369</v>
      </c>
      <c r="L4242" s="131" t="s">
        <v>100</v>
      </c>
      <c r="M4242" s="135" t="s">
        <v>845</v>
      </c>
      <c r="N4242" s="123" t="s">
        <v>845</v>
      </c>
    </row>
    <row r="4243" spans="2:14" hidden="1" x14ac:dyDescent="0.25">
      <c r="B4243" s="120">
        <v>4240</v>
      </c>
      <c r="C4243" s="123">
        <v>15379744041</v>
      </c>
      <c r="D4243" s="126" t="s">
        <v>15372</v>
      </c>
      <c r="E4243" s="126" t="s">
        <v>15373</v>
      </c>
      <c r="F4243" s="123" t="s">
        <v>30</v>
      </c>
      <c r="G4243" s="123" t="s">
        <v>30</v>
      </c>
      <c r="H4243" s="123" t="s">
        <v>72</v>
      </c>
      <c r="I4243" s="126" t="s">
        <v>15374</v>
      </c>
      <c r="J4243" s="123" t="s">
        <v>15375</v>
      </c>
      <c r="K4243" s="123" t="s">
        <v>15372</v>
      </c>
      <c r="L4243" s="131" t="s">
        <v>100</v>
      </c>
      <c r="M4243" s="135" t="s">
        <v>845</v>
      </c>
      <c r="N4243" s="123" t="s">
        <v>845</v>
      </c>
    </row>
    <row r="4244" spans="2:14" hidden="1" x14ac:dyDescent="0.25">
      <c r="B4244" s="120">
        <v>4241</v>
      </c>
      <c r="C4244" s="123">
        <v>10458824172</v>
      </c>
      <c r="D4244" s="126" t="s">
        <v>15376</v>
      </c>
      <c r="E4244" s="126" t="s">
        <v>15377</v>
      </c>
      <c r="F4244" s="123" t="s">
        <v>93</v>
      </c>
      <c r="G4244" s="123" t="s">
        <v>13012</v>
      </c>
      <c r="H4244" s="123" t="s">
        <v>13012</v>
      </c>
      <c r="I4244" s="126" t="s">
        <v>3942</v>
      </c>
      <c r="J4244" s="123" t="s">
        <v>15378</v>
      </c>
      <c r="K4244" s="123" t="s">
        <v>15376</v>
      </c>
      <c r="L4244" s="131" t="s">
        <v>100</v>
      </c>
      <c r="M4244" s="135" t="s">
        <v>845</v>
      </c>
      <c r="N4244" s="123" t="s">
        <v>845</v>
      </c>
    </row>
    <row r="4245" spans="2:14" hidden="1" x14ac:dyDescent="0.25">
      <c r="B4245" s="120">
        <v>4242</v>
      </c>
      <c r="C4245" s="123">
        <v>10103929372</v>
      </c>
      <c r="D4245" s="126" t="s">
        <v>15379</v>
      </c>
      <c r="E4245" s="126" t="s">
        <v>15380</v>
      </c>
      <c r="F4245" s="123" t="s">
        <v>30</v>
      </c>
      <c r="G4245" s="123" t="s">
        <v>30</v>
      </c>
      <c r="H4245" s="123" t="s">
        <v>50</v>
      </c>
      <c r="I4245" s="126" t="s">
        <v>1499</v>
      </c>
      <c r="J4245" s="123" t="s">
        <v>15381</v>
      </c>
      <c r="K4245" s="123" t="s">
        <v>15382</v>
      </c>
      <c r="L4245" s="131" t="s">
        <v>100</v>
      </c>
      <c r="M4245" s="135" t="s">
        <v>845</v>
      </c>
      <c r="N4245" s="123" t="s">
        <v>845</v>
      </c>
    </row>
    <row r="4246" spans="2:14" hidden="1" x14ac:dyDescent="0.25">
      <c r="B4246" s="120">
        <v>4243</v>
      </c>
      <c r="C4246" s="123">
        <v>10438696291</v>
      </c>
      <c r="D4246" s="126" t="s">
        <v>15383</v>
      </c>
      <c r="E4246" s="126" t="s">
        <v>15384</v>
      </c>
      <c r="F4246" s="123" t="s">
        <v>30</v>
      </c>
      <c r="G4246" s="123" t="s">
        <v>30</v>
      </c>
      <c r="H4246" s="123" t="s">
        <v>50</v>
      </c>
      <c r="I4246" s="126" t="s">
        <v>1564</v>
      </c>
      <c r="J4246" s="123" t="s">
        <v>15385</v>
      </c>
      <c r="K4246" s="123" t="s">
        <v>15386</v>
      </c>
      <c r="L4246" s="131" t="s">
        <v>100</v>
      </c>
      <c r="M4246" s="135" t="s">
        <v>845</v>
      </c>
      <c r="N4246" s="123" t="s">
        <v>845</v>
      </c>
    </row>
    <row r="4247" spans="2:14" hidden="1" x14ac:dyDescent="0.25">
      <c r="B4247" s="120">
        <v>4244</v>
      </c>
      <c r="C4247" s="123">
        <v>10099793029</v>
      </c>
      <c r="D4247" s="126" t="s">
        <v>15387</v>
      </c>
      <c r="E4247" s="126" t="s">
        <v>15388</v>
      </c>
      <c r="F4247" s="123" t="s">
        <v>30</v>
      </c>
      <c r="G4247" s="123" t="s">
        <v>30</v>
      </c>
      <c r="H4247" s="123" t="s">
        <v>88</v>
      </c>
      <c r="I4247" s="126" t="s">
        <v>1931</v>
      </c>
      <c r="J4247" s="123" t="s">
        <v>15389</v>
      </c>
      <c r="K4247" s="123" t="s">
        <v>15387</v>
      </c>
      <c r="L4247" s="131" t="s">
        <v>100</v>
      </c>
      <c r="M4247" s="135" t="s">
        <v>845</v>
      </c>
      <c r="N4247" s="123" t="s">
        <v>845</v>
      </c>
    </row>
    <row r="4248" spans="2:14" hidden="1" x14ac:dyDescent="0.25">
      <c r="B4248" s="120">
        <v>4245</v>
      </c>
      <c r="C4248" s="123">
        <v>10071282452</v>
      </c>
      <c r="D4248" s="126" t="s">
        <v>15390</v>
      </c>
      <c r="E4248" s="126" t="s">
        <v>15391</v>
      </c>
      <c r="F4248" s="123" t="s">
        <v>30</v>
      </c>
      <c r="G4248" s="123" t="s">
        <v>30</v>
      </c>
      <c r="H4248" s="123" t="s">
        <v>75</v>
      </c>
      <c r="I4248" s="126" t="s">
        <v>15392</v>
      </c>
      <c r="J4248" s="123" t="s">
        <v>15393</v>
      </c>
      <c r="K4248" s="123" t="s">
        <v>15390</v>
      </c>
      <c r="L4248" s="131" t="s">
        <v>100</v>
      </c>
      <c r="M4248" s="135" t="s">
        <v>845</v>
      </c>
      <c r="N4248" s="123" t="s">
        <v>845</v>
      </c>
    </row>
    <row r="4249" spans="2:14" hidden="1" x14ac:dyDescent="0.25">
      <c r="B4249" s="120">
        <v>4246</v>
      </c>
      <c r="C4249" s="123">
        <v>10258627267</v>
      </c>
      <c r="D4249" s="126" t="s">
        <v>15394</v>
      </c>
      <c r="E4249" s="126" t="s">
        <v>15395</v>
      </c>
      <c r="F4249" s="123" t="s">
        <v>30</v>
      </c>
      <c r="G4249" s="123" t="s">
        <v>30</v>
      </c>
      <c r="H4249" s="123" t="s">
        <v>72</v>
      </c>
      <c r="I4249" s="126" t="s">
        <v>8659</v>
      </c>
      <c r="J4249" s="123" t="s">
        <v>15396</v>
      </c>
      <c r="K4249" s="123" t="s">
        <v>15394</v>
      </c>
      <c r="L4249" s="131" t="s">
        <v>100</v>
      </c>
      <c r="M4249" s="135" t="s">
        <v>845</v>
      </c>
      <c r="N4249" s="123" t="s">
        <v>845</v>
      </c>
    </row>
    <row r="4250" spans="2:14" hidden="1" x14ac:dyDescent="0.25">
      <c r="B4250" s="120">
        <v>4247</v>
      </c>
      <c r="C4250" s="123">
        <v>10157437238</v>
      </c>
      <c r="D4250" s="126" t="s">
        <v>15397</v>
      </c>
      <c r="E4250" s="126" t="s">
        <v>15398</v>
      </c>
      <c r="F4250" s="123" t="s">
        <v>30</v>
      </c>
      <c r="G4250" s="123" t="s">
        <v>170</v>
      </c>
      <c r="H4250" s="123" t="s">
        <v>170</v>
      </c>
      <c r="I4250" s="126" t="s">
        <v>1973</v>
      </c>
      <c r="J4250" s="123" t="s">
        <v>15399</v>
      </c>
      <c r="K4250" s="123" t="s">
        <v>15397</v>
      </c>
      <c r="L4250" s="131" t="s">
        <v>100</v>
      </c>
      <c r="M4250" s="135" t="s">
        <v>845</v>
      </c>
      <c r="N4250" s="123" t="s">
        <v>845</v>
      </c>
    </row>
    <row r="4251" spans="2:14" hidden="1" x14ac:dyDescent="0.25">
      <c r="B4251" s="120">
        <v>4248</v>
      </c>
      <c r="C4251" s="123">
        <v>10464921261</v>
      </c>
      <c r="D4251" s="126" t="s">
        <v>15400</v>
      </c>
      <c r="E4251" s="126" t="s">
        <v>15401</v>
      </c>
      <c r="F4251" s="123" t="s">
        <v>30</v>
      </c>
      <c r="G4251" s="123" t="s">
        <v>30</v>
      </c>
      <c r="H4251" s="123" t="s">
        <v>68</v>
      </c>
      <c r="I4251" s="126" t="s">
        <v>1942</v>
      </c>
      <c r="J4251" s="123" t="s">
        <v>15402</v>
      </c>
      <c r="K4251" s="123" t="s">
        <v>15400</v>
      </c>
      <c r="L4251" s="131" t="s">
        <v>100</v>
      </c>
      <c r="M4251" s="135" t="s">
        <v>845</v>
      </c>
      <c r="N4251" s="123" t="s">
        <v>845</v>
      </c>
    </row>
    <row r="4252" spans="2:14" hidden="1" x14ac:dyDescent="0.25">
      <c r="B4252" s="120">
        <v>4249</v>
      </c>
      <c r="C4252" s="123">
        <v>10103402544</v>
      </c>
      <c r="D4252" s="126" t="s">
        <v>15403</v>
      </c>
      <c r="E4252" s="126" t="s">
        <v>15404</v>
      </c>
      <c r="F4252" s="123" t="s">
        <v>30</v>
      </c>
      <c r="G4252" s="123" t="s">
        <v>30</v>
      </c>
      <c r="H4252" s="123" t="s">
        <v>113</v>
      </c>
      <c r="I4252" s="126" t="s">
        <v>1528</v>
      </c>
      <c r="J4252" s="123" t="s">
        <v>15405</v>
      </c>
      <c r="K4252" s="123" t="s">
        <v>15403</v>
      </c>
      <c r="L4252" s="131" t="s">
        <v>100</v>
      </c>
      <c r="M4252" s="135" t="s">
        <v>845</v>
      </c>
      <c r="N4252" s="123" t="s">
        <v>845</v>
      </c>
    </row>
    <row r="4253" spans="2:14" hidden="1" x14ac:dyDescent="0.25">
      <c r="B4253" s="120">
        <v>4250</v>
      </c>
      <c r="C4253" s="123">
        <v>10774262151</v>
      </c>
      <c r="D4253" s="126" t="s">
        <v>15406</v>
      </c>
      <c r="E4253" s="126" t="s">
        <v>15407</v>
      </c>
      <c r="F4253" s="123" t="s">
        <v>30</v>
      </c>
      <c r="G4253" s="123" t="s">
        <v>31</v>
      </c>
      <c r="H4253" s="123" t="s">
        <v>9381</v>
      </c>
      <c r="I4253" s="126" t="s">
        <v>1737</v>
      </c>
      <c r="J4253" s="123" t="s">
        <v>15408</v>
      </c>
      <c r="K4253" s="123" t="s">
        <v>15406</v>
      </c>
      <c r="L4253" s="131" t="s">
        <v>100</v>
      </c>
      <c r="M4253" s="135" t="s">
        <v>845</v>
      </c>
      <c r="N4253" s="123" t="s">
        <v>845</v>
      </c>
    </row>
    <row r="4254" spans="2:14" hidden="1" x14ac:dyDescent="0.25">
      <c r="B4254" s="120">
        <v>4251</v>
      </c>
      <c r="C4254" s="123">
        <v>10075226468</v>
      </c>
      <c r="D4254" s="126" t="s">
        <v>15409</v>
      </c>
      <c r="E4254" s="126" t="s">
        <v>15410</v>
      </c>
      <c r="F4254" s="123" t="s">
        <v>30</v>
      </c>
      <c r="G4254" s="123" t="s">
        <v>30</v>
      </c>
      <c r="H4254" s="123" t="s">
        <v>41</v>
      </c>
      <c r="I4254" s="126" t="s">
        <v>1706</v>
      </c>
      <c r="J4254" s="123" t="s">
        <v>15411</v>
      </c>
      <c r="K4254" s="123" t="s">
        <v>15412</v>
      </c>
      <c r="L4254" s="131" t="s">
        <v>100</v>
      </c>
      <c r="M4254" s="135" t="s">
        <v>845</v>
      </c>
      <c r="N4254" s="123" t="s">
        <v>845</v>
      </c>
    </row>
    <row r="4255" spans="2:14" hidden="1" x14ac:dyDescent="0.25">
      <c r="B4255" s="120">
        <v>4252</v>
      </c>
      <c r="C4255" s="123">
        <v>10414025949</v>
      </c>
      <c r="D4255" s="126" t="s">
        <v>15413</v>
      </c>
      <c r="E4255" s="126" t="s">
        <v>15414</v>
      </c>
      <c r="F4255" s="123" t="s">
        <v>30</v>
      </c>
      <c r="G4255" s="123" t="s">
        <v>54</v>
      </c>
      <c r="H4255" s="123" t="s">
        <v>54</v>
      </c>
      <c r="I4255" s="126" t="s">
        <v>10520</v>
      </c>
      <c r="J4255" s="123" t="s">
        <v>15415</v>
      </c>
      <c r="K4255" s="123" t="s">
        <v>15413</v>
      </c>
      <c r="L4255" s="131" t="s">
        <v>100</v>
      </c>
      <c r="M4255" s="135" t="s">
        <v>845</v>
      </c>
      <c r="N4255" s="123" t="s">
        <v>845</v>
      </c>
    </row>
    <row r="4256" spans="2:14" hidden="1" x14ac:dyDescent="0.25">
      <c r="B4256" s="120">
        <v>4253</v>
      </c>
      <c r="C4256" s="123">
        <v>10076249895</v>
      </c>
      <c r="D4256" s="126" t="s">
        <v>15416</v>
      </c>
      <c r="E4256" s="126" t="s">
        <v>15417</v>
      </c>
      <c r="F4256" s="123" t="s">
        <v>30</v>
      </c>
      <c r="G4256" s="123" t="s">
        <v>30</v>
      </c>
      <c r="H4256" s="123" t="s">
        <v>38</v>
      </c>
      <c r="I4256" s="126" t="s">
        <v>1967</v>
      </c>
      <c r="J4256" s="123" t="s">
        <v>15418</v>
      </c>
      <c r="K4256" s="123" t="s">
        <v>15416</v>
      </c>
      <c r="L4256" s="131" t="s">
        <v>100</v>
      </c>
      <c r="M4256" s="135" t="s">
        <v>845</v>
      </c>
      <c r="N4256" s="123" t="s">
        <v>845</v>
      </c>
    </row>
    <row r="4257" spans="2:14" hidden="1" x14ac:dyDescent="0.25">
      <c r="B4257" s="120">
        <v>4254</v>
      </c>
      <c r="C4257" s="123">
        <v>10443841241</v>
      </c>
      <c r="D4257" s="126" t="s">
        <v>15419</v>
      </c>
      <c r="E4257" s="126" t="s">
        <v>15420</v>
      </c>
      <c r="F4257" s="123" t="s">
        <v>8921</v>
      </c>
      <c r="G4257" s="123" t="s">
        <v>15421</v>
      </c>
      <c r="H4257" s="123" t="s">
        <v>15421</v>
      </c>
      <c r="I4257" s="126" t="s">
        <v>1931</v>
      </c>
      <c r="J4257" s="123" t="s">
        <v>15422</v>
      </c>
      <c r="K4257" s="123" t="s">
        <v>15419</v>
      </c>
      <c r="L4257" s="131" t="s">
        <v>100</v>
      </c>
      <c r="M4257" s="135" t="s">
        <v>845</v>
      </c>
      <c r="N4257" s="123" t="s">
        <v>845</v>
      </c>
    </row>
    <row r="4258" spans="2:14" hidden="1" x14ac:dyDescent="0.25">
      <c r="B4258" s="120">
        <v>4255</v>
      </c>
      <c r="C4258" s="123">
        <v>10433921220</v>
      </c>
      <c r="D4258" s="126" t="s">
        <v>15423</v>
      </c>
      <c r="E4258" s="126" t="s">
        <v>15424</v>
      </c>
      <c r="F4258" s="123" t="s">
        <v>30</v>
      </c>
      <c r="G4258" s="123" t="s">
        <v>30</v>
      </c>
      <c r="H4258" s="123" t="s">
        <v>39</v>
      </c>
      <c r="I4258" s="126" t="s">
        <v>1931</v>
      </c>
      <c r="J4258" s="123" t="s">
        <v>15425</v>
      </c>
      <c r="K4258" s="123" t="s">
        <v>15423</v>
      </c>
      <c r="L4258" s="131" t="s">
        <v>100</v>
      </c>
      <c r="M4258" s="135" t="s">
        <v>845</v>
      </c>
      <c r="N4258" s="123" t="s">
        <v>845</v>
      </c>
    </row>
    <row r="4259" spans="2:14" hidden="1" x14ac:dyDescent="0.25">
      <c r="B4259" s="120">
        <v>4256</v>
      </c>
      <c r="C4259" s="123">
        <v>10106182511</v>
      </c>
      <c r="D4259" s="126" t="s">
        <v>15426</v>
      </c>
      <c r="E4259" s="126" t="s">
        <v>15427</v>
      </c>
      <c r="F4259" s="123" t="s">
        <v>30</v>
      </c>
      <c r="G4259" s="123" t="s">
        <v>30</v>
      </c>
      <c r="H4259" s="123" t="s">
        <v>72</v>
      </c>
      <c r="I4259" s="126" t="s">
        <v>1564</v>
      </c>
      <c r="J4259" s="123" t="s">
        <v>15428</v>
      </c>
      <c r="K4259" s="123" t="s">
        <v>15426</v>
      </c>
      <c r="L4259" s="131" t="s">
        <v>100</v>
      </c>
      <c r="M4259" s="135" t="s">
        <v>845</v>
      </c>
      <c r="N4259" s="123" t="s">
        <v>845</v>
      </c>
    </row>
    <row r="4260" spans="2:14" hidden="1" x14ac:dyDescent="0.25">
      <c r="B4260" s="120">
        <v>4257</v>
      </c>
      <c r="C4260" s="123">
        <v>10189009530</v>
      </c>
      <c r="D4260" s="126" t="s">
        <v>15429</v>
      </c>
      <c r="E4260" s="126" t="s">
        <v>15430</v>
      </c>
      <c r="F4260" s="123" t="s">
        <v>30</v>
      </c>
      <c r="G4260" s="123" t="s">
        <v>30</v>
      </c>
      <c r="H4260" s="123" t="s">
        <v>30</v>
      </c>
      <c r="I4260" s="126" t="s">
        <v>1499</v>
      </c>
      <c r="J4260" s="123" t="s">
        <v>15431</v>
      </c>
      <c r="K4260" s="123" t="s">
        <v>15429</v>
      </c>
      <c r="L4260" s="131" t="s">
        <v>100</v>
      </c>
      <c r="M4260" s="135" t="s">
        <v>845</v>
      </c>
      <c r="N4260" s="123" t="s">
        <v>845</v>
      </c>
    </row>
    <row r="4261" spans="2:14" hidden="1" x14ac:dyDescent="0.25">
      <c r="B4261" s="120">
        <v>4258</v>
      </c>
      <c r="C4261" s="123">
        <v>10471577745</v>
      </c>
      <c r="D4261" s="126" t="s">
        <v>15432</v>
      </c>
      <c r="E4261" s="126" t="s">
        <v>15433</v>
      </c>
      <c r="F4261" s="123" t="s">
        <v>30</v>
      </c>
      <c r="G4261" s="123" t="s">
        <v>30</v>
      </c>
      <c r="H4261" s="123" t="s">
        <v>72</v>
      </c>
      <c r="I4261" s="126" t="s">
        <v>1950</v>
      </c>
      <c r="J4261" s="123" t="s">
        <v>15434</v>
      </c>
      <c r="K4261" s="123" t="s">
        <v>15432</v>
      </c>
      <c r="L4261" s="131" t="s">
        <v>100</v>
      </c>
      <c r="M4261" s="135" t="s">
        <v>845</v>
      </c>
      <c r="N4261" s="123" t="s">
        <v>845</v>
      </c>
    </row>
    <row r="4262" spans="2:14" hidden="1" x14ac:dyDescent="0.25">
      <c r="B4262" s="120">
        <v>4259</v>
      </c>
      <c r="C4262" s="123">
        <v>10103422901</v>
      </c>
      <c r="D4262" s="126" t="s">
        <v>15435</v>
      </c>
      <c r="E4262" s="126" t="s">
        <v>15436</v>
      </c>
      <c r="F4262" s="123" t="s">
        <v>30</v>
      </c>
      <c r="G4262" s="123" t="s">
        <v>30</v>
      </c>
      <c r="H4262" s="123" t="s">
        <v>41</v>
      </c>
      <c r="I4262" s="126" t="s">
        <v>15437</v>
      </c>
      <c r="J4262" s="123" t="s">
        <v>15438</v>
      </c>
      <c r="K4262" s="123" t="s">
        <v>15435</v>
      </c>
      <c r="L4262" s="131" t="s">
        <v>100</v>
      </c>
      <c r="M4262" s="135" t="s">
        <v>845</v>
      </c>
      <c r="N4262" s="123" t="s">
        <v>845</v>
      </c>
    </row>
    <row r="4263" spans="2:14" hidden="1" x14ac:dyDescent="0.25">
      <c r="B4263" s="120">
        <v>4260</v>
      </c>
      <c r="C4263" s="123">
        <v>10038625263</v>
      </c>
      <c r="D4263" s="126" t="s">
        <v>15439</v>
      </c>
      <c r="E4263" s="126" t="s">
        <v>15440</v>
      </c>
      <c r="F4263" s="123" t="s">
        <v>30</v>
      </c>
      <c r="G4263" s="123" t="s">
        <v>30</v>
      </c>
      <c r="H4263" s="123" t="s">
        <v>68</v>
      </c>
      <c r="I4263" s="126" t="s">
        <v>1950</v>
      </c>
      <c r="J4263" s="123" t="s">
        <v>15441</v>
      </c>
      <c r="K4263" s="123" t="s">
        <v>15439</v>
      </c>
      <c r="L4263" s="131" t="s">
        <v>100</v>
      </c>
      <c r="M4263" s="135" t="s">
        <v>845</v>
      </c>
      <c r="N4263" s="123" t="s">
        <v>845</v>
      </c>
    </row>
    <row r="4264" spans="2:14" hidden="1" x14ac:dyDescent="0.25">
      <c r="B4264" s="120">
        <v>4261</v>
      </c>
      <c r="C4264" s="123">
        <v>10194342247</v>
      </c>
      <c r="D4264" s="126" t="s">
        <v>15442</v>
      </c>
      <c r="E4264" s="126" t="s">
        <v>15443</v>
      </c>
      <c r="F4264" s="123" t="s">
        <v>30</v>
      </c>
      <c r="G4264" s="123" t="s">
        <v>30</v>
      </c>
      <c r="H4264" s="123" t="s">
        <v>280</v>
      </c>
      <c r="I4264" s="126" t="s">
        <v>1931</v>
      </c>
      <c r="J4264" s="123" t="s">
        <v>15444</v>
      </c>
      <c r="K4264" s="123" t="s">
        <v>15442</v>
      </c>
      <c r="L4264" s="131" t="s">
        <v>100</v>
      </c>
      <c r="M4264" s="135" t="s">
        <v>845</v>
      </c>
      <c r="N4264" s="123" t="s">
        <v>845</v>
      </c>
    </row>
    <row r="4265" spans="2:14" hidden="1" x14ac:dyDescent="0.25">
      <c r="B4265" s="120">
        <v>4262</v>
      </c>
      <c r="C4265" s="123">
        <v>10765574451</v>
      </c>
      <c r="D4265" s="126" t="s">
        <v>15445</v>
      </c>
      <c r="E4265" s="126" t="s">
        <v>15446</v>
      </c>
      <c r="F4265" s="123" t="s">
        <v>30</v>
      </c>
      <c r="G4265" s="123" t="s">
        <v>30</v>
      </c>
      <c r="H4265" s="123" t="s">
        <v>103</v>
      </c>
      <c r="I4265" s="126" t="s">
        <v>1706</v>
      </c>
      <c r="J4265" s="123" t="s">
        <v>15447</v>
      </c>
      <c r="K4265" s="123" t="s">
        <v>15448</v>
      </c>
      <c r="L4265" s="131" t="s">
        <v>100</v>
      </c>
      <c r="M4265" s="135" t="s">
        <v>845</v>
      </c>
      <c r="N4265" s="123" t="s">
        <v>845</v>
      </c>
    </row>
    <row r="4266" spans="2:14" hidden="1" x14ac:dyDescent="0.25">
      <c r="B4266" s="120">
        <v>4263</v>
      </c>
      <c r="C4266" s="123">
        <v>10444078192</v>
      </c>
      <c r="D4266" s="126" t="s">
        <v>15449</v>
      </c>
      <c r="E4266" s="126" t="s">
        <v>15450</v>
      </c>
      <c r="F4266" s="123" t="s">
        <v>30</v>
      </c>
      <c r="G4266" s="123" t="s">
        <v>30</v>
      </c>
      <c r="H4266" s="123" t="s">
        <v>58</v>
      </c>
      <c r="I4266" s="126" t="s">
        <v>1701</v>
      </c>
      <c r="J4266" s="123" t="s">
        <v>15451</v>
      </c>
      <c r="K4266" s="123" t="s">
        <v>15449</v>
      </c>
      <c r="L4266" s="131" t="s">
        <v>100</v>
      </c>
      <c r="M4266" s="135" t="s">
        <v>845</v>
      </c>
      <c r="N4266" s="123" t="s">
        <v>845</v>
      </c>
    </row>
    <row r="4267" spans="2:14" hidden="1" x14ac:dyDescent="0.25">
      <c r="B4267" s="120">
        <v>4264</v>
      </c>
      <c r="C4267" s="123">
        <v>10158475362</v>
      </c>
      <c r="D4267" s="126" t="s">
        <v>15452</v>
      </c>
      <c r="E4267" s="126" t="s">
        <v>15453</v>
      </c>
      <c r="F4267" s="123" t="s">
        <v>30</v>
      </c>
      <c r="G4267" s="123" t="s">
        <v>168</v>
      </c>
      <c r="H4267" s="123" t="s">
        <v>187</v>
      </c>
      <c r="I4267" s="126" t="s">
        <v>1551</v>
      </c>
      <c r="J4267" s="123" t="s">
        <v>15454</v>
      </c>
      <c r="K4267" s="123" t="s">
        <v>15452</v>
      </c>
      <c r="L4267" s="131" t="s">
        <v>100</v>
      </c>
      <c r="M4267" s="135" t="s">
        <v>845</v>
      </c>
      <c r="N4267" s="123" t="s">
        <v>845</v>
      </c>
    </row>
    <row r="4268" spans="2:14" hidden="1" x14ac:dyDescent="0.25">
      <c r="B4268" s="120">
        <v>4265</v>
      </c>
      <c r="C4268" s="123">
        <v>10470192360</v>
      </c>
      <c r="D4268" s="126" t="s">
        <v>15455</v>
      </c>
      <c r="E4268" s="126" t="s">
        <v>15456</v>
      </c>
      <c r="F4268" s="123" t="s">
        <v>67</v>
      </c>
      <c r="G4268" s="123" t="s">
        <v>67</v>
      </c>
      <c r="H4268" s="123" t="s">
        <v>67</v>
      </c>
      <c r="I4268" s="126" t="s">
        <v>15457</v>
      </c>
      <c r="J4268" s="123" t="s">
        <v>15458</v>
      </c>
      <c r="K4268" s="123" t="s">
        <v>15459</v>
      </c>
      <c r="L4268" s="131" t="s">
        <v>100</v>
      </c>
      <c r="M4268" s="135" t="s">
        <v>845</v>
      </c>
      <c r="N4268" s="123" t="s">
        <v>845</v>
      </c>
    </row>
    <row r="4269" spans="2:14" hidden="1" x14ac:dyDescent="0.25">
      <c r="B4269" s="120">
        <v>4266</v>
      </c>
      <c r="C4269" s="123">
        <v>10760033826</v>
      </c>
      <c r="D4269" s="126" t="s">
        <v>15460</v>
      </c>
      <c r="E4269" s="126" t="s">
        <v>15461</v>
      </c>
      <c r="F4269" s="123" t="s">
        <v>30</v>
      </c>
      <c r="G4269" s="123" t="s">
        <v>170</v>
      </c>
      <c r="H4269" s="123" t="s">
        <v>170</v>
      </c>
      <c r="I4269" s="126" t="s">
        <v>8725</v>
      </c>
      <c r="J4269" s="123" t="s">
        <v>15462</v>
      </c>
      <c r="K4269" s="123" t="s">
        <v>15460</v>
      </c>
      <c r="L4269" s="131" t="s">
        <v>100</v>
      </c>
      <c r="M4269" s="135" t="s">
        <v>845</v>
      </c>
      <c r="N4269" s="123" t="s">
        <v>845</v>
      </c>
    </row>
    <row r="4270" spans="2:14" hidden="1" x14ac:dyDescent="0.25">
      <c r="B4270" s="120">
        <v>4267</v>
      </c>
      <c r="C4270" s="123">
        <v>10099785786</v>
      </c>
      <c r="D4270" s="126" t="s">
        <v>15463</v>
      </c>
      <c r="E4270" s="126" t="s">
        <v>15464</v>
      </c>
      <c r="F4270" s="123" t="s">
        <v>30</v>
      </c>
      <c r="G4270" s="123" t="s">
        <v>30</v>
      </c>
      <c r="H4270" s="123" t="s">
        <v>50</v>
      </c>
      <c r="I4270" s="126" t="s">
        <v>1484</v>
      </c>
      <c r="J4270" s="123" t="s">
        <v>15465</v>
      </c>
      <c r="K4270" s="123" t="s">
        <v>15466</v>
      </c>
      <c r="L4270" s="131" t="s">
        <v>100</v>
      </c>
      <c r="M4270" s="135" t="s">
        <v>845</v>
      </c>
      <c r="N4270" s="123" t="s">
        <v>845</v>
      </c>
    </row>
    <row r="4271" spans="2:14" hidden="1" x14ac:dyDescent="0.25">
      <c r="B4271" s="120">
        <v>4268</v>
      </c>
      <c r="C4271" s="123">
        <v>10426266186</v>
      </c>
      <c r="D4271" s="126" t="s">
        <v>15467</v>
      </c>
      <c r="E4271" s="126" t="s">
        <v>15468</v>
      </c>
      <c r="F4271" s="123" t="s">
        <v>30</v>
      </c>
      <c r="G4271" s="123" t="s">
        <v>170</v>
      </c>
      <c r="H4271" s="123" t="s">
        <v>174</v>
      </c>
      <c r="I4271" s="126" t="s">
        <v>1551</v>
      </c>
      <c r="J4271" s="123" t="s">
        <v>15469</v>
      </c>
      <c r="K4271" s="123" t="s">
        <v>15467</v>
      </c>
      <c r="L4271" s="131" t="s">
        <v>100</v>
      </c>
      <c r="M4271" s="135" t="s">
        <v>845</v>
      </c>
      <c r="N4271" s="123" t="s">
        <v>845</v>
      </c>
    </row>
    <row r="4272" spans="2:14" hidden="1" x14ac:dyDescent="0.25">
      <c r="B4272" s="120">
        <v>4269</v>
      </c>
      <c r="C4272" s="123">
        <v>10416611349</v>
      </c>
      <c r="D4272" s="126" t="s">
        <v>15470</v>
      </c>
      <c r="E4272" s="126" t="s">
        <v>15471</v>
      </c>
      <c r="F4272" s="123" t="s">
        <v>30</v>
      </c>
      <c r="G4272" s="123" t="s">
        <v>30</v>
      </c>
      <c r="H4272" s="123" t="s">
        <v>51</v>
      </c>
      <c r="I4272" s="126" t="s">
        <v>1930</v>
      </c>
      <c r="J4272" s="123" t="s">
        <v>15472</v>
      </c>
      <c r="K4272" s="123" t="s">
        <v>15470</v>
      </c>
      <c r="L4272" s="131" t="s">
        <v>100</v>
      </c>
      <c r="M4272" s="135" t="s">
        <v>845</v>
      </c>
      <c r="N4272" s="123" t="s">
        <v>845</v>
      </c>
    </row>
    <row r="4273" spans="2:14" hidden="1" x14ac:dyDescent="0.25">
      <c r="B4273" s="120">
        <v>4270</v>
      </c>
      <c r="C4273" s="123">
        <v>10408630849</v>
      </c>
      <c r="D4273" s="126" t="s">
        <v>15473</v>
      </c>
      <c r="E4273" s="126" t="s">
        <v>15474</v>
      </c>
      <c r="F4273" s="123" t="s">
        <v>30</v>
      </c>
      <c r="G4273" s="123" t="s">
        <v>30</v>
      </c>
      <c r="H4273" s="123" t="s">
        <v>37</v>
      </c>
      <c r="I4273" s="126" t="s">
        <v>273</v>
      </c>
      <c r="J4273" s="123" t="s">
        <v>15475</v>
      </c>
      <c r="K4273" s="123" t="s">
        <v>15476</v>
      </c>
      <c r="L4273" s="131" t="s">
        <v>100</v>
      </c>
      <c r="M4273" s="135" t="s">
        <v>845</v>
      </c>
      <c r="N4273" s="123" t="s">
        <v>845</v>
      </c>
    </row>
    <row r="4274" spans="2:14" hidden="1" x14ac:dyDescent="0.25">
      <c r="B4274" s="120">
        <v>4271</v>
      </c>
      <c r="C4274" s="123">
        <v>10323000609</v>
      </c>
      <c r="D4274" s="126" t="s">
        <v>15477</v>
      </c>
      <c r="E4274" s="126" t="s">
        <v>15478</v>
      </c>
      <c r="F4274" s="123" t="s">
        <v>30</v>
      </c>
      <c r="G4274" s="123" t="s">
        <v>170</v>
      </c>
      <c r="H4274" s="123" t="s">
        <v>174</v>
      </c>
      <c r="I4274" s="126" t="s">
        <v>8743</v>
      </c>
      <c r="J4274" s="123" t="s">
        <v>15479</v>
      </c>
      <c r="K4274" s="123" t="s">
        <v>15480</v>
      </c>
      <c r="L4274" s="131" t="s">
        <v>100</v>
      </c>
      <c r="M4274" s="135" t="s">
        <v>845</v>
      </c>
      <c r="N4274" s="123" t="s">
        <v>845</v>
      </c>
    </row>
    <row r="4275" spans="2:14" hidden="1" x14ac:dyDescent="0.25">
      <c r="B4275" s="120">
        <v>4272</v>
      </c>
      <c r="C4275" s="123">
        <v>10101797517</v>
      </c>
      <c r="D4275" s="126" t="s">
        <v>15481</v>
      </c>
      <c r="E4275" s="126" t="s">
        <v>15482</v>
      </c>
      <c r="F4275" s="123" t="s">
        <v>30</v>
      </c>
      <c r="G4275" s="123" t="s">
        <v>30</v>
      </c>
      <c r="H4275" s="123" t="s">
        <v>65</v>
      </c>
      <c r="I4275" s="126" t="s">
        <v>1701</v>
      </c>
      <c r="J4275" s="123" t="s">
        <v>15483</v>
      </c>
      <c r="K4275" s="123" t="s">
        <v>15481</v>
      </c>
      <c r="L4275" s="131" t="s">
        <v>100</v>
      </c>
      <c r="M4275" s="135" t="s">
        <v>845</v>
      </c>
      <c r="N4275" s="123" t="s">
        <v>845</v>
      </c>
    </row>
    <row r="4276" spans="2:14" hidden="1" x14ac:dyDescent="0.25">
      <c r="B4276" s="120">
        <v>4273</v>
      </c>
      <c r="C4276" s="123">
        <v>10438996236</v>
      </c>
      <c r="D4276" s="126" t="s">
        <v>15484</v>
      </c>
      <c r="E4276" s="126" t="s">
        <v>15485</v>
      </c>
      <c r="F4276" s="123" t="s">
        <v>30</v>
      </c>
      <c r="G4276" s="123" t="s">
        <v>30</v>
      </c>
      <c r="H4276" s="123" t="s">
        <v>75</v>
      </c>
      <c r="I4276" s="126" t="s">
        <v>8897</v>
      </c>
      <c r="J4276" s="123" t="s">
        <v>15486</v>
      </c>
      <c r="K4276" s="123" t="s">
        <v>15484</v>
      </c>
      <c r="L4276" s="131" t="s">
        <v>100</v>
      </c>
      <c r="M4276" s="135" t="s">
        <v>845</v>
      </c>
      <c r="N4276" s="123" t="s">
        <v>845</v>
      </c>
    </row>
    <row r="4277" spans="2:14" hidden="1" x14ac:dyDescent="0.25">
      <c r="B4277" s="120">
        <v>4274</v>
      </c>
      <c r="C4277" s="123">
        <v>10104044447</v>
      </c>
      <c r="D4277" s="126" t="s">
        <v>15487</v>
      </c>
      <c r="E4277" s="126" t="s">
        <v>15488</v>
      </c>
      <c r="F4277" s="123" t="s">
        <v>30</v>
      </c>
      <c r="G4277" s="123" t="s">
        <v>30</v>
      </c>
      <c r="H4277" s="123" t="s">
        <v>58</v>
      </c>
      <c r="I4277" s="126" t="s">
        <v>15489</v>
      </c>
      <c r="J4277" s="123" t="s">
        <v>15490</v>
      </c>
      <c r="K4277" s="123" t="s">
        <v>15487</v>
      </c>
      <c r="L4277" s="131" t="s">
        <v>100</v>
      </c>
      <c r="M4277" s="135" t="s">
        <v>845</v>
      </c>
      <c r="N4277" s="123" t="s">
        <v>845</v>
      </c>
    </row>
    <row r="4278" spans="2:14" hidden="1" x14ac:dyDescent="0.25">
      <c r="B4278" s="120">
        <v>4275</v>
      </c>
      <c r="C4278" s="123">
        <v>10751470598</v>
      </c>
      <c r="D4278" s="126" t="s">
        <v>15491</v>
      </c>
      <c r="E4278" s="126" t="s">
        <v>15492</v>
      </c>
      <c r="F4278" s="123" t="s">
        <v>30</v>
      </c>
      <c r="G4278" s="123" t="s">
        <v>170</v>
      </c>
      <c r="H4278" s="123" t="s">
        <v>170</v>
      </c>
      <c r="I4278" s="126" t="s">
        <v>15493</v>
      </c>
      <c r="J4278" s="123" t="s">
        <v>15494</v>
      </c>
      <c r="K4278" s="123" t="s">
        <v>15491</v>
      </c>
      <c r="L4278" s="131" t="s">
        <v>100</v>
      </c>
      <c r="M4278" s="135" t="s">
        <v>845</v>
      </c>
      <c r="N4278" s="123" t="s">
        <v>845</v>
      </c>
    </row>
    <row r="4279" spans="2:14" hidden="1" x14ac:dyDescent="0.25">
      <c r="B4279" s="120">
        <v>4276</v>
      </c>
      <c r="C4279" s="123">
        <v>10200268569</v>
      </c>
      <c r="D4279" s="126" t="s">
        <v>15495</v>
      </c>
      <c r="E4279" s="126" t="s">
        <v>15496</v>
      </c>
      <c r="F4279" s="123" t="s">
        <v>30</v>
      </c>
      <c r="G4279" s="123" t="s">
        <v>30</v>
      </c>
      <c r="H4279" s="123" t="s">
        <v>30</v>
      </c>
      <c r="I4279" s="126" t="s">
        <v>1365</v>
      </c>
      <c r="J4279" s="123" t="s">
        <v>15497</v>
      </c>
      <c r="K4279" s="123" t="s">
        <v>15495</v>
      </c>
      <c r="L4279" s="131" t="s">
        <v>100</v>
      </c>
      <c r="M4279" s="135" t="s">
        <v>845</v>
      </c>
      <c r="N4279" s="123" t="s">
        <v>845</v>
      </c>
    </row>
    <row r="4280" spans="2:14" hidden="1" x14ac:dyDescent="0.25">
      <c r="B4280" s="120">
        <v>4277</v>
      </c>
      <c r="C4280" s="123">
        <v>10421981561</v>
      </c>
      <c r="D4280" s="126" t="s">
        <v>15498</v>
      </c>
      <c r="E4280" s="126" t="s">
        <v>15499</v>
      </c>
      <c r="F4280" s="123" t="s">
        <v>30</v>
      </c>
      <c r="G4280" s="123" t="s">
        <v>30</v>
      </c>
      <c r="H4280" s="123" t="s">
        <v>113</v>
      </c>
      <c r="I4280" s="126" t="s">
        <v>1701</v>
      </c>
      <c r="J4280" s="123" t="s">
        <v>15500</v>
      </c>
      <c r="K4280" s="123" t="s">
        <v>15498</v>
      </c>
      <c r="L4280" s="131" t="s">
        <v>100</v>
      </c>
      <c r="M4280" s="135" t="s">
        <v>845</v>
      </c>
      <c r="N4280" s="123" t="s">
        <v>845</v>
      </c>
    </row>
    <row r="4281" spans="2:14" hidden="1" x14ac:dyDescent="0.25">
      <c r="B4281" s="120">
        <v>4278</v>
      </c>
      <c r="C4281" s="123">
        <v>10764030813</v>
      </c>
      <c r="D4281" s="126" t="s">
        <v>15501</v>
      </c>
      <c r="E4281" s="126" t="s">
        <v>15502</v>
      </c>
      <c r="F4281" s="123" t="s">
        <v>30</v>
      </c>
      <c r="G4281" s="123" t="s">
        <v>30</v>
      </c>
      <c r="H4281" s="123" t="s">
        <v>30</v>
      </c>
      <c r="I4281" s="126" t="s">
        <v>9769</v>
      </c>
      <c r="J4281" s="123" t="s">
        <v>15503</v>
      </c>
      <c r="K4281" s="123" t="s">
        <v>15504</v>
      </c>
      <c r="L4281" s="131" t="s">
        <v>100</v>
      </c>
      <c r="M4281" s="135" t="s">
        <v>845</v>
      </c>
      <c r="N4281" s="123" t="s">
        <v>845</v>
      </c>
    </row>
    <row r="4282" spans="2:14" hidden="1" x14ac:dyDescent="0.25">
      <c r="B4282" s="120">
        <v>4279</v>
      </c>
      <c r="C4282" s="123">
        <v>10765624695</v>
      </c>
      <c r="D4282" s="126" t="s">
        <v>15505</v>
      </c>
      <c r="E4282" s="126" t="s">
        <v>15506</v>
      </c>
      <c r="F4282" s="123" t="s">
        <v>30</v>
      </c>
      <c r="G4282" s="123" t="s">
        <v>30</v>
      </c>
      <c r="H4282" s="123" t="s">
        <v>30</v>
      </c>
      <c r="I4282" s="126" t="s">
        <v>10829</v>
      </c>
      <c r="J4282" s="123" t="s">
        <v>15507</v>
      </c>
      <c r="K4282" s="123" t="s">
        <v>15505</v>
      </c>
      <c r="L4282" s="131" t="s">
        <v>100</v>
      </c>
      <c r="M4282" s="135" t="s">
        <v>845</v>
      </c>
      <c r="N4282" s="123" t="s">
        <v>845</v>
      </c>
    </row>
    <row r="4283" spans="2:14" hidden="1" x14ac:dyDescent="0.25">
      <c r="B4283" s="120">
        <v>4280</v>
      </c>
      <c r="C4283" s="123">
        <v>10157279527</v>
      </c>
      <c r="D4283" s="126" t="s">
        <v>15508</v>
      </c>
      <c r="E4283" s="126" t="s">
        <v>15509</v>
      </c>
      <c r="F4283" s="123" t="s">
        <v>30</v>
      </c>
      <c r="G4283" s="123" t="s">
        <v>170</v>
      </c>
      <c r="H4283" s="123" t="s">
        <v>171</v>
      </c>
      <c r="I4283" s="126" t="s">
        <v>1931</v>
      </c>
      <c r="J4283" s="123" t="s">
        <v>15510</v>
      </c>
      <c r="K4283" s="123" t="s">
        <v>15508</v>
      </c>
      <c r="L4283" s="131" t="s">
        <v>100</v>
      </c>
      <c r="M4283" s="135" t="s">
        <v>845</v>
      </c>
      <c r="N4283" s="123" t="s">
        <v>845</v>
      </c>
    </row>
    <row r="4284" spans="2:14" hidden="1" x14ac:dyDescent="0.25">
      <c r="B4284" s="120">
        <v>4281</v>
      </c>
      <c r="C4284" s="123">
        <v>10419474717</v>
      </c>
      <c r="D4284" s="126" t="s">
        <v>15511</v>
      </c>
      <c r="E4284" s="126" t="s">
        <v>15512</v>
      </c>
      <c r="F4284" s="123" t="s">
        <v>30</v>
      </c>
      <c r="G4284" s="123" t="s">
        <v>30</v>
      </c>
      <c r="H4284" s="123" t="s">
        <v>30</v>
      </c>
      <c r="I4284" s="126" t="s">
        <v>1930</v>
      </c>
      <c r="J4284" s="123" t="s">
        <v>15513</v>
      </c>
      <c r="K4284" s="123" t="s">
        <v>15514</v>
      </c>
      <c r="L4284" s="131" t="s">
        <v>100</v>
      </c>
      <c r="M4284" s="135" t="s">
        <v>845</v>
      </c>
      <c r="N4284" s="123" t="s">
        <v>845</v>
      </c>
    </row>
    <row r="4285" spans="2:14" hidden="1" x14ac:dyDescent="0.25">
      <c r="B4285" s="120">
        <v>4282</v>
      </c>
      <c r="C4285" s="123">
        <v>15609034111</v>
      </c>
      <c r="D4285" s="126" t="s">
        <v>15515</v>
      </c>
      <c r="E4285" s="126" t="s">
        <v>15516</v>
      </c>
      <c r="F4285" s="123" t="s">
        <v>30</v>
      </c>
      <c r="G4285" s="123" t="s">
        <v>54</v>
      </c>
      <c r="H4285" s="123" t="s">
        <v>54</v>
      </c>
      <c r="I4285" s="126" t="s">
        <v>1935</v>
      </c>
      <c r="J4285" s="123" t="s">
        <v>15517</v>
      </c>
      <c r="K4285" s="123" t="s">
        <v>15515</v>
      </c>
      <c r="L4285" s="131" t="s">
        <v>100</v>
      </c>
      <c r="M4285" s="135" t="s">
        <v>845</v>
      </c>
      <c r="N4285" s="123" t="s">
        <v>845</v>
      </c>
    </row>
    <row r="4286" spans="2:14" hidden="1" x14ac:dyDescent="0.25">
      <c r="B4286" s="120">
        <v>4283</v>
      </c>
      <c r="C4286" s="123">
        <v>10088072648</v>
      </c>
      <c r="D4286" s="126" t="s">
        <v>15518</v>
      </c>
      <c r="E4286" s="126" t="s">
        <v>15519</v>
      </c>
      <c r="F4286" s="123" t="s">
        <v>67</v>
      </c>
      <c r="G4286" s="123" t="s">
        <v>67</v>
      </c>
      <c r="H4286" s="123" t="s">
        <v>94</v>
      </c>
      <c r="I4286" s="126" t="s">
        <v>101</v>
      </c>
      <c r="J4286" s="123" t="s">
        <v>15520</v>
      </c>
      <c r="K4286" s="123" t="s">
        <v>15518</v>
      </c>
      <c r="L4286" s="131" t="s">
        <v>100</v>
      </c>
      <c r="M4286" s="135" t="s">
        <v>845</v>
      </c>
      <c r="N4286" s="123" t="s">
        <v>845</v>
      </c>
    </row>
    <row r="4287" spans="2:14" hidden="1" x14ac:dyDescent="0.25">
      <c r="B4287" s="120">
        <v>4284</v>
      </c>
      <c r="C4287" s="123">
        <v>10402684769</v>
      </c>
      <c r="D4287" s="126" t="s">
        <v>15521</v>
      </c>
      <c r="E4287" s="126" t="s">
        <v>15522</v>
      </c>
      <c r="F4287" s="123" t="s">
        <v>30</v>
      </c>
      <c r="G4287" s="123" t="s">
        <v>30</v>
      </c>
      <c r="H4287" s="123" t="s">
        <v>43</v>
      </c>
      <c r="I4287" s="126" t="s">
        <v>8825</v>
      </c>
      <c r="J4287" s="123" t="s">
        <v>15523</v>
      </c>
      <c r="K4287" s="123" t="s">
        <v>15521</v>
      </c>
      <c r="L4287" s="131" t="s">
        <v>100</v>
      </c>
      <c r="M4287" s="135" t="s">
        <v>845</v>
      </c>
      <c r="N4287" s="123" t="s">
        <v>845</v>
      </c>
    </row>
    <row r="4288" spans="2:14" hidden="1" x14ac:dyDescent="0.25">
      <c r="B4288" s="120">
        <v>4285</v>
      </c>
      <c r="C4288" s="123">
        <v>10415149641</v>
      </c>
      <c r="D4288" s="126" t="s">
        <v>15524</v>
      </c>
      <c r="E4288" s="126" t="s">
        <v>15525</v>
      </c>
      <c r="F4288" s="123" t="s">
        <v>30</v>
      </c>
      <c r="G4288" s="123" t="s">
        <v>30</v>
      </c>
      <c r="H4288" s="123" t="s">
        <v>72</v>
      </c>
      <c r="I4288" s="126" t="s">
        <v>2879</v>
      </c>
      <c r="J4288" s="123" t="s">
        <v>15526</v>
      </c>
      <c r="K4288" s="123" t="s">
        <v>15527</v>
      </c>
      <c r="L4288" s="131" t="s">
        <v>100</v>
      </c>
      <c r="M4288" s="135" t="s">
        <v>845</v>
      </c>
      <c r="N4288" s="123" t="s">
        <v>845</v>
      </c>
    </row>
    <row r="4289" spans="2:14" hidden="1" x14ac:dyDescent="0.25">
      <c r="B4289" s="120">
        <v>4286</v>
      </c>
      <c r="C4289" s="123">
        <v>10459781591</v>
      </c>
      <c r="D4289" s="126" t="s">
        <v>15528</v>
      </c>
      <c r="E4289" s="126" t="s">
        <v>15529</v>
      </c>
      <c r="F4289" s="123" t="s">
        <v>30</v>
      </c>
      <c r="G4289" s="123" t="s">
        <v>31</v>
      </c>
      <c r="H4289" s="123" t="s">
        <v>139</v>
      </c>
      <c r="I4289" s="126" t="s">
        <v>1961</v>
      </c>
      <c r="J4289" s="123" t="s">
        <v>15530</v>
      </c>
      <c r="K4289" s="123" t="s">
        <v>15528</v>
      </c>
      <c r="L4289" s="131" t="s">
        <v>100</v>
      </c>
      <c r="M4289" s="135" t="s">
        <v>845</v>
      </c>
      <c r="N4289" s="123" t="s">
        <v>845</v>
      </c>
    </row>
    <row r="4290" spans="2:14" hidden="1" x14ac:dyDescent="0.25">
      <c r="B4290" s="120">
        <v>4287</v>
      </c>
      <c r="C4290" s="123">
        <v>10702474677</v>
      </c>
      <c r="D4290" s="126" t="s">
        <v>15531</v>
      </c>
      <c r="E4290" s="126" t="s">
        <v>15532</v>
      </c>
      <c r="F4290" s="123" t="s">
        <v>67</v>
      </c>
      <c r="G4290" s="123" t="s">
        <v>67</v>
      </c>
      <c r="H4290" s="123" t="s">
        <v>94</v>
      </c>
      <c r="I4290" s="126" t="s">
        <v>1701</v>
      </c>
      <c r="J4290" s="123" t="s">
        <v>15533</v>
      </c>
      <c r="K4290" s="123" t="s">
        <v>15531</v>
      </c>
      <c r="L4290" s="131" t="s">
        <v>100</v>
      </c>
      <c r="M4290" s="135" t="s">
        <v>845</v>
      </c>
      <c r="N4290" s="123" t="s">
        <v>845</v>
      </c>
    </row>
    <row r="4291" spans="2:14" hidden="1" x14ac:dyDescent="0.25">
      <c r="B4291" s="120">
        <v>4288</v>
      </c>
      <c r="C4291" s="123">
        <v>10088283452</v>
      </c>
      <c r="D4291" s="126" t="s">
        <v>15534</v>
      </c>
      <c r="E4291" s="126" t="s">
        <v>15535</v>
      </c>
      <c r="F4291" s="123" t="s">
        <v>30</v>
      </c>
      <c r="G4291" s="123" t="s">
        <v>30</v>
      </c>
      <c r="H4291" s="123" t="s">
        <v>50</v>
      </c>
      <c r="I4291" s="126" t="s">
        <v>1931</v>
      </c>
      <c r="J4291" s="123" t="s">
        <v>15536</v>
      </c>
      <c r="K4291" s="123" t="s">
        <v>15534</v>
      </c>
      <c r="L4291" s="131" t="s">
        <v>100</v>
      </c>
      <c r="M4291" s="135" t="s">
        <v>845</v>
      </c>
      <c r="N4291" s="123" t="s">
        <v>845</v>
      </c>
    </row>
    <row r="4292" spans="2:14" hidden="1" x14ac:dyDescent="0.25">
      <c r="B4292" s="120">
        <v>4289</v>
      </c>
      <c r="C4292" s="123">
        <v>10332476551</v>
      </c>
      <c r="D4292" s="126" t="s">
        <v>15537</v>
      </c>
      <c r="E4292" s="126" t="s">
        <v>15538</v>
      </c>
      <c r="F4292" s="123" t="s">
        <v>30</v>
      </c>
      <c r="G4292" s="123" t="s">
        <v>30</v>
      </c>
      <c r="H4292" s="123" t="s">
        <v>50</v>
      </c>
      <c r="I4292" s="126" t="s">
        <v>1564</v>
      </c>
      <c r="J4292" s="123" t="s">
        <v>15539</v>
      </c>
      <c r="K4292" s="123" t="s">
        <v>15537</v>
      </c>
      <c r="L4292" s="131" t="s">
        <v>100</v>
      </c>
      <c r="M4292" s="135" t="s">
        <v>845</v>
      </c>
      <c r="N4292" s="123" t="s">
        <v>845</v>
      </c>
    </row>
    <row r="4293" spans="2:14" hidden="1" x14ac:dyDescent="0.25">
      <c r="B4293" s="120">
        <v>4290</v>
      </c>
      <c r="C4293" s="123">
        <v>10098822459</v>
      </c>
      <c r="D4293" s="126" t="s">
        <v>15540</v>
      </c>
      <c r="E4293" s="126" t="s">
        <v>15541</v>
      </c>
      <c r="F4293" s="123" t="s">
        <v>30</v>
      </c>
      <c r="G4293" s="123" t="s">
        <v>30</v>
      </c>
      <c r="H4293" s="123" t="s">
        <v>75</v>
      </c>
      <c r="I4293" s="126" t="s">
        <v>1701</v>
      </c>
      <c r="J4293" s="123" t="s">
        <v>15542</v>
      </c>
      <c r="K4293" s="123" t="s">
        <v>15540</v>
      </c>
      <c r="L4293" s="131" t="s">
        <v>100</v>
      </c>
      <c r="M4293" s="135" t="s">
        <v>845</v>
      </c>
      <c r="N4293" s="123" t="s">
        <v>845</v>
      </c>
    </row>
    <row r="4294" spans="2:14" hidden="1" x14ac:dyDescent="0.25">
      <c r="B4294" s="120">
        <v>4291</v>
      </c>
      <c r="C4294" s="123">
        <v>10445114923</v>
      </c>
      <c r="D4294" s="126" t="s">
        <v>15543</v>
      </c>
      <c r="E4294" s="126" t="s">
        <v>15544</v>
      </c>
      <c r="F4294" s="123" t="s">
        <v>30</v>
      </c>
      <c r="G4294" s="123" t="s">
        <v>30</v>
      </c>
      <c r="H4294" s="123" t="s">
        <v>45</v>
      </c>
      <c r="I4294" s="126" t="s">
        <v>1936</v>
      </c>
      <c r="J4294" s="123" t="s">
        <v>15545</v>
      </c>
      <c r="K4294" s="123" t="s">
        <v>15543</v>
      </c>
      <c r="L4294" s="131" t="s">
        <v>100</v>
      </c>
      <c r="M4294" s="135" t="s">
        <v>845</v>
      </c>
      <c r="N4294" s="123" t="s">
        <v>845</v>
      </c>
    </row>
    <row r="4295" spans="2:14" hidden="1" x14ac:dyDescent="0.25">
      <c r="B4295" s="120">
        <v>4292</v>
      </c>
      <c r="C4295" s="123">
        <v>10453872322</v>
      </c>
      <c r="D4295" s="126" t="s">
        <v>15546</v>
      </c>
      <c r="E4295" s="126" t="s">
        <v>15547</v>
      </c>
      <c r="F4295" s="123" t="s">
        <v>30</v>
      </c>
      <c r="G4295" s="123" t="s">
        <v>30</v>
      </c>
      <c r="H4295" s="123" t="s">
        <v>45</v>
      </c>
      <c r="I4295" s="126" t="s">
        <v>1952</v>
      </c>
      <c r="J4295" s="123" t="s">
        <v>15548</v>
      </c>
      <c r="K4295" s="123" t="s">
        <v>15546</v>
      </c>
      <c r="L4295" s="131" t="s">
        <v>100</v>
      </c>
      <c r="M4295" s="135" t="s">
        <v>845</v>
      </c>
      <c r="N4295" s="123" t="s">
        <v>845</v>
      </c>
    </row>
    <row r="4296" spans="2:14" hidden="1" x14ac:dyDescent="0.25">
      <c r="B4296" s="120">
        <v>4293</v>
      </c>
      <c r="C4296" s="123">
        <v>10460758012</v>
      </c>
      <c r="D4296" s="126" t="s">
        <v>15549</v>
      </c>
      <c r="E4296" s="126" t="s">
        <v>15550</v>
      </c>
      <c r="F4296" s="123" t="s">
        <v>30</v>
      </c>
      <c r="G4296" s="123" t="s">
        <v>30</v>
      </c>
      <c r="H4296" s="123" t="s">
        <v>75</v>
      </c>
      <c r="I4296" s="126" t="s">
        <v>15551</v>
      </c>
      <c r="J4296" s="123" t="s">
        <v>15552</v>
      </c>
      <c r="K4296" s="123" t="s">
        <v>15549</v>
      </c>
      <c r="L4296" s="131" t="s">
        <v>100</v>
      </c>
      <c r="M4296" s="135" t="s">
        <v>845</v>
      </c>
      <c r="N4296" s="123" t="s">
        <v>845</v>
      </c>
    </row>
    <row r="4297" spans="2:14" hidden="1" x14ac:dyDescent="0.25">
      <c r="B4297" s="120">
        <v>4294</v>
      </c>
      <c r="C4297" s="123">
        <v>10099303340</v>
      </c>
      <c r="D4297" s="126" t="s">
        <v>15553</v>
      </c>
      <c r="E4297" s="126" t="s">
        <v>15554</v>
      </c>
      <c r="F4297" s="123" t="s">
        <v>30</v>
      </c>
      <c r="G4297" s="123" t="s">
        <v>30</v>
      </c>
      <c r="H4297" s="123" t="s">
        <v>64</v>
      </c>
      <c r="I4297" s="126" t="s">
        <v>1974</v>
      </c>
      <c r="J4297" s="123" t="s">
        <v>15555</v>
      </c>
      <c r="K4297" s="123" t="s">
        <v>15553</v>
      </c>
      <c r="L4297" s="131" t="s">
        <v>100</v>
      </c>
      <c r="M4297" s="135" t="s">
        <v>845</v>
      </c>
      <c r="N4297" s="123" t="s">
        <v>845</v>
      </c>
    </row>
    <row r="4298" spans="2:14" hidden="1" x14ac:dyDescent="0.25">
      <c r="B4298" s="120">
        <v>4295</v>
      </c>
      <c r="C4298" s="123">
        <v>10411711507</v>
      </c>
      <c r="D4298" s="126" t="s">
        <v>15556</v>
      </c>
      <c r="E4298" s="126" t="s">
        <v>15557</v>
      </c>
      <c r="F4298" s="123" t="s">
        <v>30</v>
      </c>
      <c r="G4298" s="123" t="s">
        <v>30</v>
      </c>
      <c r="H4298" s="123" t="s">
        <v>40</v>
      </c>
      <c r="I4298" s="126" t="s">
        <v>1701</v>
      </c>
      <c r="J4298" s="123" t="s">
        <v>15558</v>
      </c>
      <c r="K4298" s="123" t="s">
        <v>15556</v>
      </c>
      <c r="L4298" s="131" t="s">
        <v>100</v>
      </c>
      <c r="M4298" s="135" t="s">
        <v>845</v>
      </c>
      <c r="N4298" s="123" t="s">
        <v>845</v>
      </c>
    </row>
    <row r="4299" spans="2:14" hidden="1" x14ac:dyDescent="0.25">
      <c r="B4299" s="120">
        <v>4296</v>
      </c>
      <c r="C4299" s="123">
        <v>10415176037</v>
      </c>
      <c r="D4299" s="126" t="s">
        <v>15559</v>
      </c>
      <c r="E4299" s="126" t="s">
        <v>15560</v>
      </c>
      <c r="F4299" s="123" t="s">
        <v>30</v>
      </c>
      <c r="G4299" s="123" t="s">
        <v>30</v>
      </c>
      <c r="H4299" s="123" t="s">
        <v>52</v>
      </c>
      <c r="I4299" s="126" t="s">
        <v>1949</v>
      </c>
      <c r="J4299" s="123" t="s">
        <v>15561</v>
      </c>
      <c r="K4299" s="123" t="s">
        <v>15562</v>
      </c>
      <c r="L4299" s="131" t="s">
        <v>100</v>
      </c>
      <c r="M4299" s="135" t="s">
        <v>845</v>
      </c>
      <c r="N4299" s="123" t="s">
        <v>845</v>
      </c>
    </row>
    <row r="4300" spans="2:14" hidden="1" x14ac:dyDescent="0.25">
      <c r="B4300" s="120">
        <v>4297</v>
      </c>
      <c r="C4300" s="123">
        <v>10157328731</v>
      </c>
      <c r="D4300" s="126" t="s">
        <v>15563</v>
      </c>
      <c r="E4300" s="126" t="s">
        <v>15564</v>
      </c>
      <c r="F4300" s="123" t="s">
        <v>30</v>
      </c>
      <c r="G4300" s="123" t="s">
        <v>170</v>
      </c>
      <c r="H4300" s="123" t="s">
        <v>170</v>
      </c>
      <c r="I4300" s="126" t="s">
        <v>1424</v>
      </c>
      <c r="J4300" s="123" t="s">
        <v>15565</v>
      </c>
      <c r="K4300" s="123" t="s">
        <v>15566</v>
      </c>
      <c r="L4300" s="131" t="s">
        <v>100</v>
      </c>
      <c r="M4300" s="135" t="s">
        <v>845</v>
      </c>
      <c r="N4300" s="123" t="s">
        <v>845</v>
      </c>
    </row>
    <row r="4301" spans="2:14" hidden="1" x14ac:dyDescent="0.25">
      <c r="B4301" s="120">
        <v>4298</v>
      </c>
      <c r="C4301" s="123">
        <v>10758888652</v>
      </c>
      <c r="D4301" s="126" t="s">
        <v>15567</v>
      </c>
      <c r="E4301" s="126" t="s">
        <v>15568</v>
      </c>
      <c r="F4301" s="123" t="s">
        <v>30</v>
      </c>
      <c r="G4301" s="123" t="s">
        <v>30</v>
      </c>
      <c r="H4301" s="123" t="s">
        <v>68</v>
      </c>
      <c r="I4301" s="126" t="s">
        <v>9516</v>
      </c>
      <c r="J4301" s="123" t="s">
        <v>15569</v>
      </c>
      <c r="K4301" s="123" t="s">
        <v>15567</v>
      </c>
      <c r="L4301" s="131" t="s">
        <v>100</v>
      </c>
      <c r="M4301" s="135" t="s">
        <v>845</v>
      </c>
      <c r="N4301" s="123" t="s">
        <v>845</v>
      </c>
    </row>
    <row r="4302" spans="2:14" hidden="1" x14ac:dyDescent="0.25">
      <c r="B4302" s="120">
        <v>4299</v>
      </c>
      <c r="C4302" s="123">
        <v>10483983838</v>
      </c>
      <c r="D4302" s="126" t="s">
        <v>15570</v>
      </c>
      <c r="E4302" s="126" t="s">
        <v>15571</v>
      </c>
      <c r="F4302" s="123" t="s">
        <v>30</v>
      </c>
      <c r="G4302" s="123" t="s">
        <v>30</v>
      </c>
      <c r="H4302" s="123" t="s">
        <v>88</v>
      </c>
      <c r="I4302" s="126" t="s">
        <v>1805</v>
      </c>
      <c r="J4302" s="123" t="s">
        <v>15572</v>
      </c>
      <c r="K4302" s="123" t="s">
        <v>15573</v>
      </c>
      <c r="L4302" s="131" t="s">
        <v>100</v>
      </c>
      <c r="M4302" s="135" t="s">
        <v>845</v>
      </c>
      <c r="N4302" s="123" t="s">
        <v>845</v>
      </c>
    </row>
    <row r="4303" spans="2:14" hidden="1" x14ac:dyDescent="0.25">
      <c r="B4303" s="120">
        <v>4300</v>
      </c>
      <c r="C4303" s="123">
        <v>10423022065</v>
      </c>
      <c r="D4303" s="126" t="s">
        <v>15574</v>
      </c>
      <c r="E4303" s="126" t="s">
        <v>15575</v>
      </c>
      <c r="F4303" s="123" t="s">
        <v>30</v>
      </c>
      <c r="G4303" s="123" t="s">
        <v>30</v>
      </c>
      <c r="H4303" s="123" t="s">
        <v>58</v>
      </c>
      <c r="I4303" s="126" t="s">
        <v>1809</v>
      </c>
      <c r="J4303" s="123" t="s">
        <v>15576</v>
      </c>
      <c r="K4303" s="123" t="s">
        <v>15574</v>
      </c>
      <c r="L4303" s="131" t="s">
        <v>100</v>
      </c>
      <c r="M4303" s="135" t="s">
        <v>845</v>
      </c>
      <c r="N4303" s="123" t="s">
        <v>845</v>
      </c>
    </row>
    <row r="4304" spans="2:14" hidden="1" x14ac:dyDescent="0.25">
      <c r="B4304" s="120">
        <v>4301</v>
      </c>
      <c r="C4304" s="123">
        <v>10435385350</v>
      </c>
      <c r="D4304" s="126" t="s">
        <v>15577</v>
      </c>
      <c r="E4304" s="126" t="s">
        <v>15578</v>
      </c>
      <c r="F4304" s="123" t="s">
        <v>30</v>
      </c>
      <c r="G4304" s="123" t="s">
        <v>30</v>
      </c>
      <c r="H4304" s="123" t="s">
        <v>58</v>
      </c>
      <c r="I4304" s="126" t="s">
        <v>1424</v>
      </c>
      <c r="J4304" s="123" t="s">
        <v>15579</v>
      </c>
      <c r="K4304" s="123" t="s">
        <v>15577</v>
      </c>
      <c r="L4304" s="131" t="s">
        <v>100</v>
      </c>
      <c r="M4304" s="135" t="s">
        <v>845</v>
      </c>
      <c r="N4304" s="123" t="s">
        <v>845</v>
      </c>
    </row>
    <row r="4305" spans="2:14" hidden="1" x14ac:dyDescent="0.25">
      <c r="B4305" s="120">
        <v>4302</v>
      </c>
      <c r="C4305" s="123">
        <v>10476257048</v>
      </c>
      <c r="D4305" s="126" t="s">
        <v>15580</v>
      </c>
      <c r="E4305" s="126" t="s">
        <v>15581</v>
      </c>
      <c r="F4305" s="123" t="s">
        <v>30</v>
      </c>
      <c r="G4305" s="123" t="s">
        <v>30</v>
      </c>
      <c r="H4305" s="123" t="s">
        <v>41</v>
      </c>
      <c r="I4305" s="126" t="s">
        <v>15582</v>
      </c>
      <c r="J4305" s="123" t="s">
        <v>15583</v>
      </c>
      <c r="K4305" s="123" t="s">
        <v>15580</v>
      </c>
      <c r="L4305" s="131" t="s">
        <v>100</v>
      </c>
      <c r="M4305" s="135" t="s">
        <v>845</v>
      </c>
      <c r="N4305" s="123" t="s">
        <v>845</v>
      </c>
    </row>
    <row r="4306" spans="2:14" hidden="1" x14ac:dyDescent="0.25">
      <c r="B4306" s="120">
        <v>4303</v>
      </c>
      <c r="C4306" s="123">
        <v>10427745029</v>
      </c>
      <c r="D4306" s="126" t="s">
        <v>15584</v>
      </c>
      <c r="E4306" s="126" t="s">
        <v>15585</v>
      </c>
      <c r="F4306" s="123" t="s">
        <v>30</v>
      </c>
      <c r="G4306" s="123" t="s">
        <v>30</v>
      </c>
      <c r="H4306" s="123" t="s">
        <v>85</v>
      </c>
      <c r="I4306" s="126" t="s">
        <v>8743</v>
      </c>
      <c r="J4306" s="123" t="s">
        <v>15586</v>
      </c>
      <c r="K4306" s="123" t="s">
        <v>15584</v>
      </c>
      <c r="L4306" s="131" t="s">
        <v>100</v>
      </c>
      <c r="M4306" s="135" t="s">
        <v>845</v>
      </c>
      <c r="N4306" s="123" t="s">
        <v>845</v>
      </c>
    </row>
    <row r="4307" spans="2:14" hidden="1" x14ac:dyDescent="0.25">
      <c r="B4307" s="120">
        <v>4304</v>
      </c>
      <c r="C4307" s="123">
        <v>10094094424</v>
      </c>
      <c r="D4307" s="126" t="s">
        <v>15587</v>
      </c>
      <c r="E4307" s="126" t="s">
        <v>15588</v>
      </c>
      <c r="F4307" s="123" t="s">
        <v>30</v>
      </c>
      <c r="G4307" s="123" t="s">
        <v>30</v>
      </c>
      <c r="H4307" s="123" t="s">
        <v>60</v>
      </c>
      <c r="I4307" s="126" t="s">
        <v>101</v>
      </c>
      <c r="J4307" s="123" t="s">
        <v>15589</v>
      </c>
      <c r="K4307" s="123" t="s">
        <v>15587</v>
      </c>
      <c r="L4307" s="131" t="s">
        <v>100</v>
      </c>
      <c r="M4307" s="135" t="s">
        <v>845</v>
      </c>
      <c r="N4307" s="123" t="s">
        <v>845</v>
      </c>
    </row>
    <row r="4308" spans="2:14" hidden="1" x14ac:dyDescent="0.25">
      <c r="B4308" s="120">
        <v>4305</v>
      </c>
      <c r="C4308" s="123">
        <v>10092613505</v>
      </c>
      <c r="D4308" s="126" t="s">
        <v>15590</v>
      </c>
      <c r="E4308" s="126" t="s">
        <v>15591</v>
      </c>
      <c r="F4308" s="123" t="s">
        <v>30</v>
      </c>
      <c r="G4308" s="123" t="s">
        <v>30</v>
      </c>
      <c r="H4308" s="123" t="s">
        <v>60</v>
      </c>
      <c r="I4308" s="126" t="s">
        <v>10025</v>
      </c>
      <c r="J4308" s="123" t="s">
        <v>15592</v>
      </c>
      <c r="K4308" s="123" t="s">
        <v>15590</v>
      </c>
      <c r="L4308" s="131" t="s">
        <v>100</v>
      </c>
      <c r="M4308" s="135" t="s">
        <v>845</v>
      </c>
      <c r="N4308" s="123" t="s">
        <v>845</v>
      </c>
    </row>
    <row r="4309" spans="2:14" hidden="1" x14ac:dyDescent="0.25">
      <c r="B4309" s="120">
        <v>4306</v>
      </c>
      <c r="C4309" s="123">
        <v>10465230725</v>
      </c>
      <c r="D4309" s="126" t="s">
        <v>15593</v>
      </c>
      <c r="E4309" s="126" t="s">
        <v>15594</v>
      </c>
      <c r="F4309" s="123" t="s">
        <v>30</v>
      </c>
      <c r="G4309" s="123" t="s">
        <v>30</v>
      </c>
      <c r="H4309" s="123" t="s">
        <v>85</v>
      </c>
      <c r="I4309" s="126" t="s">
        <v>101</v>
      </c>
      <c r="J4309" s="123" t="s">
        <v>15595</v>
      </c>
      <c r="K4309" s="123" t="s">
        <v>15593</v>
      </c>
      <c r="L4309" s="131" t="s">
        <v>100</v>
      </c>
      <c r="M4309" s="135" t="s">
        <v>845</v>
      </c>
      <c r="N4309" s="123" t="s">
        <v>845</v>
      </c>
    </row>
    <row r="4310" spans="2:14" hidden="1" x14ac:dyDescent="0.25">
      <c r="B4310" s="120">
        <v>4307</v>
      </c>
      <c r="C4310" s="123">
        <v>10466017952</v>
      </c>
      <c r="D4310" s="126" t="s">
        <v>15596</v>
      </c>
      <c r="E4310" s="126" t="s">
        <v>15597</v>
      </c>
      <c r="F4310" s="123" t="s">
        <v>30</v>
      </c>
      <c r="G4310" s="123" t="s">
        <v>30</v>
      </c>
      <c r="H4310" s="123" t="s">
        <v>72</v>
      </c>
      <c r="I4310" s="126" t="s">
        <v>1701</v>
      </c>
      <c r="J4310" s="123" t="s">
        <v>15598</v>
      </c>
      <c r="K4310" s="123" t="s">
        <v>15596</v>
      </c>
      <c r="L4310" s="131" t="s">
        <v>100</v>
      </c>
      <c r="M4310" s="135" t="s">
        <v>845</v>
      </c>
      <c r="N4310" s="123" t="s">
        <v>845</v>
      </c>
    </row>
    <row r="4311" spans="2:14" hidden="1" x14ac:dyDescent="0.25">
      <c r="B4311" s="120">
        <v>4308</v>
      </c>
      <c r="C4311" s="123">
        <v>10440928248</v>
      </c>
      <c r="D4311" s="126" t="s">
        <v>15599</v>
      </c>
      <c r="E4311" s="126" t="s">
        <v>15600</v>
      </c>
      <c r="F4311" s="123" t="s">
        <v>67</v>
      </c>
      <c r="G4311" s="123" t="s">
        <v>67</v>
      </c>
      <c r="H4311" s="123" t="s">
        <v>94</v>
      </c>
      <c r="I4311" s="126" t="s">
        <v>1931</v>
      </c>
      <c r="J4311" s="123" t="s">
        <v>15601</v>
      </c>
      <c r="K4311" s="123" t="s">
        <v>15599</v>
      </c>
      <c r="L4311" s="131" t="s">
        <v>100</v>
      </c>
      <c r="M4311" s="135" t="s">
        <v>845</v>
      </c>
      <c r="N4311" s="123" t="s">
        <v>845</v>
      </c>
    </row>
    <row r="4312" spans="2:14" hidden="1" x14ac:dyDescent="0.25">
      <c r="B4312" s="120">
        <v>4309</v>
      </c>
      <c r="C4312" s="123">
        <v>10700976608</v>
      </c>
      <c r="D4312" s="126" t="s">
        <v>15602</v>
      </c>
      <c r="E4312" s="126" t="s">
        <v>15603</v>
      </c>
      <c r="F4312" s="123" t="s">
        <v>30</v>
      </c>
      <c r="G4312" s="123" t="s">
        <v>31</v>
      </c>
      <c r="H4312" s="123" t="s">
        <v>32</v>
      </c>
      <c r="I4312" s="126" t="s">
        <v>2460</v>
      </c>
      <c r="J4312" s="123" t="s">
        <v>15604</v>
      </c>
      <c r="K4312" s="123" t="s">
        <v>15602</v>
      </c>
      <c r="L4312" s="131" t="s">
        <v>100</v>
      </c>
      <c r="M4312" s="135" t="s">
        <v>845</v>
      </c>
      <c r="N4312" s="123" t="s">
        <v>845</v>
      </c>
    </row>
    <row r="4313" spans="2:14" hidden="1" x14ac:dyDescent="0.25">
      <c r="B4313" s="120">
        <v>4310</v>
      </c>
      <c r="C4313" s="123">
        <v>10750754568</v>
      </c>
      <c r="D4313" s="126" t="s">
        <v>15605</v>
      </c>
      <c r="E4313" s="126" t="s">
        <v>15606</v>
      </c>
      <c r="F4313" s="123" t="s">
        <v>30</v>
      </c>
      <c r="G4313" s="123" t="s">
        <v>30</v>
      </c>
      <c r="H4313" s="123" t="s">
        <v>52</v>
      </c>
      <c r="I4313" s="126" t="s">
        <v>1931</v>
      </c>
      <c r="J4313" s="123" t="s">
        <v>15607</v>
      </c>
      <c r="K4313" s="123" t="s">
        <v>15605</v>
      </c>
      <c r="L4313" s="131" t="s">
        <v>100</v>
      </c>
      <c r="M4313" s="135" t="s">
        <v>845</v>
      </c>
      <c r="N4313" s="123" t="s">
        <v>845</v>
      </c>
    </row>
    <row r="4314" spans="2:14" hidden="1" x14ac:dyDescent="0.25">
      <c r="B4314" s="120">
        <v>4311</v>
      </c>
      <c r="C4314" s="123">
        <v>10801346176</v>
      </c>
      <c r="D4314" s="126" t="s">
        <v>15608</v>
      </c>
      <c r="E4314" s="126" t="s">
        <v>15609</v>
      </c>
      <c r="F4314" s="123" t="s">
        <v>30</v>
      </c>
      <c r="G4314" s="123" t="s">
        <v>30</v>
      </c>
      <c r="H4314" s="123" t="s">
        <v>30</v>
      </c>
      <c r="I4314" s="126" t="s">
        <v>1952</v>
      </c>
      <c r="J4314" s="123" t="s">
        <v>15610</v>
      </c>
      <c r="K4314" s="123" t="s">
        <v>15608</v>
      </c>
      <c r="L4314" s="131" t="s">
        <v>100</v>
      </c>
      <c r="M4314" s="135" t="s">
        <v>845</v>
      </c>
      <c r="N4314" s="123" t="s">
        <v>845</v>
      </c>
    </row>
    <row r="4315" spans="2:14" hidden="1" x14ac:dyDescent="0.25">
      <c r="B4315" s="120">
        <v>4312</v>
      </c>
      <c r="C4315" s="123">
        <v>10404586187</v>
      </c>
      <c r="D4315" s="126" t="s">
        <v>15611</v>
      </c>
      <c r="E4315" s="126" t="s">
        <v>15612</v>
      </c>
      <c r="F4315" s="123" t="s">
        <v>30</v>
      </c>
      <c r="G4315" s="123" t="s">
        <v>30</v>
      </c>
      <c r="H4315" s="123" t="s">
        <v>51</v>
      </c>
      <c r="I4315" s="126" t="s">
        <v>1950</v>
      </c>
      <c r="J4315" s="123" t="s">
        <v>15613</v>
      </c>
      <c r="K4315" s="123" t="s">
        <v>15611</v>
      </c>
      <c r="L4315" s="131" t="s">
        <v>100</v>
      </c>
      <c r="M4315" s="135" t="s">
        <v>845</v>
      </c>
      <c r="N4315" s="123" t="s">
        <v>845</v>
      </c>
    </row>
    <row r="4316" spans="2:14" hidden="1" x14ac:dyDescent="0.25">
      <c r="B4316" s="120">
        <v>4313</v>
      </c>
      <c r="C4316" s="123">
        <v>10099742262</v>
      </c>
      <c r="D4316" s="126" t="s">
        <v>15614</v>
      </c>
      <c r="E4316" s="126" t="s">
        <v>15615</v>
      </c>
      <c r="F4316" s="123" t="s">
        <v>30</v>
      </c>
      <c r="G4316" s="123" t="s">
        <v>30</v>
      </c>
      <c r="H4316" s="123" t="s">
        <v>30</v>
      </c>
      <c r="I4316" s="126" t="s">
        <v>1930</v>
      </c>
      <c r="J4316" s="123" t="s">
        <v>15616</v>
      </c>
      <c r="K4316" s="123" t="s">
        <v>15617</v>
      </c>
      <c r="L4316" s="131" t="s">
        <v>100</v>
      </c>
      <c r="M4316" s="135" t="s">
        <v>845</v>
      </c>
      <c r="N4316" s="123" t="s">
        <v>845</v>
      </c>
    </row>
    <row r="4317" spans="2:14" hidden="1" x14ac:dyDescent="0.25">
      <c r="B4317" s="120">
        <v>4314</v>
      </c>
      <c r="C4317" s="123">
        <v>10106125711</v>
      </c>
      <c r="D4317" s="126" t="s">
        <v>15618</v>
      </c>
      <c r="E4317" s="126" t="s">
        <v>15619</v>
      </c>
      <c r="F4317" s="123" t="s">
        <v>30</v>
      </c>
      <c r="G4317" s="123" t="s">
        <v>31</v>
      </c>
      <c r="H4317" s="123" t="s">
        <v>9381</v>
      </c>
      <c r="I4317" s="126" t="s">
        <v>1701</v>
      </c>
      <c r="J4317" s="123" t="s">
        <v>15620</v>
      </c>
      <c r="K4317" s="123" t="s">
        <v>15618</v>
      </c>
      <c r="L4317" s="131" t="s">
        <v>100</v>
      </c>
      <c r="M4317" s="135" t="s">
        <v>845</v>
      </c>
      <c r="N4317" s="123" t="s">
        <v>845</v>
      </c>
    </row>
    <row r="4318" spans="2:14" hidden="1" x14ac:dyDescent="0.25">
      <c r="B4318" s="120">
        <v>4315</v>
      </c>
      <c r="C4318" s="123">
        <v>10154340195</v>
      </c>
      <c r="D4318" s="126" t="s">
        <v>15621</v>
      </c>
      <c r="E4318" s="126" t="s">
        <v>15622</v>
      </c>
      <c r="F4318" s="123" t="s">
        <v>30</v>
      </c>
      <c r="G4318" s="123" t="s">
        <v>31</v>
      </c>
      <c r="H4318" s="123" t="s">
        <v>32</v>
      </c>
      <c r="I4318" s="126" t="s">
        <v>8743</v>
      </c>
      <c r="J4318" s="123" t="s">
        <v>15623</v>
      </c>
      <c r="K4318" s="123" t="s">
        <v>15621</v>
      </c>
      <c r="L4318" s="131" t="s">
        <v>100</v>
      </c>
      <c r="M4318" s="135" t="s">
        <v>845</v>
      </c>
      <c r="N4318" s="123" t="s">
        <v>845</v>
      </c>
    </row>
    <row r="4319" spans="2:14" hidden="1" x14ac:dyDescent="0.25">
      <c r="B4319" s="120">
        <v>4316</v>
      </c>
      <c r="C4319" s="123">
        <v>10463020235</v>
      </c>
      <c r="D4319" s="126" t="s">
        <v>15624</v>
      </c>
      <c r="E4319" s="126" t="s">
        <v>15625</v>
      </c>
      <c r="F4319" s="123" t="s">
        <v>30</v>
      </c>
      <c r="G4319" s="123" t="s">
        <v>168</v>
      </c>
      <c r="H4319" s="123" t="s">
        <v>168</v>
      </c>
      <c r="I4319" s="126" t="s">
        <v>1939</v>
      </c>
      <c r="J4319" s="123" t="s">
        <v>15626</v>
      </c>
      <c r="K4319" s="123" t="s">
        <v>15624</v>
      </c>
      <c r="L4319" s="131" t="s">
        <v>100</v>
      </c>
      <c r="M4319" s="135" t="s">
        <v>845</v>
      </c>
      <c r="N4319" s="123" t="s">
        <v>845</v>
      </c>
    </row>
    <row r="4320" spans="2:14" hidden="1" x14ac:dyDescent="0.25">
      <c r="B4320" s="120">
        <v>4317</v>
      </c>
      <c r="C4320" s="123">
        <v>10487699140</v>
      </c>
      <c r="D4320" s="126" t="s">
        <v>15627</v>
      </c>
      <c r="E4320" s="126" t="s">
        <v>15628</v>
      </c>
      <c r="F4320" s="123" t="s">
        <v>30</v>
      </c>
      <c r="G4320" s="123" t="s">
        <v>54</v>
      </c>
      <c r="H4320" s="123" t="s">
        <v>54</v>
      </c>
      <c r="I4320" s="126" t="s">
        <v>1701</v>
      </c>
      <c r="J4320" s="123" t="s">
        <v>15629</v>
      </c>
      <c r="K4320" s="123" t="s">
        <v>15627</v>
      </c>
      <c r="L4320" s="131" t="s">
        <v>100</v>
      </c>
      <c r="M4320" s="135" t="s">
        <v>845</v>
      </c>
      <c r="N4320" s="123" t="s">
        <v>845</v>
      </c>
    </row>
    <row r="4321" spans="2:14" hidden="1" x14ac:dyDescent="0.25">
      <c r="B4321" s="120">
        <v>4318</v>
      </c>
      <c r="C4321" s="123">
        <v>10485521823</v>
      </c>
      <c r="D4321" s="126" t="s">
        <v>15630</v>
      </c>
      <c r="E4321" s="126" t="s">
        <v>15631</v>
      </c>
      <c r="F4321" s="123" t="s">
        <v>30</v>
      </c>
      <c r="G4321" s="123" t="s">
        <v>30</v>
      </c>
      <c r="H4321" s="123" t="s">
        <v>43</v>
      </c>
      <c r="I4321" s="126" t="s">
        <v>1424</v>
      </c>
      <c r="J4321" s="123" t="s">
        <v>15632</v>
      </c>
      <c r="K4321" s="123" t="s">
        <v>15633</v>
      </c>
      <c r="L4321" s="131" t="s">
        <v>100</v>
      </c>
      <c r="M4321" s="135" t="s">
        <v>845</v>
      </c>
      <c r="N4321" s="123" t="s">
        <v>845</v>
      </c>
    </row>
    <row r="4322" spans="2:14" hidden="1" x14ac:dyDescent="0.25">
      <c r="B4322" s="120">
        <v>4319</v>
      </c>
      <c r="C4322" s="123">
        <v>10181217303</v>
      </c>
      <c r="D4322" s="126" t="s">
        <v>15634</v>
      </c>
      <c r="E4322" s="126" t="s">
        <v>15635</v>
      </c>
      <c r="F4322" s="123" t="s">
        <v>30</v>
      </c>
      <c r="G4322" s="123" t="s">
        <v>168</v>
      </c>
      <c r="H4322" s="123" t="s">
        <v>168</v>
      </c>
      <c r="I4322" s="126" t="s">
        <v>1701</v>
      </c>
      <c r="J4322" s="123" t="s">
        <v>15636</v>
      </c>
      <c r="K4322" s="123" t="s">
        <v>15634</v>
      </c>
      <c r="L4322" s="131" t="s">
        <v>100</v>
      </c>
      <c r="M4322" s="135" t="s">
        <v>845</v>
      </c>
      <c r="N4322" s="123" t="s">
        <v>845</v>
      </c>
    </row>
    <row r="4323" spans="2:14" hidden="1" x14ac:dyDescent="0.25">
      <c r="B4323" s="120">
        <v>4320</v>
      </c>
      <c r="C4323" s="123">
        <v>17303658441</v>
      </c>
      <c r="D4323" s="126" t="s">
        <v>15637</v>
      </c>
      <c r="E4323" s="126" t="s">
        <v>15638</v>
      </c>
      <c r="F4323" s="123" t="s">
        <v>30</v>
      </c>
      <c r="G4323" s="123" t="s">
        <v>30</v>
      </c>
      <c r="H4323" s="123" t="s">
        <v>72</v>
      </c>
      <c r="I4323" s="126" t="s">
        <v>15639</v>
      </c>
      <c r="J4323" s="123" t="s">
        <v>15640</v>
      </c>
      <c r="K4323" s="123" t="s">
        <v>15637</v>
      </c>
      <c r="L4323" s="131" t="s">
        <v>100</v>
      </c>
      <c r="M4323" s="135" t="s">
        <v>845</v>
      </c>
      <c r="N4323" s="123" t="s">
        <v>845</v>
      </c>
    </row>
    <row r="4324" spans="2:14" hidden="1" x14ac:dyDescent="0.25">
      <c r="B4324" s="120">
        <v>4321</v>
      </c>
      <c r="C4324" s="123">
        <v>10097227875</v>
      </c>
      <c r="D4324" s="126" t="s">
        <v>15641</v>
      </c>
      <c r="E4324" s="126" t="s">
        <v>15642</v>
      </c>
      <c r="F4324" s="123" t="s">
        <v>30</v>
      </c>
      <c r="G4324" s="123" t="s">
        <v>30</v>
      </c>
      <c r="H4324" s="123" t="s">
        <v>68</v>
      </c>
      <c r="I4324" s="126" t="s">
        <v>14002</v>
      </c>
      <c r="J4324" s="123" t="s">
        <v>15643</v>
      </c>
      <c r="K4324" s="123" t="s">
        <v>15641</v>
      </c>
      <c r="L4324" s="131" t="s">
        <v>100</v>
      </c>
      <c r="M4324" s="135" t="s">
        <v>845</v>
      </c>
      <c r="N4324" s="123" t="s">
        <v>845</v>
      </c>
    </row>
    <row r="4325" spans="2:14" hidden="1" x14ac:dyDescent="0.25">
      <c r="B4325" s="120">
        <v>4322</v>
      </c>
      <c r="C4325" s="123">
        <v>10255453063</v>
      </c>
      <c r="D4325" s="126" t="s">
        <v>15644</v>
      </c>
      <c r="E4325" s="126" t="s">
        <v>15645</v>
      </c>
      <c r="F4325" s="123" t="s">
        <v>67</v>
      </c>
      <c r="G4325" s="123" t="s">
        <v>67</v>
      </c>
      <c r="H4325" s="123" t="s">
        <v>67</v>
      </c>
      <c r="I4325" s="126" t="s">
        <v>1945</v>
      </c>
      <c r="J4325" s="123" t="s">
        <v>15646</v>
      </c>
      <c r="K4325" s="123" t="s">
        <v>15644</v>
      </c>
      <c r="L4325" s="131" t="s">
        <v>100</v>
      </c>
      <c r="M4325" s="135" t="s">
        <v>845</v>
      </c>
      <c r="N4325" s="123" t="s">
        <v>845</v>
      </c>
    </row>
    <row r="4326" spans="2:14" hidden="1" x14ac:dyDescent="0.25">
      <c r="B4326" s="120">
        <v>4323</v>
      </c>
      <c r="C4326" s="123">
        <v>10758585811</v>
      </c>
      <c r="D4326" s="126" t="s">
        <v>15647</v>
      </c>
      <c r="E4326" s="126" t="s">
        <v>15648</v>
      </c>
      <c r="F4326" s="123" t="s">
        <v>93</v>
      </c>
      <c r="G4326" s="123" t="s">
        <v>160</v>
      </c>
      <c r="H4326" s="123" t="s">
        <v>15649</v>
      </c>
      <c r="I4326" s="126" t="s">
        <v>15650</v>
      </c>
      <c r="J4326" s="123" t="s">
        <v>15651</v>
      </c>
      <c r="K4326" s="123" t="s">
        <v>15647</v>
      </c>
      <c r="L4326" s="131" t="s">
        <v>100</v>
      </c>
      <c r="M4326" s="135" t="s">
        <v>845</v>
      </c>
      <c r="N4326" s="123" t="s">
        <v>845</v>
      </c>
    </row>
    <row r="4327" spans="2:14" hidden="1" x14ac:dyDescent="0.25">
      <c r="B4327" s="120">
        <v>4324</v>
      </c>
      <c r="C4327" s="123">
        <v>10456104903</v>
      </c>
      <c r="D4327" s="126" t="s">
        <v>15652</v>
      </c>
      <c r="E4327" s="126" t="s">
        <v>15653</v>
      </c>
      <c r="F4327" s="123" t="s">
        <v>30</v>
      </c>
      <c r="G4327" s="123" t="s">
        <v>30</v>
      </c>
      <c r="H4327" s="123" t="s">
        <v>88</v>
      </c>
      <c r="I4327" s="126" t="s">
        <v>1701</v>
      </c>
      <c r="J4327" s="123" t="s">
        <v>15654</v>
      </c>
      <c r="K4327" s="123" t="s">
        <v>15652</v>
      </c>
      <c r="L4327" s="131" t="s">
        <v>100</v>
      </c>
      <c r="M4327" s="135" t="s">
        <v>845</v>
      </c>
      <c r="N4327" s="123" t="s">
        <v>845</v>
      </c>
    </row>
    <row r="4328" spans="2:14" hidden="1" x14ac:dyDescent="0.25">
      <c r="B4328" s="120">
        <v>4325</v>
      </c>
      <c r="C4328" s="123">
        <v>10749954502</v>
      </c>
      <c r="D4328" s="126" t="s">
        <v>15655</v>
      </c>
      <c r="E4328" s="126" t="s">
        <v>15656</v>
      </c>
      <c r="F4328" s="123" t="s">
        <v>30</v>
      </c>
      <c r="G4328" s="123" t="s">
        <v>54</v>
      </c>
      <c r="H4328" s="123" t="s">
        <v>54</v>
      </c>
      <c r="I4328" s="126" t="s">
        <v>1969</v>
      </c>
      <c r="J4328" s="123" t="s">
        <v>15657</v>
      </c>
      <c r="K4328" s="123" t="s">
        <v>15655</v>
      </c>
      <c r="L4328" s="131" t="s">
        <v>100</v>
      </c>
      <c r="M4328" s="135" t="s">
        <v>845</v>
      </c>
      <c r="N4328" s="123" t="s">
        <v>845</v>
      </c>
    </row>
    <row r="4329" spans="2:14" hidden="1" x14ac:dyDescent="0.25">
      <c r="B4329" s="120">
        <v>4326</v>
      </c>
      <c r="C4329" s="123">
        <v>10456029324</v>
      </c>
      <c r="D4329" s="126" t="s">
        <v>15658</v>
      </c>
      <c r="E4329" s="126" t="s">
        <v>15659</v>
      </c>
      <c r="F4329" s="123" t="s">
        <v>30</v>
      </c>
      <c r="G4329" s="123" t="s">
        <v>30</v>
      </c>
      <c r="H4329" s="123" t="s">
        <v>35</v>
      </c>
      <c r="I4329" s="126" t="s">
        <v>1701</v>
      </c>
      <c r="J4329" s="123" t="s">
        <v>15660</v>
      </c>
      <c r="K4329" s="123" t="s">
        <v>15658</v>
      </c>
      <c r="L4329" s="131" t="s">
        <v>100</v>
      </c>
      <c r="M4329" s="135" t="s">
        <v>845</v>
      </c>
      <c r="N4329" s="123" t="s">
        <v>845</v>
      </c>
    </row>
    <row r="4330" spans="2:14" hidden="1" x14ac:dyDescent="0.25">
      <c r="B4330" s="120">
        <v>4327</v>
      </c>
      <c r="C4330" s="123">
        <v>15610916209</v>
      </c>
      <c r="D4330" s="126" t="s">
        <v>15661</v>
      </c>
      <c r="E4330" s="126" t="s">
        <v>15662</v>
      </c>
      <c r="F4330" s="123" t="s">
        <v>30</v>
      </c>
      <c r="G4330" s="123" t="s">
        <v>30</v>
      </c>
      <c r="H4330" s="123" t="s">
        <v>30</v>
      </c>
      <c r="I4330" s="126" t="s">
        <v>15663</v>
      </c>
      <c r="J4330" s="123" t="s">
        <v>15664</v>
      </c>
      <c r="K4330" s="123" t="s">
        <v>15661</v>
      </c>
      <c r="L4330" s="131" t="s">
        <v>100</v>
      </c>
      <c r="M4330" s="135" t="s">
        <v>845</v>
      </c>
      <c r="N4330" s="123" t="s">
        <v>845</v>
      </c>
    </row>
    <row r="4331" spans="2:14" hidden="1" x14ac:dyDescent="0.25">
      <c r="B4331" s="120">
        <v>4328</v>
      </c>
      <c r="C4331" s="123">
        <v>10709877980</v>
      </c>
      <c r="D4331" s="126" t="s">
        <v>15665</v>
      </c>
      <c r="E4331" s="126" t="s">
        <v>15666</v>
      </c>
      <c r="F4331" s="123" t="s">
        <v>30</v>
      </c>
      <c r="G4331" s="123" t="s">
        <v>30</v>
      </c>
      <c r="H4331" s="123" t="s">
        <v>60</v>
      </c>
      <c r="I4331" s="126" t="s">
        <v>9960</v>
      </c>
      <c r="J4331" s="123" t="s">
        <v>15667</v>
      </c>
      <c r="K4331" s="123" t="s">
        <v>15668</v>
      </c>
      <c r="L4331" s="131" t="s">
        <v>100</v>
      </c>
      <c r="M4331" s="135" t="s">
        <v>845</v>
      </c>
      <c r="N4331" s="123" t="s">
        <v>845</v>
      </c>
    </row>
    <row r="4332" spans="2:14" hidden="1" x14ac:dyDescent="0.25">
      <c r="B4332" s="120">
        <v>4329</v>
      </c>
      <c r="C4332" s="123">
        <v>10256937676</v>
      </c>
      <c r="D4332" s="126" t="s">
        <v>15669</v>
      </c>
      <c r="E4332" s="126" t="s">
        <v>15670</v>
      </c>
      <c r="F4332" s="123" t="s">
        <v>67</v>
      </c>
      <c r="G4332" s="123" t="s">
        <v>67</v>
      </c>
      <c r="H4332" s="123" t="s">
        <v>94</v>
      </c>
      <c r="I4332" s="126" t="s">
        <v>9385</v>
      </c>
      <c r="J4332" s="123" t="s">
        <v>15671</v>
      </c>
      <c r="K4332" s="123" t="s">
        <v>15669</v>
      </c>
      <c r="L4332" s="131" t="s">
        <v>100</v>
      </c>
      <c r="M4332" s="135" t="s">
        <v>845</v>
      </c>
      <c r="N4332" s="123" t="s">
        <v>845</v>
      </c>
    </row>
    <row r="4333" spans="2:14" hidden="1" x14ac:dyDescent="0.25">
      <c r="B4333" s="120">
        <v>4330</v>
      </c>
      <c r="C4333" s="123">
        <v>10417537908</v>
      </c>
      <c r="D4333" s="126" t="s">
        <v>15672</v>
      </c>
      <c r="E4333" s="126" t="s">
        <v>15673</v>
      </c>
      <c r="F4333" s="123" t="s">
        <v>30</v>
      </c>
      <c r="G4333" s="123" t="s">
        <v>30</v>
      </c>
      <c r="H4333" s="123" t="s">
        <v>45</v>
      </c>
      <c r="I4333" s="126" t="s">
        <v>1952</v>
      </c>
      <c r="J4333" s="123" t="s">
        <v>15674</v>
      </c>
      <c r="K4333" s="123" t="s">
        <v>15672</v>
      </c>
      <c r="L4333" s="131" t="s">
        <v>100</v>
      </c>
      <c r="M4333" s="135" t="s">
        <v>845</v>
      </c>
      <c r="N4333" s="123" t="s">
        <v>845</v>
      </c>
    </row>
    <row r="4334" spans="2:14" hidden="1" x14ac:dyDescent="0.25">
      <c r="B4334" s="120">
        <v>4331</v>
      </c>
      <c r="C4334" s="123">
        <v>10431958185</v>
      </c>
      <c r="D4334" s="126" t="s">
        <v>15675</v>
      </c>
      <c r="E4334" s="126" t="s">
        <v>15676</v>
      </c>
      <c r="F4334" s="123" t="s">
        <v>30</v>
      </c>
      <c r="G4334" s="123" t="s">
        <v>30</v>
      </c>
      <c r="H4334" s="123" t="s">
        <v>51</v>
      </c>
      <c r="I4334" s="126" t="s">
        <v>1564</v>
      </c>
      <c r="J4334" s="123" t="s">
        <v>15677</v>
      </c>
      <c r="K4334" s="123" t="s">
        <v>15675</v>
      </c>
      <c r="L4334" s="131" t="s">
        <v>100</v>
      </c>
      <c r="M4334" s="135" t="s">
        <v>845</v>
      </c>
      <c r="N4334" s="123" t="s">
        <v>845</v>
      </c>
    </row>
    <row r="4335" spans="2:14" hidden="1" x14ac:dyDescent="0.25">
      <c r="B4335" s="120">
        <v>4332</v>
      </c>
      <c r="C4335" s="123">
        <v>10070114122</v>
      </c>
      <c r="D4335" s="126" t="s">
        <v>15678</v>
      </c>
      <c r="E4335" s="126" t="s">
        <v>15679</v>
      </c>
      <c r="F4335" s="123" t="s">
        <v>30</v>
      </c>
      <c r="G4335" s="123" t="s">
        <v>30</v>
      </c>
      <c r="H4335" s="123" t="s">
        <v>60</v>
      </c>
      <c r="I4335" s="126" t="s">
        <v>1947</v>
      </c>
      <c r="J4335" s="123" t="s">
        <v>15680</v>
      </c>
      <c r="K4335" s="123" t="s">
        <v>15681</v>
      </c>
      <c r="L4335" s="131" t="s">
        <v>100</v>
      </c>
      <c r="M4335" s="135" t="s">
        <v>845</v>
      </c>
      <c r="N4335" s="123" t="s">
        <v>845</v>
      </c>
    </row>
    <row r="4336" spans="2:14" hidden="1" x14ac:dyDescent="0.25">
      <c r="B4336" s="120">
        <v>4333</v>
      </c>
      <c r="C4336" s="123">
        <v>10278474751</v>
      </c>
      <c r="D4336" s="126" t="s">
        <v>15682</v>
      </c>
      <c r="E4336" s="126" t="s">
        <v>15683</v>
      </c>
      <c r="F4336" s="123" t="s">
        <v>30</v>
      </c>
      <c r="G4336" s="123" t="s">
        <v>30</v>
      </c>
      <c r="H4336" s="123" t="s">
        <v>41</v>
      </c>
      <c r="I4336" s="126" t="s">
        <v>1701</v>
      </c>
      <c r="J4336" s="123" t="s">
        <v>15684</v>
      </c>
      <c r="K4336" s="123" t="s">
        <v>15682</v>
      </c>
      <c r="L4336" s="131" t="s">
        <v>100</v>
      </c>
      <c r="M4336" s="135" t="s">
        <v>845</v>
      </c>
      <c r="N4336" s="123" t="s">
        <v>845</v>
      </c>
    </row>
    <row r="4337" spans="2:14" hidden="1" x14ac:dyDescent="0.25">
      <c r="B4337" s="120">
        <v>4334</v>
      </c>
      <c r="C4337" s="123">
        <v>10746477797</v>
      </c>
      <c r="D4337" s="126" t="s">
        <v>15685</v>
      </c>
      <c r="E4337" s="126" t="s">
        <v>15686</v>
      </c>
      <c r="F4337" s="123" t="s">
        <v>30</v>
      </c>
      <c r="G4337" s="123" t="s">
        <v>30</v>
      </c>
      <c r="H4337" s="123" t="s">
        <v>60</v>
      </c>
      <c r="I4337" s="126" t="s">
        <v>288</v>
      </c>
      <c r="J4337" s="123" t="s">
        <v>15687</v>
      </c>
      <c r="K4337" s="123" t="s">
        <v>15688</v>
      </c>
      <c r="L4337" s="131" t="s">
        <v>100</v>
      </c>
      <c r="M4337" s="135" t="s">
        <v>845</v>
      </c>
      <c r="N4337" s="123" t="s">
        <v>845</v>
      </c>
    </row>
    <row r="4338" spans="2:14" hidden="1" x14ac:dyDescent="0.25">
      <c r="B4338" s="120">
        <v>4335</v>
      </c>
      <c r="C4338" s="123">
        <v>10410190431</v>
      </c>
      <c r="D4338" s="126" t="s">
        <v>15689</v>
      </c>
      <c r="E4338" s="126" t="s">
        <v>15690</v>
      </c>
      <c r="F4338" s="123" t="s">
        <v>30</v>
      </c>
      <c r="G4338" s="123" t="s">
        <v>170</v>
      </c>
      <c r="H4338" s="123" t="s">
        <v>170</v>
      </c>
      <c r="I4338" s="126" t="s">
        <v>1737</v>
      </c>
      <c r="J4338" s="123" t="s">
        <v>15691</v>
      </c>
      <c r="K4338" s="123" t="s">
        <v>15689</v>
      </c>
      <c r="L4338" s="131" t="s">
        <v>100</v>
      </c>
      <c r="M4338" s="135" t="s">
        <v>845</v>
      </c>
      <c r="N4338" s="123" t="s">
        <v>845</v>
      </c>
    </row>
    <row r="4339" spans="2:14" hidden="1" x14ac:dyDescent="0.25">
      <c r="B4339" s="120">
        <v>4336</v>
      </c>
      <c r="C4339" s="123">
        <v>10416239211</v>
      </c>
      <c r="D4339" s="126" t="s">
        <v>15692</v>
      </c>
      <c r="E4339" s="126" t="s">
        <v>15693</v>
      </c>
      <c r="F4339" s="123" t="s">
        <v>30</v>
      </c>
      <c r="G4339" s="123" t="s">
        <v>30</v>
      </c>
      <c r="H4339" s="123" t="s">
        <v>43</v>
      </c>
      <c r="I4339" s="126" t="s">
        <v>1737</v>
      </c>
      <c r="J4339" s="123" t="s">
        <v>15694</v>
      </c>
      <c r="K4339" s="123" t="s">
        <v>15692</v>
      </c>
      <c r="L4339" s="131" t="s">
        <v>100</v>
      </c>
      <c r="M4339" s="135" t="s">
        <v>845</v>
      </c>
      <c r="N4339" s="123" t="s">
        <v>845</v>
      </c>
    </row>
    <row r="4340" spans="2:14" hidden="1" x14ac:dyDescent="0.25">
      <c r="B4340" s="120">
        <v>4337</v>
      </c>
      <c r="C4340" s="123">
        <v>10762992553</v>
      </c>
      <c r="D4340" s="126" t="s">
        <v>15695</v>
      </c>
      <c r="E4340" s="126" t="s">
        <v>15696</v>
      </c>
      <c r="F4340" s="123" t="s">
        <v>30</v>
      </c>
      <c r="G4340" s="123" t="s">
        <v>30</v>
      </c>
      <c r="H4340" s="123" t="s">
        <v>51</v>
      </c>
      <c r="I4340" s="126" t="s">
        <v>15356</v>
      </c>
      <c r="J4340" s="123" t="s">
        <v>15697</v>
      </c>
      <c r="K4340" s="123" t="s">
        <v>15698</v>
      </c>
      <c r="L4340" s="131" t="s">
        <v>100</v>
      </c>
      <c r="M4340" s="135" t="s">
        <v>845</v>
      </c>
      <c r="N4340" s="123" t="s">
        <v>845</v>
      </c>
    </row>
    <row r="4341" spans="2:14" hidden="1" x14ac:dyDescent="0.25">
      <c r="B4341" s="120">
        <v>4338</v>
      </c>
      <c r="C4341" s="123">
        <v>10706885205</v>
      </c>
      <c r="D4341" s="126" t="s">
        <v>15699</v>
      </c>
      <c r="E4341" s="126" t="s">
        <v>15700</v>
      </c>
      <c r="F4341" s="123" t="s">
        <v>30</v>
      </c>
      <c r="G4341" s="123" t="s">
        <v>30</v>
      </c>
      <c r="H4341" s="123" t="s">
        <v>50</v>
      </c>
      <c r="I4341" s="126" t="s">
        <v>1564</v>
      </c>
      <c r="J4341" s="123" t="s">
        <v>15701</v>
      </c>
      <c r="K4341" s="123" t="s">
        <v>15702</v>
      </c>
      <c r="L4341" s="131" t="s">
        <v>100</v>
      </c>
      <c r="M4341" s="135" t="s">
        <v>845</v>
      </c>
      <c r="N4341" s="123" t="s">
        <v>845</v>
      </c>
    </row>
    <row r="4342" spans="2:14" hidden="1" x14ac:dyDescent="0.25">
      <c r="B4342" s="120">
        <v>4339</v>
      </c>
      <c r="C4342" s="123">
        <v>10413960601</v>
      </c>
      <c r="D4342" s="126" t="s">
        <v>15703</v>
      </c>
      <c r="E4342" s="126" t="s">
        <v>15704</v>
      </c>
      <c r="F4342" s="123" t="s">
        <v>30</v>
      </c>
      <c r="G4342" s="123" t="s">
        <v>30</v>
      </c>
      <c r="H4342" s="123" t="s">
        <v>58</v>
      </c>
      <c r="I4342" s="126" t="s">
        <v>13402</v>
      </c>
      <c r="J4342" s="123" t="s">
        <v>15705</v>
      </c>
      <c r="K4342" s="123" t="s">
        <v>15706</v>
      </c>
      <c r="L4342" s="131" t="s">
        <v>100</v>
      </c>
      <c r="M4342" s="135" t="s">
        <v>845</v>
      </c>
      <c r="N4342" s="123" t="s">
        <v>845</v>
      </c>
    </row>
    <row r="4343" spans="2:14" hidden="1" x14ac:dyDescent="0.25">
      <c r="B4343" s="120">
        <v>4340</v>
      </c>
      <c r="C4343" s="123">
        <v>10157274045</v>
      </c>
      <c r="D4343" s="126" t="s">
        <v>15707</v>
      </c>
      <c r="E4343" s="126" t="s">
        <v>15708</v>
      </c>
      <c r="F4343" s="123" t="s">
        <v>30</v>
      </c>
      <c r="G4343" s="123" t="s">
        <v>170</v>
      </c>
      <c r="H4343" s="123" t="s">
        <v>174</v>
      </c>
      <c r="I4343" s="126" t="s">
        <v>1701</v>
      </c>
      <c r="J4343" s="123" t="s">
        <v>15709</v>
      </c>
      <c r="K4343" s="123" t="s">
        <v>15707</v>
      </c>
      <c r="L4343" s="131" t="s">
        <v>100</v>
      </c>
      <c r="M4343" s="135" t="s">
        <v>845</v>
      </c>
      <c r="N4343" s="123" t="s">
        <v>845</v>
      </c>
    </row>
    <row r="4344" spans="2:14" hidden="1" x14ac:dyDescent="0.25">
      <c r="B4344" s="120">
        <v>4341</v>
      </c>
      <c r="C4344" s="123">
        <v>10157601356</v>
      </c>
      <c r="D4344" s="126" t="s">
        <v>15710</v>
      </c>
      <c r="E4344" s="126" t="s">
        <v>15711</v>
      </c>
      <c r="F4344" s="123" t="s">
        <v>30</v>
      </c>
      <c r="G4344" s="123" t="s">
        <v>170</v>
      </c>
      <c r="H4344" s="123" t="s">
        <v>174</v>
      </c>
      <c r="I4344" s="126" t="s">
        <v>3919</v>
      </c>
      <c r="J4344" s="123" t="s">
        <v>15712</v>
      </c>
      <c r="K4344" s="123" t="s">
        <v>15710</v>
      </c>
      <c r="L4344" s="131" t="s">
        <v>100</v>
      </c>
      <c r="M4344" s="135" t="s">
        <v>845</v>
      </c>
      <c r="N4344" s="123" t="s">
        <v>845</v>
      </c>
    </row>
    <row r="4345" spans="2:14" hidden="1" x14ac:dyDescent="0.25">
      <c r="B4345" s="120">
        <v>4342</v>
      </c>
      <c r="C4345" s="123">
        <v>10404424276</v>
      </c>
      <c r="D4345" s="126" t="s">
        <v>15713</v>
      </c>
      <c r="E4345" s="126" t="s">
        <v>15714</v>
      </c>
      <c r="F4345" s="123" t="s">
        <v>67</v>
      </c>
      <c r="G4345" s="123" t="s">
        <v>67</v>
      </c>
      <c r="H4345" s="123" t="s">
        <v>67</v>
      </c>
      <c r="I4345" s="126" t="s">
        <v>1507</v>
      </c>
      <c r="J4345" s="123" t="s">
        <v>15715</v>
      </c>
      <c r="K4345" s="123" t="s">
        <v>15713</v>
      </c>
      <c r="L4345" s="131" t="s">
        <v>100</v>
      </c>
      <c r="M4345" s="135" t="s">
        <v>845</v>
      </c>
      <c r="N4345" s="123" t="s">
        <v>845</v>
      </c>
    </row>
    <row r="4346" spans="2:14" hidden="1" x14ac:dyDescent="0.25">
      <c r="B4346" s="120">
        <v>4343</v>
      </c>
      <c r="C4346" s="123">
        <v>10098328586</v>
      </c>
      <c r="D4346" s="126" t="s">
        <v>15716</v>
      </c>
      <c r="E4346" s="126" t="s">
        <v>15717</v>
      </c>
      <c r="F4346" s="123" t="s">
        <v>30</v>
      </c>
      <c r="G4346" s="123" t="s">
        <v>30</v>
      </c>
      <c r="H4346" s="123" t="s">
        <v>60</v>
      </c>
      <c r="I4346" s="126" t="s">
        <v>11509</v>
      </c>
      <c r="J4346" s="123" t="s">
        <v>15718</v>
      </c>
      <c r="K4346" s="123" t="s">
        <v>15716</v>
      </c>
      <c r="L4346" s="131" t="s">
        <v>100</v>
      </c>
      <c r="M4346" s="135" t="s">
        <v>845</v>
      </c>
      <c r="N4346" s="123" t="s">
        <v>845</v>
      </c>
    </row>
    <row r="4347" spans="2:14" hidden="1" x14ac:dyDescent="0.25">
      <c r="B4347" s="120">
        <v>4344</v>
      </c>
      <c r="C4347" s="123">
        <v>10406780649</v>
      </c>
      <c r="D4347" s="126" t="s">
        <v>15719</v>
      </c>
      <c r="E4347" s="126" t="s">
        <v>15720</v>
      </c>
      <c r="F4347" s="123" t="s">
        <v>30</v>
      </c>
      <c r="G4347" s="123" t="s">
        <v>30</v>
      </c>
      <c r="H4347" s="123" t="s">
        <v>74</v>
      </c>
      <c r="I4347" s="126" t="s">
        <v>1969</v>
      </c>
      <c r="J4347" s="123" t="s">
        <v>15721</v>
      </c>
      <c r="K4347" s="123" t="s">
        <v>15719</v>
      </c>
      <c r="L4347" s="131" t="s">
        <v>100</v>
      </c>
      <c r="M4347" s="135" t="s">
        <v>845</v>
      </c>
      <c r="N4347" s="123" t="s">
        <v>845</v>
      </c>
    </row>
    <row r="4348" spans="2:14" hidden="1" x14ac:dyDescent="0.25">
      <c r="B4348" s="120">
        <v>4345</v>
      </c>
      <c r="C4348" s="123">
        <v>10405414550</v>
      </c>
      <c r="D4348" s="126" t="s">
        <v>15722</v>
      </c>
      <c r="E4348" s="126" t="s">
        <v>15723</v>
      </c>
      <c r="F4348" s="123" t="s">
        <v>30</v>
      </c>
      <c r="G4348" s="123" t="s">
        <v>170</v>
      </c>
      <c r="H4348" s="123" t="s">
        <v>174</v>
      </c>
      <c r="I4348" s="126" t="s">
        <v>1564</v>
      </c>
      <c r="J4348" s="123" t="s">
        <v>15724</v>
      </c>
      <c r="K4348" s="123" t="s">
        <v>15725</v>
      </c>
      <c r="L4348" s="131" t="s">
        <v>100</v>
      </c>
      <c r="M4348" s="135" t="s">
        <v>845</v>
      </c>
      <c r="N4348" s="123" t="s">
        <v>845</v>
      </c>
    </row>
    <row r="4349" spans="2:14" hidden="1" x14ac:dyDescent="0.25">
      <c r="B4349" s="120">
        <v>4346</v>
      </c>
      <c r="C4349" s="123">
        <v>10430059047</v>
      </c>
      <c r="D4349" s="126" t="s">
        <v>15726</v>
      </c>
      <c r="E4349" s="126" t="s">
        <v>15727</v>
      </c>
      <c r="F4349" s="123" t="s">
        <v>30</v>
      </c>
      <c r="G4349" s="123" t="s">
        <v>30</v>
      </c>
      <c r="H4349" s="123" t="s">
        <v>41</v>
      </c>
      <c r="I4349" s="126" t="s">
        <v>1484</v>
      </c>
      <c r="J4349" s="123" t="s">
        <v>15728</v>
      </c>
      <c r="K4349" s="123" t="s">
        <v>15726</v>
      </c>
      <c r="L4349" s="131" t="s">
        <v>100</v>
      </c>
      <c r="M4349" s="135" t="s">
        <v>845</v>
      </c>
      <c r="N4349" s="123" t="s">
        <v>845</v>
      </c>
    </row>
    <row r="4350" spans="2:14" hidden="1" x14ac:dyDescent="0.25">
      <c r="B4350" s="120">
        <v>4347</v>
      </c>
      <c r="C4350" s="123">
        <v>10413216945</v>
      </c>
      <c r="D4350" s="126" t="s">
        <v>15729</v>
      </c>
      <c r="E4350" s="126" t="s">
        <v>15730</v>
      </c>
      <c r="F4350" s="123" t="s">
        <v>30</v>
      </c>
      <c r="G4350" s="123" t="s">
        <v>30</v>
      </c>
      <c r="H4350" s="123" t="s">
        <v>45</v>
      </c>
      <c r="I4350" s="126" t="s">
        <v>1564</v>
      </c>
      <c r="J4350" s="123" t="s">
        <v>15731</v>
      </c>
      <c r="K4350" s="123" t="s">
        <v>15732</v>
      </c>
      <c r="L4350" s="131" t="s">
        <v>100</v>
      </c>
      <c r="M4350" s="135" t="s">
        <v>845</v>
      </c>
      <c r="N4350" s="123" t="s">
        <v>845</v>
      </c>
    </row>
    <row r="4351" spans="2:14" hidden="1" x14ac:dyDescent="0.25">
      <c r="B4351" s="120">
        <v>4348</v>
      </c>
      <c r="C4351" s="123">
        <v>10086056327</v>
      </c>
      <c r="D4351" s="126" t="s">
        <v>15733</v>
      </c>
      <c r="E4351" s="126" t="s">
        <v>15734</v>
      </c>
      <c r="F4351" s="123" t="s">
        <v>30</v>
      </c>
      <c r="G4351" s="123" t="s">
        <v>30</v>
      </c>
      <c r="H4351" s="123" t="s">
        <v>30</v>
      </c>
      <c r="I4351" s="126" t="s">
        <v>1507</v>
      </c>
      <c r="J4351" s="123" t="s">
        <v>15735</v>
      </c>
      <c r="K4351" s="123" t="s">
        <v>15733</v>
      </c>
      <c r="L4351" s="131" t="s">
        <v>100</v>
      </c>
      <c r="M4351" s="135" t="s">
        <v>845</v>
      </c>
      <c r="N4351" s="123" t="s">
        <v>845</v>
      </c>
    </row>
    <row r="4352" spans="2:14" hidden="1" x14ac:dyDescent="0.25">
      <c r="B4352" s="120">
        <v>4349</v>
      </c>
      <c r="C4352" s="123">
        <v>10426645811</v>
      </c>
      <c r="D4352" s="126" t="s">
        <v>15736</v>
      </c>
      <c r="E4352" s="126" t="s">
        <v>15737</v>
      </c>
      <c r="F4352" s="123" t="s">
        <v>30</v>
      </c>
      <c r="G4352" s="123" t="s">
        <v>30</v>
      </c>
      <c r="H4352" s="123" t="s">
        <v>50</v>
      </c>
      <c r="I4352" s="126" t="s">
        <v>1952</v>
      </c>
      <c r="J4352" s="123" t="s">
        <v>15738</v>
      </c>
      <c r="K4352" s="123" t="s">
        <v>15736</v>
      </c>
      <c r="L4352" s="131" t="s">
        <v>100</v>
      </c>
      <c r="M4352" s="135" t="s">
        <v>845</v>
      </c>
      <c r="N4352" s="123" t="s">
        <v>845</v>
      </c>
    </row>
    <row r="4353" spans="2:14" hidden="1" x14ac:dyDescent="0.25">
      <c r="B4353" s="120">
        <v>4350</v>
      </c>
      <c r="C4353" s="123">
        <v>10088962406</v>
      </c>
      <c r="D4353" s="126" t="s">
        <v>15739</v>
      </c>
      <c r="E4353" s="126" t="s">
        <v>15740</v>
      </c>
      <c r="F4353" s="123" t="s">
        <v>30</v>
      </c>
      <c r="G4353" s="123" t="s">
        <v>30</v>
      </c>
      <c r="H4353" s="123" t="s">
        <v>113</v>
      </c>
      <c r="I4353" s="126" t="s">
        <v>10025</v>
      </c>
      <c r="J4353" s="123" t="s">
        <v>15741</v>
      </c>
      <c r="K4353" s="123" t="s">
        <v>15742</v>
      </c>
      <c r="L4353" s="131" t="s">
        <v>100</v>
      </c>
      <c r="M4353" s="135" t="s">
        <v>845</v>
      </c>
      <c r="N4353" s="123" t="s">
        <v>845</v>
      </c>
    </row>
    <row r="4354" spans="2:14" hidden="1" x14ac:dyDescent="0.25">
      <c r="B4354" s="120">
        <v>4351</v>
      </c>
      <c r="C4354" s="123">
        <v>10449496642</v>
      </c>
      <c r="D4354" s="126" t="s">
        <v>15743</v>
      </c>
      <c r="E4354" s="126" t="s">
        <v>15744</v>
      </c>
      <c r="F4354" s="123" t="s">
        <v>30</v>
      </c>
      <c r="G4354" s="123" t="s">
        <v>30</v>
      </c>
      <c r="H4354" s="123" t="s">
        <v>79</v>
      </c>
      <c r="I4354" s="126" t="s">
        <v>8825</v>
      </c>
      <c r="J4354" s="123" t="s">
        <v>15745</v>
      </c>
      <c r="K4354" s="123" t="s">
        <v>15746</v>
      </c>
      <c r="L4354" s="131" t="s">
        <v>100</v>
      </c>
      <c r="M4354" s="135" t="s">
        <v>845</v>
      </c>
      <c r="N4354" s="123" t="s">
        <v>845</v>
      </c>
    </row>
    <row r="4355" spans="2:14" hidden="1" x14ac:dyDescent="0.25">
      <c r="B4355" s="120">
        <v>4352</v>
      </c>
      <c r="C4355" s="123">
        <v>10432647094</v>
      </c>
      <c r="D4355" s="126" t="s">
        <v>15747</v>
      </c>
      <c r="E4355" s="126" t="s">
        <v>15748</v>
      </c>
      <c r="F4355" s="123" t="s">
        <v>30</v>
      </c>
      <c r="G4355" s="123" t="s">
        <v>31</v>
      </c>
      <c r="H4355" s="123" t="s">
        <v>9381</v>
      </c>
      <c r="I4355" s="126" t="s">
        <v>1701</v>
      </c>
      <c r="J4355" s="123" t="s">
        <v>15749</v>
      </c>
      <c r="K4355" s="123" t="s">
        <v>15747</v>
      </c>
      <c r="L4355" s="131" t="s">
        <v>100</v>
      </c>
      <c r="M4355" s="135" t="s">
        <v>845</v>
      </c>
      <c r="N4355" s="123" t="s">
        <v>845</v>
      </c>
    </row>
    <row r="4356" spans="2:14" hidden="1" x14ac:dyDescent="0.25">
      <c r="B4356" s="120">
        <v>4353</v>
      </c>
      <c r="C4356" s="123">
        <v>10413746898</v>
      </c>
      <c r="D4356" s="126" t="s">
        <v>15750</v>
      </c>
      <c r="E4356" s="126" t="s">
        <v>15751</v>
      </c>
      <c r="F4356" s="123" t="s">
        <v>30</v>
      </c>
      <c r="G4356" s="123" t="s">
        <v>168</v>
      </c>
      <c r="H4356" s="123" t="s">
        <v>169</v>
      </c>
      <c r="I4356" s="126" t="s">
        <v>1956</v>
      </c>
      <c r="J4356" s="123" t="s">
        <v>15752</v>
      </c>
      <c r="K4356" s="123" t="s">
        <v>15750</v>
      </c>
      <c r="L4356" s="131" t="s">
        <v>100</v>
      </c>
      <c r="M4356" s="135" t="s">
        <v>845</v>
      </c>
      <c r="N4356" s="123" t="s">
        <v>845</v>
      </c>
    </row>
    <row r="4357" spans="2:14" hidden="1" x14ac:dyDescent="0.25">
      <c r="B4357" s="120">
        <v>4354</v>
      </c>
      <c r="C4357" s="123">
        <v>10157308055</v>
      </c>
      <c r="D4357" s="126" t="s">
        <v>15753</v>
      </c>
      <c r="E4357" s="126" t="s">
        <v>15754</v>
      </c>
      <c r="F4357" s="123" t="s">
        <v>30</v>
      </c>
      <c r="G4357" s="123" t="s">
        <v>168</v>
      </c>
      <c r="H4357" s="123" t="s">
        <v>180</v>
      </c>
      <c r="I4357" s="126" t="s">
        <v>10268</v>
      </c>
      <c r="J4357" s="123" t="s">
        <v>15755</v>
      </c>
      <c r="K4357" s="123" t="s">
        <v>15753</v>
      </c>
      <c r="L4357" s="131" t="s">
        <v>100</v>
      </c>
      <c r="M4357" s="135" t="s">
        <v>845</v>
      </c>
      <c r="N4357" s="123" t="s">
        <v>845</v>
      </c>
    </row>
    <row r="4358" spans="2:14" hidden="1" x14ac:dyDescent="0.25">
      <c r="B4358" s="120">
        <v>4355</v>
      </c>
      <c r="C4358" s="123">
        <v>10076414713</v>
      </c>
      <c r="D4358" s="126" t="s">
        <v>15756</v>
      </c>
      <c r="E4358" s="126" t="s">
        <v>15757</v>
      </c>
      <c r="F4358" s="123" t="s">
        <v>30</v>
      </c>
      <c r="G4358" s="123" t="s">
        <v>30</v>
      </c>
      <c r="H4358" s="123" t="s">
        <v>110</v>
      </c>
      <c r="I4358" s="126" t="s">
        <v>1706</v>
      </c>
      <c r="J4358" s="123" t="s">
        <v>15758</v>
      </c>
      <c r="K4358" s="123" t="s">
        <v>15756</v>
      </c>
      <c r="L4358" s="131" t="s">
        <v>100</v>
      </c>
      <c r="M4358" s="135" t="s">
        <v>845</v>
      </c>
      <c r="N4358" s="123" t="s">
        <v>845</v>
      </c>
    </row>
    <row r="4359" spans="2:14" hidden="1" x14ac:dyDescent="0.25">
      <c r="B4359" s="120">
        <v>4356</v>
      </c>
      <c r="C4359" s="123">
        <v>10100876634</v>
      </c>
      <c r="D4359" s="126" t="s">
        <v>15759</v>
      </c>
      <c r="E4359" s="126" t="s">
        <v>15760</v>
      </c>
      <c r="F4359" s="123" t="s">
        <v>30</v>
      </c>
      <c r="G4359" s="123" t="s">
        <v>30</v>
      </c>
      <c r="H4359" s="123" t="s">
        <v>60</v>
      </c>
      <c r="I4359" s="126" t="s">
        <v>1377</v>
      </c>
      <c r="J4359" s="123" t="s">
        <v>15761</v>
      </c>
      <c r="K4359" s="123" t="s">
        <v>15762</v>
      </c>
      <c r="L4359" s="131" t="s">
        <v>100</v>
      </c>
      <c r="M4359" s="135" t="s">
        <v>845</v>
      </c>
      <c r="N4359" s="123" t="s">
        <v>845</v>
      </c>
    </row>
    <row r="4360" spans="2:14" hidden="1" x14ac:dyDescent="0.25">
      <c r="B4360" s="120">
        <v>4357</v>
      </c>
      <c r="C4360" s="123">
        <v>10472040397</v>
      </c>
      <c r="D4360" s="126" t="s">
        <v>15763</v>
      </c>
      <c r="E4360" s="126" t="s">
        <v>15764</v>
      </c>
      <c r="F4360" s="123" t="s">
        <v>30</v>
      </c>
      <c r="G4360" s="123" t="s">
        <v>30</v>
      </c>
      <c r="H4360" s="123" t="s">
        <v>35</v>
      </c>
      <c r="I4360" s="126" t="s">
        <v>1952</v>
      </c>
      <c r="J4360" s="123" t="s">
        <v>15765</v>
      </c>
      <c r="K4360" s="123" t="s">
        <v>15763</v>
      </c>
      <c r="L4360" s="131" t="s">
        <v>100</v>
      </c>
      <c r="M4360" s="135" t="s">
        <v>845</v>
      </c>
      <c r="N4360" s="123" t="s">
        <v>845</v>
      </c>
    </row>
    <row r="4361" spans="2:14" hidden="1" x14ac:dyDescent="0.25">
      <c r="B4361" s="120">
        <v>4358</v>
      </c>
      <c r="C4361" s="123">
        <v>10760946481</v>
      </c>
      <c r="D4361" s="126" t="s">
        <v>15766</v>
      </c>
      <c r="E4361" s="126" t="s">
        <v>15767</v>
      </c>
      <c r="F4361" s="123" t="s">
        <v>30</v>
      </c>
      <c r="G4361" s="123" t="s">
        <v>30</v>
      </c>
      <c r="H4361" s="123" t="s">
        <v>50</v>
      </c>
      <c r="I4361" s="126" t="s">
        <v>15768</v>
      </c>
      <c r="J4361" s="123" t="s">
        <v>15769</v>
      </c>
      <c r="K4361" s="123" t="s">
        <v>15766</v>
      </c>
      <c r="L4361" s="131" t="s">
        <v>100</v>
      </c>
      <c r="M4361" s="135" t="s">
        <v>845</v>
      </c>
      <c r="N4361" s="123" t="s">
        <v>845</v>
      </c>
    </row>
    <row r="4362" spans="2:14" hidden="1" x14ac:dyDescent="0.25">
      <c r="B4362" s="120">
        <v>4359</v>
      </c>
      <c r="C4362" s="123">
        <v>10461559641</v>
      </c>
      <c r="D4362" s="126" t="s">
        <v>15770</v>
      </c>
      <c r="E4362" s="126" t="s">
        <v>15771</v>
      </c>
      <c r="F4362" s="123" t="s">
        <v>30</v>
      </c>
      <c r="G4362" s="123" t="s">
        <v>30</v>
      </c>
      <c r="H4362" s="123" t="s">
        <v>45</v>
      </c>
      <c r="I4362" s="126" t="s">
        <v>1701</v>
      </c>
      <c r="J4362" s="123" t="s">
        <v>15772</v>
      </c>
      <c r="K4362" s="123" t="s">
        <v>15770</v>
      </c>
      <c r="L4362" s="131" t="s">
        <v>100</v>
      </c>
      <c r="M4362" s="135" t="s">
        <v>845</v>
      </c>
      <c r="N4362" s="123" t="s">
        <v>845</v>
      </c>
    </row>
    <row r="4363" spans="2:14" hidden="1" x14ac:dyDescent="0.25">
      <c r="B4363" s="120">
        <v>4360</v>
      </c>
      <c r="C4363" s="123">
        <v>10157412243</v>
      </c>
      <c r="D4363" s="126" t="s">
        <v>15773</v>
      </c>
      <c r="E4363" s="126" t="s">
        <v>15774</v>
      </c>
      <c r="F4363" s="123" t="s">
        <v>30</v>
      </c>
      <c r="G4363" s="123" t="s">
        <v>170</v>
      </c>
      <c r="H4363" s="123" t="s">
        <v>174</v>
      </c>
      <c r="I4363" s="126" t="s">
        <v>1701</v>
      </c>
      <c r="J4363" s="123" t="s">
        <v>15775</v>
      </c>
      <c r="K4363" s="123" t="s">
        <v>15773</v>
      </c>
      <c r="L4363" s="131" t="s">
        <v>100</v>
      </c>
      <c r="M4363" s="135" t="s">
        <v>845</v>
      </c>
      <c r="N4363" s="123" t="s">
        <v>845</v>
      </c>
    </row>
    <row r="4364" spans="2:14" hidden="1" x14ac:dyDescent="0.25">
      <c r="B4364" s="120">
        <v>4361</v>
      </c>
      <c r="C4364" s="123">
        <v>10082679311</v>
      </c>
      <c r="D4364" s="126" t="s">
        <v>15776</v>
      </c>
      <c r="E4364" s="126" t="s">
        <v>15777</v>
      </c>
      <c r="F4364" s="123" t="s">
        <v>30</v>
      </c>
      <c r="G4364" s="123" t="s">
        <v>30</v>
      </c>
      <c r="H4364" s="123" t="s">
        <v>110</v>
      </c>
      <c r="I4364" s="126" t="s">
        <v>15778</v>
      </c>
      <c r="J4364" s="123" t="s">
        <v>15779</v>
      </c>
      <c r="K4364" s="123" t="s">
        <v>15780</v>
      </c>
      <c r="L4364" s="131" t="s">
        <v>100</v>
      </c>
      <c r="M4364" s="135" t="s">
        <v>845</v>
      </c>
      <c r="N4364" s="123" t="s">
        <v>845</v>
      </c>
    </row>
    <row r="4365" spans="2:14" hidden="1" x14ac:dyDescent="0.25">
      <c r="B4365" s="120">
        <v>4362</v>
      </c>
      <c r="C4365" s="123">
        <v>10105412563</v>
      </c>
      <c r="D4365" s="126" t="s">
        <v>15781</v>
      </c>
      <c r="E4365" s="126" t="s">
        <v>15782</v>
      </c>
      <c r="F4365" s="123" t="s">
        <v>30</v>
      </c>
      <c r="G4365" s="123" t="s">
        <v>30</v>
      </c>
      <c r="H4365" s="123" t="s">
        <v>43</v>
      </c>
      <c r="I4365" s="126" t="s">
        <v>1737</v>
      </c>
      <c r="J4365" s="123" t="s">
        <v>15783</v>
      </c>
      <c r="K4365" s="123" t="s">
        <v>15781</v>
      </c>
      <c r="L4365" s="131" t="s">
        <v>100</v>
      </c>
      <c r="M4365" s="135" t="s">
        <v>845</v>
      </c>
      <c r="N4365" s="123" t="s">
        <v>845</v>
      </c>
    </row>
    <row r="4366" spans="2:14" hidden="1" x14ac:dyDescent="0.25">
      <c r="B4366" s="120">
        <v>4363</v>
      </c>
      <c r="C4366" s="123">
        <v>10710645073</v>
      </c>
      <c r="D4366" s="126" t="s">
        <v>15784</v>
      </c>
      <c r="E4366" s="126" t="s">
        <v>15785</v>
      </c>
      <c r="F4366" s="123" t="s">
        <v>30</v>
      </c>
      <c r="G4366" s="123" t="s">
        <v>54</v>
      </c>
      <c r="H4366" s="123" t="s">
        <v>54</v>
      </c>
      <c r="I4366" s="126" t="s">
        <v>1365</v>
      </c>
      <c r="J4366" s="123" t="s">
        <v>15786</v>
      </c>
      <c r="K4366" s="123" t="s">
        <v>15784</v>
      </c>
      <c r="L4366" s="131" t="s">
        <v>100</v>
      </c>
      <c r="M4366" s="135" t="s">
        <v>845</v>
      </c>
      <c r="N4366" s="123" t="s">
        <v>845</v>
      </c>
    </row>
    <row r="4367" spans="2:14" hidden="1" x14ac:dyDescent="0.25">
      <c r="B4367" s="120">
        <v>4364</v>
      </c>
      <c r="C4367" s="123">
        <v>10408823060</v>
      </c>
      <c r="D4367" s="126" t="s">
        <v>15787</v>
      </c>
      <c r="E4367" s="126" t="s">
        <v>15788</v>
      </c>
      <c r="F4367" s="123" t="s">
        <v>30</v>
      </c>
      <c r="G4367" s="123" t="s">
        <v>30</v>
      </c>
      <c r="H4367" s="123" t="s">
        <v>41</v>
      </c>
      <c r="I4367" s="126" t="s">
        <v>1701</v>
      </c>
      <c r="J4367" s="123" t="s">
        <v>15789</v>
      </c>
      <c r="K4367" s="123" t="s">
        <v>15790</v>
      </c>
      <c r="L4367" s="131" t="s">
        <v>100</v>
      </c>
      <c r="M4367" s="135" t="s">
        <v>845</v>
      </c>
      <c r="N4367" s="123" t="s">
        <v>845</v>
      </c>
    </row>
    <row r="4368" spans="2:14" hidden="1" x14ac:dyDescent="0.25">
      <c r="B4368" s="120">
        <v>4365</v>
      </c>
      <c r="C4368" s="123">
        <v>10156471840</v>
      </c>
      <c r="D4368" s="126" t="s">
        <v>15791</v>
      </c>
      <c r="E4368" s="126" t="s">
        <v>15792</v>
      </c>
      <c r="F4368" s="123" t="s">
        <v>30</v>
      </c>
      <c r="G4368" s="123" t="s">
        <v>170</v>
      </c>
      <c r="H4368" s="123" t="s">
        <v>174</v>
      </c>
      <c r="I4368" s="126" t="s">
        <v>1701</v>
      </c>
      <c r="J4368" s="123" t="s">
        <v>15793</v>
      </c>
      <c r="K4368" s="123" t="s">
        <v>15791</v>
      </c>
      <c r="L4368" s="131" t="s">
        <v>100</v>
      </c>
      <c r="M4368" s="135" t="s">
        <v>845</v>
      </c>
      <c r="N4368" s="123" t="s">
        <v>845</v>
      </c>
    </row>
    <row r="4369" spans="2:14" hidden="1" x14ac:dyDescent="0.25">
      <c r="B4369" s="120">
        <v>4366</v>
      </c>
      <c r="C4369" s="123">
        <v>10461146941</v>
      </c>
      <c r="D4369" s="126" t="s">
        <v>15794</v>
      </c>
      <c r="E4369" s="126" t="s">
        <v>15795</v>
      </c>
      <c r="F4369" s="123" t="s">
        <v>30</v>
      </c>
      <c r="G4369" s="123" t="s">
        <v>30</v>
      </c>
      <c r="H4369" s="123" t="s">
        <v>60</v>
      </c>
      <c r="I4369" s="126" t="s">
        <v>101</v>
      </c>
      <c r="J4369" s="123" t="s">
        <v>15796</v>
      </c>
      <c r="K4369" s="123" t="s">
        <v>15794</v>
      </c>
      <c r="L4369" s="131" t="s">
        <v>100</v>
      </c>
      <c r="M4369" s="135" t="s">
        <v>845</v>
      </c>
      <c r="N4369" s="123" t="s">
        <v>845</v>
      </c>
    </row>
    <row r="4370" spans="2:14" hidden="1" x14ac:dyDescent="0.25">
      <c r="B4370" s="120">
        <v>4367</v>
      </c>
      <c r="C4370" s="123">
        <v>10423924387</v>
      </c>
      <c r="D4370" s="126" t="s">
        <v>15797</v>
      </c>
      <c r="E4370" s="126" t="s">
        <v>15798</v>
      </c>
      <c r="F4370" s="123" t="s">
        <v>30</v>
      </c>
      <c r="G4370" s="123" t="s">
        <v>30</v>
      </c>
      <c r="H4370" s="123" t="s">
        <v>51</v>
      </c>
      <c r="I4370" s="126" t="s">
        <v>1936</v>
      </c>
      <c r="J4370" s="123" t="s">
        <v>15799</v>
      </c>
      <c r="K4370" s="123" t="s">
        <v>15797</v>
      </c>
      <c r="L4370" s="131" t="s">
        <v>100</v>
      </c>
      <c r="M4370" s="135" t="s">
        <v>845</v>
      </c>
      <c r="N4370" s="123" t="s">
        <v>845</v>
      </c>
    </row>
    <row r="4371" spans="2:14" hidden="1" x14ac:dyDescent="0.25">
      <c r="B4371" s="120">
        <v>4368</v>
      </c>
      <c r="C4371" s="123">
        <v>10730584101</v>
      </c>
      <c r="D4371" s="126" t="s">
        <v>15800</v>
      </c>
      <c r="E4371" s="126" t="s">
        <v>15801</v>
      </c>
      <c r="F4371" s="123" t="s">
        <v>30</v>
      </c>
      <c r="G4371" s="123" t="s">
        <v>30</v>
      </c>
      <c r="H4371" s="123" t="s">
        <v>50</v>
      </c>
      <c r="I4371" s="126" t="s">
        <v>1701</v>
      </c>
      <c r="J4371" s="123" t="s">
        <v>15802</v>
      </c>
      <c r="K4371" s="123" t="s">
        <v>15800</v>
      </c>
      <c r="L4371" s="131" t="s">
        <v>100</v>
      </c>
      <c r="M4371" s="135" t="s">
        <v>845</v>
      </c>
      <c r="N4371" s="123" t="s">
        <v>845</v>
      </c>
    </row>
    <row r="4372" spans="2:14" hidden="1" x14ac:dyDescent="0.25">
      <c r="B4372" s="120">
        <v>4369</v>
      </c>
      <c r="C4372" s="123">
        <v>10103600206</v>
      </c>
      <c r="D4372" s="126" t="s">
        <v>15803</v>
      </c>
      <c r="E4372" s="126" t="s">
        <v>15804</v>
      </c>
      <c r="F4372" s="123" t="s">
        <v>30</v>
      </c>
      <c r="G4372" s="123" t="s">
        <v>30</v>
      </c>
      <c r="H4372" s="123" t="s">
        <v>43</v>
      </c>
      <c r="I4372" s="126" t="s">
        <v>1564</v>
      </c>
      <c r="J4372" s="123" t="s">
        <v>15805</v>
      </c>
      <c r="K4372" s="123" t="s">
        <v>15803</v>
      </c>
      <c r="L4372" s="131" t="s">
        <v>100</v>
      </c>
      <c r="M4372" s="135" t="s">
        <v>845</v>
      </c>
      <c r="N4372" s="123" t="s">
        <v>845</v>
      </c>
    </row>
    <row r="4373" spans="2:14" hidden="1" x14ac:dyDescent="0.25">
      <c r="B4373" s="120">
        <v>4370</v>
      </c>
      <c r="C4373" s="123">
        <v>10427553201</v>
      </c>
      <c r="D4373" s="126" t="s">
        <v>15806</v>
      </c>
      <c r="E4373" s="126" t="s">
        <v>15807</v>
      </c>
      <c r="F4373" s="123" t="s">
        <v>30</v>
      </c>
      <c r="G4373" s="123" t="s">
        <v>30</v>
      </c>
      <c r="H4373" s="123" t="s">
        <v>58</v>
      </c>
      <c r="I4373" s="126" t="s">
        <v>1931</v>
      </c>
      <c r="J4373" s="123" t="s">
        <v>15808</v>
      </c>
      <c r="K4373" s="123" t="s">
        <v>15809</v>
      </c>
      <c r="L4373" s="131" t="s">
        <v>100</v>
      </c>
      <c r="M4373" s="135" t="s">
        <v>845</v>
      </c>
      <c r="N4373" s="123" t="s">
        <v>845</v>
      </c>
    </row>
    <row r="4374" spans="2:14" hidden="1" x14ac:dyDescent="0.25">
      <c r="B4374" s="120">
        <v>4371</v>
      </c>
      <c r="C4374" s="123">
        <v>10724128101</v>
      </c>
      <c r="D4374" s="126" t="s">
        <v>15810</v>
      </c>
      <c r="E4374" s="126" t="s">
        <v>15811</v>
      </c>
      <c r="F4374" s="123" t="s">
        <v>30</v>
      </c>
      <c r="G4374" s="123" t="s">
        <v>31</v>
      </c>
      <c r="H4374" s="123" t="s">
        <v>32</v>
      </c>
      <c r="I4374" s="126" t="s">
        <v>8955</v>
      </c>
      <c r="J4374" s="123" t="s">
        <v>15812</v>
      </c>
      <c r="K4374" s="123" t="s">
        <v>15810</v>
      </c>
      <c r="L4374" s="131" t="s">
        <v>100</v>
      </c>
      <c r="M4374" s="135" t="s">
        <v>845</v>
      </c>
      <c r="N4374" s="123" t="s">
        <v>845</v>
      </c>
    </row>
    <row r="4375" spans="2:14" hidden="1" x14ac:dyDescent="0.25">
      <c r="B4375" s="120">
        <v>4372</v>
      </c>
      <c r="C4375" s="123">
        <v>10433018015</v>
      </c>
      <c r="D4375" s="126" t="s">
        <v>15813</v>
      </c>
      <c r="E4375" s="126" t="s">
        <v>15814</v>
      </c>
      <c r="F4375" s="123" t="s">
        <v>30</v>
      </c>
      <c r="G4375" s="123" t="s">
        <v>48</v>
      </c>
      <c r="H4375" s="123" t="s">
        <v>155</v>
      </c>
      <c r="I4375" s="126" t="s">
        <v>6240</v>
      </c>
      <c r="J4375" s="123" t="s">
        <v>15815</v>
      </c>
      <c r="K4375" s="123" t="s">
        <v>15816</v>
      </c>
      <c r="L4375" s="131" t="s">
        <v>100</v>
      </c>
      <c r="M4375" s="135" t="s">
        <v>845</v>
      </c>
      <c r="N4375" s="123" t="s">
        <v>845</v>
      </c>
    </row>
    <row r="4376" spans="2:14" hidden="1" x14ac:dyDescent="0.25">
      <c r="B4376" s="120">
        <v>4373</v>
      </c>
      <c r="C4376" s="123">
        <v>10401890080</v>
      </c>
      <c r="D4376" s="126" t="s">
        <v>15817</v>
      </c>
      <c r="E4376" s="126" t="s">
        <v>15818</v>
      </c>
      <c r="F4376" s="123" t="s">
        <v>30</v>
      </c>
      <c r="G4376" s="123" t="s">
        <v>168</v>
      </c>
      <c r="H4376" s="123" t="s">
        <v>180</v>
      </c>
      <c r="I4376" s="126" t="s">
        <v>1551</v>
      </c>
      <c r="J4376" s="123" t="s">
        <v>15819</v>
      </c>
      <c r="K4376" s="123" t="s">
        <v>15817</v>
      </c>
      <c r="L4376" s="131" t="s">
        <v>100</v>
      </c>
      <c r="M4376" s="135" t="s">
        <v>845</v>
      </c>
      <c r="N4376" s="123" t="s">
        <v>845</v>
      </c>
    </row>
    <row r="4377" spans="2:14" hidden="1" x14ac:dyDescent="0.25">
      <c r="B4377" s="120">
        <v>4374</v>
      </c>
      <c r="C4377" s="123">
        <v>10081211413</v>
      </c>
      <c r="D4377" s="126" t="s">
        <v>15820</v>
      </c>
      <c r="E4377" s="126" t="s">
        <v>15821</v>
      </c>
      <c r="F4377" s="123" t="s">
        <v>30</v>
      </c>
      <c r="G4377" s="123" t="s">
        <v>30</v>
      </c>
      <c r="H4377" s="123" t="s">
        <v>37</v>
      </c>
      <c r="I4377" s="126" t="s">
        <v>9044</v>
      </c>
      <c r="J4377" s="123" t="s">
        <v>15822</v>
      </c>
      <c r="K4377" s="123" t="s">
        <v>15820</v>
      </c>
      <c r="L4377" s="131" t="s">
        <v>100</v>
      </c>
      <c r="M4377" s="135" t="s">
        <v>845</v>
      </c>
      <c r="N4377" s="123" t="s">
        <v>845</v>
      </c>
    </row>
    <row r="4378" spans="2:14" hidden="1" x14ac:dyDescent="0.25">
      <c r="B4378" s="120">
        <v>4375</v>
      </c>
      <c r="C4378" s="123">
        <v>10159560304</v>
      </c>
      <c r="D4378" s="126" t="s">
        <v>15823</v>
      </c>
      <c r="E4378" s="126" t="s">
        <v>15824</v>
      </c>
      <c r="F4378" s="123" t="s">
        <v>30</v>
      </c>
      <c r="G4378" s="123" t="s">
        <v>54</v>
      </c>
      <c r="H4378" s="123" t="s">
        <v>54</v>
      </c>
      <c r="I4378" s="126" t="s">
        <v>1965</v>
      </c>
      <c r="J4378" s="123" t="s">
        <v>15825</v>
      </c>
      <c r="K4378" s="123" t="s">
        <v>15826</v>
      </c>
      <c r="L4378" s="131" t="s">
        <v>100</v>
      </c>
      <c r="M4378" s="135" t="s">
        <v>845</v>
      </c>
      <c r="N4378" s="123" t="s">
        <v>845</v>
      </c>
    </row>
    <row r="4379" spans="2:14" hidden="1" x14ac:dyDescent="0.25">
      <c r="B4379" s="120">
        <v>4376</v>
      </c>
      <c r="C4379" s="123">
        <v>10718313886</v>
      </c>
      <c r="D4379" s="126" t="s">
        <v>15827</v>
      </c>
      <c r="E4379" s="126" t="s">
        <v>15828</v>
      </c>
      <c r="F4379" s="123" t="s">
        <v>30</v>
      </c>
      <c r="G4379" s="123" t="s">
        <v>54</v>
      </c>
      <c r="H4379" s="123" t="s">
        <v>55</v>
      </c>
      <c r="I4379" s="126" t="s">
        <v>1424</v>
      </c>
      <c r="J4379" s="123" t="s">
        <v>15829</v>
      </c>
      <c r="K4379" s="123" t="s">
        <v>15827</v>
      </c>
      <c r="L4379" s="131" t="s">
        <v>100</v>
      </c>
      <c r="M4379" s="135" t="s">
        <v>845</v>
      </c>
      <c r="N4379" s="123" t="s">
        <v>845</v>
      </c>
    </row>
    <row r="4380" spans="2:14" hidden="1" x14ac:dyDescent="0.25">
      <c r="B4380" s="120">
        <v>4377</v>
      </c>
      <c r="C4380" s="123">
        <v>17404026674</v>
      </c>
      <c r="D4380" s="126" t="s">
        <v>15830</v>
      </c>
      <c r="E4380" s="126" t="s">
        <v>15831</v>
      </c>
      <c r="F4380" s="123" t="s">
        <v>30</v>
      </c>
      <c r="G4380" s="123" t="s">
        <v>170</v>
      </c>
      <c r="H4380" s="123" t="s">
        <v>171</v>
      </c>
      <c r="I4380" s="126" t="s">
        <v>15832</v>
      </c>
      <c r="J4380" s="123" t="s">
        <v>15833</v>
      </c>
      <c r="K4380" s="123" t="s">
        <v>15830</v>
      </c>
      <c r="L4380" s="131" t="s">
        <v>100</v>
      </c>
      <c r="M4380" s="135" t="s">
        <v>845</v>
      </c>
      <c r="N4380" s="123" t="s">
        <v>845</v>
      </c>
    </row>
    <row r="4381" spans="2:14" hidden="1" x14ac:dyDescent="0.25">
      <c r="B4381" s="120">
        <v>4378</v>
      </c>
      <c r="C4381" s="123">
        <v>10723728768</v>
      </c>
      <c r="D4381" s="126" t="s">
        <v>15834</v>
      </c>
      <c r="E4381" s="126" t="s">
        <v>15835</v>
      </c>
      <c r="F4381" s="123" t="s">
        <v>30</v>
      </c>
      <c r="G4381" s="123" t="s">
        <v>30</v>
      </c>
      <c r="H4381" s="123" t="s">
        <v>60</v>
      </c>
      <c r="I4381" s="126" t="s">
        <v>1952</v>
      </c>
      <c r="J4381" s="123" t="s">
        <v>15836</v>
      </c>
      <c r="K4381" s="123" t="s">
        <v>15834</v>
      </c>
      <c r="L4381" s="131" t="s">
        <v>100</v>
      </c>
      <c r="M4381" s="135" t="s">
        <v>845</v>
      </c>
      <c r="N4381" s="123" t="s">
        <v>845</v>
      </c>
    </row>
    <row r="4382" spans="2:14" hidden="1" x14ac:dyDescent="0.25">
      <c r="B4382" s="120">
        <v>4379</v>
      </c>
      <c r="C4382" s="123">
        <v>10254334192</v>
      </c>
      <c r="D4382" s="126" t="s">
        <v>15837</v>
      </c>
      <c r="E4382" s="126" t="s">
        <v>15838</v>
      </c>
      <c r="F4382" s="123" t="s">
        <v>67</v>
      </c>
      <c r="G4382" s="123" t="s">
        <v>67</v>
      </c>
      <c r="H4382" s="123" t="s">
        <v>67</v>
      </c>
      <c r="I4382" s="126" t="s">
        <v>1701</v>
      </c>
      <c r="J4382" s="123" t="s">
        <v>15839</v>
      </c>
      <c r="K4382" s="123" t="s">
        <v>15837</v>
      </c>
      <c r="L4382" s="131" t="s">
        <v>100</v>
      </c>
      <c r="M4382" s="135" t="s">
        <v>845</v>
      </c>
      <c r="N4382" s="123" t="s">
        <v>845</v>
      </c>
    </row>
    <row r="4383" spans="2:14" hidden="1" x14ac:dyDescent="0.25">
      <c r="B4383" s="120">
        <v>4380</v>
      </c>
      <c r="C4383" s="123">
        <v>10413196511</v>
      </c>
      <c r="D4383" s="126" t="s">
        <v>15840</v>
      </c>
      <c r="E4383" s="126" t="s">
        <v>15841</v>
      </c>
      <c r="F4383" s="123" t="s">
        <v>30</v>
      </c>
      <c r="G4383" s="123" t="s">
        <v>30</v>
      </c>
      <c r="H4383" s="123" t="s">
        <v>75</v>
      </c>
      <c r="I4383" s="126" t="s">
        <v>1737</v>
      </c>
      <c r="J4383" s="123" t="s">
        <v>15842</v>
      </c>
      <c r="K4383" s="123" t="s">
        <v>15840</v>
      </c>
      <c r="L4383" s="131" t="s">
        <v>100</v>
      </c>
      <c r="M4383" s="135" t="s">
        <v>845</v>
      </c>
      <c r="N4383" s="123" t="s">
        <v>845</v>
      </c>
    </row>
    <row r="4384" spans="2:14" hidden="1" x14ac:dyDescent="0.25">
      <c r="B4384" s="120">
        <v>4381</v>
      </c>
      <c r="C4384" s="123">
        <v>10746404439</v>
      </c>
      <c r="D4384" s="126" t="s">
        <v>15843</v>
      </c>
      <c r="E4384" s="126" t="s">
        <v>15844</v>
      </c>
      <c r="F4384" s="123" t="s">
        <v>30</v>
      </c>
      <c r="G4384" s="123" t="s">
        <v>170</v>
      </c>
      <c r="H4384" s="123" t="s">
        <v>174</v>
      </c>
      <c r="I4384" s="126" t="s">
        <v>1950</v>
      </c>
      <c r="J4384" s="123" t="s">
        <v>15845</v>
      </c>
      <c r="K4384" s="123" t="s">
        <v>15843</v>
      </c>
      <c r="L4384" s="131" t="s">
        <v>100</v>
      </c>
      <c r="M4384" s="135" t="s">
        <v>845</v>
      </c>
      <c r="N4384" s="123" t="s">
        <v>845</v>
      </c>
    </row>
    <row r="4385" spans="2:14" hidden="1" x14ac:dyDescent="0.25">
      <c r="B4385" s="120">
        <v>4382</v>
      </c>
      <c r="C4385" s="123">
        <v>10468406069</v>
      </c>
      <c r="D4385" s="126" t="s">
        <v>15846</v>
      </c>
      <c r="E4385" s="126" t="s">
        <v>15847</v>
      </c>
      <c r="F4385" s="123" t="s">
        <v>30</v>
      </c>
      <c r="G4385" s="123" t="s">
        <v>168</v>
      </c>
      <c r="H4385" s="123" t="s">
        <v>168</v>
      </c>
      <c r="I4385" s="126" t="s">
        <v>1737</v>
      </c>
      <c r="J4385" s="123" t="s">
        <v>15848</v>
      </c>
      <c r="K4385" s="123" t="s">
        <v>15846</v>
      </c>
      <c r="L4385" s="131" t="s">
        <v>100</v>
      </c>
      <c r="M4385" s="135" t="s">
        <v>845</v>
      </c>
      <c r="N4385" s="123" t="s">
        <v>845</v>
      </c>
    </row>
    <row r="4386" spans="2:14" hidden="1" x14ac:dyDescent="0.25">
      <c r="B4386" s="120">
        <v>4383</v>
      </c>
      <c r="C4386" s="123">
        <v>10413553470</v>
      </c>
      <c r="D4386" s="126" t="s">
        <v>15849</v>
      </c>
      <c r="E4386" s="126" t="s">
        <v>15850</v>
      </c>
      <c r="F4386" s="123" t="s">
        <v>30</v>
      </c>
      <c r="G4386" s="123" t="s">
        <v>30</v>
      </c>
      <c r="H4386" s="123" t="s">
        <v>75</v>
      </c>
      <c r="I4386" s="126" t="s">
        <v>1970</v>
      </c>
      <c r="J4386" s="123" t="s">
        <v>15851</v>
      </c>
      <c r="K4386" s="123" t="s">
        <v>15849</v>
      </c>
      <c r="L4386" s="131" t="s">
        <v>100</v>
      </c>
      <c r="M4386" s="135" t="s">
        <v>845</v>
      </c>
      <c r="N4386" s="123" t="s">
        <v>845</v>
      </c>
    </row>
    <row r="4387" spans="2:14" hidden="1" x14ac:dyDescent="0.25">
      <c r="B4387" s="120">
        <v>4384</v>
      </c>
      <c r="C4387" s="123">
        <v>10407594512</v>
      </c>
      <c r="D4387" s="126" t="s">
        <v>15852</v>
      </c>
      <c r="E4387" s="126" t="s">
        <v>15853</v>
      </c>
      <c r="F4387" s="123" t="s">
        <v>30</v>
      </c>
      <c r="G4387" s="123" t="s">
        <v>30</v>
      </c>
      <c r="H4387" s="123" t="s">
        <v>40</v>
      </c>
      <c r="I4387" s="126" t="s">
        <v>1564</v>
      </c>
      <c r="J4387" s="123" t="s">
        <v>15854</v>
      </c>
      <c r="K4387" s="123" t="s">
        <v>15855</v>
      </c>
      <c r="L4387" s="131" t="s">
        <v>100</v>
      </c>
      <c r="M4387" s="135" t="s">
        <v>845</v>
      </c>
      <c r="N4387" s="123" t="s">
        <v>845</v>
      </c>
    </row>
    <row r="4388" spans="2:14" hidden="1" x14ac:dyDescent="0.25">
      <c r="B4388" s="120">
        <v>4385</v>
      </c>
      <c r="C4388" s="123">
        <v>10254326432</v>
      </c>
      <c r="D4388" s="126" t="s">
        <v>15856</v>
      </c>
      <c r="E4388" s="126" t="s">
        <v>15857</v>
      </c>
      <c r="F4388" s="123" t="s">
        <v>67</v>
      </c>
      <c r="G4388" s="123" t="s">
        <v>67</v>
      </c>
      <c r="H4388" s="123" t="s">
        <v>67</v>
      </c>
      <c r="I4388" s="126" t="s">
        <v>1701</v>
      </c>
      <c r="J4388" s="123" t="s">
        <v>15858</v>
      </c>
      <c r="K4388" s="123" t="s">
        <v>15856</v>
      </c>
      <c r="L4388" s="131" t="s">
        <v>100</v>
      </c>
      <c r="M4388" s="135" t="s">
        <v>845</v>
      </c>
      <c r="N4388" s="123" t="s">
        <v>845</v>
      </c>
    </row>
    <row r="4389" spans="2:14" hidden="1" x14ac:dyDescent="0.25">
      <c r="B4389" s="120">
        <v>4386</v>
      </c>
      <c r="C4389" s="123">
        <v>10153958217</v>
      </c>
      <c r="D4389" s="126" t="s">
        <v>15859</v>
      </c>
      <c r="E4389" s="126" t="s">
        <v>15860</v>
      </c>
      <c r="F4389" s="123" t="s">
        <v>30</v>
      </c>
      <c r="G4389" s="123" t="s">
        <v>31</v>
      </c>
      <c r="H4389" s="123" t="s">
        <v>150</v>
      </c>
      <c r="I4389" s="126" t="s">
        <v>9014</v>
      </c>
      <c r="J4389" s="123" t="s">
        <v>15861</v>
      </c>
      <c r="K4389" s="123" t="s">
        <v>15859</v>
      </c>
      <c r="L4389" s="131" t="s">
        <v>100</v>
      </c>
      <c r="M4389" s="135" t="s">
        <v>845</v>
      </c>
      <c r="N4389" s="123" t="s">
        <v>845</v>
      </c>
    </row>
    <row r="4390" spans="2:14" hidden="1" x14ac:dyDescent="0.25">
      <c r="B4390" s="120">
        <v>4387</v>
      </c>
      <c r="C4390" s="123">
        <v>10450715561</v>
      </c>
      <c r="D4390" s="126" t="s">
        <v>15862</v>
      </c>
      <c r="E4390" s="126" t="s">
        <v>15863</v>
      </c>
      <c r="F4390" s="123" t="s">
        <v>30</v>
      </c>
      <c r="G4390" s="123" t="s">
        <v>30</v>
      </c>
      <c r="H4390" s="123" t="s">
        <v>41</v>
      </c>
      <c r="I4390" s="126" t="s">
        <v>1643</v>
      </c>
      <c r="J4390" s="123" t="s">
        <v>15864</v>
      </c>
      <c r="K4390" s="123" t="s">
        <v>15862</v>
      </c>
      <c r="L4390" s="131" t="s">
        <v>100</v>
      </c>
      <c r="M4390" s="135" t="s">
        <v>845</v>
      </c>
      <c r="N4390" s="123" t="s">
        <v>845</v>
      </c>
    </row>
    <row r="4391" spans="2:14" hidden="1" x14ac:dyDescent="0.25">
      <c r="B4391" s="120">
        <v>4388</v>
      </c>
      <c r="C4391" s="123">
        <v>10079840420</v>
      </c>
      <c r="D4391" s="126" t="s">
        <v>15865</v>
      </c>
      <c r="E4391" s="126" t="s">
        <v>15866</v>
      </c>
      <c r="F4391" s="123" t="s">
        <v>30</v>
      </c>
      <c r="G4391" s="123" t="s">
        <v>30</v>
      </c>
      <c r="H4391" s="123" t="s">
        <v>72</v>
      </c>
      <c r="I4391" s="126" t="s">
        <v>1942</v>
      </c>
      <c r="J4391" s="123" t="s">
        <v>15867</v>
      </c>
      <c r="K4391" s="123" t="s">
        <v>15865</v>
      </c>
      <c r="L4391" s="131" t="s">
        <v>100</v>
      </c>
      <c r="M4391" s="135" t="s">
        <v>845</v>
      </c>
      <c r="N4391" s="123" t="s">
        <v>845</v>
      </c>
    </row>
    <row r="4392" spans="2:14" hidden="1" x14ac:dyDescent="0.25">
      <c r="B4392" s="120">
        <v>4389</v>
      </c>
      <c r="C4392" s="123">
        <v>10413457748</v>
      </c>
      <c r="D4392" s="126" t="s">
        <v>15868</v>
      </c>
      <c r="E4392" s="126" t="s">
        <v>15869</v>
      </c>
      <c r="F4392" s="123" t="s">
        <v>30</v>
      </c>
      <c r="G4392" s="123" t="s">
        <v>30</v>
      </c>
      <c r="H4392" s="123" t="s">
        <v>43</v>
      </c>
      <c r="I4392" s="126" t="s">
        <v>1564</v>
      </c>
      <c r="J4392" s="123" t="s">
        <v>15870</v>
      </c>
      <c r="K4392" s="123" t="s">
        <v>15868</v>
      </c>
      <c r="L4392" s="131" t="s">
        <v>100</v>
      </c>
      <c r="M4392" s="135" t="s">
        <v>845</v>
      </c>
      <c r="N4392" s="123" t="s">
        <v>845</v>
      </c>
    </row>
    <row r="4393" spans="2:14" hidden="1" x14ac:dyDescent="0.25">
      <c r="B4393" s="120">
        <v>4390</v>
      </c>
      <c r="C4393" s="123">
        <v>10200800937</v>
      </c>
      <c r="D4393" s="126" t="s">
        <v>15871</v>
      </c>
      <c r="E4393" s="126" t="s">
        <v>15872</v>
      </c>
      <c r="F4393" s="123" t="s">
        <v>30</v>
      </c>
      <c r="G4393" s="123" t="s">
        <v>30</v>
      </c>
      <c r="H4393" s="123" t="s">
        <v>30</v>
      </c>
      <c r="I4393" s="126" t="s">
        <v>1499</v>
      </c>
      <c r="J4393" s="123" t="s">
        <v>15873</v>
      </c>
      <c r="K4393" s="123" t="s">
        <v>15874</v>
      </c>
      <c r="L4393" s="131" t="s">
        <v>100</v>
      </c>
      <c r="M4393" s="135" t="s">
        <v>845</v>
      </c>
      <c r="N4393" s="123" t="s">
        <v>845</v>
      </c>
    </row>
    <row r="4394" spans="2:14" hidden="1" x14ac:dyDescent="0.25">
      <c r="B4394" s="120">
        <v>4391</v>
      </c>
      <c r="C4394" s="123">
        <v>10451685754</v>
      </c>
      <c r="D4394" s="126" t="s">
        <v>15875</v>
      </c>
      <c r="E4394" s="126" t="s">
        <v>15876</v>
      </c>
      <c r="F4394" s="123" t="s">
        <v>30</v>
      </c>
      <c r="G4394" s="123" t="s">
        <v>30</v>
      </c>
      <c r="H4394" s="123" t="s">
        <v>45</v>
      </c>
      <c r="I4394" s="126" t="s">
        <v>1387</v>
      </c>
      <c r="J4394" s="123" t="s">
        <v>15877</v>
      </c>
      <c r="K4394" s="123" t="s">
        <v>15875</v>
      </c>
      <c r="L4394" s="131" t="s">
        <v>100</v>
      </c>
      <c r="M4394" s="135" t="s">
        <v>845</v>
      </c>
      <c r="N4394" s="123" t="s">
        <v>845</v>
      </c>
    </row>
    <row r="4395" spans="2:14" hidden="1" x14ac:dyDescent="0.25">
      <c r="B4395" s="120">
        <v>4392</v>
      </c>
      <c r="C4395" s="123">
        <v>10766092310</v>
      </c>
      <c r="D4395" s="126" t="s">
        <v>15878</v>
      </c>
      <c r="E4395" s="126" t="s">
        <v>15879</v>
      </c>
      <c r="F4395" s="123" t="s">
        <v>30</v>
      </c>
      <c r="G4395" s="123" t="s">
        <v>30</v>
      </c>
      <c r="H4395" s="123" t="s">
        <v>30</v>
      </c>
      <c r="I4395" s="126" t="s">
        <v>6746</v>
      </c>
      <c r="J4395" s="123" t="s">
        <v>15880</v>
      </c>
      <c r="K4395" s="123" t="s">
        <v>15878</v>
      </c>
      <c r="L4395" s="131" t="s">
        <v>100</v>
      </c>
      <c r="M4395" s="135" t="s">
        <v>845</v>
      </c>
      <c r="N4395" s="123" t="s">
        <v>845</v>
      </c>
    </row>
    <row r="4396" spans="2:14" hidden="1" x14ac:dyDescent="0.25">
      <c r="B4396" s="120">
        <v>4393</v>
      </c>
      <c r="C4396" s="123">
        <v>10770380486</v>
      </c>
      <c r="D4396" s="126" t="s">
        <v>15881</v>
      </c>
      <c r="E4396" s="126" t="s">
        <v>15882</v>
      </c>
      <c r="F4396" s="123" t="s">
        <v>30</v>
      </c>
      <c r="G4396" s="123" t="s">
        <v>30</v>
      </c>
      <c r="H4396" s="123" t="s">
        <v>72</v>
      </c>
      <c r="I4396" s="126" t="s">
        <v>1950</v>
      </c>
      <c r="J4396" s="123" t="s">
        <v>15883</v>
      </c>
      <c r="K4396" s="123" t="s">
        <v>15881</v>
      </c>
      <c r="L4396" s="131" t="s">
        <v>100</v>
      </c>
      <c r="M4396" s="135" t="s">
        <v>845</v>
      </c>
      <c r="N4396" s="123" t="s">
        <v>845</v>
      </c>
    </row>
    <row r="4397" spans="2:14" hidden="1" x14ac:dyDescent="0.25">
      <c r="B4397" s="120">
        <v>4394</v>
      </c>
      <c r="C4397" s="123">
        <v>10401139929</v>
      </c>
      <c r="D4397" s="126" t="s">
        <v>15884</v>
      </c>
      <c r="E4397" s="126" t="s">
        <v>15885</v>
      </c>
      <c r="F4397" s="123" t="s">
        <v>30</v>
      </c>
      <c r="G4397" s="123" t="s">
        <v>30</v>
      </c>
      <c r="H4397" s="123" t="s">
        <v>30</v>
      </c>
      <c r="I4397" s="126" t="s">
        <v>1499</v>
      </c>
      <c r="J4397" s="123" t="s">
        <v>15886</v>
      </c>
      <c r="K4397" s="123" t="s">
        <v>15884</v>
      </c>
      <c r="L4397" s="131" t="s">
        <v>100</v>
      </c>
      <c r="M4397" s="135" t="s">
        <v>845</v>
      </c>
      <c r="N4397" s="123" t="s">
        <v>845</v>
      </c>
    </row>
    <row r="4398" spans="2:14" hidden="1" x14ac:dyDescent="0.25">
      <c r="B4398" s="120">
        <v>4395</v>
      </c>
      <c r="C4398" s="123">
        <v>10476592777</v>
      </c>
      <c r="D4398" s="126" t="s">
        <v>15887</v>
      </c>
      <c r="E4398" s="126" t="s">
        <v>15888</v>
      </c>
      <c r="F4398" s="123" t="s">
        <v>30</v>
      </c>
      <c r="G4398" s="123" t="s">
        <v>30</v>
      </c>
      <c r="H4398" s="123" t="s">
        <v>72</v>
      </c>
      <c r="I4398" s="126" t="s">
        <v>1441</v>
      </c>
      <c r="J4398" s="123" t="s">
        <v>15889</v>
      </c>
      <c r="K4398" s="123" t="s">
        <v>15887</v>
      </c>
      <c r="L4398" s="131" t="s">
        <v>100</v>
      </c>
      <c r="M4398" s="135" t="s">
        <v>845</v>
      </c>
      <c r="N4398" s="123" t="s">
        <v>845</v>
      </c>
    </row>
    <row r="4399" spans="2:14" hidden="1" x14ac:dyDescent="0.25">
      <c r="B4399" s="120">
        <v>4396</v>
      </c>
      <c r="C4399" s="123">
        <v>10731181140</v>
      </c>
      <c r="D4399" s="126" t="s">
        <v>15890</v>
      </c>
      <c r="E4399" s="126" t="s">
        <v>15891</v>
      </c>
      <c r="F4399" s="123" t="s">
        <v>30</v>
      </c>
      <c r="G4399" s="123" t="s">
        <v>170</v>
      </c>
      <c r="H4399" s="123" t="s">
        <v>170</v>
      </c>
      <c r="I4399" s="126" t="s">
        <v>1954</v>
      </c>
      <c r="J4399" s="123" t="s">
        <v>15892</v>
      </c>
      <c r="K4399" s="123" t="s">
        <v>15890</v>
      </c>
      <c r="L4399" s="131" t="s">
        <v>100</v>
      </c>
      <c r="M4399" s="135" t="s">
        <v>845</v>
      </c>
      <c r="N4399" s="123" t="s">
        <v>845</v>
      </c>
    </row>
    <row r="4400" spans="2:14" hidden="1" x14ac:dyDescent="0.25">
      <c r="B4400" s="120">
        <v>4397</v>
      </c>
      <c r="C4400" s="123">
        <v>10418939643</v>
      </c>
      <c r="D4400" s="126" t="s">
        <v>15893</v>
      </c>
      <c r="E4400" s="126" t="s">
        <v>15894</v>
      </c>
      <c r="F4400" s="123" t="s">
        <v>30</v>
      </c>
      <c r="G4400" s="123" t="s">
        <v>30</v>
      </c>
      <c r="H4400" s="123" t="s">
        <v>51</v>
      </c>
      <c r="I4400" s="126" t="s">
        <v>1931</v>
      </c>
      <c r="J4400" s="123" t="s">
        <v>15895</v>
      </c>
      <c r="K4400" s="123" t="s">
        <v>15893</v>
      </c>
      <c r="L4400" s="131" t="s">
        <v>100</v>
      </c>
      <c r="M4400" s="135" t="s">
        <v>845</v>
      </c>
      <c r="N4400" s="123" t="s">
        <v>845</v>
      </c>
    </row>
    <row r="4401" spans="2:14" hidden="1" x14ac:dyDescent="0.25">
      <c r="B4401" s="120">
        <v>4398</v>
      </c>
      <c r="C4401" s="123">
        <v>10724465752</v>
      </c>
      <c r="D4401" s="126" t="s">
        <v>15896</v>
      </c>
      <c r="E4401" s="126" t="s">
        <v>15897</v>
      </c>
      <c r="F4401" s="123" t="s">
        <v>30</v>
      </c>
      <c r="G4401" s="123" t="s">
        <v>30</v>
      </c>
      <c r="H4401" s="123" t="s">
        <v>72</v>
      </c>
      <c r="I4401" s="126" t="s">
        <v>10829</v>
      </c>
      <c r="J4401" s="123" t="s">
        <v>15898</v>
      </c>
      <c r="K4401" s="123" t="s">
        <v>15896</v>
      </c>
      <c r="L4401" s="131" t="s">
        <v>100</v>
      </c>
      <c r="M4401" s="135" t="s">
        <v>845</v>
      </c>
      <c r="N4401" s="123" t="s">
        <v>845</v>
      </c>
    </row>
    <row r="4402" spans="2:14" hidden="1" x14ac:dyDescent="0.25">
      <c r="B4402" s="120">
        <v>4399</v>
      </c>
      <c r="C4402" s="123">
        <v>10404250316</v>
      </c>
      <c r="D4402" s="126" t="s">
        <v>15899</v>
      </c>
      <c r="E4402" s="126" t="s">
        <v>15900</v>
      </c>
      <c r="F4402" s="123" t="s">
        <v>30</v>
      </c>
      <c r="G4402" s="123" t="s">
        <v>170</v>
      </c>
      <c r="H4402" s="123" t="s">
        <v>171</v>
      </c>
      <c r="I4402" s="126" t="s">
        <v>1950</v>
      </c>
      <c r="J4402" s="123" t="s">
        <v>15901</v>
      </c>
      <c r="K4402" s="123" t="s">
        <v>15899</v>
      </c>
      <c r="L4402" s="131" t="s">
        <v>100</v>
      </c>
      <c r="M4402" s="135" t="s">
        <v>845</v>
      </c>
      <c r="N4402" s="123" t="s">
        <v>845</v>
      </c>
    </row>
    <row r="4403" spans="2:14" hidden="1" x14ac:dyDescent="0.25">
      <c r="B4403" s="120">
        <v>4400</v>
      </c>
      <c r="C4403" s="123">
        <v>10159639962</v>
      </c>
      <c r="D4403" s="126" t="s">
        <v>15902</v>
      </c>
      <c r="E4403" s="126" t="s">
        <v>15903</v>
      </c>
      <c r="F4403" s="123" t="s">
        <v>30</v>
      </c>
      <c r="G4403" s="123" t="s">
        <v>54</v>
      </c>
      <c r="H4403" s="123" t="s">
        <v>55</v>
      </c>
      <c r="I4403" s="126" t="s">
        <v>10025</v>
      </c>
      <c r="J4403" s="123" t="s">
        <v>15904</v>
      </c>
      <c r="K4403" s="123" t="s">
        <v>15902</v>
      </c>
      <c r="L4403" s="131" t="s">
        <v>100</v>
      </c>
      <c r="M4403" s="135" t="s">
        <v>845</v>
      </c>
      <c r="N4403" s="123" t="s">
        <v>845</v>
      </c>
    </row>
    <row r="4404" spans="2:14" hidden="1" x14ac:dyDescent="0.25">
      <c r="B4404" s="120">
        <v>4401</v>
      </c>
      <c r="C4404" s="123">
        <v>10459894298</v>
      </c>
      <c r="D4404" s="126" t="s">
        <v>15905</v>
      </c>
      <c r="E4404" s="126" t="s">
        <v>15906</v>
      </c>
      <c r="F4404" s="123" t="s">
        <v>30</v>
      </c>
      <c r="G4404" s="123" t="s">
        <v>48</v>
      </c>
      <c r="H4404" s="123" t="s">
        <v>155</v>
      </c>
      <c r="I4404" s="126" t="s">
        <v>1962</v>
      </c>
      <c r="J4404" s="123" t="s">
        <v>15907</v>
      </c>
      <c r="K4404" s="123" t="s">
        <v>15908</v>
      </c>
      <c r="L4404" s="131" t="s">
        <v>100</v>
      </c>
      <c r="M4404" s="135" t="s">
        <v>845</v>
      </c>
      <c r="N4404" s="123" t="s">
        <v>845</v>
      </c>
    </row>
    <row r="4405" spans="2:14" hidden="1" x14ac:dyDescent="0.25">
      <c r="B4405" s="120">
        <v>4402</v>
      </c>
      <c r="C4405" s="123">
        <v>10160207324</v>
      </c>
      <c r="D4405" s="126" t="s">
        <v>15909</v>
      </c>
      <c r="E4405" s="126" t="s">
        <v>15910</v>
      </c>
      <c r="F4405" s="123" t="s">
        <v>30</v>
      </c>
      <c r="G4405" s="123" t="s">
        <v>54</v>
      </c>
      <c r="H4405" s="123" t="s">
        <v>55</v>
      </c>
      <c r="I4405" s="126" t="s">
        <v>11586</v>
      </c>
      <c r="J4405" s="123" t="s">
        <v>15911</v>
      </c>
      <c r="K4405" s="123" t="s">
        <v>15912</v>
      </c>
      <c r="L4405" s="131" t="s">
        <v>100</v>
      </c>
      <c r="M4405" s="135" t="s">
        <v>845</v>
      </c>
      <c r="N4405" s="123" t="s">
        <v>845</v>
      </c>
    </row>
    <row r="4406" spans="2:14" hidden="1" x14ac:dyDescent="0.25">
      <c r="B4406" s="120">
        <v>4403</v>
      </c>
      <c r="C4406" s="123">
        <v>10458327888</v>
      </c>
      <c r="D4406" s="126" t="s">
        <v>15913</v>
      </c>
      <c r="E4406" s="126" t="s">
        <v>15914</v>
      </c>
      <c r="F4406" s="123" t="s">
        <v>30</v>
      </c>
      <c r="G4406" s="123" t="s">
        <v>30</v>
      </c>
      <c r="H4406" s="123" t="s">
        <v>45</v>
      </c>
      <c r="I4406" s="126" t="s">
        <v>1564</v>
      </c>
      <c r="J4406" s="123" t="s">
        <v>15915</v>
      </c>
      <c r="K4406" s="123" t="s">
        <v>15916</v>
      </c>
      <c r="L4406" s="131" t="s">
        <v>100</v>
      </c>
      <c r="M4406" s="135" t="s">
        <v>845</v>
      </c>
      <c r="N4406" s="123" t="s">
        <v>845</v>
      </c>
    </row>
    <row r="4407" spans="2:14" hidden="1" x14ac:dyDescent="0.25">
      <c r="B4407" s="120">
        <v>4404</v>
      </c>
      <c r="C4407" s="123">
        <v>10424385561</v>
      </c>
      <c r="D4407" s="126" t="s">
        <v>15917</v>
      </c>
      <c r="E4407" s="126" t="s">
        <v>15918</v>
      </c>
      <c r="F4407" s="123" t="s">
        <v>30</v>
      </c>
      <c r="G4407" s="123" t="s">
        <v>30</v>
      </c>
      <c r="H4407" s="123" t="s">
        <v>68</v>
      </c>
      <c r="I4407" s="126" t="s">
        <v>2446</v>
      </c>
      <c r="J4407" s="123" t="s">
        <v>15919</v>
      </c>
      <c r="K4407" s="123" t="s">
        <v>15917</v>
      </c>
      <c r="L4407" s="131" t="s">
        <v>100</v>
      </c>
      <c r="M4407" s="135" t="s">
        <v>845</v>
      </c>
      <c r="N4407" s="123" t="s">
        <v>845</v>
      </c>
    </row>
    <row r="4408" spans="2:14" hidden="1" x14ac:dyDescent="0.25">
      <c r="B4408" s="120">
        <v>4405</v>
      </c>
      <c r="C4408" s="123">
        <v>10409166062</v>
      </c>
      <c r="D4408" s="126" t="s">
        <v>15920</v>
      </c>
      <c r="E4408" s="126" t="s">
        <v>15921</v>
      </c>
      <c r="F4408" s="123" t="s">
        <v>67</v>
      </c>
      <c r="G4408" s="123" t="s">
        <v>67</v>
      </c>
      <c r="H4408" s="123" t="s">
        <v>94</v>
      </c>
      <c r="I4408" s="126" t="s">
        <v>8698</v>
      </c>
      <c r="J4408" s="123" t="s">
        <v>15922</v>
      </c>
      <c r="K4408" s="123" t="s">
        <v>15920</v>
      </c>
      <c r="L4408" s="131" t="s">
        <v>100</v>
      </c>
      <c r="M4408" s="135" t="s">
        <v>845</v>
      </c>
      <c r="N4408" s="123" t="s">
        <v>845</v>
      </c>
    </row>
    <row r="4409" spans="2:14" hidden="1" x14ac:dyDescent="0.25">
      <c r="B4409" s="120">
        <v>4406</v>
      </c>
      <c r="C4409" s="123">
        <v>10431327177</v>
      </c>
      <c r="D4409" s="126" t="s">
        <v>15923</v>
      </c>
      <c r="E4409" s="126" t="s">
        <v>15924</v>
      </c>
      <c r="F4409" s="123" t="s">
        <v>30</v>
      </c>
      <c r="G4409" s="123" t="s">
        <v>30</v>
      </c>
      <c r="H4409" s="123" t="s">
        <v>45</v>
      </c>
      <c r="I4409" s="126" t="s">
        <v>1424</v>
      </c>
      <c r="J4409" s="123" t="s">
        <v>15925</v>
      </c>
      <c r="K4409" s="123" t="s">
        <v>15926</v>
      </c>
      <c r="L4409" s="131" t="s">
        <v>100</v>
      </c>
      <c r="M4409" s="135" t="s">
        <v>845</v>
      </c>
      <c r="N4409" s="123" t="s">
        <v>845</v>
      </c>
    </row>
    <row r="4410" spans="2:14" hidden="1" x14ac:dyDescent="0.25">
      <c r="B4410" s="120">
        <v>4407</v>
      </c>
      <c r="C4410" s="123">
        <v>10255805369</v>
      </c>
      <c r="D4410" s="126" t="s">
        <v>15927</v>
      </c>
      <c r="E4410" s="126" t="s">
        <v>15928</v>
      </c>
      <c r="F4410" s="123" t="s">
        <v>30</v>
      </c>
      <c r="G4410" s="123" t="s">
        <v>30</v>
      </c>
      <c r="H4410" s="123" t="s">
        <v>41</v>
      </c>
      <c r="I4410" s="126" t="s">
        <v>1940</v>
      </c>
      <c r="J4410" s="123" t="s">
        <v>15929</v>
      </c>
      <c r="K4410" s="123" t="s">
        <v>15930</v>
      </c>
      <c r="L4410" s="131" t="s">
        <v>100</v>
      </c>
      <c r="M4410" s="135" t="s">
        <v>845</v>
      </c>
      <c r="N4410" s="123" t="s">
        <v>845</v>
      </c>
    </row>
    <row r="4411" spans="2:14" hidden="1" x14ac:dyDescent="0.25">
      <c r="B4411" s="120">
        <v>4408</v>
      </c>
      <c r="C4411" s="123">
        <v>10445692056</v>
      </c>
      <c r="D4411" s="126" t="s">
        <v>15931</v>
      </c>
      <c r="E4411" s="126" t="s">
        <v>15932</v>
      </c>
      <c r="F4411" s="123" t="s">
        <v>30</v>
      </c>
      <c r="G4411" s="123" t="s">
        <v>30</v>
      </c>
      <c r="H4411" s="123" t="s">
        <v>43</v>
      </c>
      <c r="I4411" s="126" t="s">
        <v>1950</v>
      </c>
      <c r="J4411" s="123" t="s">
        <v>15933</v>
      </c>
      <c r="K4411" s="123" t="s">
        <v>15931</v>
      </c>
      <c r="L4411" s="131" t="s">
        <v>100</v>
      </c>
      <c r="M4411" s="135" t="s">
        <v>845</v>
      </c>
      <c r="N4411" s="123" t="s">
        <v>845</v>
      </c>
    </row>
    <row r="4412" spans="2:14" hidden="1" x14ac:dyDescent="0.25">
      <c r="B4412" s="120">
        <v>4409</v>
      </c>
      <c r="C4412" s="123">
        <v>10206915663</v>
      </c>
      <c r="D4412" s="126" t="s">
        <v>15934</v>
      </c>
      <c r="E4412" s="126" t="s">
        <v>15935</v>
      </c>
      <c r="F4412" s="123" t="s">
        <v>30</v>
      </c>
      <c r="G4412" s="123" t="s">
        <v>30</v>
      </c>
      <c r="H4412" s="123" t="s">
        <v>52</v>
      </c>
      <c r="I4412" s="126" t="s">
        <v>1424</v>
      </c>
      <c r="J4412" s="123" t="s">
        <v>15936</v>
      </c>
      <c r="K4412" s="123" t="s">
        <v>15937</v>
      </c>
      <c r="L4412" s="131" t="s">
        <v>100</v>
      </c>
      <c r="M4412" s="135" t="s">
        <v>845</v>
      </c>
      <c r="N4412" s="123" t="s">
        <v>845</v>
      </c>
    </row>
    <row r="4413" spans="2:14" hidden="1" x14ac:dyDescent="0.25">
      <c r="B4413" s="120">
        <v>4410</v>
      </c>
      <c r="C4413" s="123">
        <v>10425169934</v>
      </c>
      <c r="D4413" s="126" t="s">
        <v>15938</v>
      </c>
      <c r="E4413" s="126" t="s">
        <v>15939</v>
      </c>
      <c r="F4413" s="123" t="s">
        <v>30</v>
      </c>
      <c r="G4413" s="123" t="s">
        <v>30</v>
      </c>
      <c r="H4413" s="123" t="s">
        <v>50</v>
      </c>
      <c r="I4413" s="126" t="s">
        <v>1701</v>
      </c>
      <c r="J4413" s="123" t="s">
        <v>15940</v>
      </c>
      <c r="K4413" s="123" t="s">
        <v>15938</v>
      </c>
      <c r="L4413" s="131" t="s">
        <v>100</v>
      </c>
      <c r="M4413" s="135" t="s">
        <v>845</v>
      </c>
      <c r="N4413" s="123" t="s">
        <v>845</v>
      </c>
    </row>
    <row r="4414" spans="2:14" hidden="1" x14ac:dyDescent="0.25">
      <c r="B4414" s="120">
        <v>4411</v>
      </c>
      <c r="C4414" s="123">
        <v>10432521180</v>
      </c>
      <c r="D4414" s="126" t="s">
        <v>15941</v>
      </c>
      <c r="E4414" s="126" t="s">
        <v>15942</v>
      </c>
      <c r="F4414" s="123" t="s">
        <v>30</v>
      </c>
      <c r="G4414" s="123" t="s">
        <v>30</v>
      </c>
      <c r="H4414" s="123" t="s">
        <v>52</v>
      </c>
      <c r="I4414" s="126" t="s">
        <v>1701</v>
      </c>
      <c r="J4414" s="123" t="s">
        <v>15943</v>
      </c>
      <c r="K4414" s="123" t="s">
        <v>15941</v>
      </c>
      <c r="L4414" s="131" t="s">
        <v>100</v>
      </c>
      <c r="M4414" s="135" t="s">
        <v>845</v>
      </c>
      <c r="N4414" s="123" t="s">
        <v>845</v>
      </c>
    </row>
    <row r="4415" spans="2:14" hidden="1" x14ac:dyDescent="0.25">
      <c r="B4415" s="120">
        <v>4412</v>
      </c>
      <c r="C4415" s="123">
        <v>10771479729</v>
      </c>
      <c r="D4415" s="126" t="s">
        <v>15944</v>
      </c>
      <c r="E4415" s="126" t="s">
        <v>15945</v>
      </c>
      <c r="F4415" s="123" t="s">
        <v>30</v>
      </c>
      <c r="G4415" s="123" t="s">
        <v>30</v>
      </c>
      <c r="H4415" s="123" t="s">
        <v>51</v>
      </c>
      <c r="I4415" s="126" t="s">
        <v>1930</v>
      </c>
      <c r="J4415" s="123" t="s">
        <v>15946</v>
      </c>
      <c r="K4415" s="123" t="s">
        <v>15947</v>
      </c>
      <c r="L4415" s="131" t="s">
        <v>100</v>
      </c>
      <c r="M4415" s="135" t="s">
        <v>845</v>
      </c>
      <c r="N4415" s="123" t="s">
        <v>845</v>
      </c>
    </row>
    <row r="4416" spans="2:14" hidden="1" x14ac:dyDescent="0.25">
      <c r="B4416" s="120">
        <v>4413</v>
      </c>
      <c r="C4416" s="123">
        <v>10222732218</v>
      </c>
      <c r="D4416" s="126" t="s">
        <v>15948</v>
      </c>
      <c r="E4416" s="126" t="s">
        <v>15949</v>
      </c>
      <c r="F4416" s="123" t="s">
        <v>30</v>
      </c>
      <c r="G4416" s="123" t="s">
        <v>30</v>
      </c>
      <c r="H4416" s="123" t="s">
        <v>110</v>
      </c>
      <c r="I4416" s="126" t="s">
        <v>1931</v>
      </c>
      <c r="J4416" s="123" t="s">
        <v>15950</v>
      </c>
      <c r="K4416" s="123" t="s">
        <v>15948</v>
      </c>
      <c r="L4416" s="131" t="s">
        <v>100</v>
      </c>
      <c r="M4416" s="135" t="s">
        <v>845</v>
      </c>
      <c r="N4416" s="123" t="s">
        <v>845</v>
      </c>
    </row>
    <row r="4417" spans="2:14" hidden="1" x14ac:dyDescent="0.25">
      <c r="B4417" s="120">
        <v>4414</v>
      </c>
      <c r="C4417" s="123">
        <v>10199068437</v>
      </c>
      <c r="D4417" s="126" t="s">
        <v>15951</v>
      </c>
      <c r="E4417" s="126" t="s">
        <v>15952</v>
      </c>
      <c r="F4417" s="123" t="s">
        <v>30</v>
      </c>
      <c r="G4417" s="123" t="s">
        <v>30</v>
      </c>
      <c r="H4417" s="123" t="s">
        <v>30</v>
      </c>
      <c r="I4417" s="126" t="s">
        <v>9790</v>
      </c>
      <c r="J4417" s="123" t="s">
        <v>15953</v>
      </c>
      <c r="K4417" s="123" t="s">
        <v>15954</v>
      </c>
      <c r="L4417" s="131" t="s">
        <v>100</v>
      </c>
      <c r="M4417" s="135" t="s">
        <v>845</v>
      </c>
      <c r="N4417" s="123" t="s">
        <v>845</v>
      </c>
    </row>
    <row r="4418" spans="2:14" hidden="1" x14ac:dyDescent="0.25">
      <c r="B4418" s="120">
        <v>4415</v>
      </c>
      <c r="C4418" s="123">
        <v>10402911765</v>
      </c>
      <c r="D4418" s="126" t="s">
        <v>15955</v>
      </c>
      <c r="E4418" s="126" t="s">
        <v>15956</v>
      </c>
      <c r="F4418" s="123" t="s">
        <v>30</v>
      </c>
      <c r="G4418" s="123" t="s">
        <v>30</v>
      </c>
      <c r="H4418" s="123" t="s">
        <v>52</v>
      </c>
      <c r="I4418" s="126" t="s">
        <v>1701</v>
      </c>
      <c r="J4418" s="123" t="s">
        <v>15957</v>
      </c>
      <c r="K4418" s="123" t="s">
        <v>15955</v>
      </c>
      <c r="L4418" s="131" t="s">
        <v>100</v>
      </c>
      <c r="M4418" s="135" t="s">
        <v>845</v>
      </c>
      <c r="N4418" s="123" t="s">
        <v>845</v>
      </c>
    </row>
    <row r="4419" spans="2:14" hidden="1" x14ac:dyDescent="0.25">
      <c r="B4419" s="120">
        <v>4416</v>
      </c>
      <c r="C4419" s="123">
        <v>10467806233</v>
      </c>
      <c r="D4419" s="126" t="s">
        <v>15958</v>
      </c>
      <c r="E4419" s="126" t="s">
        <v>15959</v>
      </c>
      <c r="F4419" s="123" t="s">
        <v>30</v>
      </c>
      <c r="G4419" s="123" t="s">
        <v>30</v>
      </c>
      <c r="H4419" s="123" t="s">
        <v>75</v>
      </c>
      <c r="I4419" s="126" t="s">
        <v>1561</v>
      </c>
      <c r="J4419" s="123" t="s">
        <v>15960</v>
      </c>
      <c r="K4419" s="123" t="s">
        <v>15958</v>
      </c>
      <c r="L4419" s="131" t="s">
        <v>100</v>
      </c>
      <c r="M4419" s="135" t="s">
        <v>845</v>
      </c>
      <c r="N4419" s="123" t="s">
        <v>845</v>
      </c>
    </row>
    <row r="4420" spans="2:14" hidden="1" x14ac:dyDescent="0.25">
      <c r="B4420" s="120">
        <v>4417</v>
      </c>
      <c r="C4420" s="123">
        <v>10157495050</v>
      </c>
      <c r="D4420" s="126" t="s">
        <v>15961</v>
      </c>
      <c r="E4420" s="126" t="s">
        <v>15962</v>
      </c>
      <c r="F4420" s="123" t="s">
        <v>30</v>
      </c>
      <c r="G4420" s="123" t="s">
        <v>54</v>
      </c>
      <c r="H4420" s="123" t="s">
        <v>54</v>
      </c>
      <c r="I4420" s="126" t="s">
        <v>1701</v>
      </c>
      <c r="J4420" s="123" t="s">
        <v>15963</v>
      </c>
      <c r="K4420" s="123" t="s">
        <v>15961</v>
      </c>
      <c r="L4420" s="131" t="s">
        <v>100</v>
      </c>
      <c r="M4420" s="135" t="s">
        <v>845</v>
      </c>
      <c r="N4420" s="123" t="s">
        <v>845</v>
      </c>
    </row>
    <row r="4421" spans="2:14" hidden="1" x14ac:dyDescent="0.25">
      <c r="B4421" s="120">
        <v>4418</v>
      </c>
      <c r="C4421" s="123">
        <v>10093609374</v>
      </c>
      <c r="D4421" s="126" t="s">
        <v>15964</v>
      </c>
      <c r="E4421" s="126" t="s">
        <v>15965</v>
      </c>
      <c r="F4421" s="123" t="s">
        <v>30</v>
      </c>
      <c r="G4421" s="123" t="s">
        <v>30</v>
      </c>
      <c r="H4421" s="123" t="s">
        <v>51</v>
      </c>
      <c r="I4421" s="126" t="s">
        <v>9095</v>
      </c>
      <c r="J4421" s="123" t="s">
        <v>15966</v>
      </c>
      <c r="K4421" s="123" t="s">
        <v>15964</v>
      </c>
      <c r="L4421" s="131" t="s">
        <v>100</v>
      </c>
      <c r="M4421" s="135" t="s">
        <v>845</v>
      </c>
      <c r="N4421" s="123" t="s">
        <v>845</v>
      </c>
    </row>
    <row r="4422" spans="2:14" hidden="1" x14ac:dyDescent="0.25">
      <c r="B4422" s="120">
        <v>4419</v>
      </c>
      <c r="C4422" s="123">
        <v>10466652721</v>
      </c>
      <c r="D4422" s="126" t="s">
        <v>15967</v>
      </c>
      <c r="E4422" s="126" t="s">
        <v>15968</v>
      </c>
      <c r="F4422" s="123" t="s">
        <v>30</v>
      </c>
      <c r="G4422" s="123" t="s">
        <v>168</v>
      </c>
      <c r="H4422" s="123" t="s">
        <v>168</v>
      </c>
      <c r="I4422" s="126" t="s">
        <v>1954</v>
      </c>
      <c r="J4422" s="123" t="s">
        <v>15969</v>
      </c>
      <c r="K4422" s="123" t="s">
        <v>15970</v>
      </c>
      <c r="L4422" s="131" t="s">
        <v>100</v>
      </c>
      <c r="M4422" s="135" t="s">
        <v>845</v>
      </c>
      <c r="N4422" s="123" t="s">
        <v>845</v>
      </c>
    </row>
    <row r="4423" spans="2:14" hidden="1" x14ac:dyDescent="0.25">
      <c r="B4423" s="120">
        <v>4420</v>
      </c>
      <c r="C4423" s="123">
        <v>10154274265</v>
      </c>
      <c r="D4423" s="126" t="s">
        <v>15971</v>
      </c>
      <c r="E4423" s="126" t="s">
        <v>15972</v>
      </c>
      <c r="F4423" s="123" t="s">
        <v>30</v>
      </c>
      <c r="G4423" s="123" t="s">
        <v>31</v>
      </c>
      <c r="H4423" s="123" t="s">
        <v>92</v>
      </c>
      <c r="I4423" s="126" t="s">
        <v>1701</v>
      </c>
      <c r="J4423" s="123" t="s">
        <v>15973</v>
      </c>
      <c r="K4423" s="123" t="s">
        <v>15971</v>
      </c>
      <c r="L4423" s="131" t="s">
        <v>100</v>
      </c>
      <c r="M4423" s="135" t="s">
        <v>845</v>
      </c>
      <c r="N4423" s="123" t="s">
        <v>845</v>
      </c>
    </row>
    <row r="4424" spans="2:14" hidden="1" x14ac:dyDescent="0.25">
      <c r="B4424" s="120">
        <v>4421</v>
      </c>
      <c r="C4424" s="123">
        <v>10097444345</v>
      </c>
      <c r="D4424" s="126" t="s">
        <v>15974</v>
      </c>
      <c r="E4424" s="126" t="s">
        <v>15975</v>
      </c>
      <c r="F4424" s="123" t="s">
        <v>30</v>
      </c>
      <c r="G4424" s="123" t="s">
        <v>30</v>
      </c>
      <c r="H4424" s="123" t="s">
        <v>58</v>
      </c>
      <c r="I4424" s="126" t="s">
        <v>1931</v>
      </c>
      <c r="J4424" s="123" t="s">
        <v>15976</v>
      </c>
      <c r="K4424" s="123" t="s">
        <v>15974</v>
      </c>
      <c r="L4424" s="131" t="s">
        <v>100</v>
      </c>
      <c r="M4424" s="135" t="s">
        <v>845</v>
      </c>
      <c r="N4424" s="123" t="s">
        <v>845</v>
      </c>
    </row>
    <row r="4425" spans="2:14" hidden="1" x14ac:dyDescent="0.25">
      <c r="B4425" s="120">
        <v>4422</v>
      </c>
      <c r="C4425" s="123">
        <v>10404563101</v>
      </c>
      <c r="D4425" s="126" t="s">
        <v>15977</v>
      </c>
      <c r="E4425" s="126" t="s">
        <v>15978</v>
      </c>
      <c r="F4425" s="123" t="s">
        <v>30</v>
      </c>
      <c r="G4425" s="123" t="s">
        <v>30</v>
      </c>
      <c r="H4425" s="123" t="s">
        <v>51</v>
      </c>
      <c r="I4425" s="126" t="s">
        <v>1701</v>
      </c>
      <c r="J4425" s="123" t="s">
        <v>15979</v>
      </c>
      <c r="K4425" s="123" t="s">
        <v>15977</v>
      </c>
      <c r="L4425" s="131" t="s">
        <v>100</v>
      </c>
      <c r="M4425" s="135" t="s">
        <v>845</v>
      </c>
      <c r="N4425" s="123" t="s">
        <v>845</v>
      </c>
    </row>
    <row r="4426" spans="2:14" hidden="1" x14ac:dyDescent="0.25">
      <c r="B4426" s="120">
        <v>4423</v>
      </c>
      <c r="C4426" s="123">
        <v>10443812011</v>
      </c>
      <c r="D4426" s="126" t="s">
        <v>15980</v>
      </c>
      <c r="E4426" s="126" t="s">
        <v>15981</v>
      </c>
      <c r="F4426" s="123" t="s">
        <v>67</v>
      </c>
      <c r="G4426" s="123" t="s">
        <v>67</v>
      </c>
      <c r="H4426" s="123" t="s">
        <v>94</v>
      </c>
      <c r="I4426" s="126" t="s">
        <v>1935</v>
      </c>
      <c r="J4426" s="123" t="s">
        <v>15982</v>
      </c>
      <c r="K4426" s="123" t="s">
        <v>15980</v>
      </c>
      <c r="L4426" s="131" t="s">
        <v>100</v>
      </c>
      <c r="M4426" s="135" t="s">
        <v>845</v>
      </c>
      <c r="N4426" s="123" t="s">
        <v>845</v>
      </c>
    </row>
    <row r="4427" spans="2:14" hidden="1" x14ac:dyDescent="0.25">
      <c r="B4427" s="120">
        <v>4424</v>
      </c>
      <c r="C4427" s="123">
        <v>10417104491</v>
      </c>
      <c r="D4427" s="126" t="s">
        <v>15983</v>
      </c>
      <c r="E4427" s="126" t="s">
        <v>15984</v>
      </c>
      <c r="F4427" s="123" t="s">
        <v>30</v>
      </c>
      <c r="G4427" s="123" t="s">
        <v>30</v>
      </c>
      <c r="H4427" s="123" t="s">
        <v>51</v>
      </c>
      <c r="I4427" s="126" t="s">
        <v>1737</v>
      </c>
      <c r="J4427" s="123" t="s">
        <v>15985</v>
      </c>
      <c r="K4427" s="123" t="s">
        <v>15983</v>
      </c>
      <c r="L4427" s="131" t="s">
        <v>100</v>
      </c>
      <c r="M4427" s="135" t="s">
        <v>845</v>
      </c>
      <c r="N4427" s="123" t="s">
        <v>845</v>
      </c>
    </row>
    <row r="4428" spans="2:14" hidden="1" x14ac:dyDescent="0.25">
      <c r="B4428" s="120">
        <v>4425</v>
      </c>
      <c r="C4428" s="123">
        <v>10067864081</v>
      </c>
      <c r="D4428" s="126" t="s">
        <v>15986</v>
      </c>
      <c r="E4428" s="126" t="s">
        <v>15987</v>
      </c>
      <c r="F4428" s="123" t="s">
        <v>30</v>
      </c>
      <c r="G4428" s="123" t="s">
        <v>30</v>
      </c>
      <c r="H4428" s="123" t="s">
        <v>41</v>
      </c>
      <c r="I4428" s="126" t="s">
        <v>1424</v>
      </c>
      <c r="J4428" s="123" t="s">
        <v>15988</v>
      </c>
      <c r="K4428" s="123" t="s">
        <v>15986</v>
      </c>
      <c r="L4428" s="131" t="s">
        <v>100</v>
      </c>
      <c r="M4428" s="135" t="s">
        <v>845</v>
      </c>
      <c r="N4428" s="123" t="s">
        <v>845</v>
      </c>
    </row>
    <row r="4429" spans="2:14" hidden="1" x14ac:dyDescent="0.25">
      <c r="B4429" s="120">
        <v>4426</v>
      </c>
      <c r="C4429" s="123">
        <v>15608771180</v>
      </c>
      <c r="D4429" s="126" t="s">
        <v>15989</v>
      </c>
      <c r="E4429" s="126" t="s">
        <v>15990</v>
      </c>
      <c r="F4429" s="123" t="s">
        <v>30</v>
      </c>
      <c r="G4429" s="123" t="s">
        <v>30</v>
      </c>
      <c r="H4429" s="123" t="s">
        <v>45</v>
      </c>
      <c r="I4429" s="126" t="s">
        <v>1701</v>
      </c>
      <c r="J4429" s="123" t="s">
        <v>15991</v>
      </c>
      <c r="K4429" s="123" t="s">
        <v>15989</v>
      </c>
      <c r="L4429" s="131" t="s">
        <v>100</v>
      </c>
      <c r="M4429" s="135" t="s">
        <v>845</v>
      </c>
      <c r="N4429" s="123" t="s">
        <v>845</v>
      </c>
    </row>
    <row r="4430" spans="2:14" hidden="1" x14ac:dyDescent="0.25">
      <c r="B4430" s="120">
        <v>4427</v>
      </c>
      <c r="C4430" s="123">
        <v>10207260768</v>
      </c>
      <c r="D4430" s="126" t="s">
        <v>15992</v>
      </c>
      <c r="E4430" s="126" t="s">
        <v>15993</v>
      </c>
      <c r="F4430" s="123" t="s">
        <v>30</v>
      </c>
      <c r="G4430" s="123" t="s">
        <v>30</v>
      </c>
      <c r="H4430" s="123" t="s">
        <v>50</v>
      </c>
      <c r="I4430" s="126" t="s">
        <v>15994</v>
      </c>
      <c r="J4430" s="123" t="s">
        <v>15995</v>
      </c>
      <c r="K4430" s="123" t="s">
        <v>15992</v>
      </c>
      <c r="L4430" s="131" t="s">
        <v>100</v>
      </c>
      <c r="M4430" s="135" t="s">
        <v>845</v>
      </c>
      <c r="N4430" s="123" t="s">
        <v>845</v>
      </c>
    </row>
    <row r="4431" spans="2:14" hidden="1" x14ac:dyDescent="0.25">
      <c r="B4431" s="120">
        <v>4428</v>
      </c>
      <c r="C4431" s="123">
        <v>10433972614</v>
      </c>
      <c r="D4431" s="126" t="s">
        <v>15996</v>
      </c>
      <c r="E4431" s="126" t="s">
        <v>15997</v>
      </c>
      <c r="F4431" s="123" t="s">
        <v>30</v>
      </c>
      <c r="G4431" s="123" t="s">
        <v>30</v>
      </c>
      <c r="H4431" s="123" t="s">
        <v>60</v>
      </c>
      <c r="I4431" s="126" t="s">
        <v>1805</v>
      </c>
      <c r="J4431" s="123" t="s">
        <v>15998</v>
      </c>
      <c r="K4431" s="123" t="s">
        <v>15996</v>
      </c>
      <c r="L4431" s="131" t="s">
        <v>100</v>
      </c>
      <c r="M4431" s="135" t="s">
        <v>845</v>
      </c>
      <c r="N4431" s="123" t="s">
        <v>845</v>
      </c>
    </row>
    <row r="4432" spans="2:14" hidden="1" x14ac:dyDescent="0.25">
      <c r="B4432" s="120">
        <v>4429</v>
      </c>
      <c r="C4432" s="123">
        <v>10489467564</v>
      </c>
      <c r="D4432" s="126" t="s">
        <v>15999</v>
      </c>
      <c r="E4432" s="126" t="s">
        <v>16000</v>
      </c>
      <c r="F4432" s="123" t="s">
        <v>30</v>
      </c>
      <c r="G4432" s="123" t="s">
        <v>30</v>
      </c>
      <c r="H4432" s="123" t="s">
        <v>72</v>
      </c>
      <c r="I4432" s="126" t="s">
        <v>1949</v>
      </c>
      <c r="J4432" s="123" t="s">
        <v>16001</v>
      </c>
      <c r="K4432" s="123" t="s">
        <v>15999</v>
      </c>
      <c r="L4432" s="131" t="s">
        <v>100</v>
      </c>
      <c r="M4432" s="135" t="s">
        <v>845</v>
      </c>
      <c r="N4432" s="123" t="s">
        <v>845</v>
      </c>
    </row>
    <row r="4433" spans="2:14" hidden="1" x14ac:dyDescent="0.25">
      <c r="B4433" s="120">
        <v>4430</v>
      </c>
      <c r="C4433" s="123">
        <v>10438789770</v>
      </c>
      <c r="D4433" s="126" t="s">
        <v>16002</v>
      </c>
      <c r="E4433" s="126" t="s">
        <v>16003</v>
      </c>
      <c r="F4433" s="123" t="s">
        <v>30</v>
      </c>
      <c r="G4433" s="123" t="s">
        <v>30</v>
      </c>
      <c r="H4433" s="123" t="s">
        <v>88</v>
      </c>
      <c r="I4433" s="126" t="s">
        <v>1424</v>
      </c>
      <c r="J4433" s="123" t="s">
        <v>16004</v>
      </c>
      <c r="K4433" s="123" t="s">
        <v>16005</v>
      </c>
      <c r="L4433" s="131" t="s">
        <v>100</v>
      </c>
      <c r="M4433" s="135" t="s">
        <v>845</v>
      </c>
      <c r="N4433" s="123" t="s">
        <v>845</v>
      </c>
    </row>
    <row r="4434" spans="2:14" hidden="1" x14ac:dyDescent="0.25">
      <c r="B4434" s="120">
        <v>4431</v>
      </c>
      <c r="C4434" s="123">
        <v>10414675811</v>
      </c>
      <c r="D4434" s="126" t="s">
        <v>16006</v>
      </c>
      <c r="E4434" s="126" t="s">
        <v>16007</v>
      </c>
      <c r="F4434" s="123" t="s">
        <v>30</v>
      </c>
      <c r="G4434" s="123" t="s">
        <v>30</v>
      </c>
      <c r="H4434" s="123" t="s">
        <v>51</v>
      </c>
      <c r="I4434" s="126" t="s">
        <v>11586</v>
      </c>
      <c r="J4434" s="123" t="s">
        <v>16008</v>
      </c>
      <c r="K4434" s="123" t="s">
        <v>16009</v>
      </c>
      <c r="L4434" s="131" t="s">
        <v>100</v>
      </c>
      <c r="M4434" s="135" t="s">
        <v>845</v>
      </c>
      <c r="N4434" s="123" t="s">
        <v>845</v>
      </c>
    </row>
    <row r="4435" spans="2:14" hidden="1" x14ac:dyDescent="0.25">
      <c r="B4435" s="120">
        <v>4432</v>
      </c>
      <c r="C4435" s="123">
        <v>10759667021</v>
      </c>
      <c r="D4435" s="126" t="s">
        <v>16010</v>
      </c>
      <c r="E4435" s="126" t="s">
        <v>16011</v>
      </c>
      <c r="F4435" s="123" t="s">
        <v>30</v>
      </c>
      <c r="G4435" s="123" t="s">
        <v>30</v>
      </c>
      <c r="H4435" s="123" t="s">
        <v>30</v>
      </c>
      <c r="I4435" s="126" t="s">
        <v>1706</v>
      </c>
      <c r="J4435" s="123" t="s">
        <v>16012</v>
      </c>
      <c r="K4435" s="123" t="s">
        <v>16010</v>
      </c>
      <c r="L4435" s="131" t="s">
        <v>100</v>
      </c>
      <c r="M4435" s="135" t="s">
        <v>845</v>
      </c>
      <c r="N4435" s="123" t="s">
        <v>845</v>
      </c>
    </row>
    <row r="4436" spans="2:14" hidden="1" x14ac:dyDescent="0.25">
      <c r="B4436" s="120">
        <v>4433</v>
      </c>
      <c r="C4436" s="123">
        <v>10429676121</v>
      </c>
      <c r="D4436" s="126" t="s">
        <v>16013</v>
      </c>
      <c r="E4436" s="126" t="s">
        <v>16014</v>
      </c>
      <c r="F4436" s="123" t="s">
        <v>30</v>
      </c>
      <c r="G4436" s="123" t="s">
        <v>30</v>
      </c>
      <c r="H4436" s="123" t="s">
        <v>30</v>
      </c>
      <c r="I4436" s="126" t="s">
        <v>1564</v>
      </c>
      <c r="J4436" s="123" t="s">
        <v>16015</v>
      </c>
      <c r="K4436" s="123" t="s">
        <v>16013</v>
      </c>
      <c r="L4436" s="131" t="s">
        <v>100</v>
      </c>
      <c r="M4436" s="135" t="s">
        <v>845</v>
      </c>
      <c r="N4436" s="123" t="s">
        <v>845</v>
      </c>
    </row>
    <row r="4437" spans="2:14" hidden="1" x14ac:dyDescent="0.25">
      <c r="B4437" s="120">
        <v>4434</v>
      </c>
      <c r="C4437" s="123">
        <v>10632541851</v>
      </c>
      <c r="D4437" s="126" t="s">
        <v>16016</v>
      </c>
      <c r="E4437" s="126" t="s">
        <v>16017</v>
      </c>
      <c r="F4437" s="123" t="s">
        <v>30</v>
      </c>
      <c r="G4437" s="123" t="s">
        <v>30</v>
      </c>
      <c r="H4437" s="123" t="s">
        <v>50</v>
      </c>
      <c r="I4437" s="126" t="s">
        <v>1424</v>
      </c>
      <c r="J4437" s="123" t="s">
        <v>16018</v>
      </c>
      <c r="K4437" s="123" t="s">
        <v>16016</v>
      </c>
      <c r="L4437" s="131" t="s">
        <v>100</v>
      </c>
      <c r="M4437" s="135" t="s">
        <v>845</v>
      </c>
      <c r="N4437" s="123" t="s">
        <v>845</v>
      </c>
    </row>
    <row r="4438" spans="2:14" hidden="1" x14ac:dyDescent="0.25">
      <c r="B4438" s="120">
        <v>4435</v>
      </c>
      <c r="C4438" s="123">
        <v>10426416463</v>
      </c>
      <c r="D4438" s="126" t="s">
        <v>16019</v>
      </c>
      <c r="E4438" s="126" t="s">
        <v>16020</v>
      </c>
      <c r="F4438" s="123" t="s">
        <v>30</v>
      </c>
      <c r="G4438" s="123" t="s">
        <v>30</v>
      </c>
      <c r="H4438" s="123" t="s">
        <v>37</v>
      </c>
      <c r="I4438" s="126" t="s">
        <v>14886</v>
      </c>
      <c r="J4438" s="123" t="s">
        <v>16021</v>
      </c>
      <c r="K4438" s="123" t="s">
        <v>16019</v>
      </c>
      <c r="L4438" s="131" t="s">
        <v>100</v>
      </c>
      <c r="M4438" s="135" t="s">
        <v>845</v>
      </c>
      <c r="N4438" s="123" t="s">
        <v>845</v>
      </c>
    </row>
    <row r="4439" spans="2:14" hidden="1" x14ac:dyDescent="0.25">
      <c r="B4439" s="120">
        <v>4436</v>
      </c>
      <c r="C4439" s="123">
        <v>10167908867</v>
      </c>
      <c r="D4439" s="126" t="s">
        <v>16022</v>
      </c>
      <c r="E4439" s="126" t="s">
        <v>16023</v>
      </c>
      <c r="F4439" s="123" t="s">
        <v>30</v>
      </c>
      <c r="G4439" s="123" t="s">
        <v>30</v>
      </c>
      <c r="H4439" s="123" t="s">
        <v>43</v>
      </c>
      <c r="I4439" s="126" t="s">
        <v>1767</v>
      </c>
      <c r="J4439" s="123" t="s">
        <v>16024</v>
      </c>
      <c r="K4439" s="123" t="s">
        <v>16022</v>
      </c>
      <c r="L4439" s="131" t="s">
        <v>100</v>
      </c>
      <c r="M4439" s="135" t="s">
        <v>845</v>
      </c>
      <c r="N4439" s="123" t="s">
        <v>845</v>
      </c>
    </row>
    <row r="4440" spans="2:14" hidden="1" x14ac:dyDescent="0.25">
      <c r="B4440" s="120">
        <v>4437</v>
      </c>
      <c r="C4440" s="123">
        <v>10425314802</v>
      </c>
      <c r="D4440" s="126" t="s">
        <v>16025</v>
      </c>
      <c r="E4440" s="126" t="s">
        <v>16026</v>
      </c>
      <c r="F4440" s="123" t="s">
        <v>30</v>
      </c>
      <c r="G4440" s="123" t="s">
        <v>30</v>
      </c>
      <c r="H4440" s="123" t="s">
        <v>88</v>
      </c>
      <c r="I4440" s="126" t="s">
        <v>1706</v>
      </c>
      <c r="J4440" s="123" t="s">
        <v>16027</v>
      </c>
      <c r="K4440" s="123" t="s">
        <v>16025</v>
      </c>
      <c r="L4440" s="131" t="s">
        <v>100</v>
      </c>
      <c r="M4440" s="135" t="s">
        <v>845</v>
      </c>
      <c r="N4440" s="123" t="s">
        <v>845</v>
      </c>
    </row>
    <row r="4441" spans="2:14" hidden="1" x14ac:dyDescent="0.25">
      <c r="B4441" s="120">
        <v>4438</v>
      </c>
      <c r="C4441" s="123">
        <v>10805931952</v>
      </c>
      <c r="D4441" s="126" t="s">
        <v>16028</v>
      </c>
      <c r="E4441" s="126" t="s">
        <v>16029</v>
      </c>
      <c r="F4441" s="123" t="s">
        <v>30</v>
      </c>
      <c r="G4441" s="123" t="s">
        <v>30</v>
      </c>
      <c r="H4441" s="123" t="s">
        <v>51</v>
      </c>
      <c r="I4441" s="126" t="s">
        <v>1701</v>
      </c>
      <c r="J4441" s="123" t="s">
        <v>16030</v>
      </c>
      <c r="K4441" s="123" t="s">
        <v>16028</v>
      </c>
      <c r="L4441" s="131" t="s">
        <v>100</v>
      </c>
      <c r="M4441" s="135" t="s">
        <v>845</v>
      </c>
      <c r="N4441" s="123" t="s">
        <v>845</v>
      </c>
    </row>
    <row r="4442" spans="2:14" hidden="1" x14ac:dyDescent="0.25">
      <c r="B4442" s="120">
        <v>4439</v>
      </c>
      <c r="C4442" s="123">
        <v>10414394171</v>
      </c>
      <c r="D4442" s="126" t="s">
        <v>16031</v>
      </c>
      <c r="E4442" s="126" t="s">
        <v>16032</v>
      </c>
      <c r="F4442" s="123" t="s">
        <v>30</v>
      </c>
      <c r="G4442" s="123" t="s">
        <v>30</v>
      </c>
      <c r="H4442" s="123" t="s">
        <v>85</v>
      </c>
      <c r="I4442" s="126" t="s">
        <v>1931</v>
      </c>
      <c r="J4442" s="123" t="s">
        <v>16033</v>
      </c>
      <c r="K4442" s="123" t="s">
        <v>16031</v>
      </c>
      <c r="L4442" s="131" t="s">
        <v>100</v>
      </c>
      <c r="M4442" s="135" t="s">
        <v>845</v>
      </c>
      <c r="N4442" s="123" t="s">
        <v>845</v>
      </c>
    </row>
    <row r="4443" spans="2:14" hidden="1" x14ac:dyDescent="0.25">
      <c r="B4443" s="120">
        <v>4440</v>
      </c>
      <c r="C4443" s="123">
        <v>10154500443</v>
      </c>
      <c r="D4443" s="126" t="s">
        <v>16034</v>
      </c>
      <c r="E4443" s="126" t="s">
        <v>16035</v>
      </c>
      <c r="F4443" s="123" t="s">
        <v>30</v>
      </c>
      <c r="G4443" s="123" t="s">
        <v>31</v>
      </c>
      <c r="H4443" s="123" t="s">
        <v>9381</v>
      </c>
      <c r="I4443" s="126" t="s">
        <v>9714</v>
      </c>
      <c r="J4443" s="123" t="s">
        <v>16036</v>
      </c>
      <c r="K4443" s="123" t="s">
        <v>16034</v>
      </c>
      <c r="L4443" s="131" t="s">
        <v>100</v>
      </c>
      <c r="M4443" s="135" t="s">
        <v>845</v>
      </c>
      <c r="N4443" s="123" t="s">
        <v>845</v>
      </c>
    </row>
    <row r="4444" spans="2:14" hidden="1" x14ac:dyDescent="0.25">
      <c r="B4444" s="120">
        <v>4441</v>
      </c>
      <c r="C4444" s="123">
        <v>10407135259</v>
      </c>
      <c r="D4444" s="126" t="s">
        <v>16037</v>
      </c>
      <c r="E4444" s="126" t="s">
        <v>16038</v>
      </c>
      <c r="F4444" s="123" t="s">
        <v>30</v>
      </c>
      <c r="G4444" s="123" t="s">
        <v>30</v>
      </c>
      <c r="H4444" s="123" t="s">
        <v>88</v>
      </c>
      <c r="I4444" s="126" t="s">
        <v>1701</v>
      </c>
      <c r="J4444" s="123" t="s">
        <v>16039</v>
      </c>
      <c r="K4444" s="123" t="s">
        <v>16037</v>
      </c>
      <c r="L4444" s="131" t="s">
        <v>100</v>
      </c>
      <c r="M4444" s="135" t="s">
        <v>845</v>
      </c>
      <c r="N4444" s="123" t="s">
        <v>845</v>
      </c>
    </row>
    <row r="4445" spans="2:14" hidden="1" x14ac:dyDescent="0.25">
      <c r="B4445" s="120">
        <v>4442</v>
      </c>
      <c r="C4445" s="123">
        <v>10422039461</v>
      </c>
      <c r="D4445" s="126" t="s">
        <v>16040</v>
      </c>
      <c r="E4445" s="126" t="s">
        <v>16041</v>
      </c>
      <c r="F4445" s="123" t="s">
        <v>30</v>
      </c>
      <c r="G4445" s="123" t="s">
        <v>30</v>
      </c>
      <c r="H4445" s="123" t="s">
        <v>51</v>
      </c>
      <c r="I4445" s="126" t="s">
        <v>1701</v>
      </c>
      <c r="J4445" s="123" t="s">
        <v>16042</v>
      </c>
      <c r="K4445" s="123" t="s">
        <v>16040</v>
      </c>
      <c r="L4445" s="131" t="s">
        <v>100</v>
      </c>
      <c r="M4445" s="135" t="s">
        <v>845</v>
      </c>
      <c r="N4445" s="123" t="s">
        <v>845</v>
      </c>
    </row>
    <row r="4446" spans="2:14" hidden="1" x14ac:dyDescent="0.25">
      <c r="B4446" s="120">
        <v>4443</v>
      </c>
      <c r="C4446" s="123">
        <v>10429630695</v>
      </c>
      <c r="D4446" s="126" t="s">
        <v>16043</v>
      </c>
      <c r="E4446" s="126" t="s">
        <v>16044</v>
      </c>
      <c r="F4446" s="123" t="s">
        <v>30</v>
      </c>
      <c r="G4446" s="123" t="s">
        <v>30</v>
      </c>
      <c r="H4446" s="123" t="s">
        <v>51</v>
      </c>
      <c r="I4446" s="126" t="s">
        <v>1941</v>
      </c>
      <c r="J4446" s="123" t="s">
        <v>16045</v>
      </c>
      <c r="K4446" s="123" t="s">
        <v>16046</v>
      </c>
      <c r="L4446" s="131" t="s">
        <v>100</v>
      </c>
      <c r="M4446" s="135" t="s">
        <v>845</v>
      </c>
      <c r="N4446" s="123" t="s">
        <v>845</v>
      </c>
    </row>
    <row r="4447" spans="2:14" hidden="1" x14ac:dyDescent="0.25">
      <c r="B4447" s="120">
        <v>4444</v>
      </c>
      <c r="C4447" s="123">
        <v>10097499760</v>
      </c>
      <c r="D4447" s="126" t="s">
        <v>16047</v>
      </c>
      <c r="E4447" s="126" t="s">
        <v>16048</v>
      </c>
      <c r="F4447" s="123" t="s">
        <v>30</v>
      </c>
      <c r="G4447" s="123" t="s">
        <v>30</v>
      </c>
      <c r="H4447" s="123" t="s">
        <v>50</v>
      </c>
      <c r="I4447" s="126" t="s">
        <v>8743</v>
      </c>
      <c r="J4447" s="123" t="s">
        <v>16049</v>
      </c>
      <c r="K4447" s="123" t="s">
        <v>16050</v>
      </c>
      <c r="L4447" s="131" t="s">
        <v>100</v>
      </c>
      <c r="M4447" s="135" t="s">
        <v>845</v>
      </c>
      <c r="N4447" s="123" t="s">
        <v>845</v>
      </c>
    </row>
    <row r="4448" spans="2:14" hidden="1" x14ac:dyDescent="0.25">
      <c r="B4448" s="120">
        <v>4445</v>
      </c>
      <c r="C4448" s="123">
        <v>10069243695</v>
      </c>
      <c r="D4448" s="126" t="s">
        <v>16051</v>
      </c>
      <c r="E4448" s="126" t="s">
        <v>16052</v>
      </c>
      <c r="F4448" s="123" t="s">
        <v>30</v>
      </c>
      <c r="G4448" s="123" t="s">
        <v>30</v>
      </c>
      <c r="H4448" s="123" t="s">
        <v>50</v>
      </c>
      <c r="I4448" s="126" t="s">
        <v>1931</v>
      </c>
      <c r="J4448" s="123" t="s">
        <v>16053</v>
      </c>
      <c r="K4448" s="123" t="s">
        <v>16051</v>
      </c>
      <c r="L4448" s="131" t="s">
        <v>100</v>
      </c>
      <c r="M4448" s="135" t="s">
        <v>845</v>
      </c>
      <c r="N4448" s="123" t="s">
        <v>845</v>
      </c>
    </row>
    <row r="4449" spans="2:14" hidden="1" x14ac:dyDescent="0.25">
      <c r="B4449" s="120">
        <v>4446</v>
      </c>
      <c r="C4449" s="123">
        <v>10761934967</v>
      </c>
      <c r="D4449" s="126" t="s">
        <v>16054</v>
      </c>
      <c r="E4449" s="126" t="s">
        <v>16055</v>
      </c>
      <c r="F4449" s="123" t="s">
        <v>30</v>
      </c>
      <c r="G4449" s="123" t="s">
        <v>30</v>
      </c>
      <c r="H4449" s="123" t="s">
        <v>214</v>
      </c>
      <c r="I4449" s="126" t="s">
        <v>1424</v>
      </c>
      <c r="J4449" s="123" t="s">
        <v>16056</v>
      </c>
      <c r="K4449" s="123" t="s">
        <v>16057</v>
      </c>
      <c r="L4449" s="131" t="s">
        <v>100</v>
      </c>
      <c r="M4449" s="135" t="s">
        <v>845</v>
      </c>
      <c r="N4449" s="123" t="s">
        <v>845</v>
      </c>
    </row>
    <row r="4450" spans="2:14" hidden="1" x14ac:dyDescent="0.25">
      <c r="B4450" s="120">
        <v>4447</v>
      </c>
      <c r="C4450" s="123">
        <v>10724100185</v>
      </c>
      <c r="D4450" s="126" t="s">
        <v>16058</v>
      </c>
      <c r="E4450" s="126" t="s">
        <v>16059</v>
      </c>
      <c r="F4450" s="123" t="s">
        <v>30</v>
      </c>
      <c r="G4450" s="123" t="s">
        <v>170</v>
      </c>
      <c r="H4450" s="123" t="s">
        <v>171</v>
      </c>
      <c r="I4450" s="126" t="s">
        <v>9035</v>
      </c>
      <c r="J4450" s="123" t="s">
        <v>16060</v>
      </c>
      <c r="K4450" s="123" t="s">
        <v>16058</v>
      </c>
      <c r="L4450" s="131" t="s">
        <v>100</v>
      </c>
      <c r="M4450" s="135" t="s">
        <v>845</v>
      </c>
      <c r="N4450" s="123" t="s">
        <v>845</v>
      </c>
    </row>
    <row r="4451" spans="2:14" hidden="1" x14ac:dyDescent="0.25">
      <c r="B4451" s="120">
        <v>4448</v>
      </c>
      <c r="C4451" s="123">
        <v>10444572600</v>
      </c>
      <c r="D4451" s="126" t="s">
        <v>16061</v>
      </c>
      <c r="E4451" s="126" t="s">
        <v>16062</v>
      </c>
      <c r="F4451" s="123" t="s">
        <v>30</v>
      </c>
      <c r="G4451" s="123" t="s">
        <v>30</v>
      </c>
      <c r="H4451" s="123" t="s">
        <v>68</v>
      </c>
      <c r="I4451" s="126" t="s">
        <v>2460</v>
      </c>
      <c r="J4451" s="123" t="s">
        <v>16063</v>
      </c>
      <c r="K4451" s="123" t="s">
        <v>16061</v>
      </c>
      <c r="L4451" s="131" t="s">
        <v>100</v>
      </c>
      <c r="M4451" s="135" t="s">
        <v>845</v>
      </c>
      <c r="N4451" s="123" t="s">
        <v>845</v>
      </c>
    </row>
    <row r="4452" spans="2:14" hidden="1" x14ac:dyDescent="0.25">
      <c r="B4452" s="120">
        <v>4449</v>
      </c>
      <c r="C4452" s="123">
        <v>10409765934</v>
      </c>
      <c r="D4452" s="126" t="s">
        <v>16064</v>
      </c>
      <c r="E4452" s="126" t="s">
        <v>16065</v>
      </c>
      <c r="F4452" s="123" t="s">
        <v>30</v>
      </c>
      <c r="G4452" s="123" t="s">
        <v>30</v>
      </c>
      <c r="H4452" s="123" t="s">
        <v>38</v>
      </c>
      <c r="I4452" s="126" t="s">
        <v>1943</v>
      </c>
      <c r="J4452" s="123" t="s">
        <v>16066</v>
      </c>
      <c r="K4452" s="123" t="s">
        <v>16067</v>
      </c>
      <c r="L4452" s="131" t="s">
        <v>100</v>
      </c>
      <c r="M4452" s="135" t="s">
        <v>845</v>
      </c>
      <c r="N4452" s="123" t="s">
        <v>845</v>
      </c>
    </row>
    <row r="4453" spans="2:14" hidden="1" x14ac:dyDescent="0.25">
      <c r="B4453" s="120">
        <v>4450</v>
      </c>
      <c r="C4453" s="123">
        <v>10099521037</v>
      </c>
      <c r="D4453" s="126" t="s">
        <v>16068</v>
      </c>
      <c r="E4453" s="126" t="s">
        <v>16069</v>
      </c>
      <c r="F4453" s="123" t="s">
        <v>30</v>
      </c>
      <c r="G4453" s="123" t="s">
        <v>30</v>
      </c>
      <c r="H4453" s="123" t="s">
        <v>50</v>
      </c>
      <c r="I4453" s="126" t="s">
        <v>11586</v>
      </c>
      <c r="J4453" s="123" t="s">
        <v>16070</v>
      </c>
      <c r="K4453" s="123" t="s">
        <v>16071</v>
      </c>
      <c r="L4453" s="131" t="s">
        <v>100</v>
      </c>
      <c r="M4453" s="135" t="s">
        <v>845</v>
      </c>
      <c r="N4453" s="123" t="s">
        <v>845</v>
      </c>
    </row>
    <row r="4454" spans="2:14" hidden="1" x14ac:dyDescent="0.25">
      <c r="B4454" s="120">
        <v>4451</v>
      </c>
      <c r="C4454" s="123">
        <v>10328656502</v>
      </c>
      <c r="D4454" s="126" t="s">
        <v>16072</v>
      </c>
      <c r="E4454" s="126" t="s">
        <v>16073</v>
      </c>
      <c r="F4454" s="123" t="s">
        <v>30</v>
      </c>
      <c r="G4454" s="123" t="s">
        <v>170</v>
      </c>
      <c r="H4454" s="123" t="s">
        <v>175</v>
      </c>
      <c r="I4454" s="126" t="s">
        <v>16074</v>
      </c>
      <c r="J4454" s="123" t="s">
        <v>16075</v>
      </c>
      <c r="K4454" s="123" t="s">
        <v>16072</v>
      </c>
      <c r="L4454" s="131" t="s">
        <v>100</v>
      </c>
      <c r="M4454" s="135" t="s">
        <v>845</v>
      </c>
      <c r="N4454" s="123" t="s">
        <v>845</v>
      </c>
    </row>
    <row r="4455" spans="2:14" hidden="1" x14ac:dyDescent="0.25">
      <c r="B4455" s="120">
        <v>4452</v>
      </c>
      <c r="C4455" s="123">
        <v>10157082014</v>
      </c>
      <c r="D4455" s="126" t="s">
        <v>16076</v>
      </c>
      <c r="E4455" s="126" t="s">
        <v>16077</v>
      </c>
      <c r="F4455" s="123" t="s">
        <v>30</v>
      </c>
      <c r="G4455" s="123" t="s">
        <v>168</v>
      </c>
      <c r="H4455" s="123" t="s">
        <v>180</v>
      </c>
      <c r="I4455" s="126" t="s">
        <v>1701</v>
      </c>
      <c r="J4455" s="123" t="s">
        <v>16078</v>
      </c>
      <c r="K4455" s="123" t="s">
        <v>16079</v>
      </c>
      <c r="L4455" s="131" t="s">
        <v>100</v>
      </c>
      <c r="M4455" s="135" t="s">
        <v>845</v>
      </c>
      <c r="N4455" s="123" t="s">
        <v>845</v>
      </c>
    </row>
    <row r="4456" spans="2:14" hidden="1" x14ac:dyDescent="0.25">
      <c r="B4456" s="120">
        <v>4453</v>
      </c>
      <c r="C4456" s="123">
        <v>15611565337</v>
      </c>
      <c r="D4456" s="126" t="s">
        <v>16080</v>
      </c>
      <c r="E4456" s="126" t="s">
        <v>16081</v>
      </c>
      <c r="F4456" s="123" t="s">
        <v>30</v>
      </c>
      <c r="G4456" s="123" t="s">
        <v>30</v>
      </c>
      <c r="H4456" s="123" t="s">
        <v>34</v>
      </c>
      <c r="I4456" s="126" t="s">
        <v>1701</v>
      </c>
      <c r="J4456" s="123" t="s">
        <v>16082</v>
      </c>
      <c r="K4456" s="123" t="s">
        <v>16080</v>
      </c>
      <c r="L4456" s="131" t="s">
        <v>100</v>
      </c>
      <c r="M4456" s="135" t="s">
        <v>845</v>
      </c>
      <c r="N4456" s="123" t="s">
        <v>845</v>
      </c>
    </row>
    <row r="4457" spans="2:14" hidden="1" x14ac:dyDescent="0.25">
      <c r="B4457" s="120">
        <v>4454</v>
      </c>
      <c r="C4457" s="123">
        <v>10101291150</v>
      </c>
      <c r="D4457" s="126" t="s">
        <v>16083</v>
      </c>
      <c r="E4457" s="126" t="s">
        <v>16084</v>
      </c>
      <c r="F4457" s="123" t="s">
        <v>30</v>
      </c>
      <c r="G4457" s="123" t="s">
        <v>30</v>
      </c>
      <c r="H4457" s="123" t="s">
        <v>43</v>
      </c>
      <c r="I4457" s="126" t="s">
        <v>1424</v>
      </c>
      <c r="J4457" s="123" t="s">
        <v>16085</v>
      </c>
      <c r="K4457" s="123" t="s">
        <v>16086</v>
      </c>
      <c r="L4457" s="131" t="s">
        <v>100</v>
      </c>
      <c r="M4457" s="135" t="s">
        <v>845</v>
      </c>
      <c r="N4457" s="123" t="s">
        <v>845</v>
      </c>
    </row>
    <row r="4458" spans="2:14" hidden="1" x14ac:dyDescent="0.25">
      <c r="B4458" s="120">
        <v>4455</v>
      </c>
      <c r="C4458" s="123">
        <v>10101544261</v>
      </c>
      <c r="D4458" s="126" t="s">
        <v>16087</v>
      </c>
      <c r="E4458" s="126" t="s">
        <v>16088</v>
      </c>
      <c r="F4458" s="123" t="s">
        <v>30</v>
      </c>
      <c r="G4458" s="123" t="s">
        <v>30</v>
      </c>
      <c r="H4458" s="123" t="s">
        <v>45</v>
      </c>
      <c r="I4458" s="126" t="s">
        <v>1701</v>
      </c>
      <c r="J4458" s="123" t="s">
        <v>16089</v>
      </c>
      <c r="K4458" s="123" t="s">
        <v>16087</v>
      </c>
      <c r="L4458" s="131" t="s">
        <v>100</v>
      </c>
      <c r="M4458" s="135" t="s">
        <v>845</v>
      </c>
      <c r="N4458" s="123" t="s">
        <v>845</v>
      </c>
    </row>
    <row r="4459" spans="2:14" hidden="1" x14ac:dyDescent="0.25">
      <c r="B4459" s="120">
        <v>4456</v>
      </c>
      <c r="C4459" s="123">
        <v>10257858915</v>
      </c>
      <c r="D4459" s="126" t="s">
        <v>16090</v>
      </c>
      <c r="E4459" s="126" t="s">
        <v>16091</v>
      </c>
      <c r="F4459" s="123" t="s">
        <v>67</v>
      </c>
      <c r="G4459" s="123" t="s">
        <v>67</v>
      </c>
      <c r="H4459" s="123" t="s">
        <v>67</v>
      </c>
      <c r="I4459" s="126" t="s">
        <v>1424</v>
      </c>
      <c r="J4459" s="123" t="s">
        <v>16092</v>
      </c>
      <c r="K4459" s="123" t="s">
        <v>16090</v>
      </c>
      <c r="L4459" s="131" t="s">
        <v>100</v>
      </c>
      <c r="M4459" s="135" t="s">
        <v>845</v>
      </c>
      <c r="N4459" s="123" t="s">
        <v>845</v>
      </c>
    </row>
    <row r="4460" spans="2:14" hidden="1" x14ac:dyDescent="0.25">
      <c r="B4460" s="120">
        <v>4457</v>
      </c>
      <c r="C4460" s="123">
        <v>15258259693</v>
      </c>
      <c r="D4460" s="126" t="s">
        <v>16093</v>
      </c>
      <c r="E4460" s="126" t="s">
        <v>16094</v>
      </c>
      <c r="F4460" s="123" t="s">
        <v>30</v>
      </c>
      <c r="G4460" s="123" t="s">
        <v>30</v>
      </c>
      <c r="H4460" s="123" t="s">
        <v>43</v>
      </c>
      <c r="I4460" s="126" t="s">
        <v>1931</v>
      </c>
      <c r="J4460" s="123" t="s">
        <v>16095</v>
      </c>
      <c r="K4460" s="123" t="s">
        <v>16093</v>
      </c>
      <c r="L4460" s="131" t="s">
        <v>100</v>
      </c>
      <c r="M4460" s="135" t="s">
        <v>845</v>
      </c>
      <c r="N4460" s="123" t="s">
        <v>845</v>
      </c>
    </row>
    <row r="4461" spans="2:14" hidden="1" x14ac:dyDescent="0.25">
      <c r="B4461" s="120">
        <v>4458</v>
      </c>
      <c r="C4461" s="123">
        <v>10077645344</v>
      </c>
      <c r="D4461" s="126" t="s">
        <v>16096</v>
      </c>
      <c r="E4461" s="126" t="s">
        <v>16097</v>
      </c>
      <c r="F4461" s="123" t="s">
        <v>30</v>
      </c>
      <c r="G4461" s="123" t="s">
        <v>30</v>
      </c>
      <c r="H4461" s="123" t="s">
        <v>47</v>
      </c>
      <c r="I4461" s="126" t="s">
        <v>16098</v>
      </c>
      <c r="J4461" s="123" t="s">
        <v>16099</v>
      </c>
      <c r="K4461" s="123" t="s">
        <v>16100</v>
      </c>
      <c r="L4461" s="131" t="s">
        <v>100</v>
      </c>
      <c r="M4461" s="135" t="s">
        <v>845</v>
      </c>
      <c r="N4461" s="123" t="s">
        <v>845</v>
      </c>
    </row>
    <row r="4462" spans="2:14" hidden="1" x14ac:dyDescent="0.25">
      <c r="B4462" s="120">
        <v>4459</v>
      </c>
      <c r="C4462" s="123">
        <v>10404304319</v>
      </c>
      <c r="D4462" s="126" t="s">
        <v>16101</v>
      </c>
      <c r="E4462" s="126" t="s">
        <v>16102</v>
      </c>
      <c r="F4462" s="123" t="s">
        <v>30</v>
      </c>
      <c r="G4462" s="123" t="s">
        <v>170</v>
      </c>
      <c r="H4462" s="123" t="s">
        <v>171</v>
      </c>
      <c r="I4462" s="126" t="s">
        <v>9561</v>
      </c>
      <c r="J4462" s="123" t="s">
        <v>16103</v>
      </c>
      <c r="K4462" s="123" t="s">
        <v>16101</v>
      </c>
      <c r="L4462" s="131" t="s">
        <v>100</v>
      </c>
      <c r="M4462" s="135" t="s">
        <v>845</v>
      </c>
      <c r="N4462" s="123" t="s">
        <v>845</v>
      </c>
    </row>
    <row r="4463" spans="2:14" hidden="1" x14ac:dyDescent="0.25">
      <c r="B4463" s="120">
        <v>4460</v>
      </c>
      <c r="C4463" s="123">
        <v>10102071188</v>
      </c>
      <c r="D4463" s="126" t="s">
        <v>16104</v>
      </c>
      <c r="E4463" s="126" t="s">
        <v>16105</v>
      </c>
      <c r="F4463" s="123" t="s">
        <v>30</v>
      </c>
      <c r="G4463" s="123" t="s">
        <v>30</v>
      </c>
      <c r="H4463" s="123" t="s">
        <v>45</v>
      </c>
      <c r="I4463" s="126" t="s">
        <v>1936</v>
      </c>
      <c r="J4463" s="123" t="s">
        <v>16106</v>
      </c>
      <c r="K4463" s="123" t="s">
        <v>16104</v>
      </c>
      <c r="L4463" s="131" t="s">
        <v>100</v>
      </c>
      <c r="M4463" s="135" t="s">
        <v>845</v>
      </c>
      <c r="N4463" s="123" t="s">
        <v>845</v>
      </c>
    </row>
    <row r="4464" spans="2:14" hidden="1" x14ac:dyDescent="0.25">
      <c r="B4464" s="120">
        <v>4461</v>
      </c>
      <c r="C4464" s="123">
        <v>10157440069</v>
      </c>
      <c r="D4464" s="126" t="s">
        <v>16107</v>
      </c>
      <c r="E4464" s="126" t="s">
        <v>16108</v>
      </c>
      <c r="F4464" s="123" t="s">
        <v>30</v>
      </c>
      <c r="G4464" s="123" t="s">
        <v>170</v>
      </c>
      <c r="H4464" s="123" t="s">
        <v>171</v>
      </c>
      <c r="I4464" s="126" t="s">
        <v>1805</v>
      </c>
      <c r="J4464" s="123" t="s">
        <v>16109</v>
      </c>
      <c r="K4464" s="123" t="s">
        <v>16107</v>
      </c>
      <c r="L4464" s="131" t="s">
        <v>100</v>
      </c>
      <c r="M4464" s="135" t="s">
        <v>845</v>
      </c>
      <c r="N4464" s="123" t="s">
        <v>845</v>
      </c>
    </row>
    <row r="4465" spans="2:14" hidden="1" x14ac:dyDescent="0.25">
      <c r="B4465" s="120">
        <v>4462</v>
      </c>
      <c r="C4465" s="123">
        <v>10463182472</v>
      </c>
      <c r="D4465" s="126" t="s">
        <v>16110</v>
      </c>
      <c r="E4465" s="126" t="s">
        <v>16111</v>
      </c>
      <c r="F4465" s="123" t="s">
        <v>30</v>
      </c>
      <c r="G4465" s="123" t="s">
        <v>170</v>
      </c>
      <c r="H4465" s="123" t="s">
        <v>174</v>
      </c>
      <c r="I4465" s="126" t="s">
        <v>1701</v>
      </c>
      <c r="J4465" s="123" t="s">
        <v>16112</v>
      </c>
      <c r="K4465" s="123" t="s">
        <v>16110</v>
      </c>
      <c r="L4465" s="131" t="s">
        <v>100</v>
      </c>
      <c r="M4465" s="135" t="s">
        <v>845</v>
      </c>
      <c r="N4465" s="123" t="s">
        <v>845</v>
      </c>
    </row>
    <row r="4466" spans="2:14" hidden="1" x14ac:dyDescent="0.25">
      <c r="B4466" s="120">
        <v>4463</v>
      </c>
      <c r="C4466" s="123">
        <v>10484492749</v>
      </c>
      <c r="D4466" s="126" t="s">
        <v>16113</v>
      </c>
      <c r="E4466" s="126" t="s">
        <v>16114</v>
      </c>
      <c r="F4466" s="123" t="s">
        <v>30</v>
      </c>
      <c r="G4466" s="123" t="s">
        <v>54</v>
      </c>
      <c r="H4466" s="123" t="s">
        <v>54</v>
      </c>
      <c r="I4466" s="126" t="s">
        <v>1946</v>
      </c>
      <c r="J4466" s="123" t="s">
        <v>16115</v>
      </c>
      <c r="K4466" s="123" t="s">
        <v>16116</v>
      </c>
      <c r="L4466" s="131" t="s">
        <v>100</v>
      </c>
      <c r="M4466" s="135" t="s">
        <v>845</v>
      </c>
      <c r="N4466" s="123" t="s">
        <v>845</v>
      </c>
    </row>
    <row r="4467" spans="2:14" hidden="1" x14ac:dyDescent="0.25">
      <c r="B4467" s="120">
        <v>4464</v>
      </c>
      <c r="C4467" s="123">
        <v>10103340433</v>
      </c>
      <c r="D4467" s="126" t="s">
        <v>16117</v>
      </c>
      <c r="E4467" s="126" t="s">
        <v>16118</v>
      </c>
      <c r="F4467" s="123" t="s">
        <v>30</v>
      </c>
      <c r="G4467" s="123" t="s">
        <v>30</v>
      </c>
      <c r="H4467" s="123" t="s">
        <v>30</v>
      </c>
      <c r="I4467" s="126" t="s">
        <v>1424</v>
      </c>
      <c r="J4467" s="123" t="s">
        <v>16119</v>
      </c>
      <c r="K4467" s="123" t="s">
        <v>16117</v>
      </c>
      <c r="L4467" s="131" t="s">
        <v>100</v>
      </c>
      <c r="M4467" s="135" t="s">
        <v>845</v>
      </c>
      <c r="N4467" s="123" t="s">
        <v>845</v>
      </c>
    </row>
    <row r="4468" spans="2:14" hidden="1" x14ac:dyDescent="0.25">
      <c r="B4468" s="120">
        <v>4465</v>
      </c>
      <c r="C4468" s="123">
        <v>10724652170</v>
      </c>
      <c r="D4468" s="126" t="s">
        <v>16120</v>
      </c>
      <c r="E4468" s="126" t="s">
        <v>16121</v>
      </c>
      <c r="F4468" s="123" t="s">
        <v>30</v>
      </c>
      <c r="G4468" s="123" t="s">
        <v>30</v>
      </c>
      <c r="H4468" s="123" t="s">
        <v>50</v>
      </c>
      <c r="I4468" s="126" t="s">
        <v>16122</v>
      </c>
      <c r="J4468" s="123" t="s">
        <v>16123</v>
      </c>
      <c r="K4468" s="123" t="s">
        <v>16120</v>
      </c>
      <c r="L4468" s="131" t="s">
        <v>100</v>
      </c>
      <c r="M4468" s="135" t="s">
        <v>845</v>
      </c>
      <c r="N4468" s="123" t="s">
        <v>845</v>
      </c>
    </row>
    <row r="4469" spans="2:14" hidden="1" x14ac:dyDescent="0.25">
      <c r="B4469" s="120">
        <v>4466</v>
      </c>
      <c r="C4469" s="123">
        <v>10769702879</v>
      </c>
      <c r="D4469" s="126" t="s">
        <v>16124</v>
      </c>
      <c r="E4469" s="126" t="s">
        <v>16125</v>
      </c>
      <c r="F4469" s="123" t="s">
        <v>30</v>
      </c>
      <c r="G4469" s="123" t="s">
        <v>30</v>
      </c>
      <c r="H4469" s="123" t="s">
        <v>45</v>
      </c>
      <c r="I4469" s="126" t="s">
        <v>1484</v>
      </c>
      <c r="J4469" s="123" t="s">
        <v>16126</v>
      </c>
      <c r="K4469" s="123" t="s">
        <v>16124</v>
      </c>
      <c r="L4469" s="131" t="s">
        <v>100</v>
      </c>
      <c r="M4469" s="135" t="s">
        <v>845</v>
      </c>
      <c r="N4469" s="123" t="s">
        <v>845</v>
      </c>
    </row>
    <row r="4470" spans="2:14" hidden="1" x14ac:dyDescent="0.25">
      <c r="B4470" s="120">
        <v>4467</v>
      </c>
      <c r="C4470" s="123">
        <v>10450651449</v>
      </c>
      <c r="D4470" s="126" t="s">
        <v>16127</v>
      </c>
      <c r="E4470" s="126" t="s">
        <v>16128</v>
      </c>
      <c r="F4470" s="123" t="s">
        <v>30</v>
      </c>
      <c r="G4470" s="123" t="s">
        <v>30</v>
      </c>
      <c r="H4470" s="123" t="s">
        <v>58</v>
      </c>
      <c r="I4470" s="126" t="s">
        <v>1701</v>
      </c>
      <c r="J4470" s="123" t="s">
        <v>16129</v>
      </c>
      <c r="K4470" s="123" t="s">
        <v>16127</v>
      </c>
      <c r="L4470" s="131" t="s">
        <v>100</v>
      </c>
      <c r="M4470" s="135" t="s">
        <v>845</v>
      </c>
      <c r="N4470" s="123" t="s">
        <v>845</v>
      </c>
    </row>
    <row r="4471" spans="2:14" hidden="1" x14ac:dyDescent="0.25">
      <c r="B4471" s="120">
        <v>4468</v>
      </c>
      <c r="C4471" s="123">
        <v>10411238224</v>
      </c>
      <c r="D4471" s="126" t="s">
        <v>16130</v>
      </c>
      <c r="E4471" s="126" t="s">
        <v>16131</v>
      </c>
      <c r="F4471" s="123" t="s">
        <v>30</v>
      </c>
      <c r="G4471" s="123" t="s">
        <v>30</v>
      </c>
      <c r="H4471" s="123" t="s">
        <v>72</v>
      </c>
      <c r="I4471" s="126" t="s">
        <v>1441</v>
      </c>
      <c r="J4471" s="123" t="s">
        <v>16132</v>
      </c>
      <c r="K4471" s="123" t="s">
        <v>16130</v>
      </c>
      <c r="L4471" s="131" t="s">
        <v>100</v>
      </c>
      <c r="M4471" s="135" t="s">
        <v>845</v>
      </c>
      <c r="N4471" s="123" t="s">
        <v>845</v>
      </c>
    </row>
    <row r="4472" spans="2:14" hidden="1" x14ac:dyDescent="0.25">
      <c r="B4472" s="120">
        <v>4469</v>
      </c>
      <c r="C4472" s="123">
        <v>10099003044</v>
      </c>
      <c r="D4472" s="126" t="s">
        <v>16133</v>
      </c>
      <c r="E4472" s="126" t="s">
        <v>16134</v>
      </c>
      <c r="F4472" s="123" t="s">
        <v>30</v>
      </c>
      <c r="G4472" s="123" t="s">
        <v>30</v>
      </c>
      <c r="H4472" s="123" t="s">
        <v>58</v>
      </c>
      <c r="I4472" s="126" t="s">
        <v>1935</v>
      </c>
      <c r="J4472" s="123" t="s">
        <v>16135</v>
      </c>
      <c r="K4472" s="123" t="s">
        <v>16136</v>
      </c>
      <c r="L4472" s="131" t="s">
        <v>100</v>
      </c>
      <c r="M4472" s="135" t="s">
        <v>845</v>
      </c>
      <c r="N4472" s="123" t="s">
        <v>845</v>
      </c>
    </row>
    <row r="4473" spans="2:14" hidden="1" x14ac:dyDescent="0.25">
      <c r="B4473" s="120">
        <v>4470</v>
      </c>
      <c r="C4473" s="123">
        <v>10470910408</v>
      </c>
      <c r="D4473" s="126" t="s">
        <v>16137</v>
      </c>
      <c r="E4473" s="126" t="s">
        <v>16138</v>
      </c>
      <c r="F4473" s="123" t="s">
        <v>30</v>
      </c>
      <c r="G4473" s="123" t="s">
        <v>30</v>
      </c>
      <c r="H4473" s="123" t="s">
        <v>72</v>
      </c>
      <c r="I4473" s="126" t="s">
        <v>1809</v>
      </c>
      <c r="J4473" s="123" t="s">
        <v>16139</v>
      </c>
      <c r="K4473" s="123" t="s">
        <v>16137</v>
      </c>
      <c r="L4473" s="131" t="s">
        <v>100</v>
      </c>
      <c r="M4473" s="135" t="s">
        <v>845</v>
      </c>
      <c r="N4473" s="123" t="s">
        <v>845</v>
      </c>
    </row>
    <row r="4474" spans="2:14" hidden="1" x14ac:dyDescent="0.25">
      <c r="B4474" s="120">
        <v>4471</v>
      </c>
      <c r="C4474" s="123">
        <v>10069933853</v>
      </c>
      <c r="D4474" s="126" t="s">
        <v>16140</v>
      </c>
      <c r="E4474" s="126" t="s">
        <v>16141</v>
      </c>
      <c r="F4474" s="123" t="s">
        <v>30</v>
      </c>
      <c r="G4474" s="123" t="s">
        <v>30</v>
      </c>
      <c r="H4474" s="123" t="s">
        <v>88</v>
      </c>
      <c r="I4474" s="126" t="s">
        <v>9790</v>
      </c>
      <c r="J4474" s="123" t="s">
        <v>16142</v>
      </c>
      <c r="K4474" s="123" t="s">
        <v>16143</v>
      </c>
      <c r="L4474" s="131" t="s">
        <v>100</v>
      </c>
      <c r="M4474" s="135" t="s">
        <v>845</v>
      </c>
      <c r="N4474" s="123" t="s">
        <v>845</v>
      </c>
    </row>
    <row r="4475" spans="2:14" hidden="1" x14ac:dyDescent="0.25">
      <c r="B4475" s="120">
        <v>4472</v>
      </c>
      <c r="C4475" s="123">
        <v>10408733486</v>
      </c>
      <c r="D4475" s="126" t="s">
        <v>16144</v>
      </c>
      <c r="E4475" s="126" t="s">
        <v>16145</v>
      </c>
      <c r="F4475" s="123" t="s">
        <v>30</v>
      </c>
      <c r="G4475" s="123" t="s">
        <v>30</v>
      </c>
      <c r="H4475" s="123" t="s">
        <v>51</v>
      </c>
      <c r="I4475" s="126" t="s">
        <v>1931</v>
      </c>
      <c r="J4475" s="123" t="s">
        <v>16146</v>
      </c>
      <c r="K4475" s="123" t="s">
        <v>16144</v>
      </c>
      <c r="L4475" s="131" t="s">
        <v>100</v>
      </c>
      <c r="M4475" s="135" t="s">
        <v>845</v>
      </c>
      <c r="N4475" s="123" t="s">
        <v>845</v>
      </c>
    </row>
    <row r="4476" spans="2:14" hidden="1" x14ac:dyDescent="0.25">
      <c r="B4476" s="120">
        <v>4473</v>
      </c>
      <c r="C4476" s="123">
        <v>10040237653</v>
      </c>
      <c r="D4476" s="126" t="s">
        <v>16147</v>
      </c>
      <c r="E4476" s="126" t="s">
        <v>16148</v>
      </c>
      <c r="F4476" s="123" t="s">
        <v>30</v>
      </c>
      <c r="G4476" s="123" t="s">
        <v>30</v>
      </c>
      <c r="H4476" s="123" t="s">
        <v>41</v>
      </c>
      <c r="I4476" s="126" t="s">
        <v>1737</v>
      </c>
      <c r="J4476" s="123" t="s">
        <v>16149</v>
      </c>
      <c r="K4476" s="123" t="s">
        <v>16147</v>
      </c>
      <c r="L4476" s="131" t="s">
        <v>100</v>
      </c>
      <c r="M4476" s="135" t="s">
        <v>845</v>
      </c>
      <c r="N4476" s="123" t="s">
        <v>845</v>
      </c>
    </row>
    <row r="4477" spans="2:14" hidden="1" x14ac:dyDescent="0.25">
      <c r="B4477" s="120">
        <v>4474</v>
      </c>
      <c r="C4477" s="123">
        <v>10024371820</v>
      </c>
      <c r="D4477" s="126" t="s">
        <v>16150</v>
      </c>
      <c r="E4477" s="126" t="s">
        <v>16151</v>
      </c>
      <c r="F4477" s="123" t="s">
        <v>30</v>
      </c>
      <c r="G4477" s="123" t="s">
        <v>30</v>
      </c>
      <c r="H4477" s="123" t="s">
        <v>43</v>
      </c>
      <c r="I4477" s="126" t="s">
        <v>1930</v>
      </c>
      <c r="J4477" s="123" t="s">
        <v>16152</v>
      </c>
      <c r="K4477" s="123" t="s">
        <v>16150</v>
      </c>
      <c r="L4477" s="131" t="s">
        <v>100</v>
      </c>
      <c r="M4477" s="135" t="s">
        <v>845</v>
      </c>
      <c r="N4477" s="123" t="s">
        <v>845</v>
      </c>
    </row>
    <row r="4478" spans="2:14" hidden="1" x14ac:dyDescent="0.25">
      <c r="B4478" s="120">
        <v>4475</v>
      </c>
      <c r="C4478" s="123">
        <v>10320407872</v>
      </c>
      <c r="D4478" s="126" t="s">
        <v>16153</v>
      </c>
      <c r="E4478" s="126" t="s">
        <v>16154</v>
      </c>
      <c r="F4478" s="123" t="s">
        <v>30</v>
      </c>
      <c r="G4478" s="123" t="s">
        <v>30</v>
      </c>
      <c r="H4478" s="123" t="s">
        <v>88</v>
      </c>
      <c r="I4478" s="126" t="s">
        <v>1424</v>
      </c>
      <c r="J4478" s="123" t="s">
        <v>16155</v>
      </c>
      <c r="K4478" s="123" t="s">
        <v>16153</v>
      </c>
      <c r="L4478" s="131" t="s">
        <v>100</v>
      </c>
      <c r="M4478" s="135" t="s">
        <v>845</v>
      </c>
      <c r="N4478" s="123" t="s">
        <v>845</v>
      </c>
    </row>
    <row r="4479" spans="2:14" hidden="1" x14ac:dyDescent="0.25">
      <c r="B4479" s="120">
        <v>4476</v>
      </c>
      <c r="C4479" s="123">
        <v>10758518642</v>
      </c>
      <c r="D4479" s="126" t="s">
        <v>16156</v>
      </c>
      <c r="E4479" s="126" t="s">
        <v>16157</v>
      </c>
      <c r="F4479" s="123" t="s">
        <v>30</v>
      </c>
      <c r="G4479" s="123" t="s">
        <v>30</v>
      </c>
      <c r="H4479" s="123" t="s">
        <v>50</v>
      </c>
      <c r="I4479" s="126" t="s">
        <v>1941</v>
      </c>
      <c r="J4479" s="123" t="s">
        <v>16158</v>
      </c>
      <c r="K4479" s="123" t="s">
        <v>16159</v>
      </c>
      <c r="L4479" s="131" t="s">
        <v>100</v>
      </c>
      <c r="M4479" s="135" t="s">
        <v>845</v>
      </c>
      <c r="N4479" s="123" t="s">
        <v>845</v>
      </c>
    </row>
    <row r="4480" spans="2:14" hidden="1" x14ac:dyDescent="0.25">
      <c r="B4480" s="120">
        <v>4477</v>
      </c>
      <c r="C4480" s="123">
        <v>10745284855</v>
      </c>
      <c r="D4480" s="126" t="s">
        <v>16160</v>
      </c>
      <c r="E4480" s="126" t="s">
        <v>16161</v>
      </c>
      <c r="F4480" s="123" t="s">
        <v>30</v>
      </c>
      <c r="G4480" s="123" t="s">
        <v>170</v>
      </c>
      <c r="H4480" s="123" t="s">
        <v>175</v>
      </c>
      <c r="I4480" s="126" t="s">
        <v>1931</v>
      </c>
      <c r="J4480" s="123" t="s">
        <v>16162</v>
      </c>
      <c r="K4480" s="123" t="s">
        <v>16160</v>
      </c>
      <c r="L4480" s="131" t="s">
        <v>100</v>
      </c>
      <c r="M4480" s="135" t="s">
        <v>845</v>
      </c>
      <c r="N4480" s="123" t="s">
        <v>845</v>
      </c>
    </row>
    <row r="4481" spans="2:14" hidden="1" x14ac:dyDescent="0.25">
      <c r="B4481" s="120">
        <v>4478</v>
      </c>
      <c r="C4481" s="123">
        <v>10455697251</v>
      </c>
      <c r="D4481" s="126" t="s">
        <v>16163</v>
      </c>
      <c r="E4481" s="126" t="s">
        <v>16164</v>
      </c>
      <c r="F4481" s="123" t="s">
        <v>30</v>
      </c>
      <c r="G4481" s="123" t="s">
        <v>30</v>
      </c>
      <c r="H4481" s="123" t="s">
        <v>41</v>
      </c>
      <c r="I4481" s="126" t="s">
        <v>8659</v>
      </c>
      <c r="J4481" s="123" t="s">
        <v>16165</v>
      </c>
      <c r="K4481" s="123" t="s">
        <v>16163</v>
      </c>
      <c r="L4481" s="131" t="s">
        <v>100</v>
      </c>
      <c r="M4481" s="135" t="s">
        <v>845</v>
      </c>
      <c r="N4481" s="123" t="s">
        <v>845</v>
      </c>
    </row>
    <row r="4482" spans="2:14" hidden="1" x14ac:dyDescent="0.25">
      <c r="B4482" s="120">
        <v>4479</v>
      </c>
      <c r="C4482" s="123">
        <v>10157561508</v>
      </c>
      <c r="D4482" s="126" t="s">
        <v>16166</v>
      </c>
      <c r="E4482" s="126" t="s">
        <v>16167</v>
      </c>
      <c r="F4482" s="123" t="s">
        <v>30</v>
      </c>
      <c r="G4482" s="123" t="s">
        <v>170</v>
      </c>
      <c r="H4482" s="123" t="s">
        <v>174</v>
      </c>
      <c r="I4482" s="126" t="s">
        <v>10025</v>
      </c>
      <c r="J4482" s="123" t="s">
        <v>16168</v>
      </c>
      <c r="K4482" s="123" t="s">
        <v>16169</v>
      </c>
      <c r="L4482" s="131" t="s">
        <v>100</v>
      </c>
      <c r="M4482" s="135" t="s">
        <v>845</v>
      </c>
      <c r="N4482" s="123" t="s">
        <v>845</v>
      </c>
    </row>
    <row r="4483" spans="2:14" hidden="1" x14ac:dyDescent="0.25">
      <c r="B4483" s="120">
        <v>4480</v>
      </c>
      <c r="C4483" s="123">
        <v>10409335425</v>
      </c>
      <c r="D4483" s="126" t="s">
        <v>16170</v>
      </c>
      <c r="E4483" s="126" t="s">
        <v>16171</v>
      </c>
      <c r="F4483" s="123" t="s">
        <v>30</v>
      </c>
      <c r="G4483" s="123" t="s">
        <v>30</v>
      </c>
      <c r="H4483" s="123" t="s">
        <v>68</v>
      </c>
      <c r="I4483" s="126" t="s">
        <v>11509</v>
      </c>
      <c r="J4483" s="123" t="s">
        <v>16172</v>
      </c>
      <c r="K4483" s="123" t="s">
        <v>16173</v>
      </c>
      <c r="L4483" s="131" t="s">
        <v>100</v>
      </c>
      <c r="M4483" s="135" t="s">
        <v>845</v>
      </c>
      <c r="N4483" s="123" t="s">
        <v>845</v>
      </c>
    </row>
    <row r="4484" spans="2:14" hidden="1" x14ac:dyDescent="0.25">
      <c r="B4484" s="120">
        <v>4481</v>
      </c>
      <c r="C4484" s="123">
        <v>10481384520</v>
      </c>
      <c r="D4484" s="126" t="s">
        <v>16174</v>
      </c>
      <c r="E4484" s="126" t="s">
        <v>16175</v>
      </c>
      <c r="F4484" s="123" t="s">
        <v>30</v>
      </c>
      <c r="G4484" s="123" t="s">
        <v>170</v>
      </c>
      <c r="H4484" s="123" t="s">
        <v>176</v>
      </c>
      <c r="I4484" s="126" t="s">
        <v>1424</v>
      </c>
      <c r="J4484" s="123" t="s">
        <v>16176</v>
      </c>
      <c r="K4484" s="123" t="s">
        <v>16174</v>
      </c>
      <c r="L4484" s="131" t="s">
        <v>100</v>
      </c>
      <c r="M4484" s="135" t="s">
        <v>845</v>
      </c>
      <c r="N4484" s="123" t="s">
        <v>845</v>
      </c>
    </row>
    <row r="4485" spans="2:14" hidden="1" x14ac:dyDescent="0.25">
      <c r="B4485" s="120">
        <v>4482</v>
      </c>
      <c r="C4485" s="123">
        <v>10459165393</v>
      </c>
      <c r="D4485" s="126" t="s">
        <v>16177</v>
      </c>
      <c r="E4485" s="126" t="s">
        <v>16178</v>
      </c>
      <c r="F4485" s="123" t="s">
        <v>30</v>
      </c>
      <c r="G4485" s="123" t="s">
        <v>170</v>
      </c>
      <c r="H4485" s="123" t="s">
        <v>171</v>
      </c>
      <c r="I4485" s="126" t="s">
        <v>3919</v>
      </c>
      <c r="J4485" s="123" t="s">
        <v>16179</v>
      </c>
      <c r="K4485" s="123" t="s">
        <v>16177</v>
      </c>
      <c r="L4485" s="131" t="s">
        <v>100</v>
      </c>
      <c r="M4485" s="135" t="s">
        <v>845</v>
      </c>
      <c r="N4485" s="123" t="s">
        <v>845</v>
      </c>
    </row>
    <row r="4486" spans="2:14" hidden="1" x14ac:dyDescent="0.25">
      <c r="B4486" s="120">
        <v>4483</v>
      </c>
      <c r="C4486" s="123">
        <v>10099676537</v>
      </c>
      <c r="D4486" s="126" t="s">
        <v>16180</v>
      </c>
      <c r="E4486" s="126" t="s">
        <v>16181</v>
      </c>
      <c r="F4486" s="123" t="s">
        <v>30</v>
      </c>
      <c r="G4486" s="123" t="s">
        <v>30</v>
      </c>
      <c r="H4486" s="123" t="s">
        <v>75</v>
      </c>
      <c r="I4486" s="126" t="s">
        <v>1564</v>
      </c>
      <c r="J4486" s="123" t="s">
        <v>16182</v>
      </c>
      <c r="K4486" s="123" t="s">
        <v>16183</v>
      </c>
      <c r="L4486" s="131" t="s">
        <v>100</v>
      </c>
      <c r="M4486" s="135" t="s">
        <v>845</v>
      </c>
      <c r="N4486" s="123" t="s">
        <v>845</v>
      </c>
    </row>
    <row r="4487" spans="2:14" hidden="1" x14ac:dyDescent="0.25">
      <c r="B4487" s="120">
        <v>4484</v>
      </c>
      <c r="C4487" s="123">
        <v>10738864382</v>
      </c>
      <c r="D4487" s="126" t="s">
        <v>16184</v>
      </c>
      <c r="E4487" s="126" t="s">
        <v>16185</v>
      </c>
      <c r="F4487" s="123" t="s">
        <v>30</v>
      </c>
      <c r="G4487" s="123" t="s">
        <v>30</v>
      </c>
      <c r="H4487" s="123" t="s">
        <v>75</v>
      </c>
      <c r="I4487" s="126" t="s">
        <v>1424</v>
      </c>
      <c r="J4487" s="123" t="s">
        <v>16186</v>
      </c>
      <c r="K4487" s="123" t="s">
        <v>16184</v>
      </c>
      <c r="L4487" s="131" t="s">
        <v>100</v>
      </c>
      <c r="M4487" s="135" t="s">
        <v>845</v>
      </c>
      <c r="N4487" s="123" t="s">
        <v>845</v>
      </c>
    </row>
    <row r="4488" spans="2:14" hidden="1" x14ac:dyDescent="0.25">
      <c r="B4488" s="120">
        <v>4485</v>
      </c>
      <c r="C4488" s="123">
        <v>10440986451</v>
      </c>
      <c r="D4488" s="126" t="s">
        <v>16187</v>
      </c>
      <c r="E4488" s="126" t="s">
        <v>16188</v>
      </c>
      <c r="F4488" s="123" t="s">
        <v>30</v>
      </c>
      <c r="G4488" s="123" t="s">
        <v>168</v>
      </c>
      <c r="H4488" s="123" t="s">
        <v>169</v>
      </c>
      <c r="I4488" s="126" t="s">
        <v>15832</v>
      </c>
      <c r="J4488" s="123" t="s">
        <v>16189</v>
      </c>
      <c r="K4488" s="123" t="s">
        <v>16187</v>
      </c>
      <c r="L4488" s="131" t="s">
        <v>100</v>
      </c>
      <c r="M4488" s="135" t="s">
        <v>845</v>
      </c>
      <c r="N4488" s="123" t="s">
        <v>845</v>
      </c>
    </row>
    <row r="4489" spans="2:14" hidden="1" x14ac:dyDescent="0.25">
      <c r="B4489" s="120">
        <v>4486</v>
      </c>
      <c r="C4489" s="123">
        <v>10411672641</v>
      </c>
      <c r="D4489" s="126" t="s">
        <v>16190</v>
      </c>
      <c r="E4489" s="126" t="s">
        <v>16191</v>
      </c>
      <c r="F4489" s="123" t="s">
        <v>183</v>
      </c>
      <c r="G4489" s="123" t="s">
        <v>184</v>
      </c>
      <c r="H4489" s="123" t="s">
        <v>185</v>
      </c>
      <c r="I4489" s="126" t="s">
        <v>1931</v>
      </c>
      <c r="J4489" s="123" t="s">
        <v>16192</v>
      </c>
      <c r="K4489" s="123" t="s">
        <v>16190</v>
      </c>
      <c r="L4489" s="131" t="s">
        <v>100</v>
      </c>
      <c r="M4489" s="135" t="s">
        <v>845</v>
      </c>
      <c r="N4489" s="123" t="s">
        <v>845</v>
      </c>
    </row>
    <row r="4490" spans="2:14" hidden="1" x14ac:dyDescent="0.25">
      <c r="B4490" s="120">
        <v>4487</v>
      </c>
      <c r="C4490" s="123">
        <v>10107765749</v>
      </c>
      <c r="D4490" s="126" t="s">
        <v>16193</v>
      </c>
      <c r="E4490" s="126" t="s">
        <v>16194</v>
      </c>
      <c r="F4490" s="123" t="s">
        <v>30</v>
      </c>
      <c r="G4490" s="123" t="s">
        <v>30</v>
      </c>
      <c r="H4490" s="123" t="s">
        <v>75</v>
      </c>
      <c r="I4490" s="126" t="s">
        <v>1942</v>
      </c>
      <c r="J4490" s="123" t="s">
        <v>16195</v>
      </c>
      <c r="K4490" s="123" t="s">
        <v>16193</v>
      </c>
      <c r="L4490" s="131" t="s">
        <v>100</v>
      </c>
      <c r="M4490" s="135" t="s">
        <v>845</v>
      </c>
      <c r="N4490" s="123" t="s">
        <v>845</v>
      </c>
    </row>
    <row r="4491" spans="2:14" hidden="1" x14ac:dyDescent="0.25">
      <c r="B4491" s="120">
        <v>4488</v>
      </c>
      <c r="C4491" s="123">
        <v>10080122921</v>
      </c>
      <c r="D4491" s="126" t="s">
        <v>16196</v>
      </c>
      <c r="E4491" s="126" t="s">
        <v>16197</v>
      </c>
      <c r="F4491" s="123" t="s">
        <v>30</v>
      </c>
      <c r="G4491" s="123" t="s">
        <v>30</v>
      </c>
      <c r="H4491" s="123" t="s">
        <v>127</v>
      </c>
      <c r="I4491" s="126" t="s">
        <v>1805</v>
      </c>
      <c r="J4491" s="123" t="s">
        <v>16198</v>
      </c>
      <c r="K4491" s="123" t="s">
        <v>16199</v>
      </c>
      <c r="L4491" s="131" t="s">
        <v>100</v>
      </c>
      <c r="M4491" s="135" t="s">
        <v>845</v>
      </c>
      <c r="N4491" s="123" t="s">
        <v>845</v>
      </c>
    </row>
    <row r="4492" spans="2:14" hidden="1" x14ac:dyDescent="0.25">
      <c r="B4492" s="120">
        <v>4489</v>
      </c>
      <c r="C4492" s="123">
        <v>10104516730</v>
      </c>
      <c r="D4492" s="126" t="s">
        <v>16200</v>
      </c>
      <c r="E4492" s="126" t="s">
        <v>16201</v>
      </c>
      <c r="F4492" s="123" t="s">
        <v>67</v>
      </c>
      <c r="G4492" s="123" t="s">
        <v>67</v>
      </c>
      <c r="H4492" s="123" t="s">
        <v>67</v>
      </c>
      <c r="I4492" s="126" t="s">
        <v>1942</v>
      </c>
      <c r="J4492" s="123" t="s">
        <v>16202</v>
      </c>
      <c r="K4492" s="123" t="s">
        <v>16200</v>
      </c>
      <c r="L4492" s="131" t="s">
        <v>100</v>
      </c>
      <c r="M4492" s="135" t="s">
        <v>845</v>
      </c>
      <c r="N4492" s="123" t="s">
        <v>845</v>
      </c>
    </row>
    <row r="4493" spans="2:14" hidden="1" x14ac:dyDescent="0.25">
      <c r="B4493" s="120">
        <v>4490</v>
      </c>
      <c r="C4493" s="123">
        <v>10440285096</v>
      </c>
      <c r="D4493" s="126" t="s">
        <v>16203</v>
      </c>
      <c r="E4493" s="126" t="s">
        <v>16204</v>
      </c>
      <c r="F4493" s="123" t="s">
        <v>30</v>
      </c>
      <c r="G4493" s="123" t="s">
        <v>168</v>
      </c>
      <c r="H4493" s="123" t="s">
        <v>180</v>
      </c>
      <c r="I4493" s="126" t="s">
        <v>1551</v>
      </c>
      <c r="J4493" s="123" t="s">
        <v>16205</v>
      </c>
      <c r="K4493" s="123" t="s">
        <v>16203</v>
      </c>
      <c r="L4493" s="131" t="s">
        <v>100</v>
      </c>
      <c r="M4493" s="135" t="s">
        <v>845</v>
      </c>
      <c r="N4493" s="123" t="s">
        <v>845</v>
      </c>
    </row>
    <row r="4494" spans="2:14" hidden="1" x14ac:dyDescent="0.25">
      <c r="B4494" s="120">
        <v>4491</v>
      </c>
      <c r="C4494" s="123">
        <v>10751392937</v>
      </c>
      <c r="D4494" s="126" t="s">
        <v>16206</v>
      </c>
      <c r="E4494" s="126" t="s">
        <v>16207</v>
      </c>
      <c r="F4494" s="123" t="s">
        <v>183</v>
      </c>
      <c r="G4494" s="123" t="s">
        <v>4901</v>
      </c>
      <c r="H4494" s="123" t="s">
        <v>3831</v>
      </c>
      <c r="I4494" s="126" t="s">
        <v>16208</v>
      </c>
      <c r="J4494" s="123" t="s">
        <v>16209</v>
      </c>
      <c r="K4494" s="123" t="s">
        <v>16206</v>
      </c>
      <c r="L4494" s="131" t="s">
        <v>100</v>
      </c>
      <c r="M4494" s="135" t="s">
        <v>845</v>
      </c>
      <c r="N4494" s="123" t="s">
        <v>845</v>
      </c>
    </row>
    <row r="4495" spans="2:14" hidden="1" x14ac:dyDescent="0.25">
      <c r="B4495" s="120">
        <v>4492</v>
      </c>
      <c r="C4495" s="123">
        <v>10457850196</v>
      </c>
      <c r="D4495" s="126" t="s">
        <v>16210</v>
      </c>
      <c r="E4495" s="126" t="s">
        <v>16211</v>
      </c>
      <c r="F4495" s="123" t="s">
        <v>30</v>
      </c>
      <c r="G4495" s="123" t="s">
        <v>54</v>
      </c>
      <c r="H4495" s="123" t="s">
        <v>54</v>
      </c>
      <c r="I4495" s="126" t="s">
        <v>1950</v>
      </c>
      <c r="J4495" s="123" t="s">
        <v>16212</v>
      </c>
      <c r="K4495" s="123" t="s">
        <v>16210</v>
      </c>
      <c r="L4495" s="131" t="s">
        <v>100</v>
      </c>
      <c r="M4495" s="135" t="s">
        <v>845</v>
      </c>
      <c r="N4495" s="123" t="s">
        <v>845</v>
      </c>
    </row>
    <row r="4496" spans="2:14" hidden="1" x14ac:dyDescent="0.25">
      <c r="B4496" s="120">
        <v>4493</v>
      </c>
      <c r="C4496" s="123">
        <v>10430177571</v>
      </c>
      <c r="D4496" s="126" t="s">
        <v>16213</v>
      </c>
      <c r="E4496" s="126" t="s">
        <v>16214</v>
      </c>
      <c r="F4496" s="123" t="s">
        <v>30</v>
      </c>
      <c r="G4496" s="123" t="s">
        <v>54</v>
      </c>
      <c r="H4496" s="123" t="s">
        <v>54</v>
      </c>
      <c r="I4496" s="126" t="s">
        <v>9625</v>
      </c>
      <c r="J4496" s="123" t="s">
        <v>16215</v>
      </c>
      <c r="K4496" s="123" t="s">
        <v>16213</v>
      </c>
      <c r="L4496" s="131" t="s">
        <v>100</v>
      </c>
      <c r="M4496" s="135" t="s">
        <v>845</v>
      </c>
      <c r="N4496" s="123" t="s">
        <v>845</v>
      </c>
    </row>
    <row r="4497" spans="2:14" hidden="1" x14ac:dyDescent="0.25">
      <c r="B4497" s="120">
        <v>4494</v>
      </c>
      <c r="C4497" s="123">
        <v>10400839706</v>
      </c>
      <c r="D4497" s="126" t="s">
        <v>16216</v>
      </c>
      <c r="E4497" s="126" t="s">
        <v>16217</v>
      </c>
      <c r="F4497" s="123" t="s">
        <v>30</v>
      </c>
      <c r="G4497" s="123" t="s">
        <v>30</v>
      </c>
      <c r="H4497" s="123" t="s">
        <v>86</v>
      </c>
      <c r="I4497" s="126" t="s">
        <v>1952</v>
      </c>
      <c r="J4497" s="123" t="s">
        <v>16218</v>
      </c>
      <c r="K4497" s="123" t="s">
        <v>16216</v>
      </c>
      <c r="L4497" s="131" t="s">
        <v>100</v>
      </c>
      <c r="M4497" s="135" t="s">
        <v>845</v>
      </c>
      <c r="N4497" s="123" t="s">
        <v>845</v>
      </c>
    </row>
    <row r="4498" spans="2:14" hidden="1" x14ac:dyDescent="0.25">
      <c r="B4498" s="120">
        <v>4495</v>
      </c>
      <c r="C4498" s="123">
        <v>10481114891</v>
      </c>
      <c r="D4498" s="126" t="s">
        <v>16219</v>
      </c>
      <c r="E4498" s="126" t="s">
        <v>16220</v>
      </c>
      <c r="F4498" s="123" t="s">
        <v>30</v>
      </c>
      <c r="G4498" s="123" t="s">
        <v>170</v>
      </c>
      <c r="H4498" s="123" t="s">
        <v>175</v>
      </c>
      <c r="I4498" s="126" t="s">
        <v>1551</v>
      </c>
      <c r="J4498" s="123" t="s">
        <v>16221</v>
      </c>
      <c r="K4498" s="123" t="s">
        <v>16219</v>
      </c>
      <c r="L4498" s="131" t="s">
        <v>100</v>
      </c>
      <c r="M4498" s="135" t="s">
        <v>845</v>
      </c>
      <c r="N4498" s="123" t="s">
        <v>845</v>
      </c>
    </row>
    <row r="4499" spans="2:14" hidden="1" x14ac:dyDescent="0.25">
      <c r="B4499" s="120">
        <v>4496</v>
      </c>
      <c r="C4499" s="123">
        <v>10481303121</v>
      </c>
      <c r="D4499" s="126" t="s">
        <v>16222</v>
      </c>
      <c r="E4499" s="126" t="s">
        <v>16223</v>
      </c>
      <c r="F4499" s="123" t="s">
        <v>30</v>
      </c>
      <c r="G4499" s="123" t="s">
        <v>30</v>
      </c>
      <c r="H4499" s="123" t="s">
        <v>103</v>
      </c>
      <c r="I4499" s="126" t="s">
        <v>87</v>
      </c>
      <c r="J4499" s="123" t="s">
        <v>16224</v>
      </c>
      <c r="K4499" s="123" t="s">
        <v>16222</v>
      </c>
      <c r="L4499" s="131" t="s">
        <v>100</v>
      </c>
      <c r="M4499" s="135" t="s">
        <v>845</v>
      </c>
      <c r="N4499" s="123" t="s">
        <v>845</v>
      </c>
    </row>
    <row r="4500" spans="2:14" hidden="1" x14ac:dyDescent="0.25">
      <c r="B4500" s="120">
        <v>4497</v>
      </c>
      <c r="C4500" s="123">
        <v>10088729515</v>
      </c>
      <c r="D4500" s="126" t="s">
        <v>16225</v>
      </c>
      <c r="E4500" s="126" t="s">
        <v>16226</v>
      </c>
      <c r="F4500" s="123" t="s">
        <v>30</v>
      </c>
      <c r="G4500" s="123" t="s">
        <v>30</v>
      </c>
      <c r="H4500" s="123" t="s">
        <v>39</v>
      </c>
      <c r="I4500" s="126" t="s">
        <v>1931</v>
      </c>
      <c r="J4500" s="123" t="s">
        <v>16227</v>
      </c>
      <c r="K4500" s="123" t="s">
        <v>16228</v>
      </c>
      <c r="L4500" s="131" t="s">
        <v>100</v>
      </c>
      <c r="M4500" s="135" t="s">
        <v>845</v>
      </c>
      <c r="N4500" s="123" t="s">
        <v>845</v>
      </c>
    </row>
    <row r="4501" spans="2:14" hidden="1" x14ac:dyDescent="0.25">
      <c r="B4501" s="120">
        <v>4498</v>
      </c>
      <c r="C4501" s="123">
        <v>10444771891</v>
      </c>
      <c r="D4501" s="126" t="s">
        <v>16229</v>
      </c>
      <c r="E4501" s="126" t="s">
        <v>16230</v>
      </c>
      <c r="F4501" s="123" t="s">
        <v>30</v>
      </c>
      <c r="G4501" s="123" t="s">
        <v>170</v>
      </c>
      <c r="H4501" s="123" t="s">
        <v>171</v>
      </c>
      <c r="I4501" s="126" t="s">
        <v>1809</v>
      </c>
      <c r="J4501" s="123" t="s">
        <v>16231</v>
      </c>
      <c r="K4501" s="123" t="s">
        <v>16229</v>
      </c>
      <c r="L4501" s="131" t="s">
        <v>100</v>
      </c>
      <c r="M4501" s="135" t="s">
        <v>845</v>
      </c>
      <c r="N4501" s="123" t="s">
        <v>845</v>
      </c>
    </row>
    <row r="4502" spans="2:14" hidden="1" x14ac:dyDescent="0.25">
      <c r="B4502" s="120">
        <v>4499</v>
      </c>
      <c r="C4502" s="123">
        <v>10258610470</v>
      </c>
      <c r="D4502" s="126" t="s">
        <v>16232</v>
      </c>
      <c r="E4502" s="126" t="s">
        <v>16233</v>
      </c>
      <c r="F4502" s="123" t="s">
        <v>30</v>
      </c>
      <c r="G4502" s="123" t="s">
        <v>30</v>
      </c>
      <c r="H4502" s="123" t="s">
        <v>64</v>
      </c>
      <c r="I4502" s="126" t="s">
        <v>1948</v>
      </c>
      <c r="J4502" s="123" t="s">
        <v>16234</v>
      </c>
      <c r="K4502" s="123" t="s">
        <v>16235</v>
      </c>
      <c r="L4502" s="131" t="s">
        <v>100</v>
      </c>
      <c r="M4502" s="135" t="s">
        <v>845</v>
      </c>
      <c r="N4502" s="123" t="s">
        <v>845</v>
      </c>
    </row>
    <row r="4503" spans="2:14" hidden="1" x14ac:dyDescent="0.25">
      <c r="B4503" s="120">
        <v>4500</v>
      </c>
      <c r="C4503" s="123">
        <v>10418430261</v>
      </c>
      <c r="D4503" s="126" t="s">
        <v>16236</v>
      </c>
      <c r="E4503" s="126" t="s">
        <v>16237</v>
      </c>
      <c r="F4503" s="123" t="s">
        <v>30</v>
      </c>
      <c r="G4503" s="123" t="s">
        <v>30</v>
      </c>
      <c r="H4503" s="123" t="s">
        <v>88</v>
      </c>
      <c r="I4503" s="126" t="s">
        <v>1564</v>
      </c>
      <c r="J4503" s="123" t="s">
        <v>16238</v>
      </c>
      <c r="K4503" s="123" t="s">
        <v>16239</v>
      </c>
      <c r="L4503" s="131" t="s">
        <v>100</v>
      </c>
      <c r="M4503" s="135" t="s">
        <v>845</v>
      </c>
      <c r="N4503" s="123" t="s">
        <v>845</v>
      </c>
    </row>
    <row r="4504" spans="2:14" hidden="1" x14ac:dyDescent="0.25">
      <c r="B4504" s="120">
        <v>4501</v>
      </c>
      <c r="C4504" s="123">
        <v>10414192250</v>
      </c>
      <c r="D4504" s="126" t="s">
        <v>16240</v>
      </c>
      <c r="E4504" s="126" t="s">
        <v>16241</v>
      </c>
      <c r="F4504" s="123" t="s">
        <v>67</v>
      </c>
      <c r="G4504" s="123" t="s">
        <v>67</v>
      </c>
      <c r="H4504" s="123" t="s">
        <v>94</v>
      </c>
      <c r="I4504" s="126" t="s">
        <v>1701</v>
      </c>
      <c r="J4504" s="123" t="s">
        <v>16242</v>
      </c>
      <c r="K4504" s="123" t="s">
        <v>16240</v>
      </c>
      <c r="L4504" s="131" t="s">
        <v>100</v>
      </c>
      <c r="M4504" s="135" t="s">
        <v>845</v>
      </c>
      <c r="N4504" s="123" t="s">
        <v>845</v>
      </c>
    </row>
    <row r="4505" spans="2:14" hidden="1" x14ac:dyDescent="0.25">
      <c r="B4505" s="120">
        <v>4502</v>
      </c>
      <c r="C4505" s="123">
        <v>10461067447</v>
      </c>
      <c r="D4505" s="126" t="s">
        <v>16243</v>
      </c>
      <c r="E4505" s="126" t="s">
        <v>16244</v>
      </c>
      <c r="F4505" s="123" t="s">
        <v>30</v>
      </c>
      <c r="G4505" s="123" t="s">
        <v>30</v>
      </c>
      <c r="H4505" s="123" t="s">
        <v>58</v>
      </c>
      <c r="I4505" s="126" t="s">
        <v>1424</v>
      </c>
      <c r="J4505" s="123" t="s">
        <v>16245</v>
      </c>
      <c r="K4505" s="123" t="s">
        <v>16246</v>
      </c>
      <c r="L4505" s="131" t="s">
        <v>100</v>
      </c>
      <c r="M4505" s="135" t="s">
        <v>845</v>
      </c>
      <c r="N4505" s="123" t="s">
        <v>845</v>
      </c>
    </row>
    <row r="4506" spans="2:14" hidden="1" x14ac:dyDescent="0.25">
      <c r="B4506" s="120">
        <v>4503</v>
      </c>
      <c r="C4506" s="123">
        <v>10097622626</v>
      </c>
      <c r="D4506" s="126" t="s">
        <v>16247</v>
      </c>
      <c r="E4506" s="126" t="s">
        <v>16248</v>
      </c>
      <c r="F4506" s="123" t="s">
        <v>30</v>
      </c>
      <c r="G4506" s="123" t="s">
        <v>30</v>
      </c>
      <c r="H4506" s="123" t="s">
        <v>30</v>
      </c>
      <c r="I4506" s="126" t="s">
        <v>9960</v>
      </c>
      <c r="J4506" s="123" t="s">
        <v>16249</v>
      </c>
      <c r="K4506" s="123" t="s">
        <v>16250</v>
      </c>
      <c r="L4506" s="131" t="s">
        <v>100</v>
      </c>
      <c r="M4506" s="135" t="s">
        <v>845</v>
      </c>
      <c r="N4506" s="123" t="s">
        <v>845</v>
      </c>
    </row>
    <row r="4507" spans="2:14" hidden="1" x14ac:dyDescent="0.25">
      <c r="B4507" s="120">
        <v>4504</v>
      </c>
      <c r="C4507" s="123">
        <v>10454494551</v>
      </c>
      <c r="D4507" s="126" t="s">
        <v>16251</v>
      </c>
      <c r="E4507" s="126" t="s">
        <v>16252</v>
      </c>
      <c r="F4507" s="123" t="s">
        <v>30</v>
      </c>
      <c r="G4507" s="123" t="s">
        <v>170</v>
      </c>
      <c r="H4507" s="123" t="s">
        <v>175</v>
      </c>
      <c r="I4507" s="126" t="s">
        <v>1424</v>
      </c>
      <c r="J4507" s="123" t="s">
        <v>16253</v>
      </c>
      <c r="K4507" s="123" t="s">
        <v>16251</v>
      </c>
      <c r="L4507" s="131" t="s">
        <v>100</v>
      </c>
      <c r="M4507" s="135" t="s">
        <v>845</v>
      </c>
      <c r="N4507" s="123" t="s">
        <v>845</v>
      </c>
    </row>
    <row r="4508" spans="2:14" hidden="1" x14ac:dyDescent="0.25">
      <c r="B4508" s="120">
        <v>4505</v>
      </c>
      <c r="C4508" s="123">
        <v>10160091849</v>
      </c>
      <c r="D4508" s="126" t="s">
        <v>16254</v>
      </c>
      <c r="E4508" s="126" t="s">
        <v>16255</v>
      </c>
      <c r="F4508" s="123" t="s">
        <v>30</v>
      </c>
      <c r="G4508" s="123" t="s">
        <v>54</v>
      </c>
      <c r="H4508" s="123" t="s">
        <v>55</v>
      </c>
      <c r="I4508" s="126" t="s">
        <v>9790</v>
      </c>
      <c r="J4508" s="123" t="s">
        <v>16256</v>
      </c>
      <c r="K4508" s="123" t="s">
        <v>16254</v>
      </c>
      <c r="L4508" s="131" t="s">
        <v>100</v>
      </c>
      <c r="M4508" s="135" t="s">
        <v>845</v>
      </c>
      <c r="N4508" s="123" t="s">
        <v>845</v>
      </c>
    </row>
    <row r="4509" spans="2:14" hidden="1" x14ac:dyDescent="0.25">
      <c r="B4509" s="120">
        <v>4506</v>
      </c>
      <c r="C4509" s="123">
        <v>10745632349</v>
      </c>
      <c r="D4509" s="126" t="s">
        <v>16257</v>
      </c>
      <c r="E4509" s="126" t="s">
        <v>16258</v>
      </c>
      <c r="F4509" s="123" t="s">
        <v>30</v>
      </c>
      <c r="G4509" s="123" t="s">
        <v>30</v>
      </c>
      <c r="H4509" s="123" t="s">
        <v>50</v>
      </c>
      <c r="I4509" s="126" t="s">
        <v>1701</v>
      </c>
      <c r="J4509" s="123" t="s">
        <v>16259</v>
      </c>
      <c r="K4509" s="123" t="s">
        <v>16257</v>
      </c>
      <c r="L4509" s="131" t="s">
        <v>100</v>
      </c>
      <c r="M4509" s="135" t="s">
        <v>845</v>
      </c>
      <c r="N4509" s="123" t="s">
        <v>845</v>
      </c>
    </row>
    <row r="4510" spans="2:14" hidden="1" x14ac:dyDescent="0.25">
      <c r="B4510" s="120">
        <v>4507</v>
      </c>
      <c r="C4510" s="123">
        <v>10090271241</v>
      </c>
      <c r="D4510" s="126" t="s">
        <v>16260</v>
      </c>
      <c r="E4510" s="126" t="s">
        <v>16261</v>
      </c>
      <c r="F4510" s="123" t="s">
        <v>30</v>
      </c>
      <c r="G4510" s="123" t="s">
        <v>30</v>
      </c>
      <c r="H4510" s="123" t="s">
        <v>50</v>
      </c>
      <c r="I4510" s="126" t="s">
        <v>1209</v>
      </c>
      <c r="J4510" s="123" t="s">
        <v>16262</v>
      </c>
      <c r="K4510" s="123" t="s">
        <v>16263</v>
      </c>
      <c r="L4510" s="131" t="s">
        <v>100</v>
      </c>
      <c r="M4510" s="135" t="s">
        <v>845</v>
      </c>
      <c r="N4510" s="123" t="s">
        <v>845</v>
      </c>
    </row>
    <row r="4511" spans="2:14" hidden="1" x14ac:dyDescent="0.25">
      <c r="B4511" s="120">
        <v>4508</v>
      </c>
      <c r="C4511" s="123">
        <v>10106154487</v>
      </c>
      <c r="D4511" s="126" t="s">
        <v>16264</v>
      </c>
      <c r="E4511" s="126" t="s">
        <v>16265</v>
      </c>
      <c r="F4511" s="123" t="s">
        <v>30</v>
      </c>
      <c r="G4511" s="123" t="s">
        <v>30</v>
      </c>
      <c r="H4511" s="123" t="s">
        <v>75</v>
      </c>
      <c r="I4511" s="126" t="s">
        <v>1424</v>
      </c>
      <c r="J4511" s="123" t="s">
        <v>16266</v>
      </c>
      <c r="K4511" s="123" t="s">
        <v>16264</v>
      </c>
      <c r="L4511" s="131" t="s">
        <v>100</v>
      </c>
      <c r="M4511" s="135" t="s">
        <v>845</v>
      </c>
      <c r="N4511" s="123" t="s">
        <v>845</v>
      </c>
    </row>
    <row r="4512" spans="2:14" hidden="1" x14ac:dyDescent="0.25">
      <c r="B4512" s="120">
        <v>4509</v>
      </c>
      <c r="C4512" s="123">
        <v>10105638162</v>
      </c>
      <c r="D4512" s="126" t="s">
        <v>16267</v>
      </c>
      <c r="E4512" s="126" t="s">
        <v>16268</v>
      </c>
      <c r="F4512" s="123" t="s">
        <v>30</v>
      </c>
      <c r="G4512" s="123" t="s">
        <v>30</v>
      </c>
      <c r="H4512" s="123" t="s">
        <v>43</v>
      </c>
      <c r="I4512" s="126" t="s">
        <v>1809</v>
      </c>
      <c r="J4512" s="123" t="s">
        <v>16269</v>
      </c>
      <c r="K4512" s="123" t="s">
        <v>16267</v>
      </c>
      <c r="L4512" s="131" t="s">
        <v>100</v>
      </c>
      <c r="M4512" s="135" t="s">
        <v>845</v>
      </c>
      <c r="N4512" s="123" t="s">
        <v>845</v>
      </c>
    </row>
    <row r="4513" spans="2:14" hidden="1" x14ac:dyDescent="0.25">
      <c r="B4513" s="120">
        <v>4510</v>
      </c>
      <c r="C4513" s="123">
        <v>10459234620</v>
      </c>
      <c r="D4513" s="126" t="s">
        <v>16270</v>
      </c>
      <c r="E4513" s="126" t="s">
        <v>16271</v>
      </c>
      <c r="F4513" s="123" t="s">
        <v>30</v>
      </c>
      <c r="G4513" s="123" t="s">
        <v>31</v>
      </c>
      <c r="H4513" s="123" t="s">
        <v>65</v>
      </c>
      <c r="I4513" s="126" t="s">
        <v>1936</v>
      </c>
      <c r="J4513" s="123" t="s">
        <v>16272</v>
      </c>
      <c r="K4513" s="123" t="s">
        <v>16270</v>
      </c>
      <c r="L4513" s="131" t="s">
        <v>100</v>
      </c>
      <c r="M4513" s="135" t="s">
        <v>845</v>
      </c>
      <c r="N4513" s="123" t="s">
        <v>845</v>
      </c>
    </row>
    <row r="4514" spans="2:14" hidden="1" x14ac:dyDescent="0.25">
      <c r="B4514" s="120">
        <v>4511</v>
      </c>
      <c r="C4514" s="123">
        <v>10440582724</v>
      </c>
      <c r="D4514" s="126" t="s">
        <v>16273</v>
      </c>
      <c r="E4514" s="126" t="s">
        <v>16274</v>
      </c>
      <c r="F4514" s="123" t="s">
        <v>30</v>
      </c>
      <c r="G4514" s="123" t="s">
        <v>30</v>
      </c>
      <c r="H4514" s="123" t="s">
        <v>51</v>
      </c>
      <c r="I4514" s="126" t="s">
        <v>1701</v>
      </c>
      <c r="J4514" s="123" t="s">
        <v>16275</v>
      </c>
      <c r="K4514" s="123" t="s">
        <v>16273</v>
      </c>
      <c r="L4514" s="131" t="s">
        <v>100</v>
      </c>
      <c r="M4514" s="135" t="s">
        <v>845</v>
      </c>
      <c r="N4514" s="123" t="s">
        <v>845</v>
      </c>
    </row>
    <row r="4515" spans="2:14" hidden="1" x14ac:dyDescent="0.25">
      <c r="B4515" s="120">
        <v>4512</v>
      </c>
      <c r="C4515" s="123">
        <v>10470404928</v>
      </c>
      <c r="D4515" s="126" t="s">
        <v>16276</v>
      </c>
      <c r="E4515" s="126" t="s">
        <v>16277</v>
      </c>
      <c r="F4515" s="123" t="s">
        <v>30</v>
      </c>
      <c r="G4515" s="123" t="s">
        <v>30</v>
      </c>
      <c r="H4515" s="123" t="s">
        <v>43</v>
      </c>
      <c r="I4515" s="126" t="s">
        <v>1931</v>
      </c>
      <c r="J4515" s="123" t="s">
        <v>16278</v>
      </c>
      <c r="K4515" s="123" t="s">
        <v>16276</v>
      </c>
      <c r="L4515" s="131" t="s">
        <v>100</v>
      </c>
      <c r="M4515" s="135" t="s">
        <v>845</v>
      </c>
      <c r="N4515" s="123" t="s">
        <v>845</v>
      </c>
    </row>
    <row r="4516" spans="2:14" hidden="1" x14ac:dyDescent="0.25">
      <c r="B4516" s="120">
        <v>4513</v>
      </c>
      <c r="C4516" s="123">
        <v>10089821849</v>
      </c>
      <c r="D4516" s="126" t="s">
        <v>16279</v>
      </c>
      <c r="E4516" s="126" t="s">
        <v>16280</v>
      </c>
      <c r="F4516" s="123" t="s">
        <v>30</v>
      </c>
      <c r="G4516" s="123" t="s">
        <v>30</v>
      </c>
      <c r="H4516" s="123" t="s">
        <v>38</v>
      </c>
      <c r="I4516" s="126" t="s">
        <v>1737</v>
      </c>
      <c r="J4516" s="123" t="s">
        <v>16281</v>
      </c>
      <c r="K4516" s="123" t="s">
        <v>16279</v>
      </c>
      <c r="L4516" s="131" t="s">
        <v>100</v>
      </c>
      <c r="M4516" s="135" t="s">
        <v>845</v>
      </c>
      <c r="N4516" s="123" t="s">
        <v>845</v>
      </c>
    </row>
    <row r="4517" spans="2:14" hidden="1" x14ac:dyDescent="0.25">
      <c r="B4517" s="120">
        <v>4514</v>
      </c>
      <c r="C4517" s="123">
        <v>10156342721</v>
      </c>
      <c r="D4517" s="126" t="s">
        <v>16282</v>
      </c>
      <c r="E4517" s="126" t="s">
        <v>16283</v>
      </c>
      <c r="F4517" s="123" t="s">
        <v>30</v>
      </c>
      <c r="G4517" s="123" t="s">
        <v>168</v>
      </c>
      <c r="H4517" s="123" t="s">
        <v>168</v>
      </c>
      <c r="I4517" s="126" t="s">
        <v>1930</v>
      </c>
      <c r="J4517" s="123" t="s">
        <v>16284</v>
      </c>
      <c r="K4517" s="123" t="s">
        <v>16282</v>
      </c>
      <c r="L4517" s="131" t="s">
        <v>100</v>
      </c>
      <c r="M4517" s="135" t="s">
        <v>845</v>
      </c>
      <c r="N4517" s="123" t="s">
        <v>845</v>
      </c>
    </row>
    <row r="4518" spans="2:14" hidden="1" x14ac:dyDescent="0.25">
      <c r="B4518" s="120">
        <v>4515</v>
      </c>
      <c r="C4518" s="123">
        <v>10062669638</v>
      </c>
      <c r="D4518" s="126" t="s">
        <v>16285</v>
      </c>
      <c r="E4518" s="126" t="s">
        <v>16286</v>
      </c>
      <c r="F4518" s="123" t="s">
        <v>30</v>
      </c>
      <c r="G4518" s="123" t="s">
        <v>30</v>
      </c>
      <c r="H4518" s="123" t="s">
        <v>65</v>
      </c>
      <c r="I4518" s="126" t="s">
        <v>1701</v>
      </c>
      <c r="J4518" s="123" t="s">
        <v>16287</v>
      </c>
      <c r="K4518" s="123" t="s">
        <v>16285</v>
      </c>
      <c r="L4518" s="131" t="s">
        <v>100</v>
      </c>
      <c r="M4518" s="135" t="s">
        <v>845</v>
      </c>
      <c r="N4518" s="123" t="s">
        <v>845</v>
      </c>
    </row>
    <row r="4519" spans="2:14" hidden="1" x14ac:dyDescent="0.25">
      <c r="B4519" s="120">
        <v>4516</v>
      </c>
      <c r="C4519" s="123">
        <v>10433167495</v>
      </c>
      <c r="D4519" s="126" t="s">
        <v>16288</v>
      </c>
      <c r="E4519" s="126" t="s">
        <v>16289</v>
      </c>
      <c r="F4519" s="123" t="s">
        <v>30</v>
      </c>
      <c r="G4519" s="123" t="s">
        <v>30</v>
      </c>
      <c r="H4519" s="123" t="s">
        <v>51</v>
      </c>
      <c r="I4519" s="126" t="s">
        <v>1931</v>
      </c>
      <c r="J4519" s="123" t="s">
        <v>16290</v>
      </c>
      <c r="K4519" s="123" t="s">
        <v>16288</v>
      </c>
      <c r="L4519" s="131" t="s">
        <v>100</v>
      </c>
      <c r="M4519" s="135" t="s">
        <v>845</v>
      </c>
      <c r="N4519" s="123" t="s">
        <v>845</v>
      </c>
    </row>
    <row r="4520" spans="2:14" hidden="1" x14ac:dyDescent="0.25">
      <c r="B4520" s="120">
        <v>4517</v>
      </c>
      <c r="C4520" s="123">
        <v>10480172316</v>
      </c>
      <c r="D4520" s="126" t="s">
        <v>16291</v>
      </c>
      <c r="E4520" s="126" t="s">
        <v>16292</v>
      </c>
      <c r="F4520" s="123" t="s">
        <v>67</v>
      </c>
      <c r="G4520" s="123" t="s">
        <v>67</v>
      </c>
      <c r="H4520" s="123" t="s">
        <v>94</v>
      </c>
      <c r="I4520" s="126" t="s">
        <v>1701</v>
      </c>
      <c r="J4520" s="123" t="s">
        <v>16293</v>
      </c>
      <c r="K4520" s="123" t="s">
        <v>16291</v>
      </c>
      <c r="L4520" s="131" t="s">
        <v>100</v>
      </c>
      <c r="M4520" s="135" t="s">
        <v>845</v>
      </c>
      <c r="N4520" s="123" t="s">
        <v>845</v>
      </c>
    </row>
    <row r="4521" spans="2:14" hidden="1" x14ac:dyDescent="0.25">
      <c r="B4521" s="120">
        <v>4518</v>
      </c>
      <c r="C4521" s="123">
        <v>10435777932</v>
      </c>
      <c r="D4521" s="126" t="s">
        <v>16294</v>
      </c>
      <c r="E4521" s="126" t="s">
        <v>16295</v>
      </c>
      <c r="F4521" s="123" t="s">
        <v>30</v>
      </c>
      <c r="G4521" s="123" t="s">
        <v>30</v>
      </c>
      <c r="H4521" s="123" t="s">
        <v>72</v>
      </c>
      <c r="I4521" s="126" t="s">
        <v>1945</v>
      </c>
      <c r="J4521" s="123" t="s">
        <v>16296</v>
      </c>
      <c r="K4521" s="123" t="s">
        <v>16297</v>
      </c>
      <c r="L4521" s="131" t="s">
        <v>100</v>
      </c>
      <c r="M4521" s="135" t="s">
        <v>845</v>
      </c>
      <c r="N4521" s="123" t="s">
        <v>845</v>
      </c>
    </row>
    <row r="4522" spans="2:14" hidden="1" x14ac:dyDescent="0.25">
      <c r="B4522" s="120">
        <v>4519</v>
      </c>
      <c r="C4522" s="123">
        <v>10451275068</v>
      </c>
      <c r="D4522" s="126" t="s">
        <v>16298</v>
      </c>
      <c r="E4522" s="126" t="s">
        <v>16299</v>
      </c>
      <c r="F4522" s="123" t="s">
        <v>30</v>
      </c>
      <c r="G4522" s="123" t="s">
        <v>30</v>
      </c>
      <c r="H4522" s="123" t="s">
        <v>88</v>
      </c>
      <c r="I4522" s="126" t="s">
        <v>8884</v>
      </c>
      <c r="J4522" s="123" t="s">
        <v>16300</v>
      </c>
      <c r="K4522" s="123" t="s">
        <v>16301</v>
      </c>
      <c r="L4522" s="131" t="s">
        <v>100</v>
      </c>
      <c r="M4522" s="135" t="s">
        <v>845</v>
      </c>
      <c r="N4522" s="123" t="s">
        <v>845</v>
      </c>
    </row>
    <row r="4523" spans="2:14" hidden="1" x14ac:dyDescent="0.25">
      <c r="B4523" s="120">
        <v>4520</v>
      </c>
      <c r="C4523" s="123">
        <v>10438361087</v>
      </c>
      <c r="D4523" s="126" t="s">
        <v>16302</v>
      </c>
      <c r="E4523" s="126" t="s">
        <v>16303</v>
      </c>
      <c r="F4523" s="123" t="s">
        <v>30</v>
      </c>
      <c r="G4523" s="123" t="s">
        <v>31</v>
      </c>
      <c r="H4523" s="123" t="s">
        <v>12658</v>
      </c>
      <c r="I4523" s="126" t="s">
        <v>1950</v>
      </c>
      <c r="J4523" s="123" t="s">
        <v>16304</v>
      </c>
      <c r="K4523" s="123" t="s">
        <v>16302</v>
      </c>
      <c r="L4523" s="131" t="s">
        <v>100</v>
      </c>
      <c r="M4523" s="135" t="s">
        <v>845</v>
      </c>
      <c r="N4523" s="123" t="s">
        <v>845</v>
      </c>
    </row>
    <row r="4524" spans="2:14" hidden="1" x14ac:dyDescent="0.25">
      <c r="B4524" s="120">
        <v>4521</v>
      </c>
      <c r="C4524" s="123">
        <v>10701934861</v>
      </c>
      <c r="D4524" s="126" t="s">
        <v>16305</v>
      </c>
      <c r="E4524" s="126" t="s">
        <v>16306</v>
      </c>
      <c r="F4524" s="123" t="s">
        <v>30</v>
      </c>
      <c r="G4524" s="123" t="s">
        <v>30</v>
      </c>
      <c r="H4524" s="123" t="s">
        <v>60</v>
      </c>
      <c r="I4524" s="126" t="s">
        <v>1561</v>
      </c>
      <c r="J4524" s="123" t="s">
        <v>16307</v>
      </c>
      <c r="K4524" s="123" t="s">
        <v>16305</v>
      </c>
      <c r="L4524" s="131" t="s">
        <v>100</v>
      </c>
      <c r="M4524" s="135" t="s">
        <v>845</v>
      </c>
      <c r="N4524" s="123" t="s">
        <v>845</v>
      </c>
    </row>
    <row r="4525" spans="2:14" hidden="1" x14ac:dyDescent="0.25">
      <c r="B4525" s="120">
        <v>4522</v>
      </c>
      <c r="C4525" s="123">
        <v>10437061161</v>
      </c>
      <c r="D4525" s="126" t="s">
        <v>16308</v>
      </c>
      <c r="E4525" s="126" t="s">
        <v>16309</v>
      </c>
      <c r="F4525" s="123" t="s">
        <v>61</v>
      </c>
      <c r="G4525" s="123" t="s">
        <v>62</v>
      </c>
      <c r="H4525" s="123" t="s">
        <v>10499</v>
      </c>
      <c r="I4525" s="126" t="s">
        <v>1931</v>
      </c>
      <c r="J4525" s="123" t="s">
        <v>16310</v>
      </c>
      <c r="K4525" s="123" t="s">
        <v>16308</v>
      </c>
      <c r="L4525" s="131" t="s">
        <v>100</v>
      </c>
      <c r="M4525" s="135" t="s">
        <v>845</v>
      </c>
      <c r="N4525" s="123" t="s">
        <v>845</v>
      </c>
    </row>
    <row r="4526" spans="2:14" hidden="1" x14ac:dyDescent="0.25">
      <c r="B4526" s="120">
        <v>4523</v>
      </c>
      <c r="C4526" s="123">
        <v>10479312911</v>
      </c>
      <c r="D4526" s="126" t="s">
        <v>16311</v>
      </c>
      <c r="E4526" s="126" t="s">
        <v>16312</v>
      </c>
      <c r="F4526" s="123" t="s">
        <v>30</v>
      </c>
      <c r="G4526" s="123" t="s">
        <v>30</v>
      </c>
      <c r="H4526" s="123" t="s">
        <v>38</v>
      </c>
      <c r="I4526" s="126" t="s">
        <v>1209</v>
      </c>
      <c r="J4526" s="123" t="s">
        <v>16313</v>
      </c>
      <c r="K4526" s="123" t="s">
        <v>16311</v>
      </c>
      <c r="L4526" s="131" t="s">
        <v>100</v>
      </c>
      <c r="M4526" s="135" t="s">
        <v>845</v>
      </c>
      <c r="N4526" s="123" t="s">
        <v>845</v>
      </c>
    </row>
    <row r="4527" spans="2:14" hidden="1" x14ac:dyDescent="0.25">
      <c r="B4527" s="120">
        <v>4524</v>
      </c>
      <c r="C4527" s="123">
        <v>10455254910</v>
      </c>
      <c r="D4527" s="126" t="s">
        <v>16314</v>
      </c>
      <c r="E4527" s="126" t="s">
        <v>16315</v>
      </c>
      <c r="F4527" s="123" t="s">
        <v>30</v>
      </c>
      <c r="G4527" s="123" t="s">
        <v>30</v>
      </c>
      <c r="H4527" s="123" t="s">
        <v>79</v>
      </c>
      <c r="I4527" s="126" t="s">
        <v>1931</v>
      </c>
      <c r="J4527" s="123" t="s">
        <v>16316</v>
      </c>
      <c r="K4527" s="123" t="s">
        <v>16314</v>
      </c>
      <c r="L4527" s="131" t="s">
        <v>100</v>
      </c>
      <c r="M4527" s="135" t="s">
        <v>845</v>
      </c>
      <c r="N4527" s="123" t="s">
        <v>845</v>
      </c>
    </row>
    <row r="4528" spans="2:14" hidden="1" x14ac:dyDescent="0.25">
      <c r="B4528" s="120">
        <v>4525</v>
      </c>
      <c r="C4528" s="123">
        <v>10157120765</v>
      </c>
      <c r="D4528" s="126" t="s">
        <v>16317</v>
      </c>
      <c r="E4528" s="126" t="s">
        <v>16318</v>
      </c>
      <c r="F4528" s="123" t="s">
        <v>30</v>
      </c>
      <c r="G4528" s="123" t="s">
        <v>168</v>
      </c>
      <c r="H4528" s="123" t="s">
        <v>168</v>
      </c>
      <c r="I4528" s="126" t="s">
        <v>10025</v>
      </c>
      <c r="J4528" s="123" t="s">
        <v>16319</v>
      </c>
      <c r="K4528" s="123" t="s">
        <v>16317</v>
      </c>
      <c r="L4528" s="131" t="s">
        <v>100</v>
      </c>
      <c r="M4528" s="135" t="s">
        <v>845</v>
      </c>
      <c r="N4528" s="123" t="s">
        <v>845</v>
      </c>
    </row>
    <row r="4529" spans="2:14" hidden="1" x14ac:dyDescent="0.25">
      <c r="B4529" s="120">
        <v>4526</v>
      </c>
      <c r="C4529" s="123">
        <v>10443719879</v>
      </c>
      <c r="D4529" s="126" t="s">
        <v>16320</v>
      </c>
      <c r="E4529" s="126" t="s">
        <v>16321</v>
      </c>
      <c r="F4529" s="123" t="s">
        <v>30</v>
      </c>
      <c r="G4529" s="123" t="s">
        <v>170</v>
      </c>
      <c r="H4529" s="123" t="s">
        <v>176</v>
      </c>
      <c r="I4529" s="126" t="s">
        <v>1950</v>
      </c>
      <c r="J4529" s="123" t="s">
        <v>16322</v>
      </c>
      <c r="K4529" s="123" t="s">
        <v>16320</v>
      </c>
      <c r="L4529" s="131" t="s">
        <v>100</v>
      </c>
      <c r="M4529" s="135" t="s">
        <v>845</v>
      </c>
      <c r="N4529" s="123" t="s">
        <v>845</v>
      </c>
    </row>
    <row r="4530" spans="2:14" hidden="1" x14ac:dyDescent="0.25">
      <c r="B4530" s="120">
        <v>4527</v>
      </c>
      <c r="C4530" s="123">
        <v>10444156932</v>
      </c>
      <c r="D4530" s="126" t="s">
        <v>16323</v>
      </c>
      <c r="E4530" s="126" t="s">
        <v>16324</v>
      </c>
      <c r="F4530" s="123" t="s">
        <v>15202</v>
      </c>
      <c r="G4530" s="123" t="s">
        <v>16325</v>
      </c>
      <c r="H4530" s="123" t="s">
        <v>16325</v>
      </c>
      <c r="I4530" s="126" t="s">
        <v>1424</v>
      </c>
      <c r="J4530" s="123" t="s">
        <v>16326</v>
      </c>
      <c r="K4530" s="123" t="s">
        <v>16323</v>
      </c>
      <c r="L4530" s="131" t="s">
        <v>100</v>
      </c>
      <c r="M4530" s="135" t="s">
        <v>845</v>
      </c>
      <c r="N4530" s="123" t="s">
        <v>845</v>
      </c>
    </row>
    <row r="4531" spans="2:14" hidden="1" x14ac:dyDescent="0.25">
      <c r="B4531" s="120">
        <v>4528</v>
      </c>
      <c r="C4531" s="123">
        <v>10470704867</v>
      </c>
      <c r="D4531" s="126" t="s">
        <v>16327</v>
      </c>
      <c r="E4531" s="126" t="s">
        <v>16328</v>
      </c>
      <c r="F4531" s="123" t="s">
        <v>30</v>
      </c>
      <c r="G4531" s="123" t="s">
        <v>30</v>
      </c>
      <c r="H4531" s="123" t="s">
        <v>43</v>
      </c>
      <c r="I4531" s="126" t="s">
        <v>1424</v>
      </c>
      <c r="J4531" s="123" t="s">
        <v>16329</v>
      </c>
      <c r="K4531" s="123" t="s">
        <v>16327</v>
      </c>
      <c r="L4531" s="131" t="s">
        <v>100</v>
      </c>
      <c r="M4531" s="135" t="s">
        <v>845</v>
      </c>
      <c r="N4531" s="123" t="s">
        <v>845</v>
      </c>
    </row>
    <row r="4532" spans="2:14" hidden="1" x14ac:dyDescent="0.25">
      <c r="B4532" s="120">
        <v>4529</v>
      </c>
      <c r="C4532" s="123">
        <v>10410465502</v>
      </c>
      <c r="D4532" s="126" t="s">
        <v>16330</v>
      </c>
      <c r="E4532" s="126" t="s">
        <v>16331</v>
      </c>
      <c r="F4532" s="123" t="s">
        <v>30</v>
      </c>
      <c r="G4532" s="123" t="s">
        <v>30</v>
      </c>
      <c r="H4532" s="123" t="s">
        <v>30</v>
      </c>
      <c r="I4532" s="126" t="s">
        <v>13429</v>
      </c>
      <c r="J4532" s="123" t="s">
        <v>16332</v>
      </c>
      <c r="K4532" s="123" t="s">
        <v>16330</v>
      </c>
      <c r="L4532" s="131" t="s">
        <v>100</v>
      </c>
      <c r="M4532" s="135" t="s">
        <v>845</v>
      </c>
      <c r="N4532" s="123" t="s">
        <v>845</v>
      </c>
    </row>
    <row r="4533" spans="2:14" hidden="1" x14ac:dyDescent="0.25">
      <c r="B4533" s="120">
        <v>4530</v>
      </c>
      <c r="C4533" s="123">
        <v>10428054160</v>
      </c>
      <c r="D4533" s="126" t="s">
        <v>16333</v>
      </c>
      <c r="E4533" s="126" t="s">
        <v>16334</v>
      </c>
      <c r="F4533" s="123" t="s">
        <v>30</v>
      </c>
      <c r="G4533" s="123" t="s">
        <v>30</v>
      </c>
      <c r="H4533" s="123" t="s">
        <v>60</v>
      </c>
      <c r="I4533" s="126" t="s">
        <v>1930</v>
      </c>
      <c r="J4533" s="123" t="s">
        <v>16335</v>
      </c>
      <c r="K4533" s="123" t="s">
        <v>16333</v>
      </c>
      <c r="L4533" s="131" t="s">
        <v>100</v>
      </c>
      <c r="M4533" s="135" t="s">
        <v>845</v>
      </c>
      <c r="N4533" s="123" t="s">
        <v>845</v>
      </c>
    </row>
    <row r="4534" spans="2:14" hidden="1" x14ac:dyDescent="0.25">
      <c r="B4534" s="120">
        <v>4531</v>
      </c>
      <c r="C4534" s="123">
        <v>10408478796</v>
      </c>
      <c r="D4534" s="126" t="s">
        <v>16336</v>
      </c>
      <c r="E4534" s="126" t="s">
        <v>16337</v>
      </c>
      <c r="F4534" s="123" t="s">
        <v>30</v>
      </c>
      <c r="G4534" s="123" t="s">
        <v>30</v>
      </c>
      <c r="H4534" s="123" t="s">
        <v>127</v>
      </c>
      <c r="I4534" s="126" t="s">
        <v>1950</v>
      </c>
      <c r="J4534" s="123" t="s">
        <v>16338</v>
      </c>
      <c r="K4534" s="123" t="s">
        <v>16336</v>
      </c>
      <c r="L4534" s="131" t="s">
        <v>100</v>
      </c>
      <c r="M4534" s="135" t="s">
        <v>845</v>
      </c>
      <c r="N4534" s="123" t="s">
        <v>845</v>
      </c>
    </row>
    <row r="4535" spans="2:14" hidden="1" x14ac:dyDescent="0.25">
      <c r="B4535" s="120">
        <v>4532</v>
      </c>
      <c r="C4535" s="123">
        <v>10441413934</v>
      </c>
      <c r="D4535" s="126" t="s">
        <v>16339</v>
      </c>
      <c r="E4535" s="126" t="s">
        <v>16340</v>
      </c>
      <c r="F4535" s="123" t="s">
        <v>30</v>
      </c>
      <c r="G4535" s="123" t="s">
        <v>30</v>
      </c>
      <c r="H4535" s="123" t="s">
        <v>79</v>
      </c>
      <c r="I4535" s="126" t="s">
        <v>1954</v>
      </c>
      <c r="J4535" s="123" t="s">
        <v>16341</v>
      </c>
      <c r="K4535" s="123" t="s">
        <v>16339</v>
      </c>
      <c r="L4535" s="131" t="s">
        <v>100</v>
      </c>
      <c r="M4535" s="135" t="s">
        <v>845</v>
      </c>
      <c r="N4535" s="123" t="s">
        <v>845</v>
      </c>
    </row>
    <row r="4536" spans="2:14" hidden="1" x14ac:dyDescent="0.25">
      <c r="B4536" s="120">
        <v>4533</v>
      </c>
      <c r="C4536" s="123">
        <v>10061612110</v>
      </c>
      <c r="D4536" s="126" t="s">
        <v>16342</v>
      </c>
      <c r="E4536" s="126" t="s">
        <v>16343</v>
      </c>
      <c r="F4536" s="123" t="s">
        <v>30</v>
      </c>
      <c r="G4536" s="123" t="s">
        <v>31</v>
      </c>
      <c r="H4536" s="123" t="s">
        <v>139</v>
      </c>
      <c r="I4536" s="126" t="s">
        <v>1701</v>
      </c>
      <c r="J4536" s="123" t="s">
        <v>16344</v>
      </c>
      <c r="K4536" s="123" t="s">
        <v>16342</v>
      </c>
      <c r="L4536" s="131" t="s">
        <v>100</v>
      </c>
      <c r="M4536" s="135" t="s">
        <v>845</v>
      </c>
      <c r="N4536" s="123" t="s">
        <v>845</v>
      </c>
    </row>
    <row r="4537" spans="2:14" hidden="1" x14ac:dyDescent="0.25">
      <c r="B4537" s="120">
        <v>4534</v>
      </c>
      <c r="C4537" s="123">
        <v>10210664101</v>
      </c>
      <c r="D4537" s="126" t="s">
        <v>16345</v>
      </c>
      <c r="E4537" s="126" t="s">
        <v>16346</v>
      </c>
      <c r="F4537" s="123" t="s">
        <v>30</v>
      </c>
      <c r="G4537" s="123" t="s">
        <v>30</v>
      </c>
      <c r="H4537" s="123" t="s">
        <v>51</v>
      </c>
      <c r="I4537" s="126" t="s">
        <v>1701</v>
      </c>
      <c r="J4537" s="123" t="s">
        <v>16347</v>
      </c>
      <c r="K4537" s="123" t="s">
        <v>16345</v>
      </c>
      <c r="L4537" s="131" t="s">
        <v>100</v>
      </c>
      <c r="M4537" s="135" t="s">
        <v>845</v>
      </c>
      <c r="N4537" s="123" t="s">
        <v>845</v>
      </c>
    </row>
    <row r="4538" spans="2:14" hidden="1" x14ac:dyDescent="0.25">
      <c r="B4538" s="120">
        <v>4535</v>
      </c>
      <c r="C4538" s="123">
        <v>10764533581</v>
      </c>
      <c r="D4538" s="126" t="s">
        <v>16348</v>
      </c>
      <c r="E4538" s="126" t="s">
        <v>16349</v>
      </c>
      <c r="F4538" s="123" t="s">
        <v>30</v>
      </c>
      <c r="G4538" s="123" t="s">
        <v>30</v>
      </c>
      <c r="H4538" s="123" t="s">
        <v>72</v>
      </c>
      <c r="I4538" s="126" t="s">
        <v>1949</v>
      </c>
      <c r="J4538" s="123" t="s">
        <v>16350</v>
      </c>
      <c r="K4538" s="123" t="s">
        <v>16351</v>
      </c>
      <c r="L4538" s="131" t="s">
        <v>100</v>
      </c>
      <c r="M4538" s="135" t="s">
        <v>845</v>
      </c>
      <c r="N4538" s="123" t="s">
        <v>845</v>
      </c>
    </row>
    <row r="4539" spans="2:14" hidden="1" x14ac:dyDescent="0.25">
      <c r="B4539" s="120">
        <v>4536</v>
      </c>
      <c r="C4539" s="123">
        <v>10704741419</v>
      </c>
      <c r="D4539" s="126" t="s">
        <v>16352</v>
      </c>
      <c r="E4539" s="126" t="s">
        <v>16353</v>
      </c>
      <c r="F4539" s="123" t="s">
        <v>67</v>
      </c>
      <c r="G4539" s="123" t="s">
        <v>67</v>
      </c>
      <c r="H4539" s="123" t="s">
        <v>94</v>
      </c>
      <c r="I4539" s="126" t="s">
        <v>1767</v>
      </c>
      <c r="J4539" s="123" t="s">
        <v>16354</v>
      </c>
      <c r="K4539" s="123" t="s">
        <v>16355</v>
      </c>
      <c r="L4539" s="131" t="s">
        <v>100</v>
      </c>
      <c r="M4539" s="135" t="s">
        <v>845</v>
      </c>
      <c r="N4539" s="123" t="s">
        <v>845</v>
      </c>
    </row>
    <row r="4540" spans="2:14" hidden="1" x14ac:dyDescent="0.25">
      <c r="B4540" s="120">
        <v>4537</v>
      </c>
      <c r="C4540" s="123">
        <v>10414888378</v>
      </c>
      <c r="D4540" s="126" t="s">
        <v>16356</v>
      </c>
      <c r="E4540" s="126" t="s">
        <v>16357</v>
      </c>
      <c r="F4540" s="123" t="s">
        <v>30</v>
      </c>
      <c r="G4540" s="123" t="s">
        <v>170</v>
      </c>
      <c r="H4540" s="123" t="s">
        <v>175</v>
      </c>
      <c r="I4540" s="126" t="s">
        <v>1424</v>
      </c>
      <c r="J4540" s="123" t="s">
        <v>16358</v>
      </c>
      <c r="K4540" s="123" t="s">
        <v>16356</v>
      </c>
      <c r="L4540" s="131" t="s">
        <v>100</v>
      </c>
      <c r="M4540" s="135" t="s">
        <v>845</v>
      </c>
      <c r="N4540" s="123" t="s">
        <v>845</v>
      </c>
    </row>
    <row r="4541" spans="2:14" hidden="1" x14ac:dyDescent="0.25">
      <c r="B4541" s="120">
        <v>4538</v>
      </c>
      <c r="C4541" s="123">
        <v>10067762997</v>
      </c>
      <c r="D4541" s="126" t="s">
        <v>16359</v>
      </c>
      <c r="E4541" s="126" t="s">
        <v>16360</v>
      </c>
      <c r="F4541" s="123" t="s">
        <v>30</v>
      </c>
      <c r="G4541" s="123" t="s">
        <v>30</v>
      </c>
      <c r="H4541" s="123" t="s">
        <v>110</v>
      </c>
      <c r="I4541" s="126" t="s">
        <v>2940</v>
      </c>
      <c r="J4541" s="123" t="s">
        <v>16361</v>
      </c>
      <c r="K4541" s="123" t="s">
        <v>16359</v>
      </c>
      <c r="L4541" s="131" t="s">
        <v>100</v>
      </c>
      <c r="M4541" s="135" t="s">
        <v>845</v>
      </c>
      <c r="N4541" s="123" t="s">
        <v>845</v>
      </c>
    </row>
    <row r="4542" spans="2:14" hidden="1" x14ac:dyDescent="0.25">
      <c r="B4542" s="120">
        <v>4539</v>
      </c>
      <c r="C4542" s="123">
        <v>10067967319</v>
      </c>
      <c r="D4542" s="126" t="s">
        <v>16362</v>
      </c>
      <c r="E4542" s="126" t="s">
        <v>16363</v>
      </c>
      <c r="F4542" s="123" t="s">
        <v>30</v>
      </c>
      <c r="G4542" s="123" t="s">
        <v>30</v>
      </c>
      <c r="H4542" s="123" t="s">
        <v>72</v>
      </c>
      <c r="I4542" s="126" t="s">
        <v>16364</v>
      </c>
      <c r="J4542" s="123" t="s">
        <v>16365</v>
      </c>
      <c r="K4542" s="123" t="s">
        <v>16362</v>
      </c>
      <c r="L4542" s="131" t="s">
        <v>100</v>
      </c>
      <c r="M4542" s="135" t="s">
        <v>845</v>
      </c>
      <c r="N4542" s="123" t="s">
        <v>845</v>
      </c>
    </row>
    <row r="4543" spans="2:14" hidden="1" x14ac:dyDescent="0.25">
      <c r="B4543" s="120">
        <v>4540</v>
      </c>
      <c r="C4543" s="123">
        <v>10325265715</v>
      </c>
      <c r="D4543" s="126" t="s">
        <v>16366</v>
      </c>
      <c r="E4543" s="126" t="s">
        <v>16367</v>
      </c>
      <c r="F4543" s="123" t="s">
        <v>30</v>
      </c>
      <c r="G4543" s="123" t="s">
        <v>30</v>
      </c>
      <c r="H4543" s="123" t="s">
        <v>43</v>
      </c>
      <c r="I4543" s="126" t="s">
        <v>1737</v>
      </c>
      <c r="J4543" s="123" t="s">
        <v>16368</v>
      </c>
      <c r="K4543" s="123" t="s">
        <v>16366</v>
      </c>
      <c r="L4543" s="131" t="s">
        <v>100</v>
      </c>
      <c r="M4543" s="135" t="s">
        <v>845</v>
      </c>
      <c r="N4543" s="123" t="s">
        <v>845</v>
      </c>
    </row>
    <row r="4544" spans="2:14" hidden="1" x14ac:dyDescent="0.25">
      <c r="B4544" s="120">
        <v>4541</v>
      </c>
      <c r="C4544" s="123">
        <v>10096107361</v>
      </c>
      <c r="D4544" s="126" t="s">
        <v>16369</v>
      </c>
      <c r="E4544" s="126" t="s">
        <v>16370</v>
      </c>
      <c r="F4544" s="123" t="s">
        <v>67</v>
      </c>
      <c r="G4544" s="123" t="s">
        <v>67</v>
      </c>
      <c r="H4544" s="123" t="s">
        <v>67</v>
      </c>
      <c r="I4544" s="126" t="s">
        <v>1564</v>
      </c>
      <c r="J4544" s="123" t="s">
        <v>16371</v>
      </c>
      <c r="K4544" s="123" t="s">
        <v>16369</v>
      </c>
      <c r="L4544" s="131" t="s">
        <v>100</v>
      </c>
      <c r="M4544" s="135" t="s">
        <v>845</v>
      </c>
      <c r="N4544" s="123" t="s">
        <v>845</v>
      </c>
    </row>
    <row r="4545" spans="2:14" hidden="1" x14ac:dyDescent="0.25">
      <c r="B4545" s="120">
        <v>4542</v>
      </c>
      <c r="C4545" s="123">
        <v>10703815141</v>
      </c>
      <c r="D4545" s="126" t="s">
        <v>16372</v>
      </c>
      <c r="E4545" s="126" t="s">
        <v>16373</v>
      </c>
      <c r="F4545" s="123" t="s">
        <v>30</v>
      </c>
      <c r="G4545" s="123" t="s">
        <v>30</v>
      </c>
      <c r="H4545" s="123" t="s">
        <v>88</v>
      </c>
      <c r="I4545" s="126" t="s">
        <v>1701</v>
      </c>
      <c r="J4545" s="123" t="s">
        <v>16374</v>
      </c>
      <c r="K4545" s="123" t="s">
        <v>16372</v>
      </c>
      <c r="L4545" s="131" t="s">
        <v>100</v>
      </c>
      <c r="M4545" s="135" t="s">
        <v>845</v>
      </c>
      <c r="N4545" s="123" t="s">
        <v>845</v>
      </c>
    </row>
    <row r="4546" spans="2:14" hidden="1" x14ac:dyDescent="0.25">
      <c r="B4546" s="120">
        <v>4543</v>
      </c>
      <c r="C4546" s="123">
        <v>10199704431</v>
      </c>
      <c r="D4546" s="126" t="s">
        <v>16375</v>
      </c>
      <c r="E4546" s="126" t="s">
        <v>16376</v>
      </c>
      <c r="F4546" s="123" t="s">
        <v>30</v>
      </c>
      <c r="G4546" s="123" t="s">
        <v>30</v>
      </c>
      <c r="H4546" s="123" t="s">
        <v>113</v>
      </c>
      <c r="I4546" s="126" t="s">
        <v>16377</v>
      </c>
      <c r="J4546" s="123" t="s">
        <v>16378</v>
      </c>
      <c r="K4546" s="123" t="s">
        <v>16375</v>
      </c>
      <c r="L4546" s="131" t="s">
        <v>100</v>
      </c>
      <c r="M4546" s="135" t="s">
        <v>845</v>
      </c>
      <c r="N4546" s="123" t="s">
        <v>845</v>
      </c>
    </row>
    <row r="4547" spans="2:14" hidden="1" x14ac:dyDescent="0.25">
      <c r="B4547" s="120">
        <v>4544</v>
      </c>
      <c r="C4547" s="123">
        <v>10084431678</v>
      </c>
      <c r="D4547" s="126" t="s">
        <v>16379</v>
      </c>
      <c r="E4547" s="126" t="s">
        <v>16380</v>
      </c>
      <c r="F4547" s="123" t="s">
        <v>30</v>
      </c>
      <c r="G4547" s="123" t="s">
        <v>30</v>
      </c>
      <c r="H4547" s="123" t="s">
        <v>45</v>
      </c>
      <c r="I4547" s="126" t="s">
        <v>1701</v>
      </c>
      <c r="J4547" s="123" t="s">
        <v>16381</v>
      </c>
      <c r="K4547" s="123" t="s">
        <v>16379</v>
      </c>
      <c r="L4547" s="131" t="s">
        <v>100</v>
      </c>
      <c r="M4547" s="135" t="s">
        <v>845</v>
      </c>
      <c r="N4547" s="123" t="s">
        <v>845</v>
      </c>
    </row>
    <row r="4548" spans="2:14" hidden="1" x14ac:dyDescent="0.25">
      <c r="B4548" s="120">
        <v>4545</v>
      </c>
      <c r="C4548" s="123">
        <v>10439021417</v>
      </c>
      <c r="D4548" s="126" t="s">
        <v>16382</v>
      </c>
      <c r="E4548" s="126" t="s">
        <v>16383</v>
      </c>
      <c r="F4548" s="123" t="s">
        <v>30</v>
      </c>
      <c r="G4548" s="123" t="s">
        <v>30</v>
      </c>
      <c r="H4548" s="123" t="s">
        <v>34</v>
      </c>
      <c r="I4548" s="126" t="s">
        <v>1942</v>
      </c>
      <c r="J4548" s="123" t="s">
        <v>16384</v>
      </c>
      <c r="K4548" s="123" t="s">
        <v>16382</v>
      </c>
      <c r="L4548" s="131" t="s">
        <v>100</v>
      </c>
      <c r="M4548" s="135" t="s">
        <v>845</v>
      </c>
      <c r="N4548" s="123" t="s">
        <v>845</v>
      </c>
    </row>
    <row r="4549" spans="2:14" hidden="1" x14ac:dyDescent="0.25">
      <c r="B4549" s="120">
        <v>4546</v>
      </c>
      <c r="C4549" s="123">
        <v>10444267475</v>
      </c>
      <c r="D4549" s="126" t="s">
        <v>16385</v>
      </c>
      <c r="E4549" s="126" t="s">
        <v>16386</v>
      </c>
      <c r="F4549" s="123" t="s">
        <v>30</v>
      </c>
      <c r="G4549" s="123" t="s">
        <v>30</v>
      </c>
      <c r="H4549" s="123" t="s">
        <v>58</v>
      </c>
      <c r="I4549" s="126" t="s">
        <v>1737</v>
      </c>
      <c r="J4549" s="123" t="s">
        <v>16387</v>
      </c>
      <c r="K4549" s="123" t="s">
        <v>16385</v>
      </c>
      <c r="L4549" s="131" t="s">
        <v>100</v>
      </c>
      <c r="M4549" s="135" t="s">
        <v>845</v>
      </c>
      <c r="N4549" s="123" t="s">
        <v>845</v>
      </c>
    </row>
    <row r="4550" spans="2:14" hidden="1" x14ac:dyDescent="0.25">
      <c r="B4550" s="120">
        <v>4547</v>
      </c>
      <c r="C4550" s="123">
        <v>10477233631</v>
      </c>
      <c r="D4550" s="126" t="s">
        <v>16388</v>
      </c>
      <c r="E4550" s="126" t="s">
        <v>16389</v>
      </c>
      <c r="F4550" s="123" t="s">
        <v>30</v>
      </c>
      <c r="G4550" s="123" t="s">
        <v>30</v>
      </c>
      <c r="H4550" s="123" t="s">
        <v>43</v>
      </c>
      <c r="I4550" s="126" t="s">
        <v>1931</v>
      </c>
      <c r="J4550" s="123" t="s">
        <v>16390</v>
      </c>
      <c r="K4550" s="123" t="s">
        <v>16388</v>
      </c>
      <c r="L4550" s="131" t="s">
        <v>100</v>
      </c>
      <c r="M4550" s="135" t="s">
        <v>845</v>
      </c>
      <c r="N4550" s="123" t="s">
        <v>845</v>
      </c>
    </row>
    <row r="4551" spans="2:14" hidden="1" x14ac:dyDescent="0.25">
      <c r="B4551" s="120">
        <v>4548</v>
      </c>
      <c r="C4551" s="123">
        <v>10771494779</v>
      </c>
      <c r="D4551" s="126" t="s">
        <v>16391</v>
      </c>
      <c r="E4551" s="126" t="s">
        <v>16392</v>
      </c>
      <c r="F4551" s="123" t="s">
        <v>30</v>
      </c>
      <c r="G4551" s="123" t="s">
        <v>30</v>
      </c>
      <c r="H4551" s="123" t="s">
        <v>43</v>
      </c>
      <c r="I4551" s="126" t="s">
        <v>1701</v>
      </c>
      <c r="J4551" s="123" t="s">
        <v>16393</v>
      </c>
      <c r="K4551" s="123" t="s">
        <v>16391</v>
      </c>
      <c r="L4551" s="131" t="s">
        <v>100</v>
      </c>
      <c r="M4551" s="135" t="s">
        <v>845</v>
      </c>
      <c r="N4551" s="123" t="s">
        <v>845</v>
      </c>
    </row>
    <row r="4552" spans="2:14" hidden="1" x14ac:dyDescent="0.25">
      <c r="B4552" s="120">
        <v>4549</v>
      </c>
      <c r="C4552" s="123">
        <v>10156568304</v>
      </c>
      <c r="D4552" s="126" t="s">
        <v>16394</v>
      </c>
      <c r="E4552" s="126" t="s">
        <v>16395</v>
      </c>
      <c r="F4552" s="123" t="s">
        <v>30</v>
      </c>
      <c r="G4552" s="123" t="s">
        <v>170</v>
      </c>
      <c r="H4552" s="123" t="s">
        <v>170</v>
      </c>
      <c r="I4552" s="126" t="s">
        <v>1564</v>
      </c>
      <c r="J4552" s="123" t="s">
        <v>16396</v>
      </c>
      <c r="K4552" s="123" t="s">
        <v>16394</v>
      </c>
      <c r="L4552" s="131" t="s">
        <v>100</v>
      </c>
      <c r="M4552" s="135" t="s">
        <v>845</v>
      </c>
      <c r="N4552" s="123" t="s">
        <v>845</v>
      </c>
    </row>
    <row r="4553" spans="2:14" hidden="1" x14ac:dyDescent="0.25">
      <c r="B4553" s="120">
        <v>4550</v>
      </c>
      <c r="C4553" s="123">
        <v>10479925521</v>
      </c>
      <c r="D4553" s="126" t="s">
        <v>16397</v>
      </c>
      <c r="E4553" s="126" t="s">
        <v>16398</v>
      </c>
      <c r="F4553" s="123" t="s">
        <v>30</v>
      </c>
      <c r="G4553" s="123" t="s">
        <v>30</v>
      </c>
      <c r="H4553" s="123" t="s">
        <v>30</v>
      </c>
      <c r="I4553" s="126" t="s">
        <v>10115</v>
      </c>
      <c r="J4553" s="123" t="s">
        <v>16399</v>
      </c>
      <c r="K4553" s="123" t="s">
        <v>16397</v>
      </c>
      <c r="L4553" s="131" t="s">
        <v>100</v>
      </c>
      <c r="M4553" s="135" t="s">
        <v>845</v>
      </c>
      <c r="N4553" s="123" t="s">
        <v>845</v>
      </c>
    </row>
    <row r="4554" spans="2:14" hidden="1" x14ac:dyDescent="0.25">
      <c r="B4554" s="120">
        <v>4551</v>
      </c>
      <c r="C4554" s="123">
        <v>10443894808</v>
      </c>
      <c r="D4554" s="126" t="s">
        <v>16400</v>
      </c>
      <c r="E4554" s="126" t="s">
        <v>16401</v>
      </c>
      <c r="F4554" s="123" t="s">
        <v>30</v>
      </c>
      <c r="G4554" s="123" t="s">
        <v>30</v>
      </c>
      <c r="H4554" s="123" t="s">
        <v>40</v>
      </c>
      <c r="I4554" s="126" t="s">
        <v>1424</v>
      </c>
      <c r="J4554" s="123" t="s">
        <v>16402</v>
      </c>
      <c r="K4554" s="123" t="s">
        <v>16403</v>
      </c>
      <c r="L4554" s="131" t="s">
        <v>100</v>
      </c>
      <c r="M4554" s="135" t="s">
        <v>845</v>
      </c>
      <c r="N4554" s="123" t="s">
        <v>845</v>
      </c>
    </row>
    <row r="4555" spans="2:14" hidden="1" x14ac:dyDescent="0.25">
      <c r="B4555" s="120">
        <v>4552</v>
      </c>
      <c r="C4555" s="123">
        <v>10406848031</v>
      </c>
      <c r="D4555" s="126" t="s">
        <v>16404</v>
      </c>
      <c r="E4555" s="126" t="s">
        <v>16405</v>
      </c>
      <c r="F4555" s="123" t="s">
        <v>30</v>
      </c>
      <c r="G4555" s="123" t="s">
        <v>30</v>
      </c>
      <c r="H4555" s="123" t="s">
        <v>41</v>
      </c>
      <c r="I4555" s="126" t="s">
        <v>9561</v>
      </c>
      <c r="J4555" s="123" t="s">
        <v>16406</v>
      </c>
      <c r="K4555" s="123" t="s">
        <v>16404</v>
      </c>
      <c r="L4555" s="131" t="s">
        <v>100</v>
      </c>
      <c r="M4555" s="135" t="s">
        <v>845</v>
      </c>
      <c r="N4555" s="123" t="s">
        <v>845</v>
      </c>
    </row>
    <row r="4556" spans="2:14" hidden="1" x14ac:dyDescent="0.25">
      <c r="B4556" s="120">
        <v>4553</v>
      </c>
      <c r="C4556" s="123">
        <v>10082681537</v>
      </c>
      <c r="D4556" s="126" t="s">
        <v>16407</v>
      </c>
      <c r="E4556" s="126" t="s">
        <v>16408</v>
      </c>
      <c r="F4556" s="123" t="s">
        <v>30</v>
      </c>
      <c r="G4556" s="123" t="s">
        <v>30</v>
      </c>
      <c r="H4556" s="123" t="s">
        <v>147</v>
      </c>
      <c r="I4556" s="126" t="s">
        <v>1701</v>
      </c>
      <c r="J4556" s="123" t="s">
        <v>16409</v>
      </c>
      <c r="K4556" s="123" t="s">
        <v>16407</v>
      </c>
      <c r="L4556" s="131" t="s">
        <v>100</v>
      </c>
      <c r="M4556" s="135" t="s">
        <v>845</v>
      </c>
      <c r="N4556" s="123" t="s">
        <v>845</v>
      </c>
    </row>
    <row r="4557" spans="2:14" hidden="1" x14ac:dyDescent="0.25">
      <c r="B4557" s="120">
        <v>4554</v>
      </c>
      <c r="C4557" s="123">
        <v>10074542129</v>
      </c>
      <c r="D4557" s="126" t="s">
        <v>16410</v>
      </c>
      <c r="E4557" s="126" t="s">
        <v>16411</v>
      </c>
      <c r="F4557" s="123" t="s">
        <v>67</v>
      </c>
      <c r="G4557" s="123" t="s">
        <v>67</v>
      </c>
      <c r="H4557" s="123" t="s">
        <v>94</v>
      </c>
      <c r="I4557" s="126" t="s">
        <v>16412</v>
      </c>
      <c r="J4557" s="123" t="s">
        <v>16413</v>
      </c>
      <c r="K4557" s="123" t="s">
        <v>16414</v>
      </c>
      <c r="L4557" s="131" t="s">
        <v>100</v>
      </c>
      <c r="M4557" s="135" t="s">
        <v>845</v>
      </c>
      <c r="N4557" s="123" t="s">
        <v>845</v>
      </c>
    </row>
    <row r="4558" spans="2:14" hidden="1" x14ac:dyDescent="0.25">
      <c r="B4558" s="120">
        <v>4555</v>
      </c>
      <c r="C4558" s="123">
        <v>10445537727</v>
      </c>
      <c r="D4558" s="126" t="s">
        <v>16415</v>
      </c>
      <c r="E4558" s="126" t="s">
        <v>16416</v>
      </c>
      <c r="F4558" s="123" t="s">
        <v>67</v>
      </c>
      <c r="G4558" s="123" t="s">
        <v>67</v>
      </c>
      <c r="H4558" s="123" t="s">
        <v>94</v>
      </c>
      <c r="I4558" s="126" t="s">
        <v>1930</v>
      </c>
      <c r="J4558" s="123" t="s">
        <v>16417</v>
      </c>
      <c r="K4558" s="123" t="s">
        <v>16418</v>
      </c>
      <c r="L4558" s="131" t="s">
        <v>100</v>
      </c>
      <c r="M4558" s="135" t="s">
        <v>845</v>
      </c>
      <c r="N4558" s="123" t="s">
        <v>845</v>
      </c>
    </row>
    <row r="4559" spans="2:14" hidden="1" x14ac:dyDescent="0.25">
      <c r="B4559" s="120">
        <v>4556</v>
      </c>
      <c r="C4559" s="123">
        <v>10104724553</v>
      </c>
      <c r="D4559" s="126" t="s">
        <v>16419</v>
      </c>
      <c r="E4559" s="126" t="s">
        <v>16420</v>
      </c>
      <c r="F4559" s="123" t="s">
        <v>30</v>
      </c>
      <c r="G4559" s="123" t="s">
        <v>30</v>
      </c>
      <c r="H4559" s="123" t="s">
        <v>50</v>
      </c>
      <c r="I4559" s="126" t="s">
        <v>1952</v>
      </c>
      <c r="J4559" s="123" t="s">
        <v>16421</v>
      </c>
      <c r="K4559" s="123" t="s">
        <v>16419</v>
      </c>
      <c r="L4559" s="131" t="s">
        <v>100</v>
      </c>
      <c r="M4559" s="135" t="s">
        <v>845</v>
      </c>
      <c r="N4559" s="123" t="s">
        <v>845</v>
      </c>
    </row>
    <row r="4560" spans="2:14" hidden="1" x14ac:dyDescent="0.25">
      <c r="B4560" s="120">
        <v>4557</v>
      </c>
      <c r="C4560" s="123">
        <v>10411212373</v>
      </c>
      <c r="D4560" s="126" t="s">
        <v>16422</v>
      </c>
      <c r="E4560" s="126" t="s">
        <v>16423</v>
      </c>
      <c r="F4560" s="123" t="s">
        <v>30</v>
      </c>
      <c r="G4560" s="123" t="s">
        <v>170</v>
      </c>
      <c r="H4560" s="123" t="s">
        <v>171</v>
      </c>
      <c r="I4560" s="126" t="s">
        <v>8825</v>
      </c>
      <c r="J4560" s="123" t="s">
        <v>16424</v>
      </c>
      <c r="K4560" s="123" t="s">
        <v>16422</v>
      </c>
      <c r="L4560" s="131" t="s">
        <v>100</v>
      </c>
      <c r="M4560" s="135" t="s">
        <v>845</v>
      </c>
      <c r="N4560" s="123" t="s">
        <v>845</v>
      </c>
    </row>
    <row r="4561" spans="2:14" hidden="1" x14ac:dyDescent="0.25">
      <c r="B4561" s="120">
        <v>4558</v>
      </c>
      <c r="C4561" s="123">
        <v>10157361673</v>
      </c>
      <c r="D4561" s="126" t="s">
        <v>16425</v>
      </c>
      <c r="E4561" s="126" t="s">
        <v>16426</v>
      </c>
      <c r="F4561" s="123" t="s">
        <v>30</v>
      </c>
      <c r="G4561" s="123" t="s">
        <v>170</v>
      </c>
      <c r="H4561" s="123" t="s">
        <v>171</v>
      </c>
      <c r="I4561" s="126" t="s">
        <v>1961</v>
      </c>
      <c r="J4561" s="123" t="s">
        <v>16427</v>
      </c>
      <c r="K4561" s="123" t="s">
        <v>16425</v>
      </c>
      <c r="L4561" s="131" t="s">
        <v>100</v>
      </c>
      <c r="M4561" s="135" t="s">
        <v>845</v>
      </c>
      <c r="N4561" s="123" t="s">
        <v>845</v>
      </c>
    </row>
    <row r="4562" spans="2:14" hidden="1" x14ac:dyDescent="0.25">
      <c r="B4562" s="120">
        <v>4559</v>
      </c>
      <c r="C4562" s="123">
        <v>10158567658</v>
      </c>
      <c r="D4562" s="126" t="s">
        <v>16428</v>
      </c>
      <c r="E4562" s="126" t="s">
        <v>16429</v>
      </c>
      <c r="F4562" s="123" t="s">
        <v>30</v>
      </c>
      <c r="G4562" s="123" t="s">
        <v>168</v>
      </c>
      <c r="H4562" s="123" t="s">
        <v>168</v>
      </c>
      <c r="I4562" s="126" t="s">
        <v>1930</v>
      </c>
      <c r="J4562" s="123" t="s">
        <v>16430</v>
      </c>
      <c r="K4562" s="123" t="s">
        <v>16428</v>
      </c>
      <c r="L4562" s="131" t="s">
        <v>100</v>
      </c>
      <c r="M4562" s="135" t="s">
        <v>845</v>
      </c>
      <c r="N4562" s="123" t="s">
        <v>845</v>
      </c>
    </row>
    <row r="4563" spans="2:14" hidden="1" x14ac:dyDescent="0.25">
      <c r="B4563" s="120">
        <v>4560</v>
      </c>
      <c r="C4563" s="123">
        <v>10479131509</v>
      </c>
      <c r="D4563" s="126" t="s">
        <v>16431</v>
      </c>
      <c r="E4563" s="126" t="s">
        <v>16432</v>
      </c>
      <c r="F4563" s="123" t="s">
        <v>30</v>
      </c>
      <c r="G4563" s="123" t="s">
        <v>30</v>
      </c>
      <c r="H4563" s="123" t="s">
        <v>88</v>
      </c>
      <c r="I4563" s="126" t="s">
        <v>1701</v>
      </c>
      <c r="J4563" s="123" t="s">
        <v>16433</v>
      </c>
      <c r="K4563" s="123" t="s">
        <v>16431</v>
      </c>
      <c r="L4563" s="131" t="s">
        <v>100</v>
      </c>
      <c r="M4563" s="135" t="s">
        <v>845</v>
      </c>
      <c r="N4563" s="123" t="s">
        <v>845</v>
      </c>
    </row>
    <row r="4564" spans="2:14" hidden="1" x14ac:dyDescent="0.25">
      <c r="B4564" s="120">
        <v>4561</v>
      </c>
      <c r="C4564" s="123">
        <v>10487318162</v>
      </c>
      <c r="D4564" s="126" t="s">
        <v>16434</v>
      </c>
      <c r="E4564" s="126" t="s">
        <v>16435</v>
      </c>
      <c r="F4564" s="123" t="s">
        <v>30</v>
      </c>
      <c r="G4564" s="123" t="s">
        <v>30</v>
      </c>
      <c r="H4564" s="123" t="s">
        <v>72</v>
      </c>
      <c r="I4564" s="126" t="s">
        <v>1942</v>
      </c>
      <c r="J4564" s="123" t="s">
        <v>16436</v>
      </c>
      <c r="K4564" s="123" t="s">
        <v>16434</v>
      </c>
      <c r="L4564" s="131" t="s">
        <v>100</v>
      </c>
      <c r="M4564" s="135" t="s">
        <v>845</v>
      </c>
      <c r="N4564" s="123" t="s">
        <v>845</v>
      </c>
    </row>
    <row r="4565" spans="2:14" hidden="1" x14ac:dyDescent="0.25">
      <c r="B4565" s="120">
        <v>4562</v>
      </c>
      <c r="C4565" s="123">
        <v>10444599702</v>
      </c>
      <c r="D4565" s="126" t="s">
        <v>16437</v>
      </c>
      <c r="E4565" s="126" t="s">
        <v>16438</v>
      </c>
      <c r="F4565" s="123" t="s">
        <v>30</v>
      </c>
      <c r="G4565" s="123" t="s">
        <v>30</v>
      </c>
      <c r="H4565" s="123" t="s">
        <v>41</v>
      </c>
      <c r="I4565" s="126" t="s">
        <v>1931</v>
      </c>
      <c r="J4565" s="123" t="s">
        <v>16439</v>
      </c>
      <c r="K4565" s="123" t="s">
        <v>16437</v>
      </c>
      <c r="L4565" s="131" t="s">
        <v>100</v>
      </c>
      <c r="M4565" s="135" t="s">
        <v>845</v>
      </c>
      <c r="N4565" s="123" t="s">
        <v>845</v>
      </c>
    </row>
    <row r="4566" spans="2:14" hidden="1" x14ac:dyDescent="0.25">
      <c r="B4566" s="120">
        <v>4563</v>
      </c>
      <c r="C4566" s="123">
        <v>10483640302</v>
      </c>
      <c r="D4566" s="126" t="s">
        <v>16440</v>
      </c>
      <c r="E4566" s="126" t="s">
        <v>16441</v>
      </c>
      <c r="F4566" s="123" t="s">
        <v>30</v>
      </c>
      <c r="G4566" s="123" t="s">
        <v>170</v>
      </c>
      <c r="H4566" s="123" t="s">
        <v>176</v>
      </c>
      <c r="I4566" s="126" t="s">
        <v>1655</v>
      </c>
      <c r="J4566" s="123" t="s">
        <v>16442</v>
      </c>
      <c r="K4566" s="123" t="s">
        <v>16440</v>
      </c>
      <c r="L4566" s="131" t="s">
        <v>100</v>
      </c>
      <c r="M4566" s="135" t="s">
        <v>845</v>
      </c>
      <c r="N4566" s="123" t="s">
        <v>845</v>
      </c>
    </row>
    <row r="4567" spans="2:14" hidden="1" x14ac:dyDescent="0.25">
      <c r="B4567" s="120">
        <v>4564</v>
      </c>
      <c r="C4567" s="123">
        <v>10427732415</v>
      </c>
      <c r="D4567" s="126" t="s">
        <v>16443</v>
      </c>
      <c r="E4567" s="126" t="s">
        <v>16444</v>
      </c>
      <c r="F4567" s="123" t="s">
        <v>30</v>
      </c>
      <c r="G4567" s="123" t="s">
        <v>30</v>
      </c>
      <c r="H4567" s="123" t="s">
        <v>51</v>
      </c>
      <c r="I4567" s="126" t="s">
        <v>1701</v>
      </c>
      <c r="J4567" s="123" t="s">
        <v>16445</v>
      </c>
      <c r="K4567" s="123" t="s">
        <v>16443</v>
      </c>
      <c r="L4567" s="131" t="s">
        <v>100</v>
      </c>
      <c r="M4567" s="135" t="s">
        <v>845</v>
      </c>
      <c r="N4567" s="123" t="s">
        <v>845</v>
      </c>
    </row>
    <row r="4568" spans="2:14" hidden="1" x14ac:dyDescent="0.25">
      <c r="B4568" s="120">
        <v>4565</v>
      </c>
      <c r="C4568" s="123">
        <v>10153797329</v>
      </c>
      <c r="D4568" s="126" t="s">
        <v>16446</v>
      </c>
      <c r="E4568" s="126" t="s">
        <v>16447</v>
      </c>
      <c r="F4568" s="123" t="s">
        <v>30</v>
      </c>
      <c r="G4568" s="123" t="s">
        <v>31</v>
      </c>
      <c r="H4568" s="123" t="s">
        <v>139</v>
      </c>
      <c r="I4568" s="126" t="s">
        <v>10025</v>
      </c>
      <c r="J4568" s="123" t="s">
        <v>16448</v>
      </c>
      <c r="K4568" s="123" t="s">
        <v>16446</v>
      </c>
      <c r="L4568" s="131" t="s">
        <v>100</v>
      </c>
      <c r="M4568" s="135" t="s">
        <v>845</v>
      </c>
      <c r="N4568" s="123" t="s">
        <v>845</v>
      </c>
    </row>
    <row r="4569" spans="2:14" hidden="1" x14ac:dyDescent="0.25">
      <c r="B4569" s="120">
        <v>4566</v>
      </c>
      <c r="C4569" s="123">
        <v>10423475019</v>
      </c>
      <c r="D4569" s="126" t="s">
        <v>16449</v>
      </c>
      <c r="E4569" s="126" t="s">
        <v>16450</v>
      </c>
      <c r="F4569" s="123" t="s">
        <v>30</v>
      </c>
      <c r="G4569" s="123" t="s">
        <v>30</v>
      </c>
      <c r="H4569" s="123" t="s">
        <v>50</v>
      </c>
      <c r="I4569" s="126" t="s">
        <v>11346</v>
      </c>
      <c r="J4569" s="123" t="s">
        <v>16451</v>
      </c>
      <c r="K4569" s="123" t="s">
        <v>16452</v>
      </c>
      <c r="L4569" s="131" t="s">
        <v>100</v>
      </c>
      <c r="M4569" s="135" t="s">
        <v>845</v>
      </c>
      <c r="N4569" s="123" t="s">
        <v>845</v>
      </c>
    </row>
    <row r="4570" spans="2:14" hidden="1" x14ac:dyDescent="0.25">
      <c r="B4570" s="120">
        <v>4567</v>
      </c>
      <c r="C4570" s="123">
        <v>10107422965</v>
      </c>
      <c r="D4570" s="126" t="s">
        <v>16453</v>
      </c>
      <c r="E4570" s="126" t="s">
        <v>16454</v>
      </c>
      <c r="F4570" s="123" t="s">
        <v>30</v>
      </c>
      <c r="G4570" s="123" t="s">
        <v>30</v>
      </c>
      <c r="H4570" s="123" t="s">
        <v>50</v>
      </c>
      <c r="I4570" s="126" t="s">
        <v>8743</v>
      </c>
      <c r="J4570" s="123" t="s">
        <v>16455</v>
      </c>
      <c r="K4570" s="123" t="s">
        <v>16453</v>
      </c>
      <c r="L4570" s="131" t="s">
        <v>100</v>
      </c>
      <c r="M4570" s="135" t="s">
        <v>845</v>
      </c>
      <c r="N4570" s="123" t="s">
        <v>845</v>
      </c>
    </row>
    <row r="4571" spans="2:14" hidden="1" x14ac:dyDescent="0.25">
      <c r="B4571" s="120">
        <v>4568</v>
      </c>
      <c r="C4571" s="123">
        <v>10428332241</v>
      </c>
      <c r="D4571" s="126" t="s">
        <v>16456</v>
      </c>
      <c r="E4571" s="126" t="s">
        <v>16457</v>
      </c>
      <c r="F4571" s="123" t="s">
        <v>30</v>
      </c>
      <c r="G4571" s="123" t="s">
        <v>30</v>
      </c>
      <c r="H4571" s="123" t="s">
        <v>45</v>
      </c>
      <c r="I4571" s="126" t="s">
        <v>1931</v>
      </c>
      <c r="J4571" s="123" t="s">
        <v>16458</v>
      </c>
      <c r="K4571" s="123" t="s">
        <v>16456</v>
      </c>
      <c r="L4571" s="131" t="s">
        <v>100</v>
      </c>
      <c r="M4571" s="135" t="s">
        <v>845</v>
      </c>
      <c r="N4571" s="123" t="s">
        <v>845</v>
      </c>
    </row>
    <row r="4572" spans="2:14" hidden="1" x14ac:dyDescent="0.25">
      <c r="B4572" s="120">
        <v>4569</v>
      </c>
      <c r="C4572" s="123">
        <v>10443405769</v>
      </c>
      <c r="D4572" s="126" t="s">
        <v>16459</v>
      </c>
      <c r="E4572" s="126" t="s">
        <v>16460</v>
      </c>
      <c r="F4572" s="123" t="s">
        <v>30</v>
      </c>
      <c r="G4572" s="123" t="s">
        <v>30</v>
      </c>
      <c r="H4572" s="123" t="s">
        <v>80</v>
      </c>
      <c r="I4572" s="126" t="s">
        <v>1424</v>
      </c>
      <c r="J4572" s="123" t="s">
        <v>16461</v>
      </c>
      <c r="K4572" s="123" t="s">
        <v>16459</v>
      </c>
      <c r="L4572" s="131" t="s">
        <v>100</v>
      </c>
      <c r="M4572" s="135" t="s">
        <v>845</v>
      </c>
      <c r="N4572" s="123" t="s">
        <v>845</v>
      </c>
    </row>
    <row r="4573" spans="2:14" hidden="1" x14ac:dyDescent="0.25">
      <c r="B4573" s="120">
        <v>4570</v>
      </c>
      <c r="C4573" s="123">
        <v>10156201559</v>
      </c>
      <c r="D4573" s="126" t="s">
        <v>16462</v>
      </c>
      <c r="E4573" s="126" t="s">
        <v>16463</v>
      </c>
      <c r="F4573" s="123" t="s">
        <v>30</v>
      </c>
      <c r="G4573" s="123" t="s">
        <v>168</v>
      </c>
      <c r="H4573" s="123" t="s">
        <v>168</v>
      </c>
      <c r="I4573" s="126" t="s">
        <v>1564</v>
      </c>
      <c r="J4573" s="123" t="s">
        <v>16464</v>
      </c>
      <c r="K4573" s="123" t="s">
        <v>16462</v>
      </c>
      <c r="L4573" s="131" t="s">
        <v>100</v>
      </c>
      <c r="M4573" s="135" t="s">
        <v>845</v>
      </c>
      <c r="N4573" s="123" t="s">
        <v>845</v>
      </c>
    </row>
    <row r="4574" spans="2:14" hidden="1" x14ac:dyDescent="0.25">
      <c r="B4574" s="120">
        <v>4571</v>
      </c>
      <c r="C4574" s="123">
        <v>10472727732</v>
      </c>
      <c r="D4574" s="126" t="s">
        <v>16465</v>
      </c>
      <c r="E4574" s="126" t="s">
        <v>16466</v>
      </c>
      <c r="F4574" s="123" t="s">
        <v>30</v>
      </c>
      <c r="G4574" s="123" t="s">
        <v>168</v>
      </c>
      <c r="H4574" s="123" t="s">
        <v>180</v>
      </c>
      <c r="I4574" s="126" t="s">
        <v>1701</v>
      </c>
      <c r="J4574" s="123" t="s">
        <v>16467</v>
      </c>
      <c r="K4574" s="123" t="s">
        <v>16465</v>
      </c>
      <c r="L4574" s="131" t="s">
        <v>100</v>
      </c>
      <c r="M4574" s="135" t="s">
        <v>845</v>
      </c>
      <c r="N4574" s="123" t="s">
        <v>845</v>
      </c>
    </row>
    <row r="4575" spans="2:14" hidden="1" x14ac:dyDescent="0.25">
      <c r="B4575" s="120">
        <v>4572</v>
      </c>
      <c r="C4575" s="123">
        <v>10093851159</v>
      </c>
      <c r="D4575" s="126" t="s">
        <v>16468</v>
      </c>
      <c r="E4575" s="126" t="s">
        <v>16469</v>
      </c>
      <c r="F4575" s="123" t="s">
        <v>30</v>
      </c>
      <c r="G4575" s="123" t="s">
        <v>875</v>
      </c>
      <c r="H4575" s="123" t="s">
        <v>875</v>
      </c>
      <c r="I4575" s="126" t="s">
        <v>3919</v>
      </c>
      <c r="J4575" s="123" t="s">
        <v>16470</v>
      </c>
      <c r="K4575" s="123" t="s">
        <v>16468</v>
      </c>
      <c r="L4575" s="131" t="s">
        <v>100</v>
      </c>
      <c r="M4575" s="135" t="s">
        <v>845</v>
      </c>
      <c r="N4575" s="123" t="s">
        <v>845</v>
      </c>
    </row>
    <row r="4576" spans="2:14" hidden="1" x14ac:dyDescent="0.25">
      <c r="B4576" s="120">
        <v>4573</v>
      </c>
      <c r="C4576" s="123">
        <v>10452565108</v>
      </c>
      <c r="D4576" s="126" t="s">
        <v>16471</v>
      </c>
      <c r="E4576" s="126" t="s">
        <v>16472</v>
      </c>
      <c r="F4576" s="123" t="s">
        <v>30</v>
      </c>
      <c r="G4576" s="123" t="s">
        <v>30</v>
      </c>
      <c r="H4576" s="123" t="s">
        <v>75</v>
      </c>
      <c r="I4576" s="126" t="s">
        <v>1737</v>
      </c>
      <c r="J4576" s="123" t="s">
        <v>16473</v>
      </c>
      <c r="K4576" s="123" t="s">
        <v>16471</v>
      </c>
      <c r="L4576" s="131" t="s">
        <v>100</v>
      </c>
      <c r="M4576" s="135" t="s">
        <v>845</v>
      </c>
      <c r="N4576" s="123" t="s">
        <v>845</v>
      </c>
    </row>
    <row r="4577" spans="2:14" hidden="1" x14ac:dyDescent="0.25">
      <c r="B4577" s="120">
        <v>4574</v>
      </c>
      <c r="C4577" s="123">
        <v>10407362026</v>
      </c>
      <c r="D4577" s="126" t="s">
        <v>16474</v>
      </c>
      <c r="E4577" s="126" t="s">
        <v>16475</v>
      </c>
      <c r="F4577" s="123" t="s">
        <v>67</v>
      </c>
      <c r="G4577" s="123" t="s">
        <v>67</v>
      </c>
      <c r="H4577" s="123" t="s">
        <v>67</v>
      </c>
      <c r="I4577" s="126" t="s">
        <v>16476</v>
      </c>
      <c r="J4577" s="123" t="s">
        <v>16477</v>
      </c>
      <c r="K4577" s="123" t="s">
        <v>16478</v>
      </c>
      <c r="L4577" s="131" t="s">
        <v>100</v>
      </c>
      <c r="M4577" s="135" t="s">
        <v>845</v>
      </c>
      <c r="N4577" s="123" t="s">
        <v>845</v>
      </c>
    </row>
    <row r="4578" spans="2:14" hidden="1" x14ac:dyDescent="0.25">
      <c r="B4578" s="120">
        <v>4575</v>
      </c>
      <c r="C4578" s="123">
        <v>10444330908</v>
      </c>
      <c r="D4578" s="126" t="s">
        <v>16479</v>
      </c>
      <c r="E4578" s="126" t="s">
        <v>16480</v>
      </c>
      <c r="F4578" s="123" t="s">
        <v>30</v>
      </c>
      <c r="G4578" s="123" t="s">
        <v>30</v>
      </c>
      <c r="H4578" s="123" t="s">
        <v>72</v>
      </c>
      <c r="I4578" s="126" t="s">
        <v>1701</v>
      </c>
      <c r="J4578" s="123" t="s">
        <v>16481</v>
      </c>
      <c r="K4578" s="123" t="s">
        <v>16479</v>
      </c>
      <c r="L4578" s="131" t="s">
        <v>100</v>
      </c>
      <c r="M4578" s="135" t="s">
        <v>845</v>
      </c>
      <c r="N4578" s="123" t="s">
        <v>845</v>
      </c>
    </row>
    <row r="4579" spans="2:14" hidden="1" x14ac:dyDescent="0.25">
      <c r="B4579" s="120">
        <v>4576</v>
      </c>
      <c r="C4579" s="123">
        <v>10449389111</v>
      </c>
      <c r="D4579" s="126" t="s">
        <v>16482</v>
      </c>
      <c r="E4579" s="126" t="s">
        <v>16483</v>
      </c>
      <c r="F4579" s="123" t="s">
        <v>30</v>
      </c>
      <c r="G4579" s="123" t="s">
        <v>31</v>
      </c>
      <c r="H4579" s="123" t="s">
        <v>32</v>
      </c>
      <c r="I4579" s="126" t="s">
        <v>1936</v>
      </c>
      <c r="J4579" s="123" t="s">
        <v>16484</v>
      </c>
      <c r="K4579" s="123" t="s">
        <v>16482</v>
      </c>
      <c r="L4579" s="131" t="s">
        <v>100</v>
      </c>
      <c r="M4579" s="135" t="s">
        <v>845</v>
      </c>
      <c r="N4579" s="123" t="s">
        <v>845</v>
      </c>
    </row>
    <row r="4580" spans="2:14" hidden="1" x14ac:dyDescent="0.25">
      <c r="B4580" s="120">
        <v>4577</v>
      </c>
      <c r="C4580" s="123">
        <v>10093999849</v>
      </c>
      <c r="D4580" s="126" t="s">
        <v>16485</v>
      </c>
      <c r="E4580" s="126" t="s">
        <v>16486</v>
      </c>
      <c r="F4580" s="123" t="s">
        <v>30</v>
      </c>
      <c r="G4580" s="123" t="s">
        <v>170</v>
      </c>
      <c r="H4580" s="123" t="s">
        <v>171</v>
      </c>
      <c r="I4580" s="126" t="s">
        <v>1499</v>
      </c>
      <c r="J4580" s="123" t="s">
        <v>16487</v>
      </c>
      <c r="K4580" s="123" t="s">
        <v>16488</v>
      </c>
      <c r="L4580" s="131" t="s">
        <v>100</v>
      </c>
      <c r="M4580" s="135" t="s">
        <v>845</v>
      </c>
      <c r="N4580" s="123" t="s">
        <v>845</v>
      </c>
    </row>
    <row r="4581" spans="2:14" hidden="1" x14ac:dyDescent="0.25">
      <c r="B4581" s="120">
        <v>4578</v>
      </c>
      <c r="C4581" s="123">
        <v>10460279939</v>
      </c>
      <c r="D4581" s="126" t="s">
        <v>16489</v>
      </c>
      <c r="E4581" s="126" t="s">
        <v>16490</v>
      </c>
      <c r="F4581" s="123" t="s">
        <v>30</v>
      </c>
      <c r="G4581" s="123" t="s">
        <v>30</v>
      </c>
      <c r="H4581" s="123" t="s">
        <v>110</v>
      </c>
      <c r="I4581" s="126" t="s">
        <v>1564</v>
      </c>
      <c r="J4581" s="123" t="s">
        <v>16491</v>
      </c>
      <c r="K4581" s="123" t="s">
        <v>16489</v>
      </c>
      <c r="L4581" s="131" t="s">
        <v>100</v>
      </c>
      <c r="M4581" s="135" t="s">
        <v>845</v>
      </c>
      <c r="N4581" s="123" t="s">
        <v>845</v>
      </c>
    </row>
    <row r="4582" spans="2:14" hidden="1" x14ac:dyDescent="0.25">
      <c r="B4582" s="120">
        <v>4579</v>
      </c>
      <c r="C4582" s="123">
        <v>10455194330</v>
      </c>
      <c r="D4582" s="126" t="s">
        <v>16492</v>
      </c>
      <c r="E4582" s="126" t="s">
        <v>16493</v>
      </c>
      <c r="F4582" s="123" t="s">
        <v>30</v>
      </c>
      <c r="G4582" s="123" t="s">
        <v>31</v>
      </c>
      <c r="H4582" s="123" t="s">
        <v>9381</v>
      </c>
      <c r="I4582" s="126" t="s">
        <v>1387</v>
      </c>
      <c r="J4582" s="123" t="s">
        <v>16494</v>
      </c>
      <c r="K4582" s="123" t="s">
        <v>16492</v>
      </c>
      <c r="L4582" s="131" t="s">
        <v>100</v>
      </c>
      <c r="M4582" s="135" t="s">
        <v>845</v>
      </c>
      <c r="N4582" s="123" t="s">
        <v>845</v>
      </c>
    </row>
    <row r="4583" spans="2:14" hidden="1" x14ac:dyDescent="0.25">
      <c r="B4583" s="120">
        <v>4580</v>
      </c>
      <c r="C4583" s="123">
        <v>10466898983</v>
      </c>
      <c r="D4583" s="126" t="s">
        <v>16495</v>
      </c>
      <c r="E4583" s="126" t="s">
        <v>16496</v>
      </c>
      <c r="F4583" s="123" t="s">
        <v>30</v>
      </c>
      <c r="G4583" s="123" t="s">
        <v>30</v>
      </c>
      <c r="H4583" s="123" t="s">
        <v>135</v>
      </c>
      <c r="I4583" s="126" t="s">
        <v>1942</v>
      </c>
      <c r="J4583" s="123" t="s">
        <v>16497</v>
      </c>
      <c r="K4583" s="123" t="s">
        <v>16495</v>
      </c>
      <c r="L4583" s="131" t="s">
        <v>100</v>
      </c>
      <c r="M4583" s="135" t="s">
        <v>845</v>
      </c>
      <c r="N4583" s="123" t="s">
        <v>845</v>
      </c>
    </row>
    <row r="4584" spans="2:14" hidden="1" x14ac:dyDescent="0.25">
      <c r="B4584" s="120">
        <v>4581</v>
      </c>
      <c r="C4584" s="123">
        <v>10735692122</v>
      </c>
      <c r="D4584" s="126" t="s">
        <v>16498</v>
      </c>
      <c r="E4584" s="126" t="s">
        <v>16499</v>
      </c>
      <c r="F4584" s="123" t="s">
        <v>67</v>
      </c>
      <c r="G4584" s="123" t="s">
        <v>67</v>
      </c>
      <c r="H4584" s="123" t="s">
        <v>94</v>
      </c>
      <c r="I4584" s="126" t="s">
        <v>11346</v>
      </c>
      <c r="J4584" s="123" t="s">
        <v>16500</v>
      </c>
      <c r="K4584" s="123" t="s">
        <v>16501</v>
      </c>
      <c r="L4584" s="131" t="s">
        <v>100</v>
      </c>
      <c r="M4584" s="135" t="s">
        <v>845</v>
      </c>
      <c r="N4584" s="123" t="s">
        <v>845</v>
      </c>
    </row>
    <row r="4585" spans="2:14" hidden="1" x14ac:dyDescent="0.25">
      <c r="B4585" s="120">
        <v>4582</v>
      </c>
      <c r="C4585" s="123">
        <v>10424580291</v>
      </c>
      <c r="D4585" s="126" t="s">
        <v>16502</v>
      </c>
      <c r="E4585" s="126" t="s">
        <v>16503</v>
      </c>
      <c r="F4585" s="123" t="s">
        <v>30</v>
      </c>
      <c r="G4585" s="123" t="s">
        <v>30</v>
      </c>
      <c r="H4585" s="123" t="s">
        <v>85</v>
      </c>
      <c r="I4585" s="126" t="s">
        <v>16504</v>
      </c>
      <c r="J4585" s="123" t="s">
        <v>16505</v>
      </c>
      <c r="K4585" s="123" t="s">
        <v>16506</v>
      </c>
      <c r="L4585" s="131" t="s">
        <v>100</v>
      </c>
      <c r="M4585" s="135" t="s">
        <v>845</v>
      </c>
      <c r="N4585" s="123" t="s">
        <v>845</v>
      </c>
    </row>
    <row r="4586" spans="2:14" hidden="1" x14ac:dyDescent="0.25">
      <c r="B4586" s="120">
        <v>4583</v>
      </c>
      <c r="C4586" s="123">
        <v>10701150096</v>
      </c>
      <c r="D4586" s="126" t="s">
        <v>16507</v>
      </c>
      <c r="E4586" s="126" t="s">
        <v>16508</v>
      </c>
      <c r="F4586" s="123" t="s">
        <v>30</v>
      </c>
      <c r="G4586" s="123" t="s">
        <v>30</v>
      </c>
      <c r="H4586" s="123" t="s">
        <v>79</v>
      </c>
      <c r="I4586" s="126" t="s">
        <v>8897</v>
      </c>
      <c r="J4586" s="123" t="s">
        <v>16509</v>
      </c>
      <c r="K4586" s="123" t="s">
        <v>16507</v>
      </c>
      <c r="L4586" s="131" t="s">
        <v>100</v>
      </c>
      <c r="M4586" s="135" t="s">
        <v>845</v>
      </c>
      <c r="N4586" s="123" t="s">
        <v>845</v>
      </c>
    </row>
    <row r="4587" spans="2:14" hidden="1" x14ac:dyDescent="0.25">
      <c r="B4587" s="120">
        <v>4584</v>
      </c>
      <c r="C4587" s="123">
        <v>10104360501</v>
      </c>
      <c r="D4587" s="126" t="s">
        <v>16510</v>
      </c>
      <c r="E4587" s="126" t="s">
        <v>16511</v>
      </c>
      <c r="F4587" s="123" t="s">
        <v>30</v>
      </c>
      <c r="G4587" s="123" t="s">
        <v>30</v>
      </c>
      <c r="H4587" s="123" t="s">
        <v>110</v>
      </c>
      <c r="I4587" s="126" t="s">
        <v>1424</v>
      </c>
      <c r="J4587" s="123" t="s">
        <v>16512</v>
      </c>
      <c r="K4587" s="123" t="s">
        <v>16513</v>
      </c>
      <c r="L4587" s="131" t="s">
        <v>100</v>
      </c>
      <c r="M4587" s="135" t="s">
        <v>845</v>
      </c>
      <c r="N4587" s="123" t="s">
        <v>845</v>
      </c>
    </row>
    <row r="4588" spans="2:14" hidden="1" x14ac:dyDescent="0.25">
      <c r="B4588" s="120">
        <v>4585</v>
      </c>
      <c r="C4588" s="123">
        <v>10408880381</v>
      </c>
      <c r="D4588" s="126" t="s">
        <v>16514</v>
      </c>
      <c r="E4588" s="126" t="s">
        <v>16515</v>
      </c>
      <c r="F4588" s="123" t="s">
        <v>67</v>
      </c>
      <c r="G4588" s="123" t="s">
        <v>67</v>
      </c>
      <c r="H4588" s="123" t="s">
        <v>94</v>
      </c>
      <c r="I4588" s="126" t="s">
        <v>1930</v>
      </c>
      <c r="J4588" s="123" t="s">
        <v>16516</v>
      </c>
      <c r="K4588" s="123" t="s">
        <v>16517</v>
      </c>
      <c r="L4588" s="131" t="s">
        <v>100</v>
      </c>
      <c r="M4588" s="135" t="s">
        <v>845</v>
      </c>
      <c r="N4588" s="123" t="s">
        <v>845</v>
      </c>
    </row>
    <row r="4589" spans="2:14" hidden="1" x14ac:dyDescent="0.25">
      <c r="B4589" s="120">
        <v>4586</v>
      </c>
      <c r="C4589" s="123">
        <v>10416280989</v>
      </c>
      <c r="D4589" s="126" t="s">
        <v>16518</v>
      </c>
      <c r="E4589" s="126" t="s">
        <v>16519</v>
      </c>
      <c r="F4589" s="123" t="s">
        <v>30</v>
      </c>
      <c r="G4589" s="123" t="s">
        <v>30</v>
      </c>
      <c r="H4589" s="123" t="s">
        <v>43</v>
      </c>
      <c r="I4589" s="126" t="s">
        <v>10025</v>
      </c>
      <c r="J4589" s="123" t="s">
        <v>16520</v>
      </c>
      <c r="K4589" s="123" t="s">
        <v>16518</v>
      </c>
      <c r="L4589" s="131" t="s">
        <v>100</v>
      </c>
      <c r="M4589" s="135" t="s">
        <v>845</v>
      </c>
      <c r="N4589" s="123" t="s">
        <v>845</v>
      </c>
    </row>
    <row r="4590" spans="2:14" hidden="1" x14ac:dyDescent="0.25">
      <c r="B4590" s="120">
        <v>4587</v>
      </c>
      <c r="C4590" s="123">
        <v>10455261312</v>
      </c>
      <c r="D4590" s="126" t="s">
        <v>16521</v>
      </c>
      <c r="E4590" s="126" t="s">
        <v>16522</v>
      </c>
      <c r="F4590" s="123" t="s">
        <v>30</v>
      </c>
      <c r="G4590" s="123" t="s">
        <v>30</v>
      </c>
      <c r="H4590" s="123" t="s">
        <v>60</v>
      </c>
      <c r="I4590" s="126" t="s">
        <v>9970</v>
      </c>
      <c r="J4590" s="123" t="s">
        <v>16523</v>
      </c>
      <c r="K4590" s="123" t="s">
        <v>16524</v>
      </c>
      <c r="L4590" s="131" t="s">
        <v>100</v>
      </c>
      <c r="M4590" s="135" t="s">
        <v>845</v>
      </c>
      <c r="N4590" s="123" t="s">
        <v>845</v>
      </c>
    </row>
    <row r="4591" spans="2:14" hidden="1" x14ac:dyDescent="0.25">
      <c r="B4591" s="120">
        <v>4588</v>
      </c>
      <c r="C4591" s="123">
        <v>10423669000</v>
      </c>
      <c r="D4591" s="126" t="s">
        <v>16525</v>
      </c>
      <c r="E4591" s="126" t="s">
        <v>16526</v>
      </c>
      <c r="F4591" s="123" t="s">
        <v>30</v>
      </c>
      <c r="G4591" s="123" t="s">
        <v>48</v>
      </c>
      <c r="H4591" s="123" t="s">
        <v>155</v>
      </c>
      <c r="I4591" s="126" t="s">
        <v>1484</v>
      </c>
      <c r="J4591" s="123" t="s">
        <v>16527</v>
      </c>
      <c r="K4591" s="123" t="s">
        <v>16525</v>
      </c>
      <c r="L4591" s="131" t="s">
        <v>100</v>
      </c>
      <c r="M4591" s="135" t="s">
        <v>845</v>
      </c>
      <c r="N4591" s="123" t="s">
        <v>845</v>
      </c>
    </row>
    <row r="4592" spans="2:14" hidden="1" x14ac:dyDescent="0.25">
      <c r="B4592" s="120">
        <v>4589</v>
      </c>
      <c r="C4592" s="123">
        <v>10174288092</v>
      </c>
      <c r="D4592" s="126" t="s">
        <v>16528</v>
      </c>
      <c r="E4592" s="126" t="s">
        <v>16529</v>
      </c>
      <c r="F4592" s="123" t="s">
        <v>269</v>
      </c>
      <c r="G4592" s="123" t="s">
        <v>16530</v>
      </c>
      <c r="H4592" s="123" t="s">
        <v>16531</v>
      </c>
      <c r="I4592" s="126" t="s">
        <v>8743</v>
      </c>
      <c r="J4592" s="123" t="s">
        <v>16532</v>
      </c>
      <c r="K4592" s="123" t="s">
        <v>16533</v>
      </c>
      <c r="L4592" s="131" t="s">
        <v>100</v>
      </c>
      <c r="M4592" s="135" t="s">
        <v>845</v>
      </c>
      <c r="N4592" s="123" t="s">
        <v>845</v>
      </c>
    </row>
    <row r="4593" spans="2:14" hidden="1" x14ac:dyDescent="0.25">
      <c r="B4593" s="120">
        <v>4590</v>
      </c>
      <c r="C4593" s="123">
        <v>10475314838</v>
      </c>
      <c r="D4593" s="126" t="s">
        <v>16534</v>
      </c>
      <c r="E4593" s="126" t="s">
        <v>16535</v>
      </c>
      <c r="F4593" s="123" t="s">
        <v>30</v>
      </c>
      <c r="G4593" s="123" t="s">
        <v>30</v>
      </c>
      <c r="H4593" s="123" t="s">
        <v>72</v>
      </c>
      <c r="I4593" s="126" t="s">
        <v>1564</v>
      </c>
      <c r="J4593" s="123" t="s">
        <v>16536</v>
      </c>
      <c r="K4593" s="123" t="s">
        <v>16537</v>
      </c>
      <c r="L4593" s="131" t="s">
        <v>100</v>
      </c>
      <c r="M4593" s="135" t="s">
        <v>845</v>
      </c>
      <c r="N4593" s="123" t="s">
        <v>845</v>
      </c>
    </row>
    <row r="4594" spans="2:14" hidden="1" x14ac:dyDescent="0.25">
      <c r="B4594" s="120">
        <v>4591</v>
      </c>
      <c r="C4594" s="123">
        <v>10423635237</v>
      </c>
      <c r="D4594" s="126" t="s">
        <v>16538</v>
      </c>
      <c r="E4594" s="126" t="s">
        <v>16539</v>
      </c>
      <c r="F4594" s="123" t="s">
        <v>30</v>
      </c>
      <c r="G4594" s="123" t="s">
        <v>30</v>
      </c>
      <c r="H4594" s="123" t="s">
        <v>58</v>
      </c>
      <c r="I4594" s="126" t="s">
        <v>1701</v>
      </c>
      <c r="J4594" s="123" t="s">
        <v>16540</v>
      </c>
      <c r="K4594" s="123" t="s">
        <v>16538</v>
      </c>
      <c r="L4594" s="131" t="s">
        <v>100</v>
      </c>
      <c r="M4594" s="135" t="s">
        <v>845</v>
      </c>
      <c r="N4594" s="123" t="s">
        <v>845</v>
      </c>
    </row>
    <row r="4595" spans="2:14" hidden="1" x14ac:dyDescent="0.25">
      <c r="B4595" s="120">
        <v>4592</v>
      </c>
      <c r="C4595" s="123">
        <v>10465999981</v>
      </c>
      <c r="D4595" s="126" t="s">
        <v>16541</v>
      </c>
      <c r="E4595" s="126" t="s">
        <v>16542</v>
      </c>
      <c r="F4595" s="123" t="s">
        <v>30</v>
      </c>
      <c r="G4595" s="123" t="s">
        <v>31</v>
      </c>
      <c r="H4595" s="123" t="s">
        <v>139</v>
      </c>
      <c r="I4595" s="126" t="s">
        <v>1701</v>
      </c>
      <c r="J4595" s="123" t="s">
        <v>16543</v>
      </c>
      <c r="K4595" s="123" t="s">
        <v>16541</v>
      </c>
      <c r="L4595" s="131" t="s">
        <v>100</v>
      </c>
      <c r="M4595" s="135" t="s">
        <v>845</v>
      </c>
      <c r="N4595" s="123" t="s">
        <v>845</v>
      </c>
    </row>
    <row r="4596" spans="2:14" hidden="1" x14ac:dyDescent="0.25">
      <c r="B4596" s="120">
        <v>4593</v>
      </c>
      <c r="C4596" s="123">
        <v>10755075189</v>
      </c>
      <c r="D4596" s="126" t="s">
        <v>16544</v>
      </c>
      <c r="E4596" s="126" t="s">
        <v>16545</v>
      </c>
      <c r="F4596" s="123" t="s">
        <v>67</v>
      </c>
      <c r="G4596" s="123" t="s">
        <v>67</v>
      </c>
      <c r="H4596" s="123" t="s">
        <v>94</v>
      </c>
      <c r="I4596" s="126" t="s">
        <v>1967</v>
      </c>
      <c r="J4596" s="123" t="s">
        <v>16546</v>
      </c>
      <c r="K4596" s="123" t="s">
        <v>16544</v>
      </c>
      <c r="L4596" s="131" t="s">
        <v>100</v>
      </c>
      <c r="M4596" s="135" t="s">
        <v>845</v>
      </c>
      <c r="N4596" s="123" t="s">
        <v>845</v>
      </c>
    </row>
    <row r="4597" spans="2:14" hidden="1" x14ac:dyDescent="0.25">
      <c r="B4597" s="120">
        <v>4594</v>
      </c>
      <c r="C4597" s="123">
        <v>10092324724</v>
      </c>
      <c r="D4597" s="126" t="s">
        <v>16547</v>
      </c>
      <c r="E4597" s="126" t="s">
        <v>16548</v>
      </c>
      <c r="F4597" s="123" t="s">
        <v>30</v>
      </c>
      <c r="G4597" s="123" t="s">
        <v>30</v>
      </c>
      <c r="H4597" s="123" t="s">
        <v>79</v>
      </c>
      <c r="I4597" s="126" t="s">
        <v>1701</v>
      </c>
      <c r="J4597" s="123" t="s">
        <v>16549</v>
      </c>
      <c r="K4597" s="123" t="s">
        <v>16547</v>
      </c>
      <c r="L4597" s="131" t="s">
        <v>100</v>
      </c>
      <c r="M4597" s="135" t="s">
        <v>845</v>
      </c>
      <c r="N4597" s="123" t="s">
        <v>845</v>
      </c>
    </row>
    <row r="4598" spans="2:14" hidden="1" x14ac:dyDescent="0.25">
      <c r="B4598" s="120">
        <v>4595</v>
      </c>
      <c r="C4598" s="123">
        <v>10073835114</v>
      </c>
      <c r="D4598" s="126" t="s">
        <v>16550</v>
      </c>
      <c r="E4598" s="126" t="s">
        <v>16551</v>
      </c>
      <c r="F4598" s="123" t="s">
        <v>30</v>
      </c>
      <c r="G4598" s="123" t="s">
        <v>30</v>
      </c>
      <c r="H4598" s="123" t="s">
        <v>41</v>
      </c>
      <c r="I4598" s="126" t="s">
        <v>1499</v>
      </c>
      <c r="J4598" s="123" t="s">
        <v>16552</v>
      </c>
      <c r="K4598" s="123" t="s">
        <v>16550</v>
      </c>
      <c r="L4598" s="131" t="s">
        <v>100</v>
      </c>
      <c r="M4598" s="135" t="s">
        <v>845</v>
      </c>
      <c r="N4598" s="123" t="s">
        <v>845</v>
      </c>
    </row>
    <row r="4599" spans="2:14" hidden="1" x14ac:dyDescent="0.25">
      <c r="B4599" s="120">
        <v>4596</v>
      </c>
      <c r="C4599" s="123">
        <v>10157289042</v>
      </c>
      <c r="D4599" s="126" t="s">
        <v>16553</v>
      </c>
      <c r="E4599" s="126" t="s">
        <v>16554</v>
      </c>
      <c r="F4599" s="123" t="s">
        <v>67</v>
      </c>
      <c r="G4599" s="123" t="s">
        <v>67</v>
      </c>
      <c r="H4599" s="123" t="s">
        <v>94</v>
      </c>
      <c r="I4599" s="126" t="s">
        <v>16555</v>
      </c>
      <c r="J4599" s="123" t="s">
        <v>16556</v>
      </c>
      <c r="K4599" s="123" t="s">
        <v>16557</v>
      </c>
      <c r="L4599" s="131" t="s">
        <v>100</v>
      </c>
      <c r="M4599" s="135" t="s">
        <v>845</v>
      </c>
      <c r="N4599" s="123" t="s">
        <v>845</v>
      </c>
    </row>
    <row r="4600" spans="2:14" hidden="1" x14ac:dyDescent="0.25">
      <c r="B4600" s="120">
        <v>4597</v>
      </c>
      <c r="C4600" s="123">
        <v>10429935178</v>
      </c>
      <c r="D4600" s="126" t="s">
        <v>16558</v>
      </c>
      <c r="E4600" s="126" t="s">
        <v>16559</v>
      </c>
      <c r="F4600" s="123" t="s">
        <v>30</v>
      </c>
      <c r="G4600" s="123" t="s">
        <v>30</v>
      </c>
      <c r="H4600" s="123" t="s">
        <v>75</v>
      </c>
      <c r="I4600" s="126" t="s">
        <v>1962</v>
      </c>
      <c r="J4600" s="123" t="s">
        <v>16560</v>
      </c>
      <c r="K4600" s="123" t="s">
        <v>16558</v>
      </c>
      <c r="L4600" s="131" t="s">
        <v>100</v>
      </c>
      <c r="M4600" s="135" t="s">
        <v>845</v>
      </c>
      <c r="N4600" s="123" t="s">
        <v>845</v>
      </c>
    </row>
    <row r="4601" spans="2:14" hidden="1" x14ac:dyDescent="0.25">
      <c r="B4601" s="120">
        <v>4598</v>
      </c>
      <c r="C4601" s="123">
        <v>10432848570</v>
      </c>
      <c r="D4601" s="126" t="s">
        <v>16561</v>
      </c>
      <c r="E4601" s="126" t="s">
        <v>16562</v>
      </c>
      <c r="F4601" s="123" t="s">
        <v>30</v>
      </c>
      <c r="G4601" s="123" t="s">
        <v>30</v>
      </c>
      <c r="H4601" s="123" t="s">
        <v>50</v>
      </c>
      <c r="I4601" s="126" t="s">
        <v>1950</v>
      </c>
      <c r="J4601" s="123" t="s">
        <v>16563</v>
      </c>
      <c r="K4601" s="123" t="s">
        <v>16561</v>
      </c>
      <c r="L4601" s="131" t="s">
        <v>100</v>
      </c>
      <c r="M4601" s="135" t="s">
        <v>845</v>
      </c>
      <c r="N4601" s="123" t="s">
        <v>845</v>
      </c>
    </row>
    <row r="4602" spans="2:14" hidden="1" x14ac:dyDescent="0.25">
      <c r="B4602" s="120">
        <v>4599</v>
      </c>
      <c r="C4602" s="123">
        <v>10425145521</v>
      </c>
      <c r="D4602" s="126" t="s">
        <v>16564</v>
      </c>
      <c r="E4602" s="126" t="s">
        <v>16565</v>
      </c>
      <c r="F4602" s="123" t="s">
        <v>30</v>
      </c>
      <c r="G4602" s="123" t="s">
        <v>170</v>
      </c>
      <c r="H4602" s="123" t="s">
        <v>171</v>
      </c>
      <c r="I4602" s="126" t="s">
        <v>1935</v>
      </c>
      <c r="J4602" s="123" t="s">
        <v>16566</v>
      </c>
      <c r="K4602" s="123" t="s">
        <v>16564</v>
      </c>
      <c r="L4602" s="131" t="s">
        <v>100</v>
      </c>
      <c r="M4602" s="135" t="s">
        <v>845</v>
      </c>
      <c r="N4602" s="123" t="s">
        <v>845</v>
      </c>
    </row>
    <row r="4603" spans="2:14" hidden="1" x14ac:dyDescent="0.25">
      <c r="B4603" s="120">
        <v>4600</v>
      </c>
      <c r="C4603" s="123">
        <v>10465259286</v>
      </c>
      <c r="D4603" s="126" t="s">
        <v>16567</v>
      </c>
      <c r="E4603" s="126" t="s">
        <v>16568</v>
      </c>
      <c r="F4603" s="123" t="s">
        <v>30</v>
      </c>
      <c r="G4603" s="123" t="s">
        <v>30</v>
      </c>
      <c r="H4603" s="123" t="s">
        <v>45</v>
      </c>
      <c r="I4603" s="126" t="s">
        <v>1931</v>
      </c>
      <c r="J4603" s="123" t="s">
        <v>16569</v>
      </c>
      <c r="K4603" s="123" t="s">
        <v>16567</v>
      </c>
      <c r="L4603" s="131" t="s">
        <v>100</v>
      </c>
      <c r="M4603" s="135" t="s">
        <v>845</v>
      </c>
      <c r="N4603" s="123" t="s">
        <v>845</v>
      </c>
    </row>
    <row r="4604" spans="2:14" hidden="1" x14ac:dyDescent="0.25">
      <c r="B4604" s="120">
        <v>4601</v>
      </c>
      <c r="C4604" s="123">
        <v>10432535466</v>
      </c>
      <c r="D4604" s="126" t="s">
        <v>16570</v>
      </c>
      <c r="E4604" s="126" t="s">
        <v>16571</v>
      </c>
      <c r="F4604" s="123" t="s">
        <v>30</v>
      </c>
      <c r="G4604" s="123" t="s">
        <v>30</v>
      </c>
      <c r="H4604" s="123" t="s">
        <v>88</v>
      </c>
      <c r="I4604" s="126" t="s">
        <v>1701</v>
      </c>
      <c r="J4604" s="123" t="s">
        <v>16572</v>
      </c>
      <c r="K4604" s="123" t="s">
        <v>16570</v>
      </c>
      <c r="L4604" s="131" t="s">
        <v>100</v>
      </c>
      <c r="M4604" s="135" t="s">
        <v>845</v>
      </c>
      <c r="N4604" s="123" t="s">
        <v>845</v>
      </c>
    </row>
    <row r="4605" spans="2:14" hidden="1" x14ac:dyDescent="0.25">
      <c r="B4605" s="120">
        <v>4602</v>
      </c>
      <c r="C4605" s="123">
        <v>10100469681</v>
      </c>
      <c r="D4605" s="126" t="s">
        <v>16573</v>
      </c>
      <c r="E4605" s="126" t="s">
        <v>16574</v>
      </c>
      <c r="F4605" s="123" t="s">
        <v>30</v>
      </c>
      <c r="G4605" s="123" t="s">
        <v>30</v>
      </c>
      <c r="H4605" s="123" t="s">
        <v>35</v>
      </c>
      <c r="I4605" s="126" t="s">
        <v>1564</v>
      </c>
      <c r="J4605" s="123" t="s">
        <v>16575</v>
      </c>
      <c r="K4605" s="123" t="s">
        <v>16573</v>
      </c>
      <c r="L4605" s="131" t="s">
        <v>100</v>
      </c>
      <c r="M4605" s="135" t="s">
        <v>845</v>
      </c>
      <c r="N4605" s="123" t="s">
        <v>845</v>
      </c>
    </row>
    <row r="4606" spans="2:14" hidden="1" x14ac:dyDescent="0.25">
      <c r="B4606" s="120">
        <v>4603</v>
      </c>
      <c r="C4606" s="123">
        <v>10095931613</v>
      </c>
      <c r="D4606" s="126" t="s">
        <v>16576</v>
      </c>
      <c r="E4606" s="126" t="s">
        <v>16577</v>
      </c>
      <c r="F4606" s="123" t="s">
        <v>30</v>
      </c>
      <c r="G4606" s="123" t="s">
        <v>30</v>
      </c>
      <c r="H4606" s="123" t="s">
        <v>35</v>
      </c>
      <c r="I4606" s="126" t="s">
        <v>1930</v>
      </c>
      <c r="J4606" s="123" t="s">
        <v>16578</v>
      </c>
      <c r="K4606" s="123" t="s">
        <v>16579</v>
      </c>
      <c r="L4606" s="131" t="s">
        <v>100</v>
      </c>
      <c r="M4606" s="135" t="s">
        <v>845</v>
      </c>
      <c r="N4606" s="123" t="s">
        <v>845</v>
      </c>
    </row>
    <row r="4607" spans="2:14" hidden="1" x14ac:dyDescent="0.25">
      <c r="B4607" s="120">
        <v>4604</v>
      </c>
      <c r="C4607" s="123">
        <v>10085997314</v>
      </c>
      <c r="D4607" s="126" t="s">
        <v>16580</v>
      </c>
      <c r="E4607" s="126" t="s">
        <v>16581</v>
      </c>
      <c r="F4607" s="123" t="s">
        <v>30</v>
      </c>
      <c r="G4607" s="123" t="s">
        <v>170</v>
      </c>
      <c r="H4607" s="123" t="s">
        <v>171</v>
      </c>
      <c r="I4607" s="126" t="s">
        <v>12555</v>
      </c>
      <c r="J4607" s="123" t="s">
        <v>16582</v>
      </c>
      <c r="K4607" s="123" t="s">
        <v>16580</v>
      </c>
      <c r="L4607" s="131" t="s">
        <v>100</v>
      </c>
      <c r="M4607" s="135" t="s">
        <v>845</v>
      </c>
      <c r="N4607" s="123" t="s">
        <v>845</v>
      </c>
    </row>
    <row r="4608" spans="2:14" hidden="1" x14ac:dyDescent="0.25">
      <c r="B4608" s="120">
        <v>4605</v>
      </c>
      <c r="C4608" s="123">
        <v>10415233413</v>
      </c>
      <c r="D4608" s="126" t="s">
        <v>16583</v>
      </c>
      <c r="E4608" s="126" t="s">
        <v>16584</v>
      </c>
      <c r="F4608" s="123" t="s">
        <v>30</v>
      </c>
      <c r="G4608" s="123" t="s">
        <v>30</v>
      </c>
      <c r="H4608" s="123" t="s">
        <v>45</v>
      </c>
      <c r="I4608" s="126" t="s">
        <v>1424</v>
      </c>
      <c r="J4608" s="123" t="s">
        <v>16585</v>
      </c>
      <c r="K4608" s="123" t="s">
        <v>16586</v>
      </c>
      <c r="L4608" s="131" t="s">
        <v>100</v>
      </c>
      <c r="M4608" s="135" t="s">
        <v>845</v>
      </c>
      <c r="N4608" s="123" t="s">
        <v>845</v>
      </c>
    </row>
    <row r="4609" spans="2:14" hidden="1" x14ac:dyDescent="0.25">
      <c r="B4609" s="120">
        <v>4606</v>
      </c>
      <c r="C4609" s="123">
        <v>10329833378</v>
      </c>
      <c r="D4609" s="126" t="s">
        <v>16587</v>
      </c>
      <c r="E4609" s="126" t="s">
        <v>16588</v>
      </c>
      <c r="F4609" s="123" t="s">
        <v>30</v>
      </c>
      <c r="G4609" s="123" t="s">
        <v>54</v>
      </c>
      <c r="H4609" s="123" t="s">
        <v>55</v>
      </c>
      <c r="I4609" s="126" t="s">
        <v>8743</v>
      </c>
      <c r="J4609" s="123" t="s">
        <v>16589</v>
      </c>
      <c r="K4609" s="123" t="s">
        <v>16587</v>
      </c>
      <c r="L4609" s="131" t="s">
        <v>100</v>
      </c>
      <c r="M4609" s="135" t="s">
        <v>845</v>
      </c>
      <c r="N4609" s="123" t="s">
        <v>845</v>
      </c>
    </row>
    <row r="4610" spans="2:14" hidden="1" x14ac:dyDescent="0.25">
      <c r="B4610" s="120">
        <v>4607</v>
      </c>
      <c r="C4610" s="123">
        <v>10433006556</v>
      </c>
      <c r="D4610" s="126" t="s">
        <v>16590</v>
      </c>
      <c r="E4610" s="126" t="s">
        <v>16591</v>
      </c>
      <c r="F4610" s="123" t="s">
        <v>30</v>
      </c>
      <c r="G4610" s="123" t="s">
        <v>170</v>
      </c>
      <c r="H4610" s="123" t="s">
        <v>171</v>
      </c>
      <c r="I4610" s="126" t="s">
        <v>1737</v>
      </c>
      <c r="J4610" s="123" t="s">
        <v>16592</v>
      </c>
      <c r="K4610" s="123" t="s">
        <v>16590</v>
      </c>
      <c r="L4610" s="131" t="s">
        <v>100</v>
      </c>
      <c r="M4610" s="135" t="s">
        <v>845</v>
      </c>
      <c r="N4610" s="123" t="s">
        <v>845</v>
      </c>
    </row>
    <row r="4611" spans="2:14" hidden="1" x14ac:dyDescent="0.25">
      <c r="B4611" s="120">
        <v>4608</v>
      </c>
      <c r="C4611" s="123">
        <v>10627352994</v>
      </c>
      <c r="D4611" s="126" t="s">
        <v>16593</v>
      </c>
      <c r="E4611" s="126" t="s">
        <v>16594</v>
      </c>
      <c r="F4611" s="123" t="s">
        <v>30</v>
      </c>
      <c r="G4611" s="123" t="s">
        <v>30</v>
      </c>
      <c r="H4611" s="123" t="s">
        <v>50</v>
      </c>
      <c r="I4611" s="126" t="s">
        <v>1701</v>
      </c>
      <c r="J4611" s="123" t="s">
        <v>16595</v>
      </c>
      <c r="K4611" s="123" t="s">
        <v>16593</v>
      </c>
      <c r="L4611" s="131" t="s">
        <v>100</v>
      </c>
      <c r="M4611" s="135" t="s">
        <v>845</v>
      </c>
      <c r="N4611" s="123" t="s">
        <v>845</v>
      </c>
    </row>
    <row r="4612" spans="2:14" hidden="1" x14ac:dyDescent="0.25">
      <c r="B4612" s="120">
        <v>4609</v>
      </c>
      <c r="C4612" s="123">
        <v>10701028827</v>
      </c>
      <c r="D4612" s="126" t="s">
        <v>16596</v>
      </c>
      <c r="E4612" s="126" t="s">
        <v>16597</v>
      </c>
      <c r="F4612" s="123" t="s">
        <v>30</v>
      </c>
      <c r="G4612" s="123" t="s">
        <v>30</v>
      </c>
      <c r="H4612" s="123" t="s">
        <v>38</v>
      </c>
      <c r="I4612" s="126" t="s">
        <v>1805</v>
      </c>
      <c r="J4612" s="123" t="s">
        <v>16598</v>
      </c>
      <c r="K4612" s="123" t="s">
        <v>16596</v>
      </c>
      <c r="L4612" s="131" t="s">
        <v>100</v>
      </c>
      <c r="M4612" s="135" t="s">
        <v>845</v>
      </c>
      <c r="N4612" s="123" t="s">
        <v>845</v>
      </c>
    </row>
    <row r="4613" spans="2:14" hidden="1" x14ac:dyDescent="0.25">
      <c r="B4613" s="120">
        <v>4610</v>
      </c>
      <c r="C4613" s="123">
        <v>10451606722</v>
      </c>
      <c r="D4613" s="126" t="s">
        <v>16599</v>
      </c>
      <c r="E4613" s="126" t="s">
        <v>16600</v>
      </c>
      <c r="F4613" s="123" t="s">
        <v>30</v>
      </c>
      <c r="G4613" s="123" t="s">
        <v>30</v>
      </c>
      <c r="H4613" s="123" t="s">
        <v>30</v>
      </c>
      <c r="I4613" s="126" t="s">
        <v>1706</v>
      </c>
      <c r="J4613" s="123" t="s">
        <v>16601</v>
      </c>
      <c r="K4613" s="123" t="s">
        <v>16599</v>
      </c>
      <c r="L4613" s="131" t="s">
        <v>100</v>
      </c>
      <c r="M4613" s="135" t="s">
        <v>845</v>
      </c>
      <c r="N4613" s="123" t="s">
        <v>845</v>
      </c>
    </row>
    <row r="4614" spans="2:14" hidden="1" x14ac:dyDescent="0.25">
      <c r="B4614" s="120">
        <v>4611</v>
      </c>
      <c r="C4614" s="123">
        <v>10413134973</v>
      </c>
      <c r="D4614" s="126" t="s">
        <v>16602</v>
      </c>
      <c r="E4614" s="126" t="s">
        <v>16603</v>
      </c>
      <c r="F4614" s="123" t="s">
        <v>30</v>
      </c>
      <c r="G4614" s="123" t="s">
        <v>30</v>
      </c>
      <c r="H4614" s="123" t="s">
        <v>45</v>
      </c>
      <c r="I4614" s="126" t="s">
        <v>1954</v>
      </c>
      <c r="J4614" s="123" t="s">
        <v>16604</v>
      </c>
      <c r="K4614" s="123" t="s">
        <v>16605</v>
      </c>
      <c r="L4614" s="131" t="s">
        <v>100</v>
      </c>
      <c r="M4614" s="135" t="s">
        <v>845</v>
      </c>
      <c r="N4614" s="123" t="s">
        <v>845</v>
      </c>
    </row>
    <row r="4615" spans="2:14" hidden="1" x14ac:dyDescent="0.25">
      <c r="B4615" s="120">
        <v>4612</v>
      </c>
      <c r="C4615" s="123">
        <v>10099152830</v>
      </c>
      <c r="D4615" s="126" t="s">
        <v>16606</v>
      </c>
      <c r="E4615" s="126" t="s">
        <v>16607</v>
      </c>
      <c r="F4615" s="123" t="s">
        <v>30</v>
      </c>
      <c r="G4615" s="123" t="s">
        <v>30</v>
      </c>
      <c r="H4615" s="123" t="s">
        <v>72</v>
      </c>
      <c r="I4615" s="126" t="s">
        <v>1931</v>
      </c>
      <c r="J4615" s="123" t="s">
        <v>16608</v>
      </c>
      <c r="K4615" s="123" t="s">
        <v>16606</v>
      </c>
      <c r="L4615" s="131" t="s">
        <v>100</v>
      </c>
      <c r="M4615" s="135" t="s">
        <v>845</v>
      </c>
      <c r="N4615" s="123" t="s">
        <v>845</v>
      </c>
    </row>
    <row r="4616" spans="2:14" hidden="1" x14ac:dyDescent="0.25">
      <c r="B4616" s="120">
        <v>4613</v>
      </c>
      <c r="C4616" s="123">
        <v>10153007107</v>
      </c>
      <c r="D4616" s="126" t="s">
        <v>16609</v>
      </c>
      <c r="E4616" s="126" t="s">
        <v>16610</v>
      </c>
      <c r="F4616" s="123" t="s">
        <v>30</v>
      </c>
      <c r="G4616" s="123" t="s">
        <v>168</v>
      </c>
      <c r="H4616" s="123" t="s">
        <v>168</v>
      </c>
      <c r="I4616" s="126" t="s">
        <v>1551</v>
      </c>
      <c r="J4616" s="123" t="s">
        <v>16611</v>
      </c>
      <c r="K4616" s="123" t="s">
        <v>16609</v>
      </c>
      <c r="L4616" s="131" t="s">
        <v>100</v>
      </c>
      <c r="M4616" s="135" t="s">
        <v>845</v>
      </c>
      <c r="N4616" s="123" t="s">
        <v>845</v>
      </c>
    </row>
    <row r="4617" spans="2:14" hidden="1" x14ac:dyDescent="0.25">
      <c r="B4617" s="120">
        <v>4614</v>
      </c>
      <c r="C4617" s="123">
        <v>10466665946</v>
      </c>
      <c r="D4617" s="126" t="s">
        <v>16612</v>
      </c>
      <c r="E4617" s="126" t="s">
        <v>16613</v>
      </c>
      <c r="F4617" s="123" t="s">
        <v>30</v>
      </c>
      <c r="G4617" s="123" t="s">
        <v>30</v>
      </c>
      <c r="H4617" s="123" t="s">
        <v>58</v>
      </c>
      <c r="I4617" s="126" t="s">
        <v>1952</v>
      </c>
      <c r="J4617" s="123" t="s">
        <v>16614</v>
      </c>
      <c r="K4617" s="123" t="s">
        <v>16612</v>
      </c>
      <c r="L4617" s="131" t="s">
        <v>100</v>
      </c>
      <c r="M4617" s="135" t="s">
        <v>845</v>
      </c>
      <c r="N4617" s="123" t="s">
        <v>845</v>
      </c>
    </row>
    <row r="4618" spans="2:14" hidden="1" x14ac:dyDescent="0.25">
      <c r="B4618" s="120">
        <v>4615</v>
      </c>
      <c r="C4618" s="123">
        <v>10754397824</v>
      </c>
      <c r="D4618" s="126" t="s">
        <v>16615</v>
      </c>
      <c r="E4618" s="126" t="s">
        <v>16616</v>
      </c>
      <c r="F4618" s="123" t="s">
        <v>30</v>
      </c>
      <c r="G4618" s="123" t="s">
        <v>30</v>
      </c>
      <c r="H4618" s="123" t="s">
        <v>30</v>
      </c>
      <c r="I4618" s="126" t="s">
        <v>1424</v>
      </c>
      <c r="J4618" s="123" t="s">
        <v>16617</v>
      </c>
      <c r="K4618" s="123" t="s">
        <v>16615</v>
      </c>
      <c r="L4618" s="131" t="s">
        <v>100</v>
      </c>
      <c r="M4618" s="135" t="s">
        <v>845</v>
      </c>
      <c r="N4618" s="123" t="s">
        <v>845</v>
      </c>
    </row>
    <row r="4619" spans="2:14" hidden="1" x14ac:dyDescent="0.25">
      <c r="B4619" s="120">
        <v>4616</v>
      </c>
      <c r="C4619" s="123">
        <v>10762891005</v>
      </c>
      <c r="D4619" s="126" t="s">
        <v>16618</v>
      </c>
      <c r="E4619" s="126" t="s">
        <v>16619</v>
      </c>
      <c r="F4619" s="123" t="s">
        <v>30</v>
      </c>
      <c r="G4619" s="123" t="s">
        <v>30</v>
      </c>
      <c r="H4619" s="123" t="s">
        <v>72</v>
      </c>
      <c r="I4619" s="126" t="s">
        <v>1701</v>
      </c>
      <c r="J4619" s="123" t="s">
        <v>16620</v>
      </c>
      <c r="K4619" s="123" t="s">
        <v>16618</v>
      </c>
      <c r="L4619" s="131" t="s">
        <v>100</v>
      </c>
      <c r="M4619" s="135" t="s">
        <v>845</v>
      </c>
      <c r="N4619" s="123" t="s">
        <v>845</v>
      </c>
    </row>
    <row r="4620" spans="2:14" hidden="1" x14ac:dyDescent="0.25">
      <c r="B4620" s="120">
        <v>4617</v>
      </c>
      <c r="C4620" s="123">
        <v>10082909643</v>
      </c>
      <c r="D4620" s="126" t="s">
        <v>16621</v>
      </c>
      <c r="E4620" s="126" t="s">
        <v>16622</v>
      </c>
      <c r="F4620" s="123" t="s">
        <v>30</v>
      </c>
      <c r="G4620" s="123" t="s">
        <v>30</v>
      </c>
      <c r="H4620" s="123" t="s">
        <v>30</v>
      </c>
      <c r="I4620" s="126" t="s">
        <v>1365</v>
      </c>
      <c r="J4620" s="123" t="s">
        <v>16623</v>
      </c>
      <c r="K4620" s="123" t="s">
        <v>16624</v>
      </c>
      <c r="L4620" s="131" t="s">
        <v>100</v>
      </c>
      <c r="M4620" s="135" t="s">
        <v>845</v>
      </c>
      <c r="N4620" s="123" t="s">
        <v>845</v>
      </c>
    </row>
    <row r="4621" spans="2:14" hidden="1" x14ac:dyDescent="0.25">
      <c r="B4621" s="120">
        <v>4618</v>
      </c>
      <c r="C4621" s="123">
        <v>10075080242</v>
      </c>
      <c r="D4621" s="126" t="s">
        <v>16625</v>
      </c>
      <c r="E4621" s="126" t="s">
        <v>16626</v>
      </c>
      <c r="F4621" s="123" t="s">
        <v>30</v>
      </c>
      <c r="G4621" s="123" t="s">
        <v>30</v>
      </c>
      <c r="H4621" s="123" t="s">
        <v>58</v>
      </c>
      <c r="I4621" s="126" t="s">
        <v>16476</v>
      </c>
      <c r="J4621" s="123" t="s">
        <v>16627</v>
      </c>
      <c r="K4621" s="123" t="s">
        <v>16625</v>
      </c>
      <c r="L4621" s="131" t="s">
        <v>100</v>
      </c>
      <c r="M4621" s="135" t="s">
        <v>845</v>
      </c>
      <c r="N4621" s="123" t="s">
        <v>845</v>
      </c>
    </row>
    <row r="4622" spans="2:14" hidden="1" x14ac:dyDescent="0.25">
      <c r="B4622" s="120">
        <v>4619</v>
      </c>
      <c r="C4622" s="123">
        <v>10430635633</v>
      </c>
      <c r="D4622" s="126" t="s">
        <v>16628</v>
      </c>
      <c r="E4622" s="126" t="s">
        <v>16629</v>
      </c>
      <c r="F4622" s="123" t="s">
        <v>30</v>
      </c>
      <c r="G4622" s="123" t="s">
        <v>30</v>
      </c>
      <c r="H4622" s="123" t="s">
        <v>43</v>
      </c>
      <c r="I4622" s="126" t="s">
        <v>8743</v>
      </c>
      <c r="J4622" s="123" t="s">
        <v>16630</v>
      </c>
      <c r="K4622" s="123" t="s">
        <v>16628</v>
      </c>
      <c r="L4622" s="131" t="s">
        <v>100</v>
      </c>
      <c r="M4622" s="135" t="s">
        <v>845</v>
      </c>
      <c r="N4622" s="123" t="s">
        <v>845</v>
      </c>
    </row>
    <row r="4623" spans="2:14" hidden="1" x14ac:dyDescent="0.25">
      <c r="B4623" s="120">
        <v>4620</v>
      </c>
      <c r="C4623" s="123">
        <v>10801169100</v>
      </c>
      <c r="D4623" s="126" t="s">
        <v>16631</v>
      </c>
      <c r="E4623" s="126" t="s">
        <v>16632</v>
      </c>
      <c r="F4623" s="123" t="s">
        <v>30</v>
      </c>
      <c r="G4623" s="123" t="s">
        <v>30</v>
      </c>
      <c r="H4623" s="123" t="s">
        <v>45</v>
      </c>
      <c r="I4623" s="126" t="s">
        <v>1701</v>
      </c>
      <c r="J4623" s="123" t="s">
        <v>16633</v>
      </c>
      <c r="K4623" s="123" t="s">
        <v>16631</v>
      </c>
      <c r="L4623" s="131" t="s">
        <v>100</v>
      </c>
      <c r="M4623" s="135" t="s">
        <v>845</v>
      </c>
      <c r="N4623" s="123" t="s">
        <v>845</v>
      </c>
    </row>
    <row r="4624" spans="2:14" hidden="1" x14ac:dyDescent="0.25">
      <c r="B4624" s="120">
        <v>4621</v>
      </c>
      <c r="C4624" s="123">
        <v>10803404734</v>
      </c>
      <c r="D4624" s="126" t="s">
        <v>16634</v>
      </c>
      <c r="E4624" s="126" t="s">
        <v>16635</v>
      </c>
      <c r="F4624" s="123" t="s">
        <v>30</v>
      </c>
      <c r="G4624" s="123" t="s">
        <v>30</v>
      </c>
      <c r="H4624" s="123" t="s">
        <v>43</v>
      </c>
      <c r="I4624" s="126" t="s">
        <v>1564</v>
      </c>
      <c r="J4624" s="123" t="s">
        <v>16636</v>
      </c>
      <c r="K4624" s="123" t="s">
        <v>16634</v>
      </c>
      <c r="L4624" s="131" t="s">
        <v>100</v>
      </c>
      <c r="M4624" s="135" t="s">
        <v>845</v>
      </c>
      <c r="N4624" s="123" t="s">
        <v>845</v>
      </c>
    </row>
    <row r="4625" spans="2:14" hidden="1" x14ac:dyDescent="0.25">
      <c r="B4625" s="120">
        <v>4622</v>
      </c>
      <c r="C4625" s="123">
        <v>10060037286</v>
      </c>
      <c r="D4625" s="126" t="s">
        <v>16637</v>
      </c>
      <c r="E4625" s="126" t="s">
        <v>16638</v>
      </c>
      <c r="F4625" s="123" t="s">
        <v>30</v>
      </c>
      <c r="G4625" s="123" t="s">
        <v>30</v>
      </c>
      <c r="H4625" s="123" t="s">
        <v>43</v>
      </c>
      <c r="I4625" s="126" t="s">
        <v>1950</v>
      </c>
      <c r="J4625" s="123" t="s">
        <v>16639</v>
      </c>
      <c r="K4625" s="123" t="s">
        <v>16637</v>
      </c>
      <c r="L4625" s="131" t="s">
        <v>100</v>
      </c>
      <c r="M4625" s="135" t="s">
        <v>845</v>
      </c>
      <c r="N4625" s="123" t="s">
        <v>845</v>
      </c>
    </row>
    <row r="4626" spans="2:14" hidden="1" x14ac:dyDescent="0.25">
      <c r="B4626" s="120">
        <v>4623</v>
      </c>
      <c r="C4626" s="123">
        <v>10096604080</v>
      </c>
      <c r="D4626" s="126" t="s">
        <v>16640</v>
      </c>
      <c r="E4626" s="126" t="s">
        <v>16641</v>
      </c>
      <c r="F4626" s="123" t="s">
        <v>30</v>
      </c>
      <c r="G4626" s="123" t="s">
        <v>30</v>
      </c>
      <c r="H4626" s="123" t="s">
        <v>43</v>
      </c>
      <c r="I4626" s="126" t="s">
        <v>1952</v>
      </c>
      <c r="J4626" s="123" t="s">
        <v>16642</v>
      </c>
      <c r="K4626" s="123" t="s">
        <v>16640</v>
      </c>
      <c r="L4626" s="131" t="s">
        <v>100</v>
      </c>
      <c r="M4626" s="135" t="s">
        <v>845</v>
      </c>
      <c r="N4626" s="123" t="s">
        <v>845</v>
      </c>
    </row>
    <row r="4627" spans="2:14" hidden="1" x14ac:dyDescent="0.25">
      <c r="B4627" s="120">
        <v>4624</v>
      </c>
      <c r="C4627" s="123">
        <v>10423198007</v>
      </c>
      <c r="D4627" s="126" t="s">
        <v>16643</v>
      </c>
      <c r="E4627" s="126" t="s">
        <v>16644</v>
      </c>
      <c r="F4627" s="123" t="s">
        <v>30</v>
      </c>
      <c r="G4627" s="123" t="s">
        <v>30</v>
      </c>
      <c r="H4627" s="123" t="s">
        <v>103</v>
      </c>
      <c r="I4627" s="126" t="s">
        <v>1805</v>
      </c>
      <c r="J4627" s="123" t="s">
        <v>16645</v>
      </c>
      <c r="K4627" s="123" t="s">
        <v>16643</v>
      </c>
      <c r="L4627" s="131" t="s">
        <v>100</v>
      </c>
      <c r="M4627" s="135" t="s">
        <v>845</v>
      </c>
      <c r="N4627" s="123" t="s">
        <v>845</v>
      </c>
    </row>
    <row r="4628" spans="2:14" hidden="1" x14ac:dyDescent="0.25">
      <c r="B4628" s="120">
        <v>4625</v>
      </c>
      <c r="C4628" s="123">
        <v>10481912844</v>
      </c>
      <c r="D4628" s="126" t="s">
        <v>16646</v>
      </c>
      <c r="E4628" s="126" t="s">
        <v>16647</v>
      </c>
      <c r="F4628" s="123" t="s">
        <v>30</v>
      </c>
      <c r="G4628" s="123" t="s">
        <v>30</v>
      </c>
      <c r="H4628" s="123" t="s">
        <v>45</v>
      </c>
      <c r="I4628" s="126" t="s">
        <v>8884</v>
      </c>
      <c r="J4628" s="123" t="s">
        <v>16648</v>
      </c>
      <c r="K4628" s="123" t="s">
        <v>16649</v>
      </c>
      <c r="L4628" s="131" t="s">
        <v>100</v>
      </c>
      <c r="M4628" s="135" t="s">
        <v>845</v>
      </c>
      <c r="N4628" s="123" t="s">
        <v>845</v>
      </c>
    </row>
    <row r="4629" spans="2:14" hidden="1" x14ac:dyDescent="0.25">
      <c r="B4629" s="120">
        <v>4626</v>
      </c>
      <c r="C4629" s="123">
        <v>10770792008</v>
      </c>
      <c r="D4629" s="126" t="s">
        <v>16650</v>
      </c>
      <c r="E4629" s="126" t="s">
        <v>16651</v>
      </c>
      <c r="F4629" s="123" t="s">
        <v>30</v>
      </c>
      <c r="G4629" s="123" t="s">
        <v>30</v>
      </c>
      <c r="H4629" s="123" t="s">
        <v>60</v>
      </c>
      <c r="I4629" s="126" t="s">
        <v>1564</v>
      </c>
      <c r="J4629" s="123" t="s">
        <v>16652</v>
      </c>
      <c r="K4629" s="123" t="s">
        <v>16650</v>
      </c>
      <c r="L4629" s="131" t="s">
        <v>100</v>
      </c>
      <c r="M4629" s="135" t="s">
        <v>845</v>
      </c>
      <c r="N4629" s="123" t="s">
        <v>845</v>
      </c>
    </row>
    <row r="4630" spans="2:14" hidden="1" x14ac:dyDescent="0.25">
      <c r="B4630" s="120">
        <v>4627</v>
      </c>
      <c r="C4630" s="123">
        <v>10710582349</v>
      </c>
      <c r="D4630" s="126" t="s">
        <v>16653</v>
      </c>
      <c r="E4630" s="126" t="s">
        <v>16654</v>
      </c>
      <c r="F4630" s="123" t="s">
        <v>30</v>
      </c>
      <c r="G4630" s="123" t="s">
        <v>30</v>
      </c>
      <c r="H4630" s="123" t="s">
        <v>88</v>
      </c>
      <c r="I4630" s="126" t="s">
        <v>1507</v>
      </c>
      <c r="J4630" s="123" t="s">
        <v>16655</v>
      </c>
      <c r="K4630" s="123" t="s">
        <v>16656</v>
      </c>
      <c r="L4630" s="131" t="s">
        <v>100</v>
      </c>
      <c r="M4630" s="135" t="s">
        <v>845</v>
      </c>
      <c r="N4630" s="123" t="s">
        <v>845</v>
      </c>
    </row>
    <row r="4631" spans="2:14" hidden="1" x14ac:dyDescent="0.25">
      <c r="B4631" s="120">
        <v>4628</v>
      </c>
      <c r="C4631" s="123">
        <v>10457280063</v>
      </c>
      <c r="D4631" s="126" t="s">
        <v>16657</v>
      </c>
      <c r="E4631" s="126" t="s">
        <v>16658</v>
      </c>
      <c r="F4631" s="123" t="s">
        <v>8921</v>
      </c>
      <c r="G4631" s="123" t="s">
        <v>16659</v>
      </c>
      <c r="H4631" s="123" t="s">
        <v>16660</v>
      </c>
      <c r="I4631" s="126" t="s">
        <v>1931</v>
      </c>
      <c r="J4631" s="123" t="s">
        <v>16661</v>
      </c>
      <c r="K4631" s="123" t="s">
        <v>16662</v>
      </c>
      <c r="L4631" s="131" t="s">
        <v>100</v>
      </c>
      <c r="M4631" s="135" t="s">
        <v>845</v>
      </c>
      <c r="N4631" s="123" t="s">
        <v>845</v>
      </c>
    </row>
    <row r="4632" spans="2:14" hidden="1" x14ac:dyDescent="0.25">
      <c r="B4632" s="120">
        <v>4629</v>
      </c>
      <c r="C4632" s="123">
        <v>10258125521</v>
      </c>
      <c r="D4632" s="126" t="s">
        <v>16663</v>
      </c>
      <c r="E4632" s="126" t="s">
        <v>16664</v>
      </c>
      <c r="F4632" s="123" t="s">
        <v>67</v>
      </c>
      <c r="G4632" s="123" t="s">
        <v>67</v>
      </c>
      <c r="H4632" s="123" t="s">
        <v>67</v>
      </c>
      <c r="I4632" s="126" t="s">
        <v>8884</v>
      </c>
      <c r="J4632" s="123" t="s">
        <v>16665</v>
      </c>
      <c r="K4632" s="123" t="s">
        <v>16666</v>
      </c>
      <c r="L4632" s="131" t="s">
        <v>100</v>
      </c>
      <c r="M4632" s="135" t="s">
        <v>845</v>
      </c>
      <c r="N4632" s="123" t="s">
        <v>845</v>
      </c>
    </row>
    <row r="4633" spans="2:14" hidden="1" x14ac:dyDescent="0.25">
      <c r="B4633" s="120">
        <v>4630</v>
      </c>
      <c r="C4633" s="123">
        <v>10449225789</v>
      </c>
      <c r="D4633" s="126" t="s">
        <v>16667</v>
      </c>
      <c r="E4633" s="126" t="s">
        <v>16668</v>
      </c>
      <c r="F4633" s="123" t="s">
        <v>30</v>
      </c>
      <c r="G4633" s="123" t="s">
        <v>30</v>
      </c>
      <c r="H4633" s="123" t="s">
        <v>86</v>
      </c>
      <c r="I4633" s="126" t="s">
        <v>16669</v>
      </c>
      <c r="J4633" s="123" t="s">
        <v>16670</v>
      </c>
      <c r="K4633" s="123" t="s">
        <v>16667</v>
      </c>
      <c r="L4633" s="131" t="s">
        <v>100</v>
      </c>
      <c r="M4633" s="135" t="s">
        <v>845</v>
      </c>
      <c r="N4633" s="123" t="s">
        <v>845</v>
      </c>
    </row>
    <row r="4634" spans="2:14" hidden="1" x14ac:dyDescent="0.25">
      <c r="B4634" s="120">
        <v>4631</v>
      </c>
      <c r="C4634" s="123">
        <v>10099171711</v>
      </c>
      <c r="D4634" s="126" t="s">
        <v>16671</v>
      </c>
      <c r="E4634" s="126" t="s">
        <v>16672</v>
      </c>
      <c r="F4634" s="123" t="s">
        <v>30</v>
      </c>
      <c r="G4634" s="123" t="s">
        <v>30</v>
      </c>
      <c r="H4634" s="123" t="s">
        <v>58</v>
      </c>
      <c r="I4634" s="126" t="s">
        <v>258</v>
      </c>
      <c r="J4634" s="123" t="s">
        <v>16673</v>
      </c>
      <c r="K4634" s="123" t="s">
        <v>16674</v>
      </c>
      <c r="L4634" s="131" t="s">
        <v>100</v>
      </c>
      <c r="M4634" s="135" t="s">
        <v>845</v>
      </c>
      <c r="N4634" s="123" t="s">
        <v>845</v>
      </c>
    </row>
    <row r="4635" spans="2:14" hidden="1" x14ac:dyDescent="0.25">
      <c r="B4635" s="120">
        <v>4632</v>
      </c>
      <c r="C4635" s="123">
        <v>10200164062</v>
      </c>
      <c r="D4635" s="126" t="s">
        <v>16675</v>
      </c>
      <c r="E4635" s="126" t="s">
        <v>16676</v>
      </c>
      <c r="F4635" s="123" t="s">
        <v>30</v>
      </c>
      <c r="G4635" s="123" t="s">
        <v>30</v>
      </c>
      <c r="H4635" s="123" t="s">
        <v>88</v>
      </c>
      <c r="I4635" s="126" t="s">
        <v>1984</v>
      </c>
      <c r="J4635" s="123" t="s">
        <v>16677</v>
      </c>
      <c r="K4635" s="123" t="s">
        <v>16675</v>
      </c>
      <c r="L4635" s="131" t="s">
        <v>100</v>
      </c>
      <c r="M4635" s="135" t="s">
        <v>845</v>
      </c>
      <c r="N4635" s="123" t="s">
        <v>845</v>
      </c>
    </row>
    <row r="4636" spans="2:14" hidden="1" x14ac:dyDescent="0.25">
      <c r="B4636" s="120">
        <v>4633</v>
      </c>
      <c r="C4636" s="123">
        <v>10459403120</v>
      </c>
      <c r="D4636" s="126" t="s">
        <v>16678</v>
      </c>
      <c r="E4636" s="126" t="s">
        <v>16679</v>
      </c>
      <c r="F4636" s="123" t="s">
        <v>30</v>
      </c>
      <c r="G4636" s="123" t="s">
        <v>30</v>
      </c>
      <c r="H4636" s="123" t="s">
        <v>72</v>
      </c>
      <c r="I4636" s="126" t="s">
        <v>1701</v>
      </c>
      <c r="J4636" s="123" t="s">
        <v>16680</v>
      </c>
      <c r="K4636" s="123" t="s">
        <v>16678</v>
      </c>
      <c r="L4636" s="131" t="s">
        <v>100</v>
      </c>
      <c r="M4636" s="135" t="s">
        <v>845</v>
      </c>
      <c r="N4636" s="123" t="s">
        <v>845</v>
      </c>
    </row>
    <row r="4637" spans="2:14" hidden="1" x14ac:dyDescent="0.25">
      <c r="B4637" s="120">
        <v>4634</v>
      </c>
      <c r="C4637" s="123">
        <v>10758743093</v>
      </c>
      <c r="D4637" s="126" t="s">
        <v>16681</v>
      </c>
      <c r="E4637" s="126" t="s">
        <v>16682</v>
      </c>
      <c r="F4637" s="123" t="s">
        <v>30</v>
      </c>
      <c r="G4637" s="123" t="s">
        <v>30</v>
      </c>
      <c r="H4637" s="123" t="s">
        <v>75</v>
      </c>
      <c r="I4637" s="126" t="s">
        <v>1701</v>
      </c>
      <c r="J4637" s="123" t="s">
        <v>16683</v>
      </c>
      <c r="K4637" s="123" t="s">
        <v>16681</v>
      </c>
      <c r="L4637" s="131" t="s">
        <v>100</v>
      </c>
      <c r="M4637" s="135" t="s">
        <v>845</v>
      </c>
      <c r="N4637" s="123" t="s">
        <v>845</v>
      </c>
    </row>
    <row r="4638" spans="2:14" hidden="1" x14ac:dyDescent="0.25">
      <c r="B4638" s="120">
        <v>4635</v>
      </c>
      <c r="C4638" s="123">
        <v>10453237228</v>
      </c>
      <c r="D4638" s="126" t="s">
        <v>16684</v>
      </c>
      <c r="E4638" s="126" t="s">
        <v>16685</v>
      </c>
      <c r="F4638" s="123" t="s">
        <v>67</v>
      </c>
      <c r="G4638" s="123" t="s">
        <v>67</v>
      </c>
      <c r="H4638" s="123" t="s">
        <v>67</v>
      </c>
      <c r="I4638" s="126" t="s">
        <v>1952</v>
      </c>
      <c r="J4638" s="123" t="s">
        <v>16686</v>
      </c>
      <c r="K4638" s="123" t="s">
        <v>16684</v>
      </c>
      <c r="L4638" s="131" t="s">
        <v>100</v>
      </c>
      <c r="M4638" s="135" t="s">
        <v>845</v>
      </c>
      <c r="N4638" s="123" t="s">
        <v>845</v>
      </c>
    </row>
    <row r="4639" spans="2:14" hidden="1" x14ac:dyDescent="0.25">
      <c r="B4639" s="120">
        <v>4636</v>
      </c>
      <c r="C4639" s="123">
        <v>10107775957</v>
      </c>
      <c r="D4639" s="126" t="s">
        <v>16687</v>
      </c>
      <c r="E4639" s="126" t="s">
        <v>16688</v>
      </c>
      <c r="F4639" s="123" t="s">
        <v>30</v>
      </c>
      <c r="G4639" s="123" t="s">
        <v>30</v>
      </c>
      <c r="H4639" s="123" t="s">
        <v>75</v>
      </c>
      <c r="I4639" s="126" t="s">
        <v>9790</v>
      </c>
      <c r="J4639" s="123" t="s">
        <v>16689</v>
      </c>
      <c r="K4639" s="123" t="s">
        <v>16687</v>
      </c>
      <c r="L4639" s="131" t="s">
        <v>100</v>
      </c>
      <c r="M4639" s="135" t="s">
        <v>845</v>
      </c>
      <c r="N4639" s="123" t="s">
        <v>845</v>
      </c>
    </row>
    <row r="4640" spans="2:14" hidden="1" x14ac:dyDescent="0.25">
      <c r="B4640" s="120">
        <v>4637</v>
      </c>
      <c r="C4640" s="123">
        <v>10257455896</v>
      </c>
      <c r="D4640" s="126" t="s">
        <v>16690</v>
      </c>
      <c r="E4640" s="126" t="s">
        <v>16691</v>
      </c>
      <c r="F4640" s="123" t="s">
        <v>67</v>
      </c>
      <c r="G4640" s="123" t="s">
        <v>67</v>
      </c>
      <c r="H4640" s="123" t="s">
        <v>67</v>
      </c>
      <c r="I4640" s="126" t="s">
        <v>1931</v>
      </c>
      <c r="J4640" s="123" t="s">
        <v>16692</v>
      </c>
      <c r="K4640" s="123" t="s">
        <v>16690</v>
      </c>
      <c r="L4640" s="131" t="s">
        <v>100</v>
      </c>
      <c r="M4640" s="135" t="s">
        <v>845</v>
      </c>
      <c r="N4640" s="123" t="s">
        <v>845</v>
      </c>
    </row>
    <row r="4641" spans="2:14" hidden="1" x14ac:dyDescent="0.25">
      <c r="B4641" s="120">
        <v>4638</v>
      </c>
      <c r="C4641" s="123">
        <v>10063114184</v>
      </c>
      <c r="D4641" s="126" t="s">
        <v>16693</v>
      </c>
      <c r="E4641" s="126" t="s">
        <v>16694</v>
      </c>
      <c r="F4641" s="123" t="s">
        <v>30</v>
      </c>
      <c r="G4641" s="123" t="s">
        <v>30</v>
      </c>
      <c r="H4641" s="123" t="s">
        <v>41</v>
      </c>
      <c r="I4641" s="126" t="s">
        <v>1484</v>
      </c>
      <c r="J4641" s="123" t="s">
        <v>16695</v>
      </c>
      <c r="K4641" s="123" t="s">
        <v>16693</v>
      </c>
      <c r="L4641" s="131" t="s">
        <v>100</v>
      </c>
      <c r="M4641" s="135" t="s">
        <v>845</v>
      </c>
      <c r="N4641" s="123" t="s">
        <v>845</v>
      </c>
    </row>
    <row r="4642" spans="2:14" hidden="1" x14ac:dyDescent="0.25">
      <c r="B4642" s="120">
        <v>4639</v>
      </c>
      <c r="C4642" s="123">
        <v>10104459230</v>
      </c>
      <c r="D4642" s="126" t="s">
        <v>16696</v>
      </c>
      <c r="E4642" s="126" t="s">
        <v>16697</v>
      </c>
      <c r="F4642" s="123" t="s">
        <v>30</v>
      </c>
      <c r="G4642" s="123" t="s">
        <v>30</v>
      </c>
      <c r="H4642" s="123" t="s">
        <v>60</v>
      </c>
      <c r="I4642" s="126" t="s">
        <v>8743</v>
      </c>
      <c r="J4642" s="123" t="s">
        <v>16698</v>
      </c>
      <c r="K4642" s="123" t="s">
        <v>16696</v>
      </c>
      <c r="L4642" s="131" t="s">
        <v>100</v>
      </c>
      <c r="M4642" s="135" t="s">
        <v>845</v>
      </c>
      <c r="N4642" s="123" t="s">
        <v>845</v>
      </c>
    </row>
    <row r="4643" spans="2:14" hidden="1" x14ac:dyDescent="0.25">
      <c r="B4643" s="120">
        <v>4640</v>
      </c>
      <c r="C4643" s="123">
        <v>10428424561</v>
      </c>
      <c r="D4643" s="126" t="s">
        <v>16699</v>
      </c>
      <c r="E4643" s="126" t="s">
        <v>16700</v>
      </c>
      <c r="F4643" s="123" t="s">
        <v>30</v>
      </c>
      <c r="G4643" s="123" t="s">
        <v>30</v>
      </c>
      <c r="H4643" s="123" t="s">
        <v>30</v>
      </c>
      <c r="I4643" s="126" t="s">
        <v>1643</v>
      </c>
      <c r="J4643" s="123" t="s">
        <v>16701</v>
      </c>
      <c r="K4643" s="123" t="s">
        <v>16702</v>
      </c>
      <c r="L4643" s="131" t="s">
        <v>100</v>
      </c>
      <c r="M4643" s="135" t="s">
        <v>845</v>
      </c>
      <c r="N4643" s="123" t="s">
        <v>845</v>
      </c>
    </row>
    <row r="4644" spans="2:14" hidden="1" x14ac:dyDescent="0.25">
      <c r="B4644" s="120">
        <v>4641</v>
      </c>
      <c r="C4644" s="123">
        <v>10490007330</v>
      </c>
      <c r="D4644" s="126" t="s">
        <v>16703</v>
      </c>
      <c r="E4644" s="126" t="s">
        <v>16704</v>
      </c>
      <c r="F4644" s="123" t="s">
        <v>30</v>
      </c>
      <c r="G4644" s="123" t="s">
        <v>30</v>
      </c>
      <c r="H4644" s="123" t="s">
        <v>127</v>
      </c>
      <c r="I4644" s="126" t="s">
        <v>1934</v>
      </c>
      <c r="J4644" s="123" t="s">
        <v>16705</v>
      </c>
      <c r="K4644" s="123" t="s">
        <v>16706</v>
      </c>
      <c r="L4644" s="131" t="s">
        <v>100</v>
      </c>
      <c r="M4644" s="135" t="s">
        <v>845</v>
      </c>
      <c r="N4644" s="123" t="s">
        <v>845</v>
      </c>
    </row>
    <row r="4645" spans="2:14" hidden="1" x14ac:dyDescent="0.25">
      <c r="B4645" s="120">
        <v>4642</v>
      </c>
      <c r="C4645" s="123">
        <v>10408231502</v>
      </c>
      <c r="D4645" s="126" t="s">
        <v>16707</v>
      </c>
      <c r="E4645" s="126" t="s">
        <v>16708</v>
      </c>
      <c r="F4645" s="123" t="s">
        <v>30</v>
      </c>
      <c r="G4645" s="123" t="s">
        <v>30</v>
      </c>
      <c r="H4645" s="123" t="s">
        <v>34</v>
      </c>
      <c r="I4645" s="126" t="s">
        <v>101</v>
      </c>
      <c r="J4645" s="123" t="s">
        <v>16709</v>
      </c>
      <c r="K4645" s="123" t="s">
        <v>16707</v>
      </c>
      <c r="L4645" s="131" t="s">
        <v>100</v>
      </c>
      <c r="M4645" s="135" t="s">
        <v>845</v>
      </c>
      <c r="N4645" s="123" t="s">
        <v>845</v>
      </c>
    </row>
    <row r="4646" spans="2:14" hidden="1" x14ac:dyDescent="0.25">
      <c r="B4646" s="120">
        <v>4643</v>
      </c>
      <c r="C4646" s="123">
        <v>10071786043</v>
      </c>
      <c r="D4646" s="126" t="s">
        <v>16710</v>
      </c>
      <c r="E4646" s="126" t="s">
        <v>16711</v>
      </c>
      <c r="F4646" s="123" t="s">
        <v>30</v>
      </c>
      <c r="G4646" s="123" t="s">
        <v>30</v>
      </c>
      <c r="H4646" s="123" t="s">
        <v>88</v>
      </c>
      <c r="I4646" s="126" t="s">
        <v>1655</v>
      </c>
      <c r="J4646" s="123" t="s">
        <v>16712</v>
      </c>
      <c r="K4646" s="123" t="s">
        <v>16710</v>
      </c>
      <c r="L4646" s="131" t="s">
        <v>100</v>
      </c>
      <c r="M4646" s="135" t="s">
        <v>845</v>
      </c>
      <c r="N4646" s="123" t="s">
        <v>845</v>
      </c>
    </row>
    <row r="4647" spans="2:14" hidden="1" x14ac:dyDescent="0.25">
      <c r="B4647" s="120">
        <v>4644</v>
      </c>
      <c r="C4647" s="123">
        <v>10451894981</v>
      </c>
      <c r="D4647" s="126" t="s">
        <v>16713</v>
      </c>
      <c r="E4647" s="126" t="s">
        <v>16714</v>
      </c>
      <c r="F4647" s="123" t="s">
        <v>30</v>
      </c>
      <c r="G4647" s="123" t="s">
        <v>170</v>
      </c>
      <c r="H4647" s="123" t="s">
        <v>170</v>
      </c>
      <c r="I4647" s="126" t="s">
        <v>1931</v>
      </c>
      <c r="J4647" s="123" t="s">
        <v>16715</v>
      </c>
      <c r="K4647" s="123" t="s">
        <v>16716</v>
      </c>
      <c r="L4647" s="131" t="s">
        <v>100</v>
      </c>
      <c r="M4647" s="135" t="s">
        <v>845</v>
      </c>
      <c r="N4647" s="123" t="s">
        <v>845</v>
      </c>
    </row>
    <row r="4648" spans="2:14" hidden="1" x14ac:dyDescent="0.25">
      <c r="B4648" s="120">
        <v>4645</v>
      </c>
      <c r="C4648" s="123">
        <v>10182004036</v>
      </c>
      <c r="D4648" s="126" t="s">
        <v>16717</v>
      </c>
      <c r="E4648" s="126" t="s">
        <v>16718</v>
      </c>
      <c r="F4648" s="123" t="s">
        <v>30</v>
      </c>
      <c r="G4648" s="123" t="s">
        <v>30</v>
      </c>
      <c r="H4648" s="123" t="s">
        <v>45</v>
      </c>
      <c r="I4648" s="126" t="s">
        <v>1737</v>
      </c>
      <c r="J4648" s="123" t="s">
        <v>16719</v>
      </c>
      <c r="K4648" s="123" t="s">
        <v>16717</v>
      </c>
      <c r="L4648" s="131" t="s">
        <v>100</v>
      </c>
      <c r="M4648" s="135" t="s">
        <v>845</v>
      </c>
      <c r="N4648" s="123" t="s">
        <v>845</v>
      </c>
    </row>
    <row r="4649" spans="2:14" hidden="1" x14ac:dyDescent="0.25">
      <c r="B4649" s="120">
        <v>4646</v>
      </c>
      <c r="C4649" s="123">
        <v>10700453231</v>
      </c>
      <c r="D4649" s="126" t="s">
        <v>16720</v>
      </c>
      <c r="E4649" s="126" t="s">
        <v>16721</v>
      </c>
      <c r="F4649" s="123" t="s">
        <v>67</v>
      </c>
      <c r="G4649" s="123" t="s">
        <v>67</v>
      </c>
      <c r="H4649" s="123" t="s">
        <v>94</v>
      </c>
      <c r="I4649" s="126" t="s">
        <v>1499</v>
      </c>
      <c r="J4649" s="123" t="s">
        <v>16722</v>
      </c>
      <c r="K4649" s="123" t="s">
        <v>16723</v>
      </c>
      <c r="L4649" s="131" t="s">
        <v>100</v>
      </c>
      <c r="M4649" s="135" t="s">
        <v>845</v>
      </c>
      <c r="N4649" s="123" t="s">
        <v>845</v>
      </c>
    </row>
    <row r="4650" spans="2:14" hidden="1" x14ac:dyDescent="0.25">
      <c r="B4650" s="120">
        <v>4647</v>
      </c>
      <c r="C4650" s="123">
        <v>10722488704</v>
      </c>
      <c r="D4650" s="126" t="s">
        <v>16724</v>
      </c>
      <c r="E4650" s="126" t="s">
        <v>16725</v>
      </c>
      <c r="F4650" s="123" t="s">
        <v>30</v>
      </c>
      <c r="G4650" s="123" t="s">
        <v>30</v>
      </c>
      <c r="H4650" s="123" t="s">
        <v>60</v>
      </c>
      <c r="I4650" s="126" t="s">
        <v>101</v>
      </c>
      <c r="J4650" s="123" t="s">
        <v>16726</v>
      </c>
      <c r="K4650" s="123" t="s">
        <v>16724</v>
      </c>
      <c r="L4650" s="131" t="s">
        <v>100</v>
      </c>
      <c r="M4650" s="135" t="s">
        <v>845</v>
      </c>
      <c r="N4650" s="123" t="s">
        <v>845</v>
      </c>
    </row>
    <row r="4651" spans="2:14" hidden="1" x14ac:dyDescent="0.25">
      <c r="B4651" s="120">
        <v>4648</v>
      </c>
      <c r="C4651" s="123">
        <v>10472252513</v>
      </c>
      <c r="D4651" s="126" t="s">
        <v>16727</v>
      </c>
      <c r="E4651" s="126" t="s">
        <v>16728</v>
      </c>
      <c r="F4651" s="123" t="s">
        <v>30</v>
      </c>
      <c r="G4651" s="123" t="s">
        <v>30</v>
      </c>
      <c r="H4651" s="123" t="s">
        <v>45</v>
      </c>
      <c r="I4651" s="126" t="s">
        <v>1950</v>
      </c>
      <c r="J4651" s="123" t="s">
        <v>16729</v>
      </c>
      <c r="K4651" s="123" t="s">
        <v>16727</v>
      </c>
      <c r="L4651" s="131" t="s">
        <v>100</v>
      </c>
      <c r="M4651" s="135" t="s">
        <v>845</v>
      </c>
      <c r="N4651" s="123" t="s">
        <v>845</v>
      </c>
    </row>
    <row r="4652" spans="2:14" hidden="1" x14ac:dyDescent="0.25">
      <c r="B4652" s="120">
        <v>4649</v>
      </c>
      <c r="C4652" s="123">
        <v>10775285155</v>
      </c>
      <c r="D4652" s="126" t="s">
        <v>16730</v>
      </c>
      <c r="E4652" s="126" t="s">
        <v>16731</v>
      </c>
      <c r="F4652" s="123" t="s">
        <v>30</v>
      </c>
      <c r="G4652" s="123" t="s">
        <v>30</v>
      </c>
      <c r="H4652" s="123" t="s">
        <v>30</v>
      </c>
      <c r="I4652" s="126" t="s">
        <v>1941</v>
      </c>
      <c r="J4652" s="123" t="s">
        <v>5800</v>
      </c>
      <c r="K4652" s="123" t="s">
        <v>16732</v>
      </c>
      <c r="L4652" s="131" t="s">
        <v>100</v>
      </c>
      <c r="M4652" s="135" t="s">
        <v>845</v>
      </c>
      <c r="N4652" s="123" t="s">
        <v>845</v>
      </c>
    </row>
    <row r="4653" spans="2:14" hidden="1" x14ac:dyDescent="0.25">
      <c r="B4653" s="120">
        <v>4650</v>
      </c>
      <c r="C4653" s="123">
        <v>10458040210</v>
      </c>
      <c r="D4653" s="126" t="s">
        <v>16733</v>
      </c>
      <c r="E4653" s="126" t="s">
        <v>16734</v>
      </c>
      <c r="F4653" s="123" t="s">
        <v>30</v>
      </c>
      <c r="G4653" s="123" t="s">
        <v>30</v>
      </c>
      <c r="H4653" s="123" t="s">
        <v>38</v>
      </c>
      <c r="I4653" s="126" t="s">
        <v>1940</v>
      </c>
      <c r="J4653" s="123" t="s">
        <v>16735</v>
      </c>
      <c r="K4653" s="123" t="s">
        <v>16733</v>
      </c>
      <c r="L4653" s="131" t="s">
        <v>100</v>
      </c>
      <c r="M4653" s="135" t="s">
        <v>845</v>
      </c>
      <c r="N4653" s="123" t="s">
        <v>845</v>
      </c>
    </row>
    <row r="4654" spans="2:14" hidden="1" x14ac:dyDescent="0.25">
      <c r="B4654" s="120">
        <v>4651</v>
      </c>
      <c r="C4654" s="123">
        <v>10093641987</v>
      </c>
      <c r="D4654" s="126" t="s">
        <v>16736</v>
      </c>
      <c r="E4654" s="126" t="s">
        <v>16737</v>
      </c>
      <c r="F4654" s="123" t="s">
        <v>30</v>
      </c>
      <c r="G4654" s="123" t="s">
        <v>30</v>
      </c>
      <c r="H4654" s="123" t="s">
        <v>51</v>
      </c>
      <c r="I4654" s="126" t="s">
        <v>1701</v>
      </c>
      <c r="J4654" s="123" t="s">
        <v>16738</v>
      </c>
      <c r="K4654" s="123" t="s">
        <v>16736</v>
      </c>
      <c r="L4654" s="131" t="s">
        <v>100</v>
      </c>
      <c r="M4654" s="135" t="s">
        <v>845</v>
      </c>
      <c r="N4654" s="123" t="s">
        <v>845</v>
      </c>
    </row>
    <row r="4655" spans="2:14" hidden="1" x14ac:dyDescent="0.25">
      <c r="B4655" s="120">
        <v>4652</v>
      </c>
      <c r="C4655" s="123">
        <v>10100859306</v>
      </c>
      <c r="D4655" s="126" t="s">
        <v>16739</v>
      </c>
      <c r="E4655" s="126" t="s">
        <v>16740</v>
      </c>
      <c r="F4655" s="123" t="s">
        <v>30</v>
      </c>
      <c r="G4655" s="123" t="s">
        <v>30</v>
      </c>
      <c r="H4655" s="123" t="s">
        <v>68</v>
      </c>
      <c r="I4655" s="126" t="s">
        <v>1655</v>
      </c>
      <c r="J4655" s="123" t="s">
        <v>16741</v>
      </c>
      <c r="K4655" s="123" t="s">
        <v>16739</v>
      </c>
      <c r="L4655" s="131" t="s">
        <v>100</v>
      </c>
      <c r="M4655" s="135" t="s">
        <v>845</v>
      </c>
      <c r="N4655" s="123" t="s">
        <v>845</v>
      </c>
    </row>
    <row r="4656" spans="2:14" hidden="1" x14ac:dyDescent="0.25">
      <c r="B4656" s="120">
        <v>4653</v>
      </c>
      <c r="C4656" s="123">
        <v>10212875011</v>
      </c>
      <c r="D4656" s="126" t="s">
        <v>16742</v>
      </c>
      <c r="E4656" s="126" t="s">
        <v>16743</v>
      </c>
      <c r="F4656" s="123" t="s">
        <v>30</v>
      </c>
      <c r="G4656" s="123" t="s">
        <v>48</v>
      </c>
      <c r="H4656" s="123" t="s">
        <v>49</v>
      </c>
      <c r="I4656" s="126" t="s">
        <v>16744</v>
      </c>
      <c r="J4656" s="123" t="s">
        <v>16745</v>
      </c>
      <c r="K4656" s="123" t="s">
        <v>16742</v>
      </c>
      <c r="L4656" s="131" t="s">
        <v>100</v>
      </c>
      <c r="M4656" s="135" t="s">
        <v>845</v>
      </c>
      <c r="N4656" s="123" t="s">
        <v>845</v>
      </c>
    </row>
    <row r="4657" spans="2:14" hidden="1" x14ac:dyDescent="0.25">
      <c r="B4657" s="120">
        <v>4654</v>
      </c>
      <c r="C4657" s="123">
        <v>10758301996</v>
      </c>
      <c r="D4657" s="126" t="s">
        <v>16746</v>
      </c>
      <c r="E4657" s="126" t="s">
        <v>16747</v>
      </c>
      <c r="F4657" s="123" t="s">
        <v>30</v>
      </c>
      <c r="G4657" s="123" t="s">
        <v>30</v>
      </c>
      <c r="H4657" s="123" t="s">
        <v>86</v>
      </c>
      <c r="I4657" s="126" t="s">
        <v>1424</v>
      </c>
      <c r="J4657" s="123" t="s">
        <v>16748</v>
      </c>
      <c r="K4657" s="123" t="s">
        <v>16746</v>
      </c>
      <c r="L4657" s="131" t="s">
        <v>100</v>
      </c>
      <c r="M4657" s="135" t="s">
        <v>845</v>
      </c>
      <c r="N4657" s="123" t="s">
        <v>845</v>
      </c>
    </row>
    <row r="4658" spans="2:14" hidden="1" x14ac:dyDescent="0.25">
      <c r="B4658" s="120">
        <v>4655</v>
      </c>
      <c r="C4658" s="123">
        <v>10466775750</v>
      </c>
      <c r="D4658" s="126" t="s">
        <v>16749</v>
      </c>
      <c r="E4658" s="126" t="s">
        <v>16750</v>
      </c>
      <c r="F4658" s="123" t="s">
        <v>30</v>
      </c>
      <c r="G4658" s="123" t="s">
        <v>30</v>
      </c>
      <c r="H4658" s="123" t="s">
        <v>51</v>
      </c>
      <c r="I4658" s="126" t="s">
        <v>8743</v>
      </c>
      <c r="J4658" s="123" t="s">
        <v>16751</v>
      </c>
      <c r="K4658" s="123" t="s">
        <v>16749</v>
      </c>
      <c r="L4658" s="131" t="s">
        <v>100</v>
      </c>
      <c r="M4658" s="135" t="s">
        <v>845</v>
      </c>
      <c r="N4658" s="123" t="s">
        <v>845</v>
      </c>
    </row>
    <row r="4659" spans="2:14" hidden="1" x14ac:dyDescent="0.25">
      <c r="B4659" s="120">
        <v>4656</v>
      </c>
      <c r="C4659" s="123">
        <v>10708034105</v>
      </c>
      <c r="D4659" s="126" t="s">
        <v>16752</v>
      </c>
      <c r="E4659" s="126" t="s">
        <v>16753</v>
      </c>
      <c r="F4659" s="123" t="s">
        <v>30</v>
      </c>
      <c r="G4659" s="123" t="s">
        <v>30</v>
      </c>
      <c r="H4659" s="123" t="s">
        <v>75</v>
      </c>
      <c r="I4659" s="126" t="s">
        <v>12735</v>
      </c>
      <c r="J4659" s="123" t="s">
        <v>16754</v>
      </c>
      <c r="K4659" s="123" t="s">
        <v>16752</v>
      </c>
      <c r="L4659" s="131" t="s">
        <v>100</v>
      </c>
      <c r="M4659" s="135" t="s">
        <v>845</v>
      </c>
      <c r="N4659" s="123" t="s">
        <v>845</v>
      </c>
    </row>
    <row r="4660" spans="2:14" hidden="1" x14ac:dyDescent="0.25">
      <c r="B4660" s="120">
        <v>4657</v>
      </c>
      <c r="C4660" s="123">
        <v>10060854756</v>
      </c>
      <c r="D4660" s="126" t="s">
        <v>16755</v>
      </c>
      <c r="E4660" s="126" t="s">
        <v>16756</v>
      </c>
      <c r="F4660" s="123" t="s">
        <v>67</v>
      </c>
      <c r="G4660" s="123" t="s">
        <v>67</v>
      </c>
      <c r="H4660" s="123" t="s">
        <v>67</v>
      </c>
      <c r="I4660" s="126" t="s">
        <v>1950</v>
      </c>
      <c r="J4660" s="123" t="s">
        <v>16757</v>
      </c>
      <c r="K4660" s="123" t="s">
        <v>16755</v>
      </c>
      <c r="L4660" s="131" t="s">
        <v>100</v>
      </c>
      <c r="M4660" s="135" t="s">
        <v>845</v>
      </c>
      <c r="N4660" s="123" t="s">
        <v>845</v>
      </c>
    </row>
    <row r="4661" spans="2:14" hidden="1" x14ac:dyDescent="0.25">
      <c r="B4661" s="120">
        <v>4658</v>
      </c>
      <c r="C4661" s="123">
        <v>10256946713</v>
      </c>
      <c r="D4661" s="126" t="s">
        <v>16758</v>
      </c>
      <c r="E4661" s="126" t="s">
        <v>16759</v>
      </c>
      <c r="F4661" s="123" t="s">
        <v>67</v>
      </c>
      <c r="G4661" s="123" t="s">
        <v>67</v>
      </c>
      <c r="H4661" s="123" t="s">
        <v>94</v>
      </c>
      <c r="I4661" s="126" t="s">
        <v>8743</v>
      </c>
      <c r="J4661" s="123" t="s">
        <v>16760</v>
      </c>
      <c r="K4661" s="123" t="s">
        <v>16758</v>
      </c>
      <c r="L4661" s="131" t="s">
        <v>100</v>
      </c>
      <c r="M4661" s="135" t="s">
        <v>845</v>
      </c>
      <c r="N4661" s="123" t="s">
        <v>845</v>
      </c>
    </row>
    <row r="4662" spans="2:14" hidden="1" x14ac:dyDescent="0.25">
      <c r="B4662" s="120">
        <v>4659</v>
      </c>
      <c r="C4662" s="123">
        <v>10106781261</v>
      </c>
      <c r="D4662" s="126" t="s">
        <v>16761</v>
      </c>
      <c r="E4662" s="126" t="s">
        <v>16762</v>
      </c>
      <c r="F4662" s="123" t="s">
        <v>30</v>
      </c>
      <c r="G4662" s="123" t="s">
        <v>30</v>
      </c>
      <c r="H4662" s="123" t="s">
        <v>30</v>
      </c>
      <c r="I4662" s="126" t="s">
        <v>1737</v>
      </c>
      <c r="J4662" s="123" t="s">
        <v>16763</v>
      </c>
      <c r="K4662" s="123" t="s">
        <v>16761</v>
      </c>
      <c r="L4662" s="131" t="s">
        <v>100</v>
      </c>
      <c r="M4662" s="135" t="s">
        <v>845</v>
      </c>
      <c r="N4662" s="123" t="s">
        <v>845</v>
      </c>
    </row>
    <row r="4663" spans="2:14" hidden="1" x14ac:dyDescent="0.25">
      <c r="B4663" s="120">
        <v>4660</v>
      </c>
      <c r="C4663" s="123">
        <v>10157108277</v>
      </c>
      <c r="D4663" s="126" t="s">
        <v>16764</v>
      </c>
      <c r="E4663" s="126" t="s">
        <v>16765</v>
      </c>
      <c r="F4663" s="123" t="s">
        <v>30</v>
      </c>
      <c r="G4663" s="123" t="s">
        <v>168</v>
      </c>
      <c r="H4663" s="123" t="s">
        <v>168</v>
      </c>
      <c r="I4663" s="126" t="s">
        <v>1551</v>
      </c>
      <c r="J4663" s="123" t="s">
        <v>16766</v>
      </c>
      <c r="K4663" s="123" t="s">
        <v>16767</v>
      </c>
      <c r="L4663" s="131" t="s">
        <v>100</v>
      </c>
      <c r="M4663" s="135" t="s">
        <v>845</v>
      </c>
      <c r="N4663" s="123" t="s">
        <v>845</v>
      </c>
    </row>
    <row r="4664" spans="2:14" hidden="1" x14ac:dyDescent="0.25">
      <c r="B4664" s="120">
        <v>4661</v>
      </c>
      <c r="C4664" s="123">
        <v>15294598194</v>
      </c>
      <c r="D4664" s="126" t="s">
        <v>16768</v>
      </c>
      <c r="E4664" s="126" t="s">
        <v>16769</v>
      </c>
      <c r="F4664" s="123" t="s">
        <v>30</v>
      </c>
      <c r="G4664" s="123" t="s">
        <v>30</v>
      </c>
      <c r="H4664" s="123" t="s">
        <v>50</v>
      </c>
      <c r="I4664" s="126" t="s">
        <v>8743</v>
      </c>
      <c r="J4664" s="123" t="s">
        <v>16770</v>
      </c>
      <c r="K4664" s="123" t="s">
        <v>16768</v>
      </c>
      <c r="L4664" s="131" t="s">
        <v>100</v>
      </c>
      <c r="M4664" s="135" t="s">
        <v>845</v>
      </c>
      <c r="N4664" s="123" t="s">
        <v>845</v>
      </c>
    </row>
    <row r="4665" spans="2:14" hidden="1" x14ac:dyDescent="0.25">
      <c r="B4665" s="120">
        <v>4662</v>
      </c>
      <c r="C4665" s="123">
        <v>10469268999</v>
      </c>
      <c r="D4665" s="126" t="s">
        <v>16771</v>
      </c>
      <c r="E4665" s="126" t="s">
        <v>16772</v>
      </c>
      <c r="F4665" s="123" t="s">
        <v>30</v>
      </c>
      <c r="G4665" s="123" t="s">
        <v>30</v>
      </c>
      <c r="H4665" s="123" t="s">
        <v>72</v>
      </c>
      <c r="I4665" s="126" t="s">
        <v>1737</v>
      </c>
      <c r="J4665" s="123" t="s">
        <v>16773</v>
      </c>
      <c r="K4665" s="123" t="s">
        <v>16774</v>
      </c>
      <c r="L4665" s="131" t="s">
        <v>100</v>
      </c>
      <c r="M4665" s="135" t="s">
        <v>845</v>
      </c>
      <c r="N4665" s="123" t="s">
        <v>845</v>
      </c>
    </row>
    <row r="4666" spans="2:14" hidden="1" x14ac:dyDescent="0.25">
      <c r="B4666" s="120">
        <v>4663</v>
      </c>
      <c r="C4666" s="123">
        <v>10412310999</v>
      </c>
      <c r="D4666" s="126" t="s">
        <v>16775</v>
      </c>
      <c r="E4666" s="126" t="s">
        <v>16776</v>
      </c>
      <c r="F4666" s="123" t="s">
        <v>30</v>
      </c>
      <c r="G4666" s="123" t="s">
        <v>30</v>
      </c>
      <c r="H4666" s="123" t="s">
        <v>30</v>
      </c>
      <c r="I4666" s="126" t="s">
        <v>1930</v>
      </c>
      <c r="J4666" s="123" t="s">
        <v>16777</v>
      </c>
      <c r="K4666" s="123" t="s">
        <v>16778</v>
      </c>
      <c r="L4666" s="131" t="s">
        <v>100</v>
      </c>
      <c r="M4666" s="135" t="s">
        <v>845</v>
      </c>
      <c r="N4666" s="123" t="s">
        <v>845</v>
      </c>
    </row>
    <row r="4667" spans="2:14" hidden="1" x14ac:dyDescent="0.25">
      <c r="B4667" s="120">
        <v>4664</v>
      </c>
      <c r="C4667" s="123">
        <v>10459463688</v>
      </c>
      <c r="D4667" s="126" t="s">
        <v>16779</v>
      </c>
      <c r="E4667" s="126" t="s">
        <v>16780</v>
      </c>
      <c r="F4667" s="123" t="s">
        <v>67</v>
      </c>
      <c r="G4667" s="123" t="s">
        <v>67</v>
      </c>
      <c r="H4667" s="123" t="s">
        <v>94</v>
      </c>
      <c r="I4667" s="126" t="s">
        <v>10244</v>
      </c>
      <c r="J4667" s="123" t="s">
        <v>16781</v>
      </c>
      <c r="K4667" s="123" t="s">
        <v>16779</v>
      </c>
      <c r="L4667" s="131" t="s">
        <v>100</v>
      </c>
      <c r="M4667" s="135" t="s">
        <v>845</v>
      </c>
      <c r="N4667" s="123" t="s">
        <v>845</v>
      </c>
    </row>
    <row r="4668" spans="2:14" hidden="1" x14ac:dyDescent="0.25">
      <c r="B4668" s="120">
        <v>4665</v>
      </c>
      <c r="C4668" s="123">
        <v>10459688817</v>
      </c>
      <c r="D4668" s="126" t="s">
        <v>16782</v>
      </c>
      <c r="E4668" s="126" t="s">
        <v>16783</v>
      </c>
      <c r="F4668" s="123" t="s">
        <v>30</v>
      </c>
      <c r="G4668" s="123" t="s">
        <v>31</v>
      </c>
      <c r="H4668" s="123" t="s">
        <v>150</v>
      </c>
      <c r="I4668" s="126" t="s">
        <v>12353</v>
      </c>
      <c r="J4668" s="123" t="s">
        <v>16784</v>
      </c>
      <c r="K4668" s="123" t="s">
        <v>16782</v>
      </c>
      <c r="L4668" s="131" t="s">
        <v>100</v>
      </c>
      <c r="M4668" s="135" t="s">
        <v>845</v>
      </c>
      <c r="N4668" s="123" t="s">
        <v>845</v>
      </c>
    </row>
    <row r="4669" spans="2:14" hidden="1" x14ac:dyDescent="0.25">
      <c r="B4669" s="120">
        <v>4666</v>
      </c>
      <c r="C4669" s="123">
        <v>10465108296</v>
      </c>
      <c r="D4669" s="126" t="s">
        <v>16785</v>
      </c>
      <c r="E4669" s="126" t="s">
        <v>16786</v>
      </c>
      <c r="F4669" s="123" t="s">
        <v>30</v>
      </c>
      <c r="G4669" s="123" t="s">
        <v>31</v>
      </c>
      <c r="H4669" s="123" t="s">
        <v>139</v>
      </c>
      <c r="I4669" s="126" t="s">
        <v>1424</v>
      </c>
      <c r="J4669" s="123" t="s">
        <v>16787</v>
      </c>
      <c r="K4669" s="123" t="s">
        <v>16785</v>
      </c>
      <c r="L4669" s="131" t="s">
        <v>100</v>
      </c>
      <c r="M4669" s="135" t="s">
        <v>845</v>
      </c>
      <c r="N4669" s="123" t="s">
        <v>845</v>
      </c>
    </row>
    <row r="4670" spans="2:14" hidden="1" x14ac:dyDescent="0.25">
      <c r="B4670" s="120">
        <v>4667</v>
      </c>
      <c r="C4670" s="123">
        <v>10153456998</v>
      </c>
      <c r="D4670" s="126" t="s">
        <v>16788</v>
      </c>
      <c r="E4670" s="126" t="s">
        <v>16789</v>
      </c>
      <c r="F4670" s="123" t="s">
        <v>30</v>
      </c>
      <c r="G4670" s="123" t="s">
        <v>31</v>
      </c>
      <c r="H4670" s="123" t="s">
        <v>139</v>
      </c>
      <c r="I4670" s="126" t="s">
        <v>10025</v>
      </c>
      <c r="J4670" s="123" t="s">
        <v>16790</v>
      </c>
      <c r="K4670" s="123" t="s">
        <v>16788</v>
      </c>
      <c r="L4670" s="131" t="s">
        <v>100</v>
      </c>
      <c r="M4670" s="135" t="s">
        <v>845</v>
      </c>
      <c r="N4670" s="123" t="s">
        <v>845</v>
      </c>
    </row>
    <row r="4671" spans="2:14" hidden="1" x14ac:dyDescent="0.25">
      <c r="B4671" s="120">
        <v>4668</v>
      </c>
      <c r="C4671" s="123">
        <v>10470413790</v>
      </c>
      <c r="D4671" s="126" t="s">
        <v>16791</v>
      </c>
      <c r="E4671" s="126" t="s">
        <v>16792</v>
      </c>
      <c r="F4671" s="123" t="s">
        <v>30</v>
      </c>
      <c r="G4671" s="123" t="s">
        <v>30</v>
      </c>
      <c r="H4671" s="123" t="s">
        <v>75</v>
      </c>
      <c r="I4671" s="126" t="s">
        <v>1950</v>
      </c>
      <c r="J4671" s="123" t="s">
        <v>16793</v>
      </c>
      <c r="K4671" s="123" t="s">
        <v>16791</v>
      </c>
      <c r="L4671" s="131" t="s">
        <v>100</v>
      </c>
      <c r="M4671" s="135" t="s">
        <v>845</v>
      </c>
      <c r="N4671" s="123" t="s">
        <v>845</v>
      </c>
    </row>
    <row r="4672" spans="2:14" hidden="1" x14ac:dyDescent="0.25">
      <c r="B4672" s="120">
        <v>4669</v>
      </c>
      <c r="C4672" s="123">
        <v>10721371625</v>
      </c>
      <c r="D4672" s="126" t="s">
        <v>16794</v>
      </c>
      <c r="E4672" s="126" t="s">
        <v>16795</v>
      </c>
      <c r="F4672" s="123" t="s">
        <v>30</v>
      </c>
      <c r="G4672" s="123" t="s">
        <v>30</v>
      </c>
      <c r="H4672" s="123" t="s">
        <v>75</v>
      </c>
      <c r="I4672" s="126" t="s">
        <v>1365</v>
      </c>
      <c r="J4672" s="123" t="s">
        <v>16796</v>
      </c>
      <c r="K4672" s="123" t="s">
        <v>16794</v>
      </c>
      <c r="L4672" s="131" t="s">
        <v>100</v>
      </c>
      <c r="M4672" s="135" t="s">
        <v>845</v>
      </c>
      <c r="N4672" s="123" t="s">
        <v>845</v>
      </c>
    </row>
    <row r="4673" spans="2:14" hidden="1" x14ac:dyDescent="0.25">
      <c r="B4673" s="120">
        <v>4670</v>
      </c>
      <c r="C4673" s="123">
        <v>10442598580</v>
      </c>
      <c r="D4673" s="126" t="s">
        <v>16797</v>
      </c>
      <c r="E4673" s="126" t="s">
        <v>16798</v>
      </c>
      <c r="F4673" s="123" t="s">
        <v>30</v>
      </c>
      <c r="G4673" s="123" t="s">
        <v>54</v>
      </c>
      <c r="H4673" s="123" t="s">
        <v>55</v>
      </c>
      <c r="I4673" s="126" t="s">
        <v>10829</v>
      </c>
      <c r="J4673" s="123" t="s">
        <v>16799</v>
      </c>
      <c r="K4673" s="123" t="s">
        <v>16797</v>
      </c>
      <c r="L4673" s="131" t="s">
        <v>100</v>
      </c>
      <c r="M4673" s="135" t="s">
        <v>845</v>
      </c>
      <c r="N4673" s="123" t="s">
        <v>845</v>
      </c>
    </row>
    <row r="4674" spans="2:14" hidden="1" x14ac:dyDescent="0.25">
      <c r="B4674" s="120">
        <v>4671</v>
      </c>
      <c r="C4674" s="123">
        <v>10724938006</v>
      </c>
      <c r="D4674" s="126" t="s">
        <v>16800</v>
      </c>
      <c r="E4674" s="126" t="s">
        <v>16801</v>
      </c>
      <c r="F4674" s="123" t="s">
        <v>30</v>
      </c>
      <c r="G4674" s="123" t="s">
        <v>30</v>
      </c>
      <c r="H4674" s="123" t="s">
        <v>43</v>
      </c>
      <c r="I4674" s="126" t="s">
        <v>1424</v>
      </c>
      <c r="J4674" s="123" t="s">
        <v>16802</v>
      </c>
      <c r="K4674" s="123" t="s">
        <v>16800</v>
      </c>
      <c r="L4674" s="131" t="s">
        <v>100</v>
      </c>
      <c r="M4674" s="135" t="s">
        <v>845</v>
      </c>
      <c r="N4674" s="123" t="s">
        <v>845</v>
      </c>
    </row>
    <row r="4675" spans="2:14" hidden="1" x14ac:dyDescent="0.25">
      <c r="B4675" s="120">
        <v>4672</v>
      </c>
      <c r="C4675" s="123">
        <v>10153546091</v>
      </c>
      <c r="D4675" s="126" t="s">
        <v>16803</v>
      </c>
      <c r="E4675" s="126" t="s">
        <v>16804</v>
      </c>
      <c r="F4675" s="123" t="s">
        <v>30</v>
      </c>
      <c r="G4675" s="123" t="s">
        <v>31</v>
      </c>
      <c r="H4675" s="123" t="s">
        <v>9381</v>
      </c>
      <c r="I4675" s="126" t="s">
        <v>9903</v>
      </c>
      <c r="J4675" s="123" t="s">
        <v>16805</v>
      </c>
      <c r="K4675" s="123" t="s">
        <v>16803</v>
      </c>
      <c r="L4675" s="131" t="s">
        <v>100</v>
      </c>
      <c r="M4675" s="135" t="s">
        <v>845</v>
      </c>
      <c r="N4675" s="123" t="s">
        <v>845</v>
      </c>
    </row>
    <row r="4676" spans="2:14" hidden="1" x14ac:dyDescent="0.25">
      <c r="B4676" s="120">
        <v>4673</v>
      </c>
      <c r="C4676" s="123">
        <v>10404753580</v>
      </c>
      <c r="D4676" s="126" t="s">
        <v>16806</v>
      </c>
      <c r="E4676" s="126" t="s">
        <v>16807</v>
      </c>
      <c r="F4676" s="123" t="s">
        <v>30</v>
      </c>
      <c r="G4676" s="123" t="s">
        <v>30</v>
      </c>
      <c r="H4676" s="123" t="s">
        <v>75</v>
      </c>
      <c r="I4676" s="126" t="s">
        <v>1737</v>
      </c>
      <c r="J4676" s="123" t="s">
        <v>16808</v>
      </c>
      <c r="K4676" s="123" t="s">
        <v>16806</v>
      </c>
      <c r="L4676" s="131" t="s">
        <v>100</v>
      </c>
      <c r="M4676" s="135" t="s">
        <v>845</v>
      </c>
      <c r="N4676" s="123" t="s">
        <v>845</v>
      </c>
    </row>
    <row r="4677" spans="2:14" hidden="1" x14ac:dyDescent="0.25">
      <c r="B4677" s="120">
        <v>4674</v>
      </c>
      <c r="C4677" s="123">
        <v>10722749478</v>
      </c>
      <c r="D4677" s="126" t="s">
        <v>16809</v>
      </c>
      <c r="E4677" s="126" t="s">
        <v>16810</v>
      </c>
      <c r="F4677" s="123" t="s">
        <v>30</v>
      </c>
      <c r="G4677" s="123" t="s">
        <v>30</v>
      </c>
      <c r="H4677" s="123" t="s">
        <v>50</v>
      </c>
      <c r="I4677" s="126" t="s">
        <v>1424</v>
      </c>
      <c r="J4677" s="123" t="s">
        <v>16811</v>
      </c>
      <c r="K4677" s="123" t="s">
        <v>16809</v>
      </c>
      <c r="L4677" s="131" t="s">
        <v>100</v>
      </c>
      <c r="M4677" s="135" t="s">
        <v>845</v>
      </c>
      <c r="N4677" s="123" t="s">
        <v>845</v>
      </c>
    </row>
    <row r="4678" spans="2:14" hidden="1" x14ac:dyDescent="0.25">
      <c r="B4678" s="120">
        <v>4675</v>
      </c>
      <c r="C4678" s="123">
        <v>10447074457</v>
      </c>
      <c r="D4678" s="126" t="s">
        <v>16812</v>
      </c>
      <c r="E4678" s="126" t="s">
        <v>16813</v>
      </c>
      <c r="F4678" s="123" t="s">
        <v>30</v>
      </c>
      <c r="G4678" s="123" t="s">
        <v>30</v>
      </c>
      <c r="H4678" s="123" t="s">
        <v>38</v>
      </c>
      <c r="I4678" s="126" t="s">
        <v>16814</v>
      </c>
      <c r="J4678" s="123" t="s">
        <v>16815</v>
      </c>
      <c r="K4678" s="123" t="s">
        <v>16816</v>
      </c>
      <c r="L4678" s="131" t="s">
        <v>100</v>
      </c>
      <c r="M4678" s="135" t="s">
        <v>845</v>
      </c>
      <c r="N4678" s="123" t="s">
        <v>845</v>
      </c>
    </row>
    <row r="4679" spans="2:14" hidden="1" x14ac:dyDescent="0.25">
      <c r="B4679" s="120">
        <v>4676</v>
      </c>
      <c r="C4679" s="123">
        <v>10459973155</v>
      </c>
      <c r="D4679" s="126" t="s">
        <v>16817</v>
      </c>
      <c r="E4679" s="126" t="s">
        <v>16818</v>
      </c>
      <c r="F4679" s="123" t="s">
        <v>30</v>
      </c>
      <c r="G4679" s="123" t="s">
        <v>168</v>
      </c>
      <c r="H4679" s="123" t="s">
        <v>168</v>
      </c>
      <c r="I4679" s="126" t="s">
        <v>1930</v>
      </c>
      <c r="J4679" s="123" t="s">
        <v>16819</v>
      </c>
      <c r="K4679" s="123" t="s">
        <v>16817</v>
      </c>
      <c r="L4679" s="131" t="s">
        <v>100</v>
      </c>
      <c r="M4679" s="135" t="s">
        <v>845</v>
      </c>
      <c r="N4679" s="123" t="s">
        <v>845</v>
      </c>
    </row>
    <row r="4680" spans="2:14" hidden="1" x14ac:dyDescent="0.25">
      <c r="B4680" s="120">
        <v>4677</v>
      </c>
      <c r="C4680" s="123">
        <v>10401347700</v>
      </c>
      <c r="D4680" s="126" t="s">
        <v>16820</v>
      </c>
      <c r="E4680" s="126" t="s">
        <v>16821</v>
      </c>
      <c r="F4680" s="123" t="s">
        <v>30</v>
      </c>
      <c r="G4680" s="123" t="s">
        <v>30</v>
      </c>
      <c r="H4680" s="123" t="s">
        <v>50</v>
      </c>
      <c r="I4680" s="126" t="s">
        <v>1528</v>
      </c>
      <c r="J4680" s="123" t="s">
        <v>16822</v>
      </c>
      <c r="K4680" s="123" t="s">
        <v>16823</v>
      </c>
      <c r="L4680" s="131" t="s">
        <v>100</v>
      </c>
      <c r="M4680" s="135" t="s">
        <v>845</v>
      </c>
      <c r="N4680" s="123" t="s">
        <v>845</v>
      </c>
    </row>
    <row r="4681" spans="2:14" hidden="1" x14ac:dyDescent="0.25">
      <c r="B4681" s="120">
        <v>4678</v>
      </c>
      <c r="C4681" s="123">
        <v>10403179847</v>
      </c>
      <c r="D4681" s="126" t="s">
        <v>16824</v>
      </c>
      <c r="E4681" s="126" t="s">
        <v>16825</v>
      </c>
      <c r="F4681" s="123" t="s">
        <v>30</v>
      </c>
      <c r="G4681" s="123" t="s">
        <v>30</v>
      </c>
      <c r="H4681" s="123" t="s">
        <v>72</v>
      </c>
      <c r="I4681" s="126" t="s">
        <v>10025</v>
      </c>
      <c r="J4681" s="123" t="s">
        <v>16826</v>
      </c>
      <c r="K4681" s="123" t="s">
        <v>16824</v>
      </c>
      <c r="L4681" s="131" t="s">
        <v>100</v>
      </c>
      <c r="M4681" s="135" t="s">
        <v>845</v>
      </c>
      <c r="N4681" s="123" t="s">
        <v>845</v>
      </c>
    </row>
    <row r="4682" spans="2:14" hidden="1" x14ac:dyDescent="0.25">
      <c r="B4682" s="120">
        <v>4679</v>
      </c>
      <c r="C4682" s="123">
        <v>10435210797</v>
      </c>
      <c r="D4682" s="126" t="s">
        <v>16827</v>
      </c>
      <c r="E4682" s="126" t="s">
        <v>16828</v>
      </c>
      <c r="F4682" s="123" t="s">
        <v>30</v>
      </c>
      <c r="G4682" s="123" t="s">
        <v>30</v>
      </c>
      <c r="H4682" s="123" t="s">
        <v>50</v>
      </c>
      <c r="I4682" s="126" t="s">
        <v>1701</v>
      </c>
      <c r="J4682" s="123" t="s">
        <v>16829</v>
      </c>
      <c r="K4682" s="123" t="s">
        <v>16827</v>
      </c>
      <c r="L4682" s="131" t="s">
        <v>100</v>
      </c>
      <c r="M4682" s="135" t="s">
        <v>845</v>
      </c>
      <c r="N4682" s="123" t="s">
        <v>845</v>
      </c>
    </row>
    <row r="4683" spans="2:14" hidden="1" x14ac:dyDescent="0.25">
      <c r="B4683" s="120">
        <v>4680</v>
      </c>
      <c r="C4683" s="123">
        <v>10457983081</v>
      </c>
      <c r="D4683" s="126" t="s">
        <v>16830</v>
      </c>
      <c r="E4683" s="126" t="s">
        <v>16831</v>
      </c>
      <c r="F4683" s="123" t="s">
        <v>30</v>
      </c>
      <c r="G4683" s="123" t="s">
        <v>30</v>
      </c>
      <c r="H4683" s="123" t="s">
        <v>41</v>
      </c>
      <c r="I4683" s="126" t="s">
        <v>9960</v>
      </c>
      <c r="J4683" s="123" t="s">
        <v>16832</v>
      </c>
      <c r="K4683" s="123" t="s">
        <v>16830</v>
      </c>
      <c r="L4683" s="131" t="s">
        <v>100</v>
      </c>
      <c r="M4683" s="135" t="s">
        <v>845</v>
      </c>
      <c r="N4683" s="123" t="s">
        <v>845</v>
      </c>
    </row>
    <row r="4684" spans="2:14" hidden="1" x14ac:dyDescent="0.25">
      <c r="B4684" s="120">
        <v>4681</v>
      </c>
      <c r="C4684" s="123">
        <v>10454360571</v>
      </c>
      <c r="D4684" s="126" t="s">
        <v>16833</v>
      </c>
      <c r="E4684" s="126" t="s">
        <v>16834</v>
      </c>
      <c r="F4684" s="123" t="s">
        <v>30</v>
      </c>
      <c r="G4684" s="123" t="s">
        <v>30</v>
      </c>
      <c r="H4684" s="123" t="s">
        <v>35</v>
      </c>
      <c r="I4684" s="126" t="s">
        <v>101</v>
      </c>
      <c r="J4684" s="123" t="s">
        <v>16835</v>
      </c>
      <c r="K4684" s="123" t="s">
        <v>16833</v>
      </c>
      <c r="L4684" s="131" t="s">
        <v>100</v>
      </c>
      <c r="M4684" s="135" t="s">
        <v>845</v>
      </c>
      <c r="N4684" s="123" t="s">
        <v>845</v>
      </c>
    </row>
    <row r="4685" spans="2:14" hidden="1" x14ac:dyDescent="0.25">
      <c r="B4685" s="120">
        <v>4682</v>
      </c>
      <c r="C4685" s="123">
        <v>10720468986</v>
      </c>
      <c r="D4685" s="126" t="s">
        <v>16836</v>
      </c>
      <c r="E4685" s="126" t="s">
        <v>16837</v>
      </c>
      <c r="F4685" s="123" t="s">
        <v>30</v>
      </c>
      <c r="G4685" s="123" t="s">
        <v>30</v>
      </c>
      <c r="H4685" s="123" t="s">
        <v>58</v>
      </c>
      <c r="I4685" s="126" t="s">
        <v>1701</v>
      </c>
      <c r="J4685" s="123" t="s">
        <v>16838</v>
      </c>
      <c r="K4685" s="123" t="s">
        <v>16836</v>
      </c>
      <c r="L4685" s="131" t="s">
        <v>100</v>
      </c>
      <c r="M4685" s="135" t="s">
        <v>845</v>
      </c>
      <c r="N4685" s="123" t="s">
        <v>845</v>
      </c>
    </row>
    <row r="4686" spans="2:14" hidden="1" x14ac:dyDescent="0.25">
      <c r="B4686" s="120">
        <v>4683</v>
      </c>
      <c r="C4686" s="123">
        <v>10405248561</v>
      </c>
      <c r="D4686" s="126" t="s">
        <v>16839</v>
      </c>
      <c r="E4686" s="126" t="s">
        <v>16840</v>
      </c>
      <c r="F4686" s="123" t="s">
        <v>30</v>
      </c>
      <c r="G4686" s="123" t="s">
        <v>30</v>
      </c>
      <c r="H4686" s="123" t="s">
        <v>68</v>
      </c>
      <c r="I4686" s="126" t="s">
        <v>1737</v>
      </c>
      <c r="J4686" s="123" t="s">
        <v>16841</v>
      </c>
      <c r="K4686" s="123" t="s">
        <v>16839</v>
      </c>
      <c r="L4686" s="131" t="s">
        <v>100</v>
      </c>
      <c r="M4686" s="135" t="s">
        <v>845</v>
      </c>
      <c r="N4686" s="123" t="s">
        <v>845</v>
      </c>
    </row>
    <row r="4687" spans="2:14" hidden="1" x14ac:dyDescent="0.25">
      <c r="B4687" s="120">
        <v>4684</v>
      </c>
      <c r="C4687" s="123">
        <v>10211367518</v>
      </c>
      <c r="D4687" s="126" t="s">
        <v>16842</v>
      </c>
      <c r="E4687" s="126" t="s">
        <v>16843</v>
      </c>
      <c r="F4687" s="123" t="s">
        <v>30</v>
      </c>
      <c r="G4687" s="123" t="s">
        <v>30</v>
      </c>
      <c r="H4687" s="123" t="s">
        <v>75</v>
      </c>
      <c r="I4687" s="126" t="s">
        <v>8743</v>
      </c>
      <c r="J4687" s="123" t="s">
        <v>16844</v>
      </c>
      <c r="K4687" s="123" t="s">
        <v>16842</v>
      </c>
      <c r="L4687" s="131" t="s">
        <v>100</v>
      </c>
      <c r="M4687" s="135" t="s">
        <v>845</v>
      </c>
      <c r="N4687" s="123" t="s">
        <v>845</v>
      </c>
    </row>
    <row r="4688" spans="2:14" hidden="1" x14ac:dyDescent="0.25">
      <c r="B4688" s="120">
        <v>4685</v>
      </c>
      <c r="C4688" s="123">
        <v>10454737623</v>
      </c>
      <c r="D4688" s="126" t="s">
        <v>16845</v>
      </c>
      <c r="E4688" s="126" t="s">
        <v>16846</v>
      </c>
      <c r="F4688" s="123" t="s">
        <v>30</v>
      </c>
      <c r="G4688" s="123" t="s">
        <v>30</v>
      </c>
      <c r="H4688" s="123" t="s">
        <v>45</v>
      </c>
      <c r="I4688" s="126" t="s">
        <v>1551</v>
      </c>
      <c r="J4688" s="123" t="s">
        <v>16847</v>
      </c>
      <c r="K4688" s="123" t="s">
        <v>16845</v>
      </c>
      <c r="L4688" s="131" t="s">
        <v>100</v>
      </c>
      <c r="M4688" s="135" t="s">
        <v>845</v>
      </c>
      <c r="N4688" s="123" t="s">
        <v>845</v>
      </c>
    </row>
    <row r="4689" spans="2:14" hidden="1" x14ac:dyDescent="0.25">
      <c r="B4689" s="120">
        <v>4686</v>
      </c>
      <c r="C4689" s="123">
        <v>10211354688</v>
      </c>
      <c r="D4689" s="126" t="s">
        <v>16848</v>
      </c>
      <c r="E4689" s="126" t="s">
        <v>16849</v>
      </c>
      <c r="F4689" s="123" t="s">
        <v>93</v>
      </c>
      <c r="G4689" s="123" t="s">
        <v>12989</v>
      </c>
      <c r="H4689" s="123" t="s">
        <v>12989</v>
      </c>
      <c r="I4689" s="126" t="s">
        <v>1931</v>
      </c>
      <c r="J4689" s="123" t="s">
        <v>16850</v>
      </c>
      <c r="K4689" s="123" t="s">
        <v>16848</v>
      </c>
      <c r="L4689" s="131" t="s">
        <v>100</v>
      </c>
      <c r="M4689" s="135" t="s">
        <v>845</v>
      </c>
      <c r="N4689" s="123" t="s">
        <v>845</v>
      </c>
    </row>
    <row r="4690" spans="2:14" hidden="1" x14ac:dyDescent="0.25">
      <c r="B4690" s="120">
        <v>4687</v>
      </c>
      <c r="C4690" s="123">
        <v>10104275139</v>
      </c>
      <c r="D4690" s="126" t="s">
        <v>16851</v>
      </c>
      <c r="E4690" s="126" t="s">
        <v>16852</v>
      </c>
      <c r="F4690" s="123" t="s">
        <v>30</v>
      </c>
      <c r="G4690" s="123" t="s">
        <v>30</v>
      </c>
      <c r="H4690" s="123" t="s">
        <v>30</v>
      </c>
      <c r="I4690" s="126" t="s">
        <v>1701</v>
      </c>
      <c r="J4690" s="123" t="s">
        <v>16853</v>
      </c>
      <c r="K4690" s="123" t="s">
        <v>16851</v>
      </c>
      <c r="L4690" s="131" t="s">
        <v>100</v>
      </c>
      <c r="M4690" s="135" t="s">
        <v>845</v>
      </c>
      <c r="N4690" s="123" t="s">
        <v>845</v>
      </c>
    </row>
    <row r="4691" spans="2:14" hidden="1" x14ac:dyDescent="0.25">
      <c r="B4691" s="120">
        <v>4688</v>
      </c>
      <c r="C4691" s="123">
        <v>10418718167</v>
      </c>
      <c r="D4691" s="126" t="s">
        <v>16854</v>
      </c>
      <c r="E4691" s="126" t="s">
        <v>16855</v>
      </c>
      <c r="F4691" s="123" t="s">
        <v>30</v>
      </c>
      <c r="G4691" s="123" t="s">
        <v>30</v>
      </c>
      <c r="H4691" s="123" t="s">
        <v>40</v>
      </c>
      <c r="I4691" s="126" t="s">
        <v>1564</v>
      </c>
      <c r="J4691" s="123" t="s">
        <v>16856</v>
      </c>
      <c r="K4691" s="123" t="s">
        <v>16854</v>
      </c>
      <c r="L4691" s="131" t="s">
        <v>100</v>
      </c>
      <c r="M4691" s="135" t="s">
        <v>845</v>
      </c>
      <c r="N4691" s="123" t="s">
        <v>845</v>
      </c>
    </row>
    <row r="4692" spans="2:14" hidden="1" x14ac:dyDescent="0.25">
      <c r="B4692" s="120">
        <v>4689</v>
      </c>
      <c r="C4692" s="123">
        <v>10762348484</v>
      </c>
      <c r="D4692" s="126" t="s">
        <v>16857</v>
      </c>
      <c r="E4692" s="126" t="s">
        <v>16858</v>
      </c>
      <c r="F4692" s="123" t="s">
        <v>30</v>
      </c>
      <c r="G4692" s="123" t="s">
        <v>30</v>
      </c>
      <c r="H4692" s="123" t="s">
        <v>41</v>
      </c>
      <c r="I4692" s="126" t="s">
        <v>1701</v>
      </c>
      <c r="J4692" s="123" t="s">
        <v>16859</v>
      </c>
      <c r="K4692" s="123" t="s">
        <v>16857</v>
      </c>
      <c r="L4692" s="131" t="s">
        <v>100</v>
      </c>
      <c r="M4692" s="135" t="s">
        <v>845</v>
      </c>
      <c r="N4692" s="123" t="s">
        <v>845</v>
      </c>
    </row>
    <row r="4693" spans="2:14" hidden="1" x14ac:dyDescent="0.25">
      <c r="B4693" s="120">
        <v>4690</v>
      </c>
      <c r="C4693" s="123">
        <v>10454986186</v>
      </c>
      <c r="D4693" s="126" t="s">
        <v>16860</v>
      </c>
      <c r="E4693" s="126" t="s">
        <v>16861</v>
      </c>
      <c r="F4693" s="123" t="s">
        <v>30</v>
      </c>
      <c r="G4693" s="123" t="s">
        <v>30</v>
      </c>
      <c r="H4693" s="123" t="s">
        <v>45</v>
      </c>
      <c r="I4693" s="126" t="s">
        <v>16862</v>
      </c>
      <c r="J4693" s="123" t="s">
        <v>16863</v>
      </c>
      <c r="K4693" s="123" t="s">
        <v>16860</v>
      </c>
      <c r="L4693" s="131" t="s">
        <v>100</v>
      </c>
      <c r="M4693" s="135" t="s">
        <v>845</v>
      </c>
      <c r="N4693" s="123" t="s">
        <v>845</v>
      </c>
    </row>
    <row r="4694" spans="2:14" hidden="1" x14ac:dyDescent="0.25">
      <c r="B4694" s="120">
        <v>4691</v>
      </c>
      <c r="C4694" s="123">
        <v>10105181073</v>
      </c>
      <c r="D4694" s="126" t="s">
        <v>16864</v>
      </c>
      <c r="E4694" s="126" t="s">
        <v>16865</v>
      </c>
      <c r="F4694" s="123" t="s">
        <v>30</v>
      </c>
      <c r="G4694" s="123" t="s">
        <v>30</v>
      </c>
      <c r="H4694" s="123" t="s">
        <v>68</v>
      </c>
      <c r="I4694" s="126" t="s">
        <v>87</v>
      </c>
      <c r="J4694" s="123" t="s">
        <v>16866</v>
      </c>
      <c r="K4694" s="123" t="s">
        <v>16864</v>
      </c>
      <c r="L4694" s="131" t="s">
        <v>100</v>
      </c>
      <c r="M4694" s="135" t="s">
        <v>845</v>
      </c>
      <c r="N4694" s="123" t="s">
        <v>845</v>
      </c>
    </row>
    <row r="4695" spans="2:14" hidden="1" x14ac:dyDescent="0.25">
      <c r="B4695" s="120">
        <v>4692</v>
      </c>
      <c r="C4695" s="123">
        <v>10075220630</v>
      </c>
      <c r="D4695" s="126" t="s">
        <v>16867</v>
      </c>
      <c r="E4695" s="126" t="s">
        <v>16868</v>
      </c>
      <c r="F4695" s="123" t="s">
        <v>30</v>
      </c>
      <c r="G4695" s="123" t="s">
        <v>30</v>
      </c>
      <c r="H4695" s="123" t="s">
        <v>43</v>
      </c>
      <c r="I4695" s="126" t="s">
        <v>8659</v>
      </c>
      <c r="J4695" s="123" t="s">
        <v>16869</v>
      </c>
      <c r="K4695" s="123" t="s">
        <v>16867</v>
      </c>
      <c r="L4695" s="131" t="s">
        <v>100</v>
      </c>
      <c r="M4695" s="135" t="s">
        <v>845</v>
      </c>
      <c r="N4695" s="123" t="s">
        <v>845</v>
      </c>
    </row>
    <row r="4696" spans="2:14" hidden="1" x14ac:dyDescent="0.25">
      <c r="B4696" s="120">
        <v>4693</v>
      </c>
      <c r="C4696" s="123">
        <v>10438959195</v>
      </c>
      <c r="D4696" s="126" t="s">
        <v>16870</v>
      </c>
      <c r="E4696" s="126" t="s">
        <v>16871</v>
      </c>
      <c r="F4696" s="123" t="s">
        <v>30</v>
      </c>
      <c r="G4696" s="123" t="s">
        <v>30</v>
      </c>
      <c r="H4696" s="123" t="s">
        <v>60</v>
      </c>
      <c r="I4696" s="126" t="s">
        <v>1701</v>
      </c>
      <c r="J4696" s="123" t="s">
        <v>16872</v>
      </c>
      <c r="K4696" s="123" t="s">
        <v>16870</v>
      </c>
      <c r="L4696" s="131" t="s">
        <v>100</v>
      </c>
      <c r="M4696" s="135" t="s">
        <v>845</v>
      </c>
      <c r="N4696" s="123" t="s">
        <v>845</v>
      </c>
    </row>
    <row r="4697" spans="2:14" hidden="1" x14ac:dyDescent="0.25">
      <c r="B4697" s="120">
        <v>4694</v>
      </c>
      <c r="C4697" s="123">
        <v>10314900796</v>
      </c>
      <c r="D4697" s="126" t="s">
        <v>16873</v>
      </c>
      <c r="E4697" s="126" t="s">
        <v>16874</v>
      </c>
      <c r="F4697" s="123" t="s">
        <v>30</v>
      </c>
      <c r="G4697" s="123" t="s">
        <v>48</v>
      </c>
      <c r="H4697" s="123" t="s">
        <v>155</v>
      </c>
      <c r="I4697" s="126" t="s">
        <v>1701</v>
      </c>
      <c r="J4697" s="123" t="s">
        <v>16875</v>
      </c>
      <c r="K4697" s="123" t="s">
        <v>16873</v>
      </c>
      <c r="L4697" s="131" t="s">
        <v>100</v>
      </c>
      <c r="M4697" s="135" t="s">
        <v>845</v>
      </c>
      <c r="N4697" s="123" t="s">
        <v>845</v>
      </c>
    </row>
    <row r="4698" spans="2:14" hidden="1" x14ac:dyDescent="0.25">
      <c r="B4698" s="120">
        <v>4695</v>
      </c>
      <c r="C4698" s="123">
        <v>10727151384</v>
      </c>
      <c r="D4698" s="126" t="s">
        <v>16876</v>
      </c>
      <c r="E4698" s="126" t="s">
        <v>16877</v>
      </c>
      <c r="F4698" s="123" t="s">
        <v>30</v>
      </c>
      <c r="G4698" s="123" t="s">
        <v>30</v>
      </c>
      <c r="H4698" s="123" t="s">
        <v>88</v>
      </c>
      <c r="I4698" s="126" t="s">
        <v>1950</v>
      </c>
      <c r="J4698" s="123" t="s">
        <v>16878</v>
      </c>
      <c r="K4698" s="123" t="s">
        <v>16879</v>
      </c>
      <c r="L4698" s="131" t="s">
        <v>100</v>
      </c>
      <c r="M4698" s="135" t="s">
        <v>845</v>
      </c>
      <c r="N4698" s="123" t="s">
        <v>845</v>
      </c>
    </row>
    <row r="4699" spans="2:14" hidden="1" x14ac:dyDescent="0.25">
      <c r="B4699" s="120">
        <v>4696</v>
      </c>
      <c r="C4699" s="123">
        <v>10461956195</v>
      </c>
      <c r="D4699" s="126" t="s">
        <v>16880</v>
      </c>
      <c r="E4699" s="126" t="s">
        <v>16881</v>
      </c>
      <c r="F4699" s="123" t="s">
        <v>30</v>
      </c>
      <c r="G4699" s="123" t="s">
        <v>30</v>
      </c>
      <c r="H4699" s="123" t="s">
        <v>50</v>
      </c>
      <c r="I4699" s="126" t="s">
        <v>1701</v>
      </c>
      <c r="J4699" s="123" t="s">
        <v>16882</v>
      </c>
      <c r="K4699" s="123" t="s">
        <v>16880</v>
      </c>
      <c r="L4699" s="131" t="s">
        <v>100</v>
      </c>
      <c r="M4699" s="135" t="s">
        <v>845</v>
      </c>
      <c r="N4699" s="123" t="s">
        <v>845</v>
      </c>
    </row>
    <row r="4700" spans="2:14" hidden="1" x14ac:dyDescent="0.25">
      <c r="B4700" s="120">
        <v>4697</v>
      </c>
      <c r="C4700" s="123">
        <v>10037011211</v>
      </c>
      <c r="D4700" s="126" t="s">
        <v>16883</v>
      </c>
      <c r="E4700" s="126" t="s">
        <v>16884</v>
      </c>
      <c r="F4700" s="123" t="s">
        <v>30</v>
      </c>
      <c r="G4700" s="123" t="s">
        <v>30</v>
      </c>
      <c r="H4700" s="123" t="s">
        <v>72</v>
      </c>
      <c r="I4700" s="126" t="s">
        <v>1701</v>
      </c>
      <c r="J4700" s="123" t="s">
        <v>16885</v>
      </c>
      <c r="K4700" s="123" t="s">
        <v>16883</v>
      </c>
      <c r="L4700" s="131" t="s">
        <v>100</v>
      </c>
      <c r="M4700" s="135" t="s">
        <v>845</v>
      </c>
      <c r="N4700" s="123" t="s">
        <v>845</v>
      </c>
    </row>
    <row r="4701" spans="2:14" hidden="1" x14ac:dyDescent="0.25">
      <c r="B4701" s="120">
        <v>4698</v>
      </c>
      <c r="C4701" s="123">
        <v>10452303278</v>
      </c>
      <c r="D4701" s="126" t="s">
        <v>16886</v>
      </c>
      <c r="E4701" s="126" t="s">
        <v>16887</v>
      </c>
      <c r="F4701" s="123" t="s">
        <v>30</v>
      </c>
      <c r="G4701" s="123" t="s">
        <v>30</v>
      </c>
      <c r="H4701" s="123" t="s">
        <v>80</v>
      </c>
      <c r="I4701" s="126" t="s">
        <v>16888</v>
      </c>
      <c r="J4701" s="123" t="s">
        <v>16889</v>
      </c>
      <c r="K4701" s="123" t="s">
        <v>16886</v>
      </c>
      <c r="L4701" s="131" t="s">
        <v>100</v>
      </c>
      <c r="M4701" s="135" t="s">
        <v>845</v>
      </c>
      <c r="N4701" s="123" t="s">
        <v>845</v>
      </c>
    </row>
    <row r="4702" spans="2:14" hidden="1" x14ac:dyDescent="0.25">
      <c r="B4702" s="120">
        <v>4699</v>
      </c>
      <c r="C4702" s="123">
        <v>10038882738</v>
      </c>
      <c r="D4702" s="126" t="s">
        <v>16890</v>
      </c>
      <c r="E4702" s="126" t="s">
        <v>16891</v>
      </c>
      <c r="F4702" s="123" t="s">
        <v>30</v>
      </c>
      <c r="G4702" s="123" t="s">
        <v>168</v>
      </c>
      <c r="H4702" s="123" t="s">
        <v>168</v>
      </c>
      <c r="I4702" s="126" t="s">
        <v>11346</v>
      </c>
      <c r="J4702" s="123" t="s">
        <v>16892</v>
      </c>
      <c r="K4702" s="123" t="s">
        <v>16890</v>
      </c>
      <c r="L4702" s="131" t="s">
        <v>100</v>
      </c>
      <c r="M4702" s="135" t="s">
        <v>845</v>
      </c>
      <c r="N4702" s="123" t="s">
        <v>845</v>
      </c>
    </row>
    <row r="4703" spans="2:14" hidden="1" x14ac:dyDescent="0.25">
      <c r="B4703" s="120">
        <v>4700</v>
      </c>
      <c r="C4703" s="123">
        <v>10443277353</v>
      </c>
      <c r="D4703" s="126" t="s">
        <v>16893</v>
      </c>
      <c r="E4703" s="126" t="s">
        <v>16894</v>
      </c>
      <c r="F4703" s="123" t="s">
        <v>30</v>
      </c>
      <c r="G4703" s="123" t="s">
        <v>30</v>
      </c>
      <c r="H4703" s="123" t="s">
        <v>50</v>
      </c>
      <c r="I4703" s="126" t="s">
        <v>1439</v>
      </c>
      <c r="J4703" s="123" t="s">
        <v>16895</v>
      </c>
      <c r="K4703" s="123" t="s">
        <v>16893</v>
      </c>
      <c r="L4703" s="131" t="s">
        <v>100</v>
      </c>
      <c r="M4703" s="135" t="s">
        <v>845</v>
      </c>
      <c r="N4703" s="123" t="s">
        <v>845</v>
      </c>
    </row>
    <row r="4704" spans="2:14" hidden="1" x14ac:dyDescent="0.25">
      <c r="B4704" s="120">
        <v>4701</v>
      </c>
      <c r="C4704" s="123">
        <v>10489793411</v>
      </c>
      <c r="D4704" s="126" t="s">
        <v>16896</v>
      </c>
      <c r="E4704" s="126" t="s">
        <v>16897</v>
      </c>
      <c r="F4704" s="123" t="s">
        <v>30</v>
      </c>
      <c r="G4704" s="123" t="s">
        <v>30</v>
      </c>
      <c r="H4704" s="123" t="s">
        <v>52</v>
      </c>
      <c r="I4704" s="126" t="s">
        <v>1706</v>
      </c>
      <c r="J4704" s="123" t="s">
        <v>16898</v>
      </c>
      <c r="K4704" s="123" t="s">
        <v>16899</v>
      </c>
      <c r="L4704" s="131" t="s">
        <v>100</v>
      </c>
      <c r="M4704" s="135" t="s">
        <v>845</v>
      </c>
      <c r="N4704" s="123" t="s">
        <v>845</v>
      </c>
    </row>
    <row r="4705" spans="2:14" hidden="1" x14ac:dyDescent="0.25">
      <c r="B4705" s="120">
        <v>4702</v>
      </c>
      <c r="C4705" s="123">
        <v>10447408151</v>
      </c>
      <c r="D4705" s="126" t="s">
        <v>16900</v>
      </c>
      <c r="E4705" s="126" t="s">
        <v>16901</v>
      </c>
      <c r="F4705" s="123" t="s">
        <v>30</v>
      </c>
      <c r="G4705" s="123" t="s">
        <v>170</v>
      </c>
      <c r="H4705" s="123" t="s">
        <v>179</v>
      </c>
      <c r="I4705" s="126" t="s">
        <v>1701</v>
      </c>
      <c r="J4705" s="123" t="s">
        <v>16902</v>
      </c>
      <c r="K4705" s="123" t="s">
        <v>16900</v>
      </c>
      <c r="L4705" s="131" t="s">
        <v>100</v>
      </c>
      <c r="M4705" s="135" t="s">
        <v>845</v>
      </c>
      <c r="N4705" s="123" t="s">
        <v>845</v>
      </c>
    </row>
    <row r="4706" spans="2:14" hidden="1" x14ac:dyDescent="0.25">
      <c r="B4706" s="120">
        <v>4703</v>
      </c>
      <c r="C4706" s="123">
        <v>10439658598</v>
      </c>
      <c r="D4706" s="126" t="s">
        <v>16903</v>
      </c>
      <c r="E4706" s="126" t="s">
        <v>16904</v>
      </c>
      <c r="F4706" s="123" t="s">
        <v>30</v>
      </c>
      <c r="G4706" s="123" t="s">
        <v>30</v>
      </c>
      <c r="H4706" s="123" t="s">
        <v>58</v>
      </c>
      <c r="I4706" s="126" t="s">
        <v>16905</v>
      </c>
      <c r="J4706" s="123" t="s">
        <v>16906</v>
      </c>
      <c r="K4706" s="123" t="s">
        <v>16903</v>
      </c>
      <c r="L4706" s="131" t="s">
        <v>100</v>
      </c>
      <c r="M4706" s="135" t="s">
        <v>845</v>
      </c>
      <c r="N4706" s="123" t="s">
        <v>845</v>
      </c>
    </row>
    <row r="4707" spans="2:14" hidden="1" x14ac:dyDescent="0.25">
      <c r="B4707" s="120">
        <v>4704</v>
      </c>
      <c r="C4707" s="123">
        <v>10708432623</v>
      </c>
      <c r="D4707" s="126" t="s">
        <v>16907</v>
      </c>
      <c r="E4707" s="126" t="s">
        <v>16908</v>
      </c>
      <c r="F4707" s="123" t="s">
        <v>30</v>
      </c>
      <c r="G4707" s="123" t="s">
        <v>30</v>
      </c>
      <c r="H4707" s="123" t="s">
        <v>30</v>
      </c>
      <c r="I4707" s="126" t="s">
        <v>1450</v>
      </c>
      <c r="J4707" s="123" t="s">
        <v>16909</v>
      </c>
      <c r="K4707" s="123" t="s">
        <v>16910</v>
      </c>
      <c r="L4707" s="131" t="s">
        <v>100</v>
      </c>
      <c r="M4707" s="135" t="s">
        <v>845</v>
      </c>
      <c r="N4707" s="123" t="s">
        <v>845</v>
      </c>
    </row>
    <row r="4708" spans="2:14" hidden="1" x14ac:dyDescent="0.25">
      <c r="B4708" s="120">
        <v>4705</v>
      </c>
      <c r="C4708" s="123">
        <v>10738683736</v>
      </c>
      <c r="D4708" s="126" t="s">
        <v>16911</v>
      </c>
      <c r="E4708" s="126" t="s">
        <v>16912</v>
      </c>
      <c r="F4708" s="123" t="s">
        <v>30</v>
      </c>
      <c r="G4708" s="123" t="s">
        <v>30</v>
      </c>
      <c r="H4708" s="123" t="s">
        <v>35</v>
      </c>
      <c r="I4708" s="126" t="s">
        <v>1935</v>
      </c>
      <c r="J4708" s="123" t="s">
        <v>16913</v>
      </c>
      <c r="K4708" s="123" t="s">
        <v>16911</v>
      </c>
      <c r="L4708" s="131" t="s">
        <v>100</v>
      </c>
      <c r="M4708" s="135" t="s">
        <v>845</v>
      </c>
      <c r="N4708" s="123" t="s">
        <v>845</v>
      </c>
    </row>
    <row r="4709" spans="2:14" hidden="1" x14ac:dyDescent="0.25">
      <c r="B4709" s="120">
        <v>4706</v>
      </c>
      <c r="C4709" s="123">
        <v>10448271205</v>
      </c>
      <c r="D4709" s="126" t="s">
        <v>16914</v>
      </c>
      <c r="E4709" s="126" t="s">
        <v>16915</v>
      </c>
      <c r="F4709" s="123" t="s">
        <v>30</v>
      </c>
      <c r="G4709" s="123" t="s">
        <v>30</v>
      </c>
      <c r="H4709" s="123" t="s">
        <v>40</v>
      </c>
      <c r="I4709" s="126" t="s">
        <v>1938</v>
      </c>
      <c r="J4709" s="123" t="s">
        <v>16916</v>
      </c>
      <c r="K4709" s="123" t="s">
        <v>16914</v>
      </c>
      <c r="L4709" s="131" t="s">
        <v>100</v>
      </c>
      <c r="M4709" s="135" t="s">
        <v>845</v>
      </c>
      <c r="N4709" s="123" t="s">
        <v>845</v>
      </c>
    </row>
    <row r="4710" spans="2:14" hidden="1" x14ac:dyDescent="0.25">
      <c r="B4710" s="120">
        <v>4707</v>
      </c>
      <c r="C4710" s="123">
        <v>10073276085</v>
      </c>
      <c r="D4710" s="126" t="s">
        <v>16917</v>
      </c>
      <c r="E4710" s="126" t="s">
        <v>16918</v>
      </c>
      <c r="F4710" s="123" t="s">
        <v>30</v>
      </c>
      <c r="G4710" s="123" t="s">
        <v>30</v>
      </c>
      <c r="H4710" s="123" t="s">
        <v>41</v>
      </c>
      <c r="I4710" s="126" t="s">
        <v>1940</v>
      </c>
      <c r="J4710" s="123" t="s">
        <v>16919</v>
      </c>
      <c r="K4710" s="123" t="s">
        <v>16917</v>
      </c>
      <c r="L4710" s="131" t="s">
        <v>100</v>
      </c>
      <c r="M4710" s="135" t="s">
        <v>845</v>
      </c>
      <c r="N4710" s="123" t="s">
        <v>845</v>
      </c>
    </row>
    <row r="4711" spans="2:14" hidden="1" x14ac:dyDescent="0.25">
      <c r="B4711" s="120">
        <v>4708</v>
      </c>
      <c r="C4711" s="123">
        <v>10154207185</v>
      </c>
      <c r="D4711" s="126" t="s">
        <v>16920</v>
      </c>
      <c r="E4711" s="126" t="s">
        <v>16921</v>
      </c>
      <c r="F4711" s="123" t="s">
        <v>30</v>
      </c>
      <c r="G4711" s="123" t="s">
        <v>30</v>
      </c>
      <c r="H4711" s="123" t="s">
        <v>85</v>
      </c>
      <c r="I4711" s="126" t="s">
        <v>8825</v>
      </c>
      <c r="J4711" s="123" t="s">
        <v>16922</v>
      </c>
      <c r="K4711" s="123" t="s">
        <v>16920</v>
      </c>
      <c r="L4711" s="131" t="s">
        <v>100</v>
      </c>
      <c r="M4711" s="135" t="s">
        <v>845</v>
      </c>
      <c r="N4711" s="123" t="s">
        <v>845</v>
      </c>
    </row>
    <row r="4712" spans="2:14" hidden="1" x14ac:dyDescent="0.25">
      <c r="B4712" s="120">
        <v>4709</v>
      </c>
      <c r="C4712" s="123">
        <v>10727127661</v>
      </c>
      <c r="D4712" s="126" t="s">
        <v>16923</v>
      </c>
      <c r="E4712" s="126" t="s">
        <v>16924</v>
      </c>
      <c r="F4712" s="123" t="s">
        <v>30</v>
      </c>
      <c r="G4712" s="123" t="s">
        <v>170</v>
      </c>
      <c r="H4712" s="123" t="s">
        <v>174</v>
      </c>
      <c r="I4712" s="126" t="s">
        <v>1394</v>
      </c>
      <c r="J4712" s="123" t="s">
        <v>16925</v>
      </c>
      <c r="K4712" s="123" t="s">
        <v>16926</v>
      </c>
      <c r="L4712" s="131" t="s">
        <v>100</v>
      </c>
      <c r="M4712" s="135" t="s">
        <v>845</v>
      </c>
      <c r="N4712" s="123" t="s">
        <v>845</v>
      </c>
    </row>
    <row r="4713" spans="2:14" hidden="1" x14ac:dyDescent="0.25">
      <c r="B4713" s="120">
        <v>4710</v>
      </c>
      <c r="C4713" s="123">
        <v>10211220681</v>
      </c>
      <c r="D4713" s="126" t="s">
        <v>16927</v>
      </c>
      <c r="E4713" s="126" t="s">
        <v>16928</v>
      </c>
      <c r="F4713" s="123" t="s">
        <v>30</v>
      </c>
      <c r="G4713" s="123" t="s">
        <v>48</v>
      </c>
      <c r="H4713" s="123" t="s">
        <v>195</v>
      </c>
      <c r="I4713" s="126" t="s">
        <v>101</v>
      </c>
      <c r="J4713" s="123" t="s">
        <v>16929</v>
      </c>
      <c r="K4713" s="123" t="s">
        <v>16927</v>
      </c>
      <c r="L4713" s="131" t="s">
        <v>100</v>
      </c>
      <c r="M4713" s="135" t="s">
        <v>845</v>
      </c>
      <c r="N4713" s="123" t="s">
        <v>845</v>
      </c>
    </row>
    <row r="4714" spans="2:14" hidden="1" x14ac:dyDescent="0.25">
      <c r="B4714" s="120">
        <v>4711</v>
      </c>
      <c r="C4714" s="123">
        <v>10106274458</v>
      </c>
      <c r="D4714" s="126" t="s">
        <v>16930</v>
      </c>
      <c r="E4714" s="126" t="s">
        <v>16931</v>
      </c>
      <c r="F4714" s="123" t="s">
        <v>30</v>
      </c>
      <c r="G4714" s="123" t="s">
        <v>30</v>
      </c>
      <c r="H4714" s="123" t="s">
        <v>72</v>
      </c>
      <c r="I4714" s="126" t="s">
        <v>1942</v>
      </c>
      <c r="J4714" s="123" t="s">
        <v>16932</v>
      </c>
      <c r="K4714" s="123" t="s">
        <v>16930</v>
      </c>
      <c r="L4714" s="131" t="s">
        <v>100</v>
      </c>
      <c r="M4714" s="135" t="s">
        <v>845</v>
      </c>
      <c r="N4714" s="123" t="s">
        <v>845</v>
      </c>
    </row>
    <row r="4715" spans="2:14" hidden="1" x14ac:dyDescent="0.25">
      <c r="B4715" s="120">
        <v>4712</v>
      </c>
      <c r="C4715" s="123">
        <v>10092785420</v>
      </c>
      <c r="D4715" s="126" t="s">
        <v>16933</v>
      </c>
      <c r="E4715" s="126" t="s">
        <v>16934</v>
      </c>
      <c r="F4715" s="123" t="s">
        <v>67</v>
      </c>
      <c r="G4715" s="123" t="s">
        <v>67</v>
      </c>
      <c r="H4715" s="123" t="s">
        <v>143</v>
      </c>
      <c r="I4715" s="126" t="s">
        <v>1701</v>
      </c>
      <c r="J4715" s="123" t="s">
        <v>16935</v>
      </c>
      <c r="K4715" s="123" t="s">
        <v>16933</v>
      </c>
      <c r="L4715" s="131" t="s">
        <v>100</v>
      </c>
      <c r="M4715" s="135" t="s">
        <v>845</v>
      </c>
      <c r="N4715" s="123" t="s">
        <v>845</v>
      </c>
    </row>
    <row r="4716" spans="2:14" hidden="1" x14ac:dyDescent="0.25">
      <c r="B4716" s="120">
        <v>4713</v>
      </c>
      <c r="C4716" s="123">
        <v>10257054204</v>
      </c>
      <c r="D4716" s="126" t="s">
        <v>16936</v>
      </c>
      <c r="E4716" s="126" t="s">
        <v>16937</v>
      </c>
      <c r="F4716" s="123" t="s">
        <v>30</v>
      </c>
      <c r="G4716" s="123" t="s">
        <v>30</v>
      </c>
      <c r="H4716" s="123" t="s">
        <v>51</v>
      </c>
      <c r="I4716" s="126" t="s">
        <v>1424</v>
      </c>
      <c r="J4716" s="123" t="s">
        <v>16938</v>
      </c>
      <c r="K4716" s="123" t="s">
        <v>16939</v>
      </c>
      <c r="L4716" s="131" t="s">
        <v>100</v>
      </c>
      <c r="M4716" s="135" t="s">
        <v>845</v>
      </c>
      <c r="N4716" s="123" t="s">
        <v>845</v>
      </c>
    </row>
    <row r="4717" spans="2:14" hidden="1" x14ac:dyDescent="0.25">
      <c r="B4717" s="120">
        <v>4714</v>
      </c>
      <c r="C4717" s="123">
        <v>10478059049</v>
      </c>
      <c r="D4717" s="126" t="s">
        <v>16940</v>
      </c>
      <c r="E4717" s="126" t="s">
        <v>16941</v>
      </c>
      <c r="F4717" s="123" t="s">
        <v>93</v>
      </c>
      <c r="G4717" s="123" t="s">
        <v>12989</v>
      </c>
      <c r="H4717" s="123" t="s">
        <v>12989</v>
      </c>
      <c r="I4717" s="126" t="s">
        <v>1424</v>
      </c>
      <c r="J4717" s="123" t="s">
        <v>16942</v>
      </c>
      <c r="K4717" s="123" t="s">
        <v>16943</v>
      </c>
      <c r="L4717" s="131" t="s">
        <v>100</v>
      </c>
      <c r="M4717" s="135" t="s">
        <v>845</v>
      </c>
      <c r="N4717" s="123" t="s">
        <v>845</v>
      </c>
    </row>
    <row r="4718" spans="2:14" hidden="1" x14ac:dyDescent="0.25">
      <c r="B4718" s="120">
        <v>4715</v>
      </c>
      <c r="C4718" s="123">
        <v>10484438639</v>
      </c>
      <c r="D4718" s="126" t="s">
        <v>16944</v>
      </c>
      <c r="E4718" s="126" t="s">
        <v>16945</v>
      </c>
      <c r="F4718" s="123" t="s">
        <v>30</v>
      </c>
      <c r="G4718" s="123" t="s">
        <v>30</v>
      </c>
      <c r="H4718" s="123" t="s">
        <v>75</v>
      </c>
      <c r="I4718" s="126" t="s">
        <v>1706</v>
      </c>
      <c r="J4718" s="123" t="s">
        <v>16946</v>
      </c>
      <c r="K4718" s="123" t="s">
        <v>16944</v>
      </c>
      <c r="L4718" s="131" t="s">
        <v>100</v>
      </c>
      <c r="M4718" s="135" t="s">
        <v>845</v>
      </c>
      <c r="N4718" s="123" t="s">
        <v>845</v>
      </c>
    </row>
    <row r="4719" spans="2:14" hidden="1" x14ac:dyDescent="0.25">
      <c r="B4719" s="120">
        <v>4716</v>
      </c>
      <c r="C4719" s="123">
        <v>10258603619</v>
      </c>
      <c r="D4719" s="126" t="s">
        <v>16947</v>
      </c>
      <c r="E4719" s="126" t="s">
        <v>16948</v>
      </c>
      <c r="F4719" s="123" t="s">
        <v>67</v>
      </c>
      <c r="G4719" s="123" t="s">
        <v>67</v>
      </c>
      <c r="H4719" s="123" t="s">
        <v>67</v>
      </c>
      <c r="I4719" s="126" t="s">
        <v>1941</v>
      </c>
      <c r="J4719" s="123" t="s">
        <v>16949</v>
      </c>
      <c r="K4719" s="123" t="s">
        <v>16950</v>
      </c>
      <c r="L4719" s="131" t="s">
        <v>100</v>
      </c>
      <c r="M4719" s="135" t="s">
        <v>845</v>
      </c>
      <c r="N4719" s="123" t="s">
        <v>845</v>
      </c>
    </row>
    <row r="4720" spans="2:14" hidden="1" x14ac:dyDescent="0.25">
      <c r="B4720" s="120">
        <v>4717</v>
      </c>
      <c r="C4720" s="123">
        <v>10094793292</v>
      </c>
      <c r="D4720" s="126" t="s">
        <v>16951</v>
      </c>
      <c r="E4720" s="126" t="s">
        <v>16952</v>
      </c>
      <c r="F4720" s="123" t="s">
        <v>30</v>
      </c>
      <c r="G4720" s="123" t="s">
        <v>30</v>
      </c>
      <c r="H4720" s="123" t="s">
        <v>30</v>
      </c>
      <c r="I4720" s="126" t="s">
        <v>5016</v>
      </c>
      <c r="J4720" s="123" t="s">
        <v>16953</v>
      </c>
      <c r="K4720" s="123" t="s">
        <v>16954</v>
      </c>
      <c r="L4720" s="131" t="s">
        <v>100</v>
      </c>
      <c r="M4720" s="135" t="s">
        <v>845</v>
      </c>
      <c r="N4720" s="123" t="s">
        <v>845</v>
      </c>
    </row>
    <row r="4721" spans="2:14" hidden="1" x14ac:dyDescent="0.25">
      <c r="B4721" s="120">
        <v>4718</v>
      </c>
      <c r="C4721" s="123">
        <v>10404714916</v>
      </c>
      <c r="D4721" s="126" t="s">
        <v>16955</v>
      </c>
      <c r="E4721" s="126" t="s">
        <v>16956</v>
      </c>
      <c r="F4721" s="123" t="s">
        <v>67</v>
      </c>
      <c r="G4721" s="123" t="s">
        <v>67</v>
      </c>
      <c r="H4721" s="123" t="s">
        <v>94</v>
      </c>
      <c r="I4721" s="126" t="s">
        <v>1931</v>
      </c>
      <c r="J4721" s="123" t="s">
        <v>16957</v>
      </c>
      <c r="K4721" s="123" t="s">
        <v>16955</v>
      </c>
      <c r="L4721" s="131" t="s">
        <v>100</v>
      </c>
      <c r="M4721" s="135" t="s">
        <v>845</v>
      </c>
      <c r="N4721" s="123" t="s">
        <v>845</v>
      </c>
    </row>
    <row r="4722" spans="2:14" hidden="1" x14ac:dyDescent="0.25">
      <c r="B4722" s="120">
        <v>4719</v>
      </c>
      <c r="C4722" s="123">
        <v>10405929347</v>
      </c>
      <c r="D4722" s="126" t="s">
        <v>16958</v>
      </c>
      <c r="E4722" s="126" t="s">
        <v>16959</v>
      </c>
      <c r="F4722" s="123" t="s">
        <v>30</v>
      </c>
      <c r="G4722" s="123" t="s">
        <v>170</v>
      </c>
      <c r="H4722" s="123" t="s">
        <v>170</v>
      </c>
      <c r="I4722" s="126" t="s">
        <v>1701</v>
      </c>
      <c r="J4722" s="123" t="s">
        <v>16960</v>
      </c>
      <c r="K4722" s="123" t="s">
        <v>16958</v>
      </c>
      <c r="L4722" s="131" t="s">
        <v>100</v>
      </c>
      <c r="M4722" s="135" t="s">
        <v>845</v>
      </c>
      <c r="N4722" s="123" t="s">
        <v>845</v>
      </c>
    </row>
    <row r="4723" spans="2:14" hidden="1" x14ac:dyDescent="0.25">
      <c r="B4723" s="120">
        <v>4720</v>
      </c>
      <c r="C4723" s="123">
        <v>10458433424</v>
      </c>
      <c r="D4723" s="126" t="s">
        <v>16961</v>
      </c>
      <c r="E4723" s="126" t="s">
        <v>16962</v>
      </c>
      <c r="F4723" s="123" t="s">
        <v>30</v>
      </c>
      <c r="G4723" s="123" t="s">
        <v>30</v>
      </c>
      <c r="H4723" s="123" t="s">
        <v>30</v>
      </c>
      <c r="I4723" s="126" t="s">
        <v>1564</v>
      </c>
      <c r="J4723" s="123" t="s">
        <v>16963</v>
      </c>
      <c r="K4723" s="123" t="s">
        <v>16964</v>
      </c>
      <c r="L4723" s="131" t="s">
        <v>100</v>
      </c>
      <c r="M4723" s="135" t="s">
        <v>845</v>
      </c>
      <c r="N4723" s="123" t="s">
        <v>845</v>
      </c>
    </row>
    <row r="4724" spans="2:14" hidden="1" x14ac:dyDescent="0.25">
      <c r="B4724" s="120">
        <v>4721</v>
      </c>
      <c r="C4724" s="123">
        <v>10702560671</v>
      </c>
      <c r="D4724" s="126" t="s">
        <v>16965</v>
      </c>
      <c r="E4724" s="126" t="s">
        <v>16966</v>
      </c>
      <c r="F4724" s="123" t="s">
        <v>30</v>
      </c>
      <c r="G4724" s="123" t="s">
        <v>170</v>
      </c>
      <c r="H4724" s="123" t="s">
        <v>173</v>
      </c>
      <c r="I4724" s="126" t="s">
        <v>1936</v>
      </c>
      <c r="J4724" s="123" t="s">
        <v>16967</v>
      </c>
      <c r="K4724" s="123" t="s">
        <v>16965</v>
      </c>
      <c r="L4724" s="131" t="s">
        <v>100</v>
      </c>
      <c r="M4724" s="135" t="s">
        <v>845</v>
      </c>
      <c r="N4724" s="123" t="s">
        <v>845</v>
      </c>
    </row>
    <row r="4725" spans="2:14" hidden="1" x14ac:dyDescent="0.25">
      <c r="B4725" s="120">
        <v>4722</v>
      </c>
      <c r="C4725" s="123">
        <v>10802231909</v>
      </c>
      <c r="D4725" s="126" t="s">
        <v>16968</v>
      </c>
      <c r="E4725" s="126" t="s">
        <v>16969</v>
      </c>
      <c r="F4725" s="123" t="s">
        <v>30</v>
      </c>
      <c r="G4725" s="123" t="s">
        <v>30</v>
      </c>
      <c r="H4725" s="123" t="s">
        <v>30</v>
      </c>
      <c r="I4725" s="126" t="s">
        <v>1983</v>
      </c>
      <c r="J4725" s="123" t="s">
        <v>16970</v>
      </c>
      <c r="K4725" s="123" t="s">
        <v>16968</v>
      </c>
      <c r="L4725" s="131" t="s">
        <v>100</v>
      </c>
      <c r="M4725" s="135" t="s">
        <v>845</v>
      </c>
      <c r="N4725" s="123" t="s">
        <v>845</v>
      </c>
    </row>
    <row r="4726" spans="2:14" hidden="1" x14ac:dyDescent="0.25">
      <c r="B4726" s="120">
        <v>4723</v>
      </c>
      <c r="C4726" s="123">
        <v>10463306040</v>
      </c>
      <c r="D4726" s="126" t="s">
        <v>16971</v>
      </c>
      <c r="E4726" s="126" t="s">
        <v>16972</v>
      </c>
      <c r="F4726" s="123" t="s">
        <v>30</v>
      </c>
      <c r="G4726" s="123" t="s">
        <v>30</v>
      </c>
      <c r="H4726" s="123" t="s">
        <v>40</v>
      </c>
      <c r="I4726" s="126" t="s">
        <v>10115</v>
      </c>
      <c r="J4726" s="123" t="s">
        <v>16973</v>
      </c>
      <c r="K4726" s="123" t="s">
        <v>16971</v>
      </c>
      <c r="L4726" s="131" t="s">
        <v>100</v>
      </c>
      <c r="M4726" s="135" t="s">
        <v>845</v>
      </c>
      <c r="N4726" s="123" t="s">
        <v>845</v>
      </c>
    </row>
    <row r="4727" spans="2:14" hidden="1" x14ac:dyDescent="0.25">
      <c r="B4727" s="120">
        <v>4724</v>
      </c>
      <c r="C4727" s="123">
        <v>10421117361</v>
      </c>
      <c r="D4727" s="126" t="s">
        <v>16974</v>
      </c>
      <c r="E4727" s="126" t="s">
        <v>16975</v>
      </c>
      <c r="F4727" s="123" t="s">
        <v>30</v>
      </c>
      <c r="G4727" s="123" t="s">
        <v>30</v>
      </c>
      <c r="H4727" s="123" t="s">
        <v>72</v>
      </c>
      <c r="I4727" s="126" t="s">
        <v>1957</v>
      </c>
      <c r="J4727" s="123" t="s">
        <v>16976</v>
      </c>
      <c r="K4727" s="123" t="s">
        <v>16974</v>
      </c>
      <c r="L4727" s="131" t="s">
        <v>100</v>
      </c>
      <c r="M4727" s="135" t="s">
        <v>845</v>
      </c>
      <c r="N4727" s="123" t="s">
        <v>845</v>
      </c>
    </row>
    <row r="4728" spans="2:14" hidden="1" x14ac:dyDescent="0.25">
      <c r="B4728" s="120">
        <v>4725</v>
      </c>
      <c r="C4728" s="123">
        <v>10421200101</v>
      </c>
      <c r="D4728" s="126" t="s">
        <v>16977</v>
      </c>
      <c r="E4728" s="126" t="s">
        <v>16978</v>
      </c>
      <c r="F4728" s="123" t="s">
        <v>30</v>
      </c>
      <c r="G4728" s="123" t="s">
        <v>30</v>
      </c>
      <c r="H4728" s="123" t="s">
        <v>44</v>
      </c>
      <c r="I4728" s="126" t="s">
        <v>1595</v>
      </c>
      <c r="J4728" s="123" t="s">
        <v>16979</v>
      </c>
      <c r="K4728" s="123" t="s">
        <v>16977</v>
      </c>
      <c r="L4728" s="131" t="s">
        <v>100</v>
      </c>
      <c r="M4728" s="135" t="s">
        <v>845</v>
      </c>
      <c r="N4728" s="123" t="s">
        <v>845</v>
      </c>
    </row>
    <row r="4729" spans="2:14" hidden="1" x14ac:dyDescent="0.25">
      <c r="B4729" s="120">
        <v>4726</v>
      </c>
      <c r="C4729" s="123">
        <v>10422917409</v>
      </c>
      <c r="D4729" s="126" t="s">
        <v>16980</v>
      </c>
      <c r="E4729" s="126" t="s">
        <v>16981</v>
      </c>
      <c r="F4729" s="123" t="s">
        <v>30</v>
      </c>
      <c r="G4729" s="123" t="s">
        <v>30</v>
      </c>
      <c r="H4729" s="123" t="s">
        <v>34</v>
      </c>
      <c r="I4729" s="126" t="s">
        <v>1931</v>
      </c>
      <c r="J4729" s="123" t="s">
        <v>16982</v>
      </c>
      <c r="K4729" s="123" t="s">
        <v>16983</v>
      </c>
      <c r="L4729" s="131" t="s">
        <v>100</v>
      </c>
      <c r="M4729" s="135" t="s">
        <v>845</v>
      </c>
      <c r="N4729" s="123" t="s">
        <v>845</v>
      </c>
    </row>
    <row r="4730" spans="2:14" hidden="1" x14ac:dyDescent="0.25">
      <c r="B4730" s="120">
        <v>4727</v>
      </c>
      <c r="C4730" s="123">
        <v>10204409060</v>
      </c>
      <c r="D4730" s="126" t="s">
        <v>16984</v>
      </c>
      <c r="E4730" s="126" t="s">
        <v>16985</v>
      </c>
      <c r="F4730" s="123" t="s">
        <v>30</v>
      </c>
      <c r="G4730" s="123" t="s">
        <v>30</v>
      </c>
      <c r="H4730" s="123" t="s">
        <v>40</v>
      </c>
      <c r="I4730" s="126" t="s">
        <v>1564</v>
      </c>
      <c r="J4730" s="123" t="s">
        <v>16986</v>
      </c>
      <c r="K4730" s="123" t="s">
        <v>16984</v>
      </c>
      <c r="L4730" s="131" t="s">
        <v>100</v>
      </c>
      <c r="M4730" s="135" t="s">
        <v>845</v>
      </c>
      <c r="N4730" s="123" t="s">
        <v>845</v>
      </c>
    </row>
    <row r="4731" spans="2:14" hidden="1" x14ac:dyDescent="0.25">
      <c r="B4731" s="120">
        <v>4728</v>
      </c>
      <c r="C4731" s="123">
        <v>10405435824</v>
      </c>
      <c r="D4731" s="126" t="s">
        <v>16987</v>
      </c>
      <c r="E4731" s="126" t="s">
        <v>16988</v>
      </c>
      <c r="F4731" s="123" t="s">
        <v>30</v>
      </c>
      <c r="G4731" s="123" t="s">
        <v>30</v>
      </c>
      <c r="H4731" s="123" t="s">
        <v>60</v>
      </c>
      <c r="I4731" s="126" t="s">
        <v>1706</v>
      </c>
      <c r="J4731" s="123" t="s">
        <v>16989</v>
      </c>
      <c r="K4731" s="123" t="s">
        <v>16990</v>
      </c>
      <c r="L4731" s="131" t="s">
        <v>100</v>
      </c>
      <c r="M4731" s="135" t="s">
        <v>845</v>
      </c>
      <c r="N4731" s="123" t="s">
        <v>845</v>
      </c>
    </row>
    <row r="4732" spans="2:14" hidden="1" x14ac:dyDescent="0.25">
      <c r="B4732" s="120">
        <v>4729</v>
      </c>
      <c r="C4732" s="123">
        <v>10098345847</v>
      </c>
      <c r="D4732" s="126" t="s">
        <v>16991</v>
      </c>
      <c r="E4732" s="126" t="s">
        <v>16992</v>
      </c>
      <c r="F4732" s="123" t="s">
        <v>30</v>
      </c>
      <c r="G4732" s="123" t="s">
        <v>30</v>
      </c>
      <c r="H4732" s="123" t="s">
        <v>68</v>
      </c>
      <c r="I4732" s="126" t="s">
        <v>16993</v>
      </c>
      <c r="J4732" s="123" t="s">
        <v>16994</v>
      </c>
      <c r="K4732" s="123" t="s">
        <v>16991</v>
      </c>
      <c r="L4732" s="131" t="s">
        <v>100</v>
      </c>
      <c r="M4732" s="135" t="s">
        <v>845</v>
      </c>
      <c r="N4732" s="123" t="s">
        <v>845</v>
      </c>
    </row>
    <row r="4733" spans="2:14" hidden="1" x14ac:dyDescent="0.25">
      <c r="B4733" s="120">
        <v>4730</v>
      </c>
      <c r="C4733" s="123">
        <v>10102359467</v>
      </c>
      <c r="D4733" s="126" t="s">
        <v>16995</v>
      </c>
      <c r="E4733" s="126" t="s">
        <v>16996</v>
      </c>
      <c r="F4733" s="123" t="s">
        <v>30</v>
      </c>
      <c r="G4733" s="123" t="s">
        <v>30</v>
      </c>
      <c r="H4733" s="123" t="s">
        <v>60</v>
      </c>
      <c r="I4733" s="126" t="s">
        <v>16997</v>
      </c>
      <c r="J4733" s="123" t="s">
        <v>16998</v>
      </c>
      <c r="K4733" s="123" t="s">
        <v>16995</v>
      </c>
      <c r="L4733" s="131" t="s">
        <v>100</v>
      </c>
      <c r="M4733" s="135" t="s">
        <v>845</v>
      </c>
      <c r="N4733" s="123" t="s">
        <v>845</v>
      </c>
    </row>
    <row r="4734" spans="2:14" hidden="1" x14ac:dyDescent="0.25">
      <c r="B4734" s="120">
        <v>4731</v>
      </c>
      <c r="C4734" s="123">
        <v>10107971420</v>
      </c>
      <c r="D4734" s="126" t="s">
        <v>16999</v>
      </c>
      <c r="E4734" s="126" t="s">
        <v>17000</v>
      </c>
      <c r="F4734" s="123" t="s">
        <v>30</v>
      </c>
      <c r="G4734" s="123" t="s">
        <v>30</v>
      </c>
      <c r="H4734" s="123" t="s">
        <v>51</v>
      </c>
      <c r="I4734" s="126" t="s">
        <v>8659</v>
      </c>
      <c r="J4734" s="123" t="s">
        <v>17001</v>
      </c>
      <c r="K4734" s="123" t="s">
        <v>16999</v>
      </c>
      <c r="L4734" s="131" t="s">
        <v>100</v>
      </c>
      <c r="M4734" s="135" t="s">
        <v>845</v>
      </c>
      <c r="N4734" s="123" t="s">
        <v>845</v>
      </c>
    </row>
    <row r="4735" spans="2:14" hidden="1" x14ac:dyDescent="0.25">
      <c r="B4735" s="120">
        <v>4732</v>
      </c>
      <c r="C4735" s="123">
        <v>10406646853</v>
      </c>
      <c r="D4735" s="126" t="s">
        <v>17002</v>
      </c>
      <c r="E4735" s="126" t="s">
        <v>17003</v>
      </c>
      <c r="F4735" s="123" t="s">
        <v>30</v>
      </c>
      <c r="G4735" s="123" t="s">
        <v>30</v>
      </c>
      <c r="H4735" s="123" t="s">
        <v>72</v>
      </c>
      <c r="I4735" s="126" t="s">
        <v>8659</v>
      </c>
      <c r="J4735" s="123" t="s">
        <v>17004</v>
      </c>
      <c r="K4735" s="123" t="s">
        <v>17002</v>
      </c>
      <c r="L4735" s="131" t="s">
        <v>100</v>
      </c>
      <c r="M4735" s="135" t="s">
        <v>845</v>
      </c>
      <c r="N4735" s="123" t="s">
        <v>845</v>
      </c>
    </row>
    <row r="4736" spans="2:14" hidden="1" x14ac:dyDescent="0.25">
      <c r="B4736" s="120">
        <v>4733</v>
      </c>
      <c r="C4736" s="123">
        <v>10296043155</v>
      </c>
      <c r="D4736" s="126" t="s">
        <v>17005</v>
      </c>
      <c r="E4736" s="126" t="s">
        <v>17006</v>
      </c>
      <c r="F4736" s="123" t="s">
        <v>30</v>
      </c>
      <c r="G4736" s="123" t="s">
        <v>30</v>
      </c>
      <c r="H4736" s="123" t="s">
        <v>85</v>
      </c>
      <c r="I4736" s="126" t="s">
        <v>1701</v>
      </c>
      <c r="J4736" s="123" t="s">
        <v>17007</v>
      </c>
      <c r="K4736" s="123" t="s">
        <v>17005</v>
      </c>
      <c r="L4736" s="131" t="s">
        <v>100</v>
      </c>
      <c r="M4736" s="135" t="s">
        <v>845</v>
      </c>
      <c r="N4736" s="123" t="s">
        <v>845</v>
      </c>
    </row>
    <row r="4737" spans="2:14" hidden="1" x14ac:dyDescent="0.25">
      <c r="B4737" s="120">
        <v>4734</v>
      </c>
      <c r="C4737" s="123">
        <v>10095774607</v>
      </c>
      <c r="D4737" s="126" t="s">
        <v>17008</v>
      </c>
      <c r="E4737" s="126" t="s">
        <v>17009</v>
      </c>
      <c r="F4737" s="123" t="s">
        <v>30</v>
      </c>
      <c r="G4737" s="123" t="s">
        <v>30</v>
      </c>
      <c r="H4737" s="123" t="s">
        <v>38</v>
      </c>
      <c r="I4737" s="126" t="s">
        <v>6746</v>
      </c>
      <c r="J4737" s="123" t="s">
        <v>17010</v>
      </c>
      <c r="K4737" s="123" t="s">
        <v>17008</v>
      </c>
      <c r="L4737" s="131" t="s">
        <v>100</v>
      </c>
      <c r="M4737" s="135" t="s">
        <v>845</v>
      </c>
      <c r="N4737" s="123" t="s">
        <v>845</v>
      </c>
    </row>
    <row r="4738" spans="2:14" hidden="1" x14ac:dyDescent="0.25">
      <c r="B4738" s="120">
        <v>4735</v>
      </c>
      <c r="C4738" s="123">
        <v>10457548643</v>
      </c>
      <c r="D4738" s="126" t="s">
        <v>17011</v>
      </c>
      <c r="E4738" s="126" t="s">
        <v>17012</v>
      </c>
      <c r="F4738" s="123" t="s">
        <v>30</v>
      </c>
      <c r="G4738" s="123" t="s">
        <v>30</v>
      </c>
      <c r="H4738" s="123" t="s">
        <v>75</v>
      </c>
      <c r="I4738" s="126" t="s">
        <v>1450</v>
      </c>
      <c r="J4738" s="123" t="s">
        <v>17013</v>
      </c>
      <c r="K4738" s="123" t="s">
        <v>17011</v>
      </c>
      <c r="L4738" s="131" t="s">
        <v>100</v>
      </c>
      <c r="M4738" s="135" t="s">
        <v>845</v>
      </c>
      <c r="N4738" s="123" t="s">
        <v>845</v>
      </c>
    </row>
    <row r="4739" spans="2:14" hidden="1" x14ac:dyDescent="0.25">
      <c r="B4739" s="120">
        <v>4736</v>
      </c>
      <c r="C4739" s="123">
        <v>10107512204</v>
      </c>
      <c r="D4739" s="126" t="s">
        <v>1975</v>
      </c>
      <c r="E4739" s="126" t="s">
        <v>17014</v>
      </c>
      <c r="F4739" s="123" t="s">
        <v>30</v>
      </c>
      <c r="G4739" s="123" t="s">
        <v>30</v>
      </c>
      <c r="H4739" s="123" t="s">
        <v>80</v>
      </c>
      <c r="I4739" s="126" t="s">
        <v>10661</v>
      </c>
      <c r="J4739" s="123" t="s">
        <v>5682</v>
      </c>
      <c r="K4739" s="123" t="s">
        <v>17015</v>
      </c>
      <c r="L4739" s="131" t="s">
        <v>100</v>
      </c>
      <c r="M4739" s="135" t="s">
        <v>845</v>
      </c>
      <c r="N4739" s="123" t="s">
        <v>845</v>
      </c>
    </row>
    <row r="4740" spans="2:14" hidden="1" x14ac:dyDescent="0.25">
      <c r="B4740" s="120">
        <v>4737</v>
      </c>
      <c r="C4740" s="123">
        <v>10471458894</v>
      </c>
      <c r="D4740" s="126" t="s">
        <v>17016</v>
      </c>
      <c r="E4740" s="126" t="s">
        <v>17017</v>
      </c>
      <c r="F4740" s="123" t="s">
        <v>30</v>
      </c>
      <c r="G4740" s="123" t="s">
        <v>30</v>
      </c>
      <c r="H4740" s="123" t="s">
        <v>75</v>
      </c>
      <c r="I4740" s="126" t="s">
        <v>1387</v>
      </c>
      <c r="J4740" s="123" t="s">
        <v>17018</v>
      </c>
      <c r="K4740" s="123" t="s">
        <v>17016</v>
      </c>
      <c r="L4740" s="131" t="s">
        <v>100</v>
      </c>
      <c r="M4740" s="135" t="s">
        <v>845</v>
      </c>
      <c r="N4740" s="123" t="s">
        <v>845</v>
      </c>
    </row>
    <row r="4741" spans="2:14" hidden="1" x14ac:dyDescent="0.25">
      <c r="B4741" s="120">
        <v>4738</v>
      </c>
      <c r="C4741" s="123">
        <v>10074651653</v>
      </c>
      <c r="D4741" s="126" t="s">
        <v>17019</v>
      </c>
      <c r="E4741" s="126" t="s">
        <v>17020</v>
      </c>
      <c r="F4741" s="123" t="s">
        <v>67</v>
      </c>
      <c r="G4741" s="123" t="s">
        <v>67</v>
      </c>
      <c r="H4741" s="123" t="s">
        <v>94</v>
      </c>
      <c r="I4741" s="126" t="s">
        <v>1962</v>
      </c>
      <c r="J4741" s="123" t="s">
        <v>17021</v>
      </c>
      <c r="K4741" s="123" t="s">
        <v>17019</v>
      </c>
      <c r="L4741" s="131" t="s">
        <v>100</v>
      </c>
      <c r="M4741" s="135" t="s">
        <v>845</v>
      </c>
      <c r="N4741" s="123" t="s">
        <v>845</v>
      </c>
    </row>
    <row r="4742" spans="2:14" hidden="1" x14ac:dyDescent="0.25">
      <c r="B4742" s="120">
        <v>4739</v>
      </c>
      <c r="C4742" s="123">
        <v>10766035031</v>
      </c>
      <c r="D4742" s="126" t="s">
        <v>17022</v>
      </c>
      <c r="E4742" s="126" t="s">
        <v>17023</v>
      </c>
      <c r="F4742" s="123" t="s">
        <v>30</v>
      </c>
      <c r="G4742" s="123" t="s">
        <v>30</v>
      </c>
      <c r="H4742" s="123" t="s">
        <v>41</v>
      </c>
      <c r="I4742" s="126" t="s">
        <v>17024</v>
      </c>
      <c r="J4742" s="123" t="s">
        <v>17025</v>
      </c>
      <c r="K4742" s="123" t="s">
        <v>17026</v>
      </c>
      <c r="L4742" s="131" t="s">
        <v>100</v>
      </c>
      <c r="M4742" s="135" t="s">
        <v>845</v>
      </c>
      <c r="N4742" s="123" t="s">
        <v>845</v>
      </c>
    </row>
    <row r="4743" spans="2:14" hidden="1" x14ac:dyDescent="0.25">
      <c r="B4743" s="120">
        <v>4740</v>
      </c>
      <c r="C4743" s="123">
        <v>10416851749</v>
      </c>
      <c r="D4743" s="126" t="s">
        <v>17027</v>
      </c>
      <c r="E4743" s="126" t="s">
        <v>17028</v>
      </c>
      <c r="F4743" s="123" t="s">
        <v>30</v>
      </c>
      <c r="G4743" s="123" t="s">
        <v>30</v>
      </c>
      <c r="H4743" s="123" t="s">
        <v>79</v>
      </c>
      <c r="I4743" s="126" t="s">
        <v>1701</v>
      </c>
      <c r="J4743" s="123" t="s">
        <v>17029</v>
      </c>
      <c r="K4743" s="123" t="s">
        <v>17027</v>
      </c>
      <c r="L4743" s="131" t="s">
        <v>100</v>
      </c>
      <c r="M4743" s="135" t="s">
        <v>845</v>
      </c>
      <c r="N4743" s="123" t="s">
        <v>845</v>
      </c>
    </row>
    <row r="4744" spans="2:14" hidden="1" x14ac:dyDescent="0.25">
      <c r="B4744" s="120">
        <v>4741</v>
      </c>
      <c r="C4744" s="123">
        <v>10453438614</v>
      </c>
      <c r="D4744" s="126" t="s">
        <v>17030</v>
      </c>
      <c r="E4744" s="126" t="s">
        <v>17031</v>
      </c>
      <c r="F4744" s="123" t="s">
        <v>30</v>
      </c>
      <c r="G4744" s="123" t="s">
        <v>30</v>
      </c>
      <c r="H4744" s="123" t="s">
        <v>30</v>
      </c>
      <c r="I4744" s="126" t="s">
        <v>17032</v>
      </c>
      <c r="J4744" s="123" t="s">
        <v>17033</v>
      </c>
      <c r="K4744" s="123" t="s">
        <v>17030</v>
      </c>
      <c r="L4744" s="131" t="s">
        <v>100</v>
      </c>
      <c r="M4744" s="135" t="s">
        <v>845</v>
      </c>
      <c r="N4744" s="123" t="s">
        <v>845</v>
      </c>
    </row>
    <row r="4745" spans="2:14" hidden="1" x14ac:dyDescent="0.25">
      <c r="B4745" s="120">
        <v>4742</v>
      </c>
      <c r="C4745" s="123">
        <v>10722320544</v>
      </c>
      <c r="D4745" s="126" t="s">
        <v>17034</v>
      </c>
      <c r="E4745" s="126" t="s">
        <v>17035</v>
      </c>
      <c r="F4745" s="123" t="s">
        <v>30</v>
      </c>
      <c r="G4745" s="123" t="s">
        <v>30</v>
      </c>
      <c r="H4745" s="123" t="s">
        <v>72</v>
      </c>
      <c r="I4745" s="126" t="s">
        <v>1424</v>
      </c>
      <c r="J4745" s="123" t="s">
        <v>17036</v>
      </c>
      <c r="K4745" s="123" t="s">
        <v>17037</v>
      </c>
      <c r="L4745" s="131" t="s">
        <v>100</v>
      </c>
      <c r="M4745" s="135" t="s">
        <v>845</v>
      </c>
      <c r="N4745" s="123" t="s">
        <v>845</v>
      </c>
    </row>
    <row r="4746" spans="2:14" hidden="1" x14ac:dyDescent="0.25">
      <c r="B4746" s="120">
        <v>4743</v>
      </c>
      <c r="C4746" s="123">
        <v>10160195504</v>
      </c>
      <c r="D4746" s="126" t="s">
        <v>17038</v>
      </c>
      <c r="E4746" s="126" t="s">
        <v>17039</v>
      </c>
      <c r="F4746" s="123" t="s">
        <v>30</v>
      </c>
      <c r="G4746" s="123" t="s">
        <v>170</v>
      </c>
      <c r="H4746" s="123" t="s">
        <v>176</v>
      </c>
      <c r="I4746" s="126" t="s">
        <v>1701</v>
      </c>
      <c r="J4746" s="123" t="s">
        <v>17040</v>
      </c>
      <c r="K4746" s="123" t="s">
        <v>17038</v>
      </c>
      <c r="L4746" s="131" t="s">
        <v>100</v>
      </c>
      <c r="M4746" s="135" t="s">
        <v>845</v>
      </c>
      <c r="N4746" s="123" t="s">
        <v>845</v>
      </c>
    </row>
    <row r="4747" spans="2:14" hidden="1" x14ac:dyDescent="0.25">
      <c r="B4747" s="120">
        <v>4744</v>
      </c>
      <c r="C4747" s="123">
        <v>10460564579</v>
      </c>
      <c r="D4747" s="126" t="s">
        <v>17041</v>
      </c>
      <c r="E4747" s="126" t="s">
        <v>17042</v>
      </c>
      <c r="F4747" s="123" t="s">
        <v>30</v>
      </c>
      <c r="G4747" s="123" t="s">
        <v>170</v>
      </c>
      <c r="H4747" s="123" t="s">
        <v>170</v>
      </c>
      <c r="I4747" s="126" t="s">
        <v>1963</v>
      </c>
      <c r="J4747" s="123" t="s">
        <v>17043</v>
      </c>
      <c r="K4747" s="123" t="s">
        <v>17041</v>
      </c>
      <c r="L4747" s="131" t="s">
        <v>100</v>
      </c>
      <c r="M4747" s="135" t="s">
        <v>845</v>
      </c>
      <c r="N4747" s="123" t="s">
        <v>845</v>
      </c>
    </row>
    <row r="4748" spans="2:14" hidden="1" x14ac:dyDescent="0.25">
      <c r="B4748" s="120">
        <v>4745</v>
      </c>
      <c r="C4748" s="123">
        <v>10073277031</v>
      </c>
      <c r="D4748" s="126" t="s">
        <v>17044</v>
      </c>
      <c r="E4748" s="126" t="s">
        <v>17045</v>
      </c>
      <c r="F4748" s="123" t="s">
        <v>30</v>
      </c>
      <c r="G4748" s="123" t="s">
        <v>30</v>
      </c>
      <c r="H4748" s="123" t="s">
        <v>41</v>
      </c>
      <c r="I4748" s="126" t="s">
        <v>17046</v>
      </c>
      <c r="J4748" s="123" t="s">
        <v>17047</v>
      </c>
      <c r="K4748" s="123" t="s">
        <v>17044</v>
      </c>
      <c r="L4748" s="131" t="s">
        <v>100</v>
      </c>
      <c r="M4748" s="135" t="s">
        <v>845</v>
      </c>
      <c r="N4748" s="123" t="s">
        <v>845</v>
      </c>
    </row>
    <row r="4749" spans="2:14" hidden="1" x14ac:dyDescent="0.25">
      <c r="B4749" s="120">
        <v>4746</v>
      </c>
      <c r="C4749" s="123">
        <v>10102150169</v>
      </c>
      <c r="D4749" s="126" t="s">
        <v>17048</v>
      </c>
      <c r="E4749" s="126" t="s">
        <v>17049</v>
      </c>
      <c r="F4749" s="123" t="s">
        <v>30</v>
      </c>
      <c r="G4749" s="123" t="s">
        <v>30</v>
      </c>
      <c r="H4749" s="123" t="s">
        <v>58</v>
      </c>
      <c r="I4749" s="126" t="s">
        <v>17050</v>
      </c>
      <c r="J4749" s="123" t="s">
        <v>17051</v>
      </c>
      <c r="K4749" s="123" t="s">
        <v>17052</v>
      </c>
      <c r="L4749" s="131" t="s">
        <v>100</v>
      </c>
      <c r="M4749" s="135" t="s">
        <v>845</v>
      </c>
      <c r="N4749" s="123" t="s">
        <v>845</v>
      </c>
    </row>
    <row r="4750" spans="2:14" hidden="1" x14ac:dyDescent="0.25">
      <c r="B4750" s="120">
        <v>4747</v>
      </c>
      <c r="C4750" s="123">
        <v>10739457250</v>
      </c>
      <c r="D4750" s="126" t="s">
        <v>17053</v>
      </c>
      <c r="E4750" s="126" t="s">
        <v>17054</v>
      </c>
      <c r="F4750" s="123" t="s">
        <v>30</v>
      </c>
      <c r="G4750" s="123" t="s">
        <v>30</v>
      </c>
      <c r="H4750" s="123" t="s">
        <v>43</v>
      </c>
      <c r="I4750" s="126" t="s">
        <v>1424</v>
      </c>
      <c r="J4750" s="123" t="s">
        <v>17055</v>
      </c>
      <c r="K4750" s="123" t="s">
        <v>17053</v>
      </c>
      <c r="L4750" s="131" t="s">
        <v>100</v>
      </c>
      <c r="M4750" s="135" t="s">
        <v>845</v>
      </c>
      <c r="N4750" s="123" t="s">
        <v>845</v>
      </c>
    </row>
    <row r="4751" spans="2:14" hidden="1" x14ac:dyDescent="0.25">
      <c r="B4751" s="120">
        <v>4748</v>
      </c>
      <c r="C4751" s="123">
        <v>10103218689</v>
      </c>
      <c r="D4751" s="126" t="s">
        <v>17056</v>
      </c>
      <c r="E4751" s="126" t="s">
        <v>17057</v>
      </c>
      <c r="F4751" s="123" t="s">
        <v>67</v>
      </c>
      <c r="G4751" s="123" t="s">
        <v>67</v>
      </c>
      <c r="H4751" s="123" t="s">
        <v>94</v>
      </c>
      <c r="I4751" s="126" t="s">
        <v>1939</v>
      </c>
      <c r="J4751" s="123" t="s">
        <v>17058</v>
      </c>
      <c r="K4751" s="123" t="s">
        <v>17059</v>
      </c>
      <c r="L4751" s="131" t="s">
        <v>100</v>
      </c>
      <c r="M4751" s="135" t="s">
        <v>845</v>
      </c>
      <c r="N4751" s="123" t="s">
        <v>845</v>
      </c>
    </row>
    <row r="4752" spans="2:14" hidden="1" x14ac:dyDescent="0.25">
      <c r="B4752" s="120">
        <v>4749</v>
      </c>
      <c r="C4752" s="123">
        <v>10471858523</v>
      </c>
      <c r="D4752" s="126" t="s">
        <v>17060</v>
      </c>
      <c r="E4752" s="126" t="s">
        <v>17061</v>
      </c>
      <c r="F4752" s="123" t="s">
        <v>30</v>
      </c>
      <c r="G4752" s="123" t="s">
        <v>30</v>
      </c>
      <c r="H4752" s="123" t="s">
        <v>41</v>
      </c>
      <c r="I4752" s="126" t="s">
        <v>1701</v>
      </c>
      <c r="J4752" s="123" t="s">
        <v>17062</v>
      </c>
      <c r="K4752" s="123" t="s">
        <v>17060</v>
      </c>
      <c r="L4752" s="131" t="s">
        <v>100</v>
      </c>
      <c r="M4752" s="135" t="s">
        <v>845</v>
      </c>
      <c r="N4752" s="123" t="s">
        <v>845</v>
      </c>
    </row>
    <row r="4753" spans="2:14" hidden="1" x14ac:dyDescent="0.25">
      <c r="B4753" s="120">
        <v>4750</v>
      </c>
      <c r="C4753" s="123">
        <v>10462214052</v>
      </c>
      <c r="D4753" s="126" t="s">
        <v>17063</v>
      </c>
      <c r="E4753" s="126" t="s">
        <v>17064</v>
      </c>
      <c r="F4753" s="123" t="s">
        <v>30</v>
      </c>
      <c r="G4753" s="123" t="s">
        <v>30</v>
      </c>
      <c r="H4753" s="123" t="s">
        <v>37</v>
      </c>
      <c r="I4753" s="126" t="s">
        <v>1701</v>
      </c>
      <c r="J4753" s="123" t="s">
        <v>17065</v>
      </c>
      <c r="K4753" s="123" t="s">
        <v>17063</v>
      </c>
      <c r="L4753" s="131" t="s">
        <v>100</v>
      </c>
      <c r="M4753" s="135" t="s">
        <v>845</v>
      </c>
      <c r="N4753" s="123" t="s">
        <v>845</v>
      </c>
    </row>
    <row r="4754" spans="2:14" hidden="1" x14ac:dyDescent="0.25">
      <c r="B4754" s="120">
        <v>4751</v>
      </c>
      <c r="C4754" s="123">
        <v>10107552974</v>
      </c>
      <c r="D4754" s="126" t="s">
        <v>17066</v>
      </c>
      <c r="E4754" s="126" t="s">
        <v>17067</v>
      </c>
      <c r="F4754" s="123" t="s">
        <v>30</v>
      </c>
      <c r="G4754" s="123" t="s">
        <v>30</v>
      </c>
      <c r="H4754" s="123" t="s">
        <v>68</v>
      </c>
      <c r="I4754" s="126" t="s">
        <v>1209</v>
      </c>
      <c r="J4754" s="123" t="s">
        <v>17068</v>
      </c>
      <c r="K4754" s="123" t="s">
        <v>17066</v>
      </c>
      <c r="L4754" s="131" t="s">
        <v>100</v>
      </c>
      <c r="M4754" s="135" t="s">
        <v>845</v>
      </c>
      <c r="N4754" s="123" t="s">
        <v>845</v>
      </c>
    </row>
    <row r="4755" spans="2:14" hidden="1" x14ac:dyDescent="0.25">
      <c r="B4755" s="120">
        <v>4752</v>
      </c>
      <c r="C4755" s="123">
        <v>10455971034</v>
      </c>
      <c r="D4755" s="126" t="s">
        <v>17069</v>
      </c>
      <c r="E4755" s="126" t="s">
        <v>15924</v>
      </c>
      <c r="F4755" s="123" t="s">
        <v>30</v>
      </c>
      <c r="G4755" s="123" t="s">
        <v>30</v>
      </c>
      <c r="H4755" s="123" t="s">
        <v>45</v>
      </c>
      <c r="I4755" s="126" t="s">
        <v>1507</v>
      </c>
      <c r="J4755" s="123" t="s">
        <v>17070</v>
      </c>
      <c r="K4755" s="123" t="s">
        <v>17071</v>
      </c>
      <c r="L4755" s="131" t="s">
        <v>100</v>
      </c>
      <c r="M4755" s="135" t="s">
        <v>845</v>
      </c>
      <c r="N4755" s="123" t="s">
        <v>845</v>
      </c>
    </row>
    <row r="4756" spans="2:14" hidden="1" x14ac:dyDescent="0.25">
      <c r="B4756" s="120">
        <v>4753</v>
      </c>
      <c r="C4756" s="123">
        <v>10408089064</v>
      </c>
      <c r="D4756" s="126" t="s">
        <v>17072</v>
      </c>
      <c r="E4756" s="126" t="s">
        <v>17073</v>
      </c>
      <c r="F4756" s="123" t="s">
        <v>30</v>
      </c>
      <c r="G4756" s="123" t="s">
        <v>30</v>
      </c>
      <c r="H4756" s="123" t="s">
        <v>60</v>
      </c>
      <c r="I4756" s="126" t="s">
        <v>1931</v>
      </c>
      <c r="J4756" s="123" t="s">
        <v>17074</v>
      </c>
      <c r="K4756" s="123" t="s">
        <v>17072</v>
      </c>
      <c r="L4756" s="131" t="s">
        <v>100</v>
      </c>
      <c r="M4756" s="135" t="s">
        <v>845</v>
      </c>
      <c r="N4756" s="123" t="s">
        <v>845</v>
      </c>
    </row>
    <row r="4757" spans="2:14" hidden="1" x14ac:dyDescent="0.25">
      <c r="B4757" s="120">
        <v>4754</v>
      </c>
      <c r="C4757" s="123">
        <v>10105578313</v>
      </c>
      <c r="D4757" s="126" t="s">
        <v>17075</v>
      </c>
      <c r="E4757" s="126" t="s">
        <v>8743</v>
      </c>
      <c r="F4757" s="123" t="s">
        <v>30</v>
      </c>
      <c r="G4757" s="123" t="s">
        <v>30</v>
      </c>
      <c r="H4757" s="123" t="s">
        <v>38</v>
      </c>
      <c r="I4757" s="126" t="s">
        <v>8743</v>
      </c>
      <c r="J4757" s="123" t="s">
        <v>17076</v>
      </c>
      <c r="K4757" s="123" t="s">
        <v>17075</v>
      </c>
      <c r="L4757" s="131" t="s">
        <v>100</v>
      </c>
      <c r="M4757" s="135" t="s">
        <v>845</v>
      </c>
      <c r="N4757" s="123" t="s">
        <v>845</v>
      </c>
    </row>
    <row r="4758" spans="2:14" hidden="1" x14ac:dyDescent="0.25">
      <c r="B4758" s="120">
        <v>4755</v>
      </c>
      <c r="C4758" s="123">
        <v>10403798245</v>
      </c>
      <c r="D4758" s="126" t="s">
        <v>17077</v>
      </c>
      <c r="E4758" s="126" t="s">
        <v>17078</v>
      </c>
      <c r="F4758" s="123" t="s">
        <v>30</v>
      </c>
      <c r="G4758" s="123" t="s">
        <v>30</v>
      </c>
      <c r="H4758" s="123" t="s">
        <v>60</v>
      </c>
      <c r="I4758" s="126" t="s">
        <v>1706</v>
      </c>
      <c r="J4758" s="123" t="s">
        <v>17079</v>
      </c>
      <c r="K4758" s="123" t="s">
        <v>17077</v>
      </c>
      <c r="L4758" s="131" t="s">
        <v>100</v>
      </c>
      <c r="M4758" s="135" t="s">
        <v>845</v>
      </c>
      <c r="N4758" s="123" t="s">
        <v>845</v>
      </c>
    </row>
    <row r="4759" spans="2:14" hidden="1" x14ac:dyDescent="0.25">
      <c r="B4759" s="120">
        <v>4756</v>
      </c>
      <c r="C4759" s="123">
        <v>10106161351</v>
      </c>
      <c r="D4759" s="126" t="s">
        <v>17080</v>
      </c>
      <c r="E4759" s="126" t="s">
        <v>17081</v>
      </c>
      <c r="F4759" s="123" t="s">
        <v>30</v>
      </c>
      <c r="G4759" s="123" t="s">
        <v>30</v>
      </c>
      <c r="H4759" s="123" t="s">
        <v>72</v>
      </c>
      <c r="I4759" s="126" t="s">
        <v>1737</v>
      </c>
      <c r="J4759" s="123" t="s">
        <v>17082</v>
      </c>
      <c r="K4759" s="123" t="s">
        <v>17080</v>
      </c>
      <c r="L4759" s="131" t="s">
        <v>100</v>
      </c>
      <c r="M4759" s="135" t="s">
        <v>845</v>
      </c>
      <c r="N4759" s="123" t="s">
        <v>845</v>
      </c>
    </row>
    <row r="4760" spans="2:14" hidden="1" x14ac:dyDescent="0.25">
      <c r="B4760" s="120">
        <v>4757</v>
      </c>
      <c r="C4760" s="123">
        <v>10445751826</v>
      </c>
      <c r="D4760" s="126" t="s">
        <v>17083</v>
      </c>
      <c r="E4760" s="126" t="s">
        <v>17084</v>
      </c>
      <c r="F4760" s="123" t="s">
        <v>30</v>
      </c>
      <c r="G4760" s="123" t="s">
        <v>31</v>
      </c>
      <c r="H4760" s="123" t="s">
        <v>9381</v>
      </c>
      <c r="I4760" s="126" t="s">
        <v>1564</v>
      </c>
      <c r="J4760" s="123" t="s">
        <v>17085</v>
      </c>
      <c r="K4760" s="123" t="s">
        <v>17083</v>
      </c>
      <c r="L4760" s="131" t="s">
        <v>100</v>
      </c>
      <c r="M4760" s="135" t="s">
        <v>845</v>
      </c>
      <c r="N4760" s="123" t="s">
        <v>845</v>
      </c>
    </row>
    <row r="4761" spans="2:14" hidden="1" x14ac:dyDescent="0.25">
      <c r="B4761" s="120">
        <v>4758</v>
      </c>
      <c r="C4761" s="123">
        <v>10073535048</v>
      </c>
      <c r="D4761" s="126" t="s">
        <v>17086</v>
      </c>
      <c r="E4761" s="126" t="s">
        <v>17087</v>
      </c>
      <c r="F4761" s="123" t="s">
        <v>30</v>
      </c>
      <c r="G4761" s="123" t="s">
        <v>30</v>
      </c>
      <c r="H4761" s="123" t="s">
        <v>41</v>
      </c>
      <c r="I4761" s="126" t="s">
        <v>1701</v>
      </c>
      <c r="J4761" s="123" t="s">
        <v>17088</v>
      </c>
      <c r="K4761" s="123" t="s">
        <v>17086</v>
      </c>
      <c r="L4761" s="131" t="s">
        <v>100</v>
      </c>
      <c r="M4761" s="135" t="s">
        <v>845</v>
      </c>
      <c r="N4761" s="123" t="s">
        <v>845</v>
      </c>
    </row>
    <row r="4762" spans="2:14" hidden="1" x14ac:dyDescent="0.25">
      <c r="B4762" s="120">
        <v>4759</v>
      </c>
      <c r="C4762" s="123">
        <v>10431240853</v>
      </c>
      <c r="D4762" s="126" t="s">
        <v>17089</v>
      </c>
      <c r="E4762" s="126" t="s">
        <v>17090</v>
      </c>
      <c r="F4762" s="123" t="s">
        <v>30</v>
      </c>
      <c r="G4762" s="123" t="s">
        <v>30</v>
      </c>
      <c r="H4762" s="123" t="s">
        <v>60</v>
      </c>
      <c r="I4762" s="126" t="s">
        <v>1931</v>
      </c>
      <c r="J4762" s="123" t="s">
        <v>17091</v>
      </c>
      <c r="K4762" s="123" t="s">
        <v>17089</v>
      </c>
      <c r="L4762" s="131" t="s">
        <v>100</v>
      </c>
      <c r="M4762" s="135" t="s">
        <v>845</v>
      </c>
      <c r="N4762" s="123" t="s">
        <v>845</v>
      </c>
    </row>
    <row r="4763" spans="2:14" hidden="1" x14ac:dyDescent="0.25">
      <c r="B4763" s="120">
        <v>4760</v>
      </c>
      <c r="C4763" s="123">
        <v>10458423020</v>
      </c>
      <c r="D4763" s="126" t="s">
        <v>17092</v>
      </c>
      <c r="E4763" s="126" t="s">
        <v>17093</v>
      </c>
      <c r="F4763" s="123" t="s">
        <v>30</v>
      </c>
      <c r="G4763" s="123" t="s">
        <v>30</v>
      </c>
      <c r="H4763" s="123" t="s">
        <v>79</v>
      </c>
      <c r="I4763" s="126" t="s">
        <v>1930</v>
      </c>
      <c r="J4763" s="123" t="s">
        <v>17094</v>
      </c>
      <c r="K4763" s="123" t="s">
        <v>17095</v>
      </c>
      <c r="L4763" s="131" t="s">
        <v>100</v>
      </c>
      <c r="M4763" s="135" t="s">
        <v>845</v>
      </c>
      <c r="N4763" s="123" t="s">
        <v>845</v>
      </c>
    </row>
    <row r="4764" spans="2:14" hidden="1" x14ac:dyDescent="0.25">
      <c r="B4764" s="120">
        <v>4761</v>
      </c>
      <c r="C4764" s="123">
        <v>10088778583</v>
      </c>
      <c r="D4764" s="126" t="s">
        <v>17096</v>
      </c>
      <c r="E4764" s="126" t="s">
        <v>17097</v>
      </c>
      <c r="F4764" s="123" t="s">
        <v>30</v>
      </c>
      <c r="G4764" s="123" t="s">
        <v>30</v>
      </c>
      <c r="H4764" s="123" t="s">
        <v>39</v>
      </c>
      <c r="I4764" s="126" t="s">
        <v>1387</v>
      </c>
      <c r="J4764" s="123" t="s">
        <v>17098</v>
      </c>
      <c r="K4764" s="123" t="s">
        <v>17096</v>
      </c>
      <c r="L4764" s="131" t="s">
        <v>100</v>
      </c>
      <c r="M4764" s="135" t="s">
        <v>845</v>
      </c>
      <c r="N4764" s="123" t="s">
        <v>845</v>
      </c>
    </row>
    <row r="4765" spans="2:14" hidden="1" x14ac:dyDescent="0.25">
      <c r="B4765" s="120">
        <v>4762</v>
      </c>
      <c r="C4765" s="123">
        <v>10432356405</v>
      </c>
      <c r="D4765" s="126" t="s">
        <v>17099</v>
      </c>
      <c r="E4765" s="126" t="s">
        <v>17100</v>
      </c>
      <c r="F4765" s="123" t="s">
        <v>30</v>
      </c>
      <c r="G4765" s="123" t="s">
        <v>30</v>
      </c>
      <c r="H4765" s="123" t="s">
        <v>45</v>
      </c>
      <c r="I4765" s="126" t="s">
        <v>1701</v>
      </c>
      <c r="J4765" s="123" t="s">
        <v>17101</v>
      </c>
      <c r="K4765" s="123" t="s">
        <v>17099</v>
      </c>
      <c r="L4765" s="131" t="s">
        <v>100</v>
      </c>
      <c r="M4765" s="135" t="s">
        <v>845</v>
      </c>
      <c r="N4765" s="123" t="s">
        <v>845</v>
      </c>
    </row>
    <row r="4766" spans="2:14" hidden="1" x14ac:dyDescent="0.25">
      <c r="B4766" s="120">
        <v>4763</v>
      </c>
      <c r="C4766" s="123">
        <v>10450281111</v>
      </c>
      <c r="D4766" s="126" t="s">
        <v>17102</v>
      </c>
      <c r="E4766" s="126" t="s">
        <v>17103</v>
      </c>
      <c r="F4766" s="123" t="s">
        <v>30</v>
      </c>
      <c r="G4766" s="123" t="s">
        <v>30</v>
      </c>
      <c r="H4766" s="123" t="s">
        <v>30</v>
      </c>
      <c r="I4766" s="126" t="s">
        <v>1737</v>
      </c>
      <c r="J4766" s="123" t="s">
        <v>17104</v>
      </c>
      <c r="K4766" s="123" t="s">
        <v>17102</v>
      </c>
      <c r="L4766" s="131" t="s">
        <v>100</v>
      </c>
      <c r="M4766" s="135" t="s">
        <v>845</v>
      </c>
      <c r="N4766" s="123" t="s">
        <v>845</v>
      </c>
    </row>
    <row r="4767" spans="2:14" hidden="1" x14ac:dyDescent="0.25">
      <c r="B4767" s="120">
        <v>4764</v>
      </c>
      <c r="C4767" s="123">
        <v>10731759061</v>
      </c>
      <c r="D4767" s="126" t="s">
        <v>17105</v>
      </c>
      <c r="E4767" s="126" t="s">
        <v>17106</v>
      </c>
      <c r="F4767" s="123" t="s">
        <v>30</v>
      </c>
      <c r="G4767" s="123" t="s">
        <v>30</v>
      </c>
      <c r="H4767" s="123" t="s">
        <v>88</v>
      </c>
      <c r="I4767" s="126" t="s">
        <v>1957</v>
      </c>
      <c r="J4767" s="123" t="s">
        <v>17107</v>
      </c>
      <c r="K4767" s="123" t="s">
        <v>17105</v>
      </c>
      <c r="L4767" s="131" t="s">
        <v>100</v>
      </c>
      <c r="M4767" s="135" t="s">
        <v>845</v>
      </c>
      <c r="N4767" s="123" t="s">
        <v>845</v>
      </c>
    </row>
    <row r="4768" spans="2:14" hidden="1" x14ac:dyDescent="0.25">
      <c r="B4768" s="120">
        <v>4765</v>
      </c>
      <c r="C4768" s="123">
        <v>10422234328</v>
      </c>
      <c r="D4768" s="126" t="s">
        <v>17108</v>
      </c>
      <c r="E4768" s="126" t="s">
        <v>17109</v>
      </c>
      <c r="F4768" s="123" t="s">
        <v>30</v>
      </c>
      <c r="G4768" s="123" t="s">
        <v>30</v>
      </c>
      <c r="H4768" s="123" t="s">
        <v>35</v>
      </c>
      <c r="I4768" s="126" t="s">
        <v>1941</v>
      </c>
      <c r="J4768" s="123" t="s">
        <v>17110</v>
      </c>
      <c r="K4768" s="123" t="s">
        <v>17108</v>
      </c>
      <c r="L4768" s="131" t="s">
        <v>100</v>
      </c>
      <c r="M4768" s="135" t="s">
        <v>845</v>
      </c>
      <c r="N4768" s="123" t="s">
        <v>845</v>
      </c>
    </row>
    <row r="4769" spans="2:14" hidden="1" x14ac:dyDescent="0.25">
      <c r="B4769" s="120">
        <v>4766</v>
      </c>
      <c r="C4769" s="123">
        <v>10096842169</v>
      </c>
      <c r="D4769" s="126" t="s">
        <v>17111</v>
      </c>
      <c r="E4769" s="126" t="s">
        <v>17112</v>
      </c>
      <c r="F4769" s="123" t="s">
        <v>67</v>
      </c>
      <c r="G4769" s="123" t="s">
        <v>67</v>
      </c>
      <c r="H4769" s="123" t="s">
        <v>94</v>
      </c>
      <c r="I4769" s="126" t="s">
        <v>8725</v>
      </c>
      <c r="J4769" s="123" t="s">
        <v>17113</v>
      </c>
      <c r="K4769" s="123" t="s">
        <v>17111</v>
      </c>
      <c r="L4769" s="131" t="s">
        <v>100</v>
      </c>
      <c r="M4769" s="135" t="s">
        <v>845</v>
      </c>
      <c r="N4769" s="123" t="s">
        <v>845</v>
      </c>
    </row>
    <row r="4770" spans="2:14" hidden="1" x14ac:dyDescent="0.25">
      <c r="B4770" s="120">
        <v>4767</v>
      </c>
      <c r="C4770" s="123">
        <v>10466718098</v>
      </c>
      <c r="D4770" s="126" t="s">
        <v>17114</v>
      </c>
      <c r="E4770" s="126" t="s">
        <v>17115</v>
      </c>
      <c r="F4770" s="123" t="s">
        <v>30</v>
      </c>
      <c r="G4770" s="123" t="s">
        <v>30</v>
      </c>
      <c r="H4770" s="123" t="s">
        <v>51</v>
      </c>
      <c r="I4770" s="126" t="s">
        <v>17116</v>
      </c>
      <c r="J4770" s="123" t="s">
        <v>17117</v>
      </c>
      <c r="K4770" s="123" t="s">
        <v>17114</v>
      </c>
      <c r="L4770" s="131" t="s">
        <v>100</v>
      </c>
      <c r="M4770" s="135" t="s">
        <v>845</v>
      </c>
      <c r="N4770" s="123" t="s">
        <v>845</v>
      </c>
    </row>
    <row r="4771" spans="2:14" hidden="1" x14ac:dyDescent="0.25">
      <c r="B4771" s="120">
        <v>4768</v>
      </c>
      <c r="C4771" s="123">
        <v>10099333681</v>
      </c>
      <c r="D4771" s="126" t="s">
        <v>17118</v>
      </c>
      <c r="E4771" s="126" t="s">
        <v>17119</v>
      </c>
      <c r="F4771" s="123" t="s">
        <v>30</v>
      </c>
      <c r="G4771" s="123" t="s">
        <v>30</v>
      </c>
      <c r="H4771" s="123" t="s">
        <v>30</v>
      </c>
      <c r="I4771" s="126" t="s">
        <v>116</v>
      </c>
      <c r="J4771" s="123" t="s">
        <v>17120</v>
      </c>
      <c r="K4771" s="123" t="s">
        <v>17121</v>
      </c>
      <c r="L4771" s="131" t="s">
        <v>100</v>
      </c>
      <c r="M4771" s="135" t="s">
        <v>845</v>
      </c>
      <c r="N4771" s="123" t="s">
        <v>845</v>
      </c>
    </row>
    <row r="4772" spans="2:14" hidden="1" x14ac:dyDescent="0.25">
      <c r="B4772" s="120">
        <v>4769</v>
      </c>
      <c r="C4772" s="123">
        <v>10763956895</v>
      </c>
      <c r="D4772" s="126" t="s">
        <v>17122</v>
      </c>
      <c r="E4772" s="126" t="s">
        <v>17123</v>
      </c>
      <c r="F4772" s="123" t="s">
        <v>30</v>
      </c>
      <c r="G4772" s="123" t="s">
        <v>30</v>
      </c>
      <c r="H4772" s="123" t="s">
        <v>72</v>
      </c>
      <c r="I4772" s="126" t="s">
        <v>1953</v>
      </c>
      <c r="J4772" s="123" t="s">
        <v>17124</v>
      </c>
      <c r="K4772" s="123" t="s">
        <v>17122</v>
      </c>
      <c r="L4772" s="131" t="s">
        <v>100</v>
      </c>
      <c r="M4772" s="135" t="s">
        <v>845</v>
      </c>
      <c r="N4772" s="123" t="s">
        <v>845</v>
      </c>
    </row>
    <row r="4773" spans="2:14" hidden="1" x14ac:dyDescent="0.25">
      <c r="B4773" s="120">
        <v>4770</v>
      </c>
      <c r="C4773" s="123">
        <v>10439126685</v>
      </c>
      <c r="D4773" s="126" t="s">
        <v>17125</v>
      </c>
      <c r="E4773" s="126" t="s">
        <v>17126</v>
      </c>
      <c r="F4773" s="123" t="s">
        <v>30</v>
      </c>
      <c r="G4773" s="123" t="s">
        <v>30</v>
      </c>
      <c r="H4773" s="123" t="s">
        <v>43</v>
      </c>
      <c r="I4773" s="126" t="s">
        <v>1931</v>
      </c>
      <c r="J4773" s="123" t="s">
        <v>17127</v>
      </c>
      <c r="K4773" s="123" t="s">
        <v>17125</v>
      </c>
      <c r="L4773" s="131" t="s">
        <v>100</v>
      </c>
      <c r="M4773" s="135" t="s">
        <v>845</v>
      </c>
      <c r="N4773" s="123" t="s">
        <v>845</v>
      </c>
    </row>
    <row r="4774" spans="2:14" hidden="1" x14ac:dyDescent="0.25">
      <c r="B4774" s="120">
        <v>4771</v>
      </c>
      <c r="C4774" s="123">
        <v>10450487037</v>
      </c>
      <c r="D4774" s="126" t="s">
        <v>17128</v>
      </c>
      <c r="E4774" s="126" t="s">
        <v>17129</v>
      </c>
      <c r="F4774" s="123" t="s">
        <v>30</v>
      </c>
      <c r="G4774" s="123" t="s">
        <v>31</v>
      </c>
      <c r="H4774" s="123" t="s">
        <v>9381</v>
      </c>
      <c r="I4774" s="126" t="s">
        <v>1809</v>
      </c>
      <c r="J4774" s="123" t="s">
        <v>17130</v>
      </c>
      <c r="K4774" s="123" t="s">
        <v>17128</v>
      </c>
      <c r="L4774" s="131" t="s">
        <v>100</v>
      </c>
      <c r="M4774" s="135" t="s">
        <v>845</v>
      </c>
      <c r="N4774" s="123" t="s">
        <v>845</v>
      </c>
    </row>
    <row r="4775" spans="2:14" hidden="1" x14ac:dyDescent="0.25">
      <c r="B4775" s="120">
        <v>4772</v>
      </c>
      <c r="C4775" s="123">
        <v>10704417361</v>
      </c>
      <c r="D4775" s="126" t="s">
        <v>17131</v>
      </c>
      <c r="E4775" s="126" t="s">
        <v>17132</v>
      </c>
      <c r="F4775" s="123" t="s">
        <v>30</v>
      </c>
      <c r="G4775" s="123" t="s">
        <v>30</v>
      </c>
      <c r="H4775" s="123" t="s">
        <v>43</v>
      </c>
      <c r="I4775" s="126" t="s">
        <v>1424</v>
      </c>
      <c r="J4775" s="123" t="s">
        <v>17133</v>
      </c>
      <c r="K4775" s="123" t="s">
        <v>17131</v>
      </c>
      <c r="L4775" s="131" t="s">
        <v>100</v>
      </c>
      <c r="M4775" s="135" t="s">
        <v>845</v>
      </c>
      <c r="N4775" s="123" t="s">
        <v>845</v>
      </c>
    </row>
    <row r="4776" spans="2:14" hidden="1" x14ac:dyDescent="0.25">
      <c r="B4776" s="120">
        <v>4773</v>
      </c>
      <c r="C4776" s="123">
        <v>10097587294</v>
      </c>
      <c r="D4776" s="126" t="s">
        <v>17134</v>
      </c>
      <c r="E4776" s="126" t="s">
        <v>17135</v>
      </c>
      <c r="F4776" s="123" t="s">
        <v>30</v>
      </c>
      <c r="G4776" s="123" t="s">
        <v>30</v>
      </c>
      <c r="H4776" s="123" t="s">
        <v>75</v>
      </c>
      <c r="I4776" s="126" t="s">
        <v>1701</v>
      </c>
      <c r="J4776" s="123" t="s">
        <v>17136</v>
      </c>
      <c r="K4776" s="123" t="s">
        <v>17134</v>
      </c>
      <c r="L4776" s="131" t="s">
        <v>100</v>
      </c>
      <c r="M4776" s="135" t="s">
        <v>845</v>
      </c>
      <c r="N4776" s="123" t="s">
        <v>845</v>
      </c>
    </row>
    <row r="4777" spans="2:14" hidden="1" x14ac:dyDescent="0.25">
      <c r="B4777" s="120">
        <v>4774</v>
      </c>
      <c r="C4777" s="123">
        <v>10108740405</v>
      </c>
      <c r="D4777" s="126" t="s">
        <v>17137</v>
      </c>
      <c r="E4777" s="126" t="s">
        <v>17138</v>
      </c>
      <c r="F4777" s="123" t="s">
        <v>30</v>
      </c>
      <c r="G4777" s="123" t="s">
        <v>30</v>
      </c>
      <c r="H4777" s="123" t="s">
        <v>41</v>
      </c>
      <c r="I4777" s="126" t="s">
        <v>1701</v>
      </c>
      <c r="J4777" s="123" t="s">
        <v>17139</v>
      </c>
      <c r="K4777" s="123" t="s">
        <v>17137</v>
      </c>
      <c r="L4777" s="131" t="s">
        <v>100</v>
      </c>
      <c r="M4777" s="135" t="s">
        <v>845</v>
      </c>
      <c r="N4777" s="123" t="s">
        <v>845</v>
      </c>
    </row>
    <row r="4778" spans="2:14" hidden="1" x14ac:dyDescent="0.25">
      <c r="B4778" s="120">
        <v>4775</v>
      </c>
      <c r="C4778" s="123">
        <v>10477592029</v>
      </c>
      <c r="D4778" s="126" t="s">
        <v>17140</v>
      </c>
      <c r="E4778" s="126" t="s">
        <v>17141</v>
      </c>
      <c r="F4778" s="123" t="s">
        <v>30</v>
      </c>
      <c r="G4778" s="123" t="s">
        <v>30</v>
      </c>
      <c r="H4778" s="123" t="s">
        <v>58</v>
      </c>
      <c r="I4778" s="126" t="s">
        <v>1398</v>
      </c>
      <c r="J4778" s="123" t="s">
        <v>17142</v>
      </c>
      <c r="K4778" s="123" t="s">
        <v>17143</v>
      </c>
      <c r="L4778" s="131" t="s">
        <v>100</v>
      </c>
      <c r="M4778" s="135" t="s">
        <v>845</v>
      </c>
      <c r="N4778" s="123" t="s">
        <v>845</v>
      </c>
    </row>
    <row r="4779" spans="2:14" hidden="1" x14ac:dyDescent="0.25">
      <c r="B4779" s="120">
        <v>4776</v>
      </c>
      <c r="C4779" s="123">
        <v>10476050133</v>
      </c>
      <c r="D4779" s="126" t="s">
        <v>17144</v>
      </c>
      <c r="E4779" s="126" t="s">
        <v>17145</v>
      </c>
      <c r="F4779" s="123" t="s">
        <v>30</v>
      </c>
      <c r="G4779" s="123" t="s">
        <v>30</v>
      </c>
      <c r="H4779" s="123" t="s">
        <v>30</v>
      </c>
      <c r="I4779" s="126" t="s">
        <v>1706</v>
      </c>
      <c r="J4779" s="123" t="s">
        <v>17146</v>
      </c>
      <c r="K4779" s="123" t="s">
        <v>17144</v>
      </c>
      <c r="L4779" s="131" t="s">
        <v>100</v>
      </c>
      <c r="M4779" s="135" t="s">
        <v>845</v>
      </c>
      <c r="N4779" s="123" t="s">
        <v>845</v>
      </c>
    </row>
    <row r="4780" spans="2:14" hidden="1" x14ac:dyDescent="0.25">
      <c r="B4780" s="120">
        <v>4777</v>
      </c>
      <c r="C4780" s="123">
        <v>10408402129</v>
      </c>
      <c r="D4780" s="126" t="s">
        <v>17147</v>
      </c>
      <c r="E4780" s="126" t="s">
        <v>17148</v>
      </c>
      <c r="F4780" s="123" t="s">
        <v>30</v>
      </c>
      <c r="G4780" s="123" t="s">
        <v>30</v>
      </c>
      <c r="H4780" s="123" t="s">
        <v>72</v>
      </c>
      <c r="I4780" s="126" t="s">
        <v>1976</v>
      </c>
      <c r="J4780" s="123" t="s">
        <v>17149</v>
      </c>
      <c r="K4780" s="123" t="s">
        <v>17147</v>
      </c>
      <c r="L4780" s="131" t="s">
        <v>100</v>
      </c>
      <c r="M4780" s="135" t="s">
        <v>845</v>
      </c>
      <c r="N4780" s="123" t="s">
        <v>845</v>
      </c>
    </row>
    <row r="4781" spans="2:14" hidden="1" x14ac:dyDescent="0.25">
      <c r="B4781" s="120">
        <v>4778</v>
      </c>
      <c r="C4781" s="123">
        <v>10095026171</v>
      </c>
      <c r="D4781" s="126" t="s">
        <v>17150</v>
      </c>
      <c r="E4781" s="126" t="s">
        <v>17151</v>
      </c>
      <c r="F4781" s="123" t="s">
        <v>30</v>
      </c>
      <c r="G4781" s="123" t="s">
        <v>30</v>
      </c>
      <c r="H4781" s="123" t="s">
        <v>30</v>
      </c>
      <c r="I4781" s="126" t="s">
        <v>8659</v>
      </c>
      <c r="J4781" s="123" t="s">
        <v>17152</v>
      </c>
      <c r="K4781" s="123" t="s">
        <v>17150</v>
      </c>
      <c r="L4781" s="131" t="s">
        <v>100</v>
      </c>
      <c r="M4781" s="135" t="s">
        <v>845</v>
      </c>
      <c r="N4781" s="123" t="s">
        <v>845</v>
      </c>
    </row>
    <row r="4782" spans="2:14" hidden="1" x14ac:dyDescent="0.25">
      <c r="B4782" s="120">
        <v>4779</v>
      </c>
      <c r="C4782" s="123">
        <v>10406640642</v>
      </c>
      <c r="D4782" s="126" t="s">
        <v>17153</v>
      </c>
      <c r="E4782" s="126" t="s">
        <v>17154</v>
      </c>
      <c r="F4782" s="123" t="s">
        <v>30</v>
      </c>
      <c r="G4782" s="123" t="s">
        <v>30</v>
      </c>
      <c r="H4782" s="123" t="s">
        <v>34</v>
      </c>
      <c r="I4782" s="126" t="s">
        <v>1701</v>
      </c>
      <c r="J4782" s="123" t="s">
        <v>17155</v>
      </c>
      <c r="K4782" s="123" t="s">
        <v>17153</v>
      </c>
      <c r="L4782" s="131" t="s">
        <v>100</v>
      </c>
      <c r="M4782" s="135" t="s">
        <v>845</v>
      </c>
      <c r="N4782" s="123" t="s">
        <v>845</v>
      </c>
    </row>
    <row r="4783" spans="2:14" hidden="1" x14ac:dyDescent="0.25">
      <c r="B4783" s="120">
        <v>4780</v>
      </c>
      <c r="C4783" s="123">
        <v>10091331140</v>
      </c>
      <c r="D4783" s="126" t="s">
        <v>17156</v>
      </c>
      <c r="E4783" s="126" t="s">
        <v>17157</v>
      </c>
      <c r="F4783" s="123" t="s">
        <v>30</v>
      </c>
      <c r="G4783" s="123" t="s">
        <v>30</v>
      </c>
      <c r="H4783" s="123" t="s">
        <v>38</v>
      </c>
      <c r="I4783" s="126" t="s">
        <v>14002</v>
      </c>
      <c r="J4783" s="123" t="s">
        <v>17158</v>
      </c>
      <c r="K4783" s="123" t="s">
        <v>17156</v>
      </c>
      <c r="L4783" s="131" t="s">
        <v>100</v>
      </c>
      <c r="M4783" s="135" t="s">
        <v>845</v>
      </c>
      <c r="N4783" s="123" t="s">
        <v>845</v>
      </c>
    </row>
    <row r="4784" spans="2:14" hidden="1" x14ac:dyDescent="0.25">
      <c r="B4784" s="120">
        <v>4781</v>
      </c>
      <c r="C4784" s="123">
        <v>10084331894</v>
      </c>
      <c r="D4784" s="126" t="s">
        <v>17159</v>
      </c>
      <c r="E4784" s="126" t="s">
        <v>17160</v>
      </c>
      <c r="F4784" s="123" t="s">
        <v>30</v>
      </c>
      <c r="G4784" s="123" t="s">
        <v>30</v>
      </c>
      <c r="H4784" s="123" t="s">
        <v>51</v>
      </c>
      <c r="I4784" s="126" t="s">
        <v>1931</v>
      </c>
      <c r="J4784" s="123" t="s">
        <v>17161</v>
      </c>
      <c r="K4784" s="123" t="s">
        <v>17159</v>
      </c>
      <c r="L4784" s="131" t="s">
        <v>100</v>
      </c>
      <c r="M4784" s="135" t="s">
        <v>845</v>
      </c>
      <c r="N4784" s="123" t="s">
        <v>845</v>
      </c>
    </row>
    <row r="4785" spans="2:14" hidden="1" x14ac:dyDescent="0.25">
      <c r="B4785" s="120">
        <v>4782</v>
      </c>
      <c r="C4785" s="123">
        <v>10405425624</v>
      </c>
      <c r="D4785" s="126" t="s">
        <v>17162</v>
      </c>
      <c r="E4785" s="126" t="s">
        <v>17163</v>
      </c>
      <c r="F4785" s="123" t="s">
        <v>30</v>
      </c>
      <c r="G4785" s="123" t="s">
        <v>30</v>
      </c>
      <c r="H4785" s="123" t="s">
        <v>50</v>
      </c>
      <c r="I4785" s="126" t="s">
        <v>1507</v>
      </c>
      <c r="J4785" s="123" t="s">
        <v>17164</v>
      </c>
      <c r="K4785" s="123" t="s">
        <v>17162</v>
      </c>
      <c r="L4785" s="131" t="s">
        <v>100</v>
      </c>
      <c r="M4785" s="135" t="s">
        <v>845</v>
      </c>
      <c r="N4785" s="123" t="s">
        <v>845</v>
      </c>
    </row>
    <row r="4786" spans="2:14" hidden="1" x14ac:dyDescent="0.25">
      <c r="B4786" s="120">
        <v>4783</v>
      </c>
      <c r="C4786" s="123">
        <v>10468800662</v>
      </c>
      <c r="D4786" s="126" t="s">
        <v>17165</v>
      </c>
      <c r="E4786" s="126" t="s">
        <v>17166</v>
      </c>
      <c r="F4786" s="123" t="s">
        <v>30</v>
      </c>
      <c r="G4786" s="123" t="s">
        <v>30</v>
      </c>
      <c r="H4786" s="123" t="s">
        <v>72</v>
      </c>
      <c r="I4786" s="126" t="s">
        <v>1424</v>
      </c>
      <c r="J4786" s="123" t="s">
        <v>17167</v>
      </c>
      <c r="K4786" s="123" t="s">
        <v>17165</v>
      </c>
      <c r="L4786" s="131" t="s">
        <v>100</v>
      </c>
      <c r="M4786" s="135" t="s">
        <v>845</v>
      </c>
      <c r="N4786" s="123" t="s">
        <v>845</v>
      </c>
    </row>
    <row r="4787" spans="2:14" hidden="1" x14ac:dyDescent="0.25">
      <c r="B4787" s="120">
        <v>4784</v>
      </c>
      <c r="C4787" s="123">
        <v>10400074351</v>
      </c>
      <c r="D4787" s="126" t="s">
        <v>17168</v>
      </c>
      <c r="E4787" s="126" t="s">
        <v>17169</v>
      </c>
      <c r="F4787" s="123" t="s">
        <v>30</v>
      </c>
      <c r="G4787" s="123" t="s">
        <v>30</v>
      </c>
      <c r="H4787" s="123" t="s">
        <v>43</v>
      </c>
      <c r="I4787" s="126" t="s">
        <v>8659</v>
      </c>
      <c r="J4787" s="123" t="s">
        <v>17170</v>
      </c>
      <c r="K4787" s="123" t="s">
        <v>17168</v>
      </c>
      <c r="L4787" s="131" t="s">
        <v>100</v>
      </c>
      <c r="M4787" s="135" t="s">
        <v>845</v>
      </c>
      <c r="N4787" s="123" t="s">
        <v>845</v>
      </c>
    </row>
    <row r="4788" spans="2:14" hidden="1" x14ac:dyDescent="0.25">
      <c r="B4788" s="120">
        <v>4785</v>
      </c>
      <c r="C4788" s="123">
        <v>10105780643</v>
      </c>
      <c r="D4788" s="126" t="s">
        <v>17171</v>
      </c>
      <c r="E4788" s="126" t="s">
        <v>17172</v>
      </c>
      <c r="F4788" s="123" t="s">
        <v>30</v>
      </c>
      <c r="G4788" s="123" t="s">
        <v>30</v>
      </c>
      <c r="H4788" s="123" t="s">
        <v>43</v>
      </c>
      <c r="I4788" s="126" t="s">
        <v>1564</v>
      </c>
      <c r="J4788" s="123" t="s">
        <v>17173</v>
      </c>
      <c r="K4788" s="123" t="s">
        <v>17171</v>
      </c>
      <c r="L4788" s="131" t="s">
        <v>100</v>
      </c>
      <c r="M4788" s="135" t="s">
        <v>845</v>
      </c>
      <c r="N4788" s="123" t="s">
        <v>845</v>
      </c>
    </row>
    <row r="4789" spans="2:14" hidden="1" x14ac:dyDescent="0.25">
      <c r="B4789" s="120">
        <v>4786</v>
      </c>
      <c r="C4789" s="123">
        <v>10700802031</v>
      </c>
      <c r="D4789" s="126" t="s">
        <v>17174</v>
      </c>
      <c r="E4789" s="126" t="s">
        <v>17175</v>
      </c>
      <c r="F4789" s="123" t="s">
        <v>30</v>
      </c>
      <c r="G4789" s="123" t="s">
        <v>30</v>
      </c>
      <c r="H4789" s="123" t="s">
        <v>45</v>
      </c>
      <c r="I4789" s="126" t="s">
        <v>1952</v>
      </c>
      <c r="J4789" s="123" t="s">
        <v>17176</v>
      </c>
      <c r="K4789" s="123" t="s">
        <v>17174</v>
      </c>
      <c r="L4789" s="131" t="s">
        <v>100</v>
      </c>
      <c r="M4789" s="135" t="s">
        <v>845</v>
      </c>
      <c r="N4789" s="123" t="s">
        <v>845</v>
      </c>
    </row>
    <row r="4790" spans="2:14" hidden="1" x14ac:dyDescent="0.25">
      <c r="B4790" s="120">
        <v>4787</v>
      </c>
      <c r="C4790" s="123">
        <v>10468395202</v>
      </c>
      <c r="D4790" s="126" t="s">
        <v>17177</v>
      </c>
      <c r="E4790" s="126" t="s">
        <v>17178</v>
      </c>
      <c r="F4790" s="123" t="s">
        <v>30</v>
      </c>
      <c r="G4790" s="123" t="s">
        <v>31</v>
      </c>
      <c r="H4790" s="123" t="s">
        <v>65</v>
      </c>
      <c r="I4790" s="126" t="s">
        <v>1441</v>
      </c>
      <c r="J4790" s="123" t="s">
        <v>17179</v>
      </c>
      <c r="K4790" s="123" t="s">
        <v>17177</v>
      </c>
      <c r="L4790" s="131" t="s">
        <v>100</v>
      </c>
      <c r="M4790" s="135" t="s">
        <v>845</v>
      </c>
      <c r="N4790" s="123" t="s">
        <v>845</v>
      </c>
    </row>
    <row r="4791" spans="2:14" hidden="1" x14ac:dyDescent="0.25">
      <c r="B4791" s="120">
        <v>4788</v>
      </c>
      <c r="C4791" s="123">
        <v>10413219553</v>
      </c>
      <c r="D4791" s="126" t="s">
        <v>17180</v>
      </c>
      <c r="E4791" s="126" t="s">
        <v>17181</v>
      </c>
      <c r="F4791" s="123" t="s">
        <v>30</v>
      </c>
      <c r="G4791" s="123" t="s">
        <v>31</v>
      </c>
      <c r="H4791" s="123" t="s">
        <v>9381</v>
      </c>
      <c r="I4791" s="126" t="s">
        <v>1701</v>
      </c>
      <c r="J4791" s="123" t="s">
        <v>17182</v>
      </c>
      <c r="K4791" s="123" t="s">
        <v>17180</v>
      </c>
      <c r="L4791" s="131" t="s">
        <v>100</v>
      </c>
      <c r="M4791" s="135" t="s">
        <v>845</v>
      </c>
      <c r="N4791" s="123" t="s">
        <v>845</v>
      </c>
    </row>
    <row r="4792" spans="2:14" hidden="1" x14ac:dyDescent="0.25">
      <c r="B4792" s="120">
        <v>4789</v>
      </c>
      <c r="C4792" s="123">
        <v>10403857446</v>
      </c>
      <c r="D4792" s="126" t="s">
        <v>17183</v>
      </c>
      <c r="E4792" s="126" t="s">
        <v>17184</v>
      </c>
      <c r="F4792" s="123" t="s">
        <v>30</v>
      </c>
      <c r="G4792" s="123" t="s">
        <v>31</v>
      </c>
      <c r="H4792" s="123" t="s">
        <v>9381</v>
      </c>
      <c r="I4792" s="126" t="s">
        <v>1936</v>
      </c>
      <c r="J4792" s="123" t="s">
        <v>17185</v>
      </c>
      <c r="K4792" s="123" t="s">
        <v>17183</v>
      </c>
      <c r="L4792" s="131" t="s">
        <v>100</v>
      </c>
      <c r="M4792" s="135" t="s">
        <v>845</v>
      </c>
      <c r="N4792" s="123" t="s">
        <v>845</v>
      </c>
    </row>
    <row r="4793" spans="2:14" hidden="1" x14ac:dyDescent="0.25">
      <c r="B4793" s="120">
        <v>4790</v>
      </c>
      <c r="C4793" s="123">
        <v>10724548348</v>
      </c>
      <c r="D4793" s="126" t="s">
        <v>17186</v>
      </c>
      <c r="E4793" s="126" t="s">
        <v>17187</v>
      </c>
      <c r="F4793" s="123" t="s">
        <v>30</v>
      </c>
      <c r="G4793" s="123" t="s">
        <v>30</v>
      </c>
      <c r="H4793" s="123" t="s">
        <v>30</v>
      </c>
      <c r="I4793" s="126" t="s">
        <v>1941</v>
      </c>
      <c r="J4793" s="123" t="s">
        <v>17188</v>
      </c>
      <c r="K4793" s="123" t="s">
        <v>17189</v>
      </c>
      <c r="L4793" s="131" t="s">
        <v>100</v>
      </c>
      <c r="M4793" s="135" t="s">
        <v>845</v>
      </c>
      <c r="N4793" s="123" t="s">
        <v>845</v>
      </c>
    </row>
    <row r="4794" spans="2:14" hidden="1" x14ac:dyDescent="0.25">
      <c r="B4794" s="120">
        <v>4791</v>
      </c>
      <c r="C4794" s="123">
        <v>10479090756</v>
      </c>
      <c r="D4794" s="126" t="s">
        <v>17190</v>
      </c>
      <c r="E4794" s="126" t="s">
        <v>17191</v>
      </c>
      <c r="F4794" s="123" t="s">
        <v>30</v>
      </c>
      <c r="G4794" s="123" t="s">
        <v>30</v>
      </c>
      <c r="H4794" s="123" t="s">
        <v>79</v>
      </c>
      <c r="I4794" s="126" t="s">
        <v>9769</v>
      </c>
      <c r="J4794" s="123" t="s">
        <v>17192</v>
      </c>
      <c r="K4794" s="123" t="s">
        <v>17193</v>
      </c>
      <c r="L4794" s="131" t="s">
        <v>100</v>
      </c>
      <c r="M4794" s="135" t="s">
        <v>845</v>
      </c>
      <c r="N4794" s="123" t="s">
        <v>845</v>
      </c>
    </row>
    <row r="4795" spans="2:14" hidden="1" x14ac:dyDescent="0.25">
      <c r="B4795" s="120">
        <v>4792</v>
      </c>
      <c r="C4795" s="123">
        <v>10158578595</v>
      </c>
      <c r="D4795" s="126" t="s">
        <v>17194</v>
      </c>
      <c r="E4795" s="126" t="s">
        <v>17195</v>
      </c>
      <c r="F4795" s="123" t="s">
        <v>30</v>
      </c>
      <c r="G4795" s="123" t="s">
        <v>168</v>
      </c>
      <c r="H4795" s="123" t="s">
        <v>168</v>
      </c>
      <c r="I4795" s="126" t="s">
        <v>1809</v>
      </c>
      <c r="J4795" s="123" t="s">
        <v>17196</v>
      </c>
      <c r="K4795" s="123" t="s">
        <v>17194</v>
      </c>
      <c r="L4795" s="131" t="s">
        <v>100</v>
      </c>
      <c r="M4795" s="135" t="s">
        <v>845</v>
      </c>
      <c r="N4795" s="123" t="s">
        <v>845</v>
      </c>
    </row>
    <row r="4796" spans="2:14" hidden="1" x14ac:dyDescent="0.25">
      <c r="B4796" s="120">
        <v>4793</v>
      </c>
      <c r="C4796" s="123">
        <v>10094515748</v>
      </c>
      <c r="D4796" s="126" t="s">
        <v>17197</v>
      </c>
      <c r="E4796" s="126" t="s">
        <v>17198</v>
      </c>
      <c r="F4796" s="123" t="s">
        <v>30</v>
      </c>
      <c r="G4796" s="123" t="s">
        <v>30</v>
      </c>
      <c r="H4796" s="123" t="s">
        <v>41</v>
      </c>
      <c r="I4796" s="126" t="s">
        <v>1484</v>
      </c>
      <c r="J4796" s="123" t="s">
        <v>17199</v>
      </c>
      <c r="K4796" s="123" t="s">
        <v>17200</v>
      </c>
      <c r="L4796" s="131" t="s">
        <v>100</v>
      </c>
      <c r="M4796" s="135" t="s">
        <v>845</v>
      </c>
      <c r="N4796" s="123" t="s">
        <v>845</v>
      </c>
    </row>
    <row r="4797" spans="2:14" hidden="1" x14ac:dyDescent="0.25">
      <c r="B4797" s="120">
        <v>4794</v>
      </c>
      <c r="C4797" s="123">
        <v>10159922877</v>
      </c>
      <c r="D4797" s="126" t="s">
        <v>17201</v>
      </c>
      <c r="E4797" s="126" t="s">
        <v>17202</v>
      </c>
      <c r="F4797" s="123" t="s">
        <v>30</v>
      </c>
      <c r="G4797" s="123" t="s">
        <v>54</v>
      </c>
      <c r="H4797" s="123" t="s">
        <v>55</v>
      </c>
      <c r="I4797" s="126" t="s">
        <v>1950</v>
      </c>
      <c r="J4797" s="123" t="s">
        <v>17203</v>
      </c>
      <c r="K4797" s="123" t="s">
        <v>17204</v>
      </c>
      <c r="L4797" s="131" t="s">
        <v>100</v>
      </c>
      <c r="M4797" s="135" t="s">
        <v>845</v>
      </c>
      <c r="N4797" s="123" t="s">
        <v>845</v>
      </c>
    </row>
    <row r="4798" spans="2:14" hidden="1" x14ac:dyDescent="0.25">
      <c r="B4798" s="120">
        <v>4795</v>
      </c>
      <c r="C4798" s="123">
        <v>10407866890</v>
      </c>
      <c r="D4798" s="126" t="s">
        <v>17205</v>
      </c>
      <c r="E4798" s="126" t="s">
        <v>17206</v>
      </c>
      <c r="F4798" s="123" t="s">
        <v>30</v>
      </c>
      <c r="G4798" s="123" t="s">
        <v>30</v>
      </c>
      <c r="H4798" s="123" t="s">
        <v>45</v>
      </c>
      <c r="I4798" s="126" t="s">
        <v>1701</v>
      </c>
      <c r="J4798" s="123" t="s">
        <v>17207</v>
      </c>
      <c r="K4798" s="123" t="s">
        <v>17205</v>
      </c>
      <c r="L4798" s="131" t="s">
        <v>100</v>
      </c>
      <c r="M4798" s="135" t="s">
        <v>845</v>
      </c>
      <c r="N4798" s="123" t="s">
        <v>845</v>
      </c>
    </row>
    <row r="4799" spans="2:14" hidden="1" x14ac:dyDescent="0.25">
      <c r="B4799" s="120">
        <v>4796</v>
      </c>
      <c r="C4799" s="123">
        <v>10011466040</v>
      </c>
      <c r="D4799" s="126" t="s">
        <v>17208</v>
      </c>
      <c r="E4799" s="126" t="s">
        <v>17209</v>
      </c>
      <c r="F4799" s="123" t="s">
        <v>30</v>
      </c>
      <c r="G4799" s="123" t="s">
        <v>30</v>
      </c>
      <c r="H4799" s="123" t="s">
        <v>51</v>
      </c>
      <c r="I4799" s="126" t="s">
        <v>9983</v>
      </c>
      <c r="J4799" s="123" t="s">
        <v>17210</v>
      </c>
      <c r="K4799" s="123" t="s">
        <v>17211</v>
      </c>
      <c r="L4799" s="131" t="s">
        <v>100</v>
      </c>
      <c r="M4799" s="135" t="s">
        <v>845</v>
      </c>
      <c r="N4799" s="123" t="s">
        <v>845</v>
      </c>
    </row>
    <row r="4800" spans="2:14" hidden="1" x14ac:dyDescent="0.25">
      <c r="B4800" s="120">
        <v>4797</v>
      </c>
      <c r="C4800" s="123">
        <v>10167310821</v>
      </c>
      <c r="D4800" s="126" t="s">
        <v>17212</v>
      </c>
      <c r="E4800" s="126" t="s">
        <v>17213</v>
      </c>
      <c r="F4800" s="123" t="s">
        <v>30</v>
      </c>
      <c r="G4800" s="123" t="s">
        <v>30</v>
      </c>
      <c r="H4800" s="123" t="s">
        <v>60</v>
      </c>
      <c r="I4800" s="126" t="s">
        <v>1701</v>
      </c>
      <c r="J4800" s="123" t="s">
        <v>17214</v>
      </c>
      <c r="K4800" s="123" t="s">
        <v>17212</v>
      </c>
      <c r="L4800" s="131" t="s">
        <v>100</v>
      </c>
      <c r="M4800" s="135" t="s">
        <v>845</v>
      </c>
      <c r="N4800" s="123" t="s">
        <v>845</v>
      </c>
    </row>
    <row r="4801" spans="2:14" hidden="1" x14ac:dyDescent="0.25">
      <c r="B4801" s="120">
        <v>4798</v>
      </c>
      <c r="C4801" s="123">
        <v>10459424399</v>
      </c>
      <c r="D4801" s="126" t="s">
        <v>17215</v>
      </c>
      <c r="E4801" s="126" t="s">
        <v>17216</v>
      </c>
      <c r="F4801" s="123" t="s">
        <v>67</v>
      </c>
      <c r="G4801" s="123" t="s">
        <v>67</v>
      </c>
      <c r="H4801" s="123" t="s">
        <v>67</v>
      </c>
      <c r="I4801" s="126" t="s">
        <v>17217</v>
      </c>
      <c r="J4801" s="123" t="s">
        <v>17218</v>
      </c>
      <c r="K4801" s="123" t="s">
        <v>17215</v>
      </c>
      <c r="L4801" s="131" t="s">
        <v>100</v>
      </c>
      <c r="M4801" s="135" t="s">
        <v>845</v>
      </c>
      <c r="N4801" s="123" t="s">
        <v>845</v>
      </c>
    </row>
    <row r="4802" spans="2:14" hidden="1" x14ac:dyDescent="0.25">
      <c r="B4802" s="120">
        <v>4799</v>
      </c>
      <c r="C4802" s="123">
        <v>10157187053</v>
      </c>
      <c r="D4802" s="126" t="s">
        <v>17219</v>
      </c>
      <c r="E4802" s="126" t="s">
        <v>17220</v>
      </c>
      <c r="F4802" s="123" t="s">
        <v>30</v>
      </c>
      <c r="G4802" s="123" t="s">
        <v>170</v>
      </c>
      <c r="H4802" s="123" t="s">
        <v>175</v>
      </c>
      <c r="I4802" s="126" t="s">
        <v>1950</v>
      </c>
      <c r="J4802" s="123" t="s">
        <v>17221</v>
      </c>
      <c r="K4802" s="123" t="s">
        <v>17219</v>
      </c>
      <c r="L4802" s="131" t="s">
        <v>100</v>
      </c>
      <c r="M4802" s="135" t="s">
        <v>845</v>
      </c>
      <c r="N4802" s="123" t="s">
        <v>845</v>
      </c>
    </row>
    <row r="4803" spans="2:14" hidden="1" x14ac:dyDescent="0.25">
      <c r="B4803" s="120">
        <v>4800</v>
      </c>
      <c r="C4803" s="123">
        <v>15605823618</v>
      </c>
      <c r="D4803" s="126" t="s">
        <v>17222</v>
      </c>
      <c r="E4803" s="126" t="s">
        <v>17223</v>
      </c>
      <c r="F4803" s="123" t="s">
        <v>30</v>
      </c>
      <c r="G4803" s="123" t="s">
        <v>31</v>
      </c>
      <c r="H4803" s="123" t="s">
        <v>9381</v>
      </c>
      <c r="I4803" s="126" t="s">
        <v>1424</v>
      </c>
      <c r="J4803" s="123" t="s">
        <v>17224</v>
      </c>
      <c r="K4803" s="123" t="s">
        <v>17222</v>
      </c>
      <c r="L4803" s="131" t="s">
        <v>100</v>
      </c>
      <c r="M4803" s="135" t="s">
        <v>845</v>
      </c>
      <c r="N4803" s="123" t="s">
        <v>845</v>
      </c>
    </row>
    <row r="4804" spans="2:14" hidden="1" x14ac:dyDescent="0.25">
      <c r="B4804" s="120">
        <v>4801</v>
      </c>
      <c r="C4804" s="123">
        <v>10422530644</v>
      </c>
      <c r="D4804" s="126" t="s">
        <v>17225</v>
      </c>
      <c r="E4804" s="126" t="s">
        <v>17226</v>
      </c>
      <c r="F4804" s="123" t="s">
        <v>30</v>
      </c>
      <c r="G4804" s="123" t="s">
        <v>30</v>
      </c>
      <c r="H4804" s="123" t="s">
        <v>50</v>
      </c>
      <c r="I4804" s="126" t="s">
        <v>1387</v>
      </c>
      <c r="J4804" s="123" t="s">
        <v>17227</v>
      </c>
      <c r="K4804" s="123" t="s">
        <v>17225</v>
      </c>
      <c r="L4804" s="131" t="s">
        <v>100</v>
      </c>
      <c r="M4804" s="135" t="s">
        <v>845</v>
      </c>
      <c r="N4804" s="123" t="s">
        <v>845</v>
      </c>
    </row>
    <row r="4805" spans="2:14" hidden="1" x14ac:dyDescent="0.25">
      <c r="B4805" s="120">
        <v>4802</v>
      </c>
      <c r="C4805" s="123">
        <v>15552781993</v>
      </c>
      <c r="D4805" s="126" t="s">
        <v>17228</v>
      </c>
      <c r="E4805" s="126" t="s">
        <v>17229</v>
      </c>
      <c r="F4805" s="123" t="s">
        <v>30</v>
      </c>
      <c r="G4805" s="123" t="s">
        <v>30</v>
      </c>
      <c r="H4805" s="123" t="s">
        <v>147</v>
      </c>
      <c r="I4805" s="126" t="s">
        <v>1950</v>
      </c>
      <c r="J4805" s="123" t="s">
        <v>17230</v>
      </c>
      <c r="K4805" s="123" t="s">
        <v>17228</v>
      </c>
      <c r="L4805" s="131" t="s">
        <v>100</v>
      </c>
      <c r="M4805" s="135" t="s">
        <v>845</v>
      </c>
      <c r="N4805" s="123" t="s">
        <v>845</v>
      </c>
    </row>
    <row r="4806" spans="2:14" hidden="1" x14ac:dyDescent="0.25">
      <c r="B4806" s="120">
        <v>4803</v>
      </c>
      <c r="C4806" s="123">
        <v>10434519085</v>
      </c>
      <c r="D4806" s="126" t="s">
        <v>17231</v>
      </c>
      <c r="E4806" s="126" t="s">
        <v>17232</v>
      </c>
      <c r="F4806" s="123" t="s">
        <v>30</v>
      </c>
      <c r="G4806" s="123" t="s">
        <v>170</v>
      </c>
      <c r="H4806" s="123" t="s">
        <v>179</v>
      </c>
      <c r="I4806" s="126" t="s">
        <v>1701</v>
      </c>
      <c r="J4806" s="123" t="s">
        <v>17233</v>
      </c>
      <c r="K4806" s="123" t="s">
        <v>17231</v>
      </c>
      <c r="L4806" s="131" t="s">
        <v>100</v>
      </c>
      <c r="M4806" s="135" t="s">
        <v>845</v>
      </c>
      <c r="N4806" s="123" t="s">
        <v>845</v>
      </c>
    </row>
    <row r="4807" spans="2:14" hidden="1" x14ac:dyDescent="0.25">
      <c r="B4807" s="120">
        <v>4804</v>
      </c>
      <c r="C4807" s="123">
        <v>10702651901</v>
      </c>
      <c r="D4807" s="126" t="s">
        <v>17234</v>
      </c>
      <c r="E4807" s="126" t="s">
        <v>17235</v>
      </c>
      <c r="F4807" s="123" t="s">
        <v>30</v>
      </c>
      <c r="G4807" s="123" t="s">
        <v>30</v>
      </c>
      <c r="H4807" s="123" t="s">
        <v>68</v>
      </c>
      <c r="I4807" s="126" t="s">
        <v>14002</v>
      </c>
      <c r="J4807" s="123" t="s">
        <v>17236</v>
      </c>
      <c r="K4807" s="123" t="s">
        <v>17234</v>
      </c>
      <c r="L4807" s="131" t="s">
        <v>100</v>
      </c>
      <c r="M4807" s="135" t="s">
        <v>845</v>
      </c>
      <c r="N4807" s="123" t="s">
        <v>845</v>
      </c>
    </row>
    <row r="4808" spans="2:14" hidden="1" x14ac:dyDescent="0.25">
      <c r="B4808" s="120">
        <v>4805</v>
      </c>
      <c r="C4808" s="123">
        <v>10096332471</v>
      </c>
      <c r="D4808" s="126" t="s">
        <v>17237</v>
      </c>
      <c r="E4808" s="126" t="s">
        <v>17238</v>
      </c>
      <c r="F4808" s="123" t="s">
        <v>30</v>
      </c>
      <c r="G4808" s="123" t="s">
        <v>30</v>
      </c>
      <c r="H4808" s="123" t="s">
        <v>72</v>
      </c>
      <c r="I4808" s="126" t="s">
        <v>1701</v>
      </c>
      <c r="J4808" s="123" t="s">
        <v>17239</v>
      </c>
      <c r="K4808" s="123" t="s">
        <v>17237</v>
      </c>
      <c r="L4808" s="131" t="s">
        <v>100</v>
      </c>
      <c r="M4808" s="135" t="s">
        <v>845</v>
      </c>
      <c r="N4808" s="123" t="s">
        <v>845</v>
      </c>
    </row>
    <row r="4809" spans="2:14" hidden="1" x14ac:dyDescent="0.25">
      <c r="B4809" s="120">
        <v>4806</v>
      </c>
      <c r="C4809" s="123">
        <v>10443603838</v>
      </c>
      <c r="D4809" s="126" t="s">
        <v>17240</v>
      </c>
      <c r="E4809" s="126" t="s">
        <v>17241</v>
      </c>
      <c r="F4809" s="123" t="s">
        <v>30</v>
      </c>
      <c r="G4809" s="123" t="s">
        <v>30</v>
      </c>
      <c r="H4809" s="123" t="s">
        <v>60</v>
      </c>
      <c r="I4809" s="126" t="s">
        <v>1450</v>
      </c>
      <c r="J4809" s="123" t="s">
        <v>17242</v>
      </c>
      <c r="K4809" s="123" t="s">
        <v>17240</v>
      </c>
      <c r="L4809" s="131" t="s">
        <v>100</v>
      </c>
      <c r="M4809" s="135" t="s">
        <v>845</v>
      </c>
      <c r="N4809" s="123" t="s">
        <v>845</v>
      </c>
    </row>
    <row r="4810" spans="2:14" hidden="1" x14ac:dyDescent="0.25">
      <c r="B4810" s="120">
        <v>4807</v>
      </c>
      <c r="C4810" s="123">
        <v>10461213257</v>
      </c>
      <c r="D4810" s="126" t="s">
        <v>17243</v>
      </c>
      <c r="E4810" s="126" t="s">
        <v>17244</v>
      </c>
      <c r="F4810" s="123" t="s">
        <v>30</v>
      </c>
      <c r="G4810" s="123" t="s">
        <v>30</v>
      </c>
      <c r="H4810" s="123" t="s">
        <v>75</v>
      </c>
      <c r="I4810" s="126" t="s">
        <v>1805</v>
      </c>
      <c r="J4810" s="123" t="s">
        <v>17245</v>
      </c>
      <c r="K4810" s="123" t="s">
        <v>17243</v>
      </c>
      <c r="L4810" s="131" t="s">
        <v>100</v>
      </c>
      <c r="M4810" s="135" t="s">
        <v>845</v>
      </c>
      <c r="N4810" s="123" t="s">
        <v>845</v>
      </c>
    </row>
    <row r="4811" spans="2:14" hidden="1" x14ac:dyDescent="0.25">
      <c r="B4811" s="120">
        <v>4808</v>
      </c>
      <c r="C4811" s="123">
        <v>10455256220</v>
      </c>
      <c r="D4811" s="126" t="s">
        <v>17246</v>
      </c>
      <c r="E4811" s="126" t="s">
        <v>17247</v>
      </c>
      <c r="F4811" s="123" t="s">
        <v>30</v>
      </c>
      <c r="G4811" s="123" t="s">
        <v>168</v>
      </c>
      <c r="H4811" s="123" t="s">
        <v>168</v>
      </c>
      <c r="I4811" s="126" t="s">
        <v>1701</v>
      </c>
      <c r="J4811" s="123" t="s">
        <v>17248</v>
      </c>
      <c r="K4811" s="123" t="s">
        <v>17246</v>
      </c>
      <c r="L4811" s="131" t="s">
        <v>100</v>
      </c>
      <c r="M4811" s="135" t="s">
        <v>845</v>
      </c>
      <c r="N4811" s="123" t="s">
        <v>845</v>
      </c>
    </row>
    <row r="4812" spans="2:14" hidden="1" x14ac:dyDescent="0.25">
      <c r="B4812" s="120">
        <v>4809</v>
      </c>
      <c r="C4812" s="123">
        <v>10806083734</v>
      </c>
      <c r="D4812" s="126" t="s">
        <v>17249</v>
      </c>
      <c r="E4812" s="126" t="s">
        <v>17250</v>
      </c>
      <c r="F4812" s="123" t="s">
        <v>30</v>
      </c>
      <c r="G4812" s="123" t="s">
        <v>30</v>
      </c>
      <c r="H4812" s="123" t="s">
        <v>58</v>
      </c>
      <c r="I4812" s="126" t="s">
        <v>1950</v>
      </c>
      <c r="J4812" s="123" t="s">
        <v>17251</v>
      </c>
      <c r="K4812" s="123" t="s">
        <v>17249</v>
      </c>
      <c r="L4812" s="131" t="s">
        <v>100</v>
      </c>
      <c r="M4812" s="135" t="s">
        <v>845</v>
      </c>
      <c r="N4812" s="123" t="s">
        <v>845</v>
      </c>
    </row>
    <row r="4813" spans="2:14" hidden="1" x14ac:dyDescent="0.25">
      <c r="B4813" s="120">
        <v>4810</v>
      </c>
      <c r="C4813" s="123">
        <v>10715301267</v>
      </c>
      <c r="D4813" s="126" t="s">
        <v>17252</v>
      </c>
      <c r="E4813" s="126" t="s">
        <v>17253</v>
      </c>
      <c r="F4813" s="123" t="s">
        <v>30</v>
      </c>
      <c r="G4813" s="123" t="s">
        <v>168</v>
      </c>
      <c r="H4813" s="123" t="s">
        <v>177</v>
      </c>
      <c r="I4813" s="126" t="s">
        <v>1441</v>
      </c>
      <c r="J4813" s="123" t="s">
        <v>17254</v>
      </c>
      <c r="K4813" s="123" t="s">
        <v>17252</v>
      </c>
      <c r="L4813" s="131" t="s">
        <v>100</v>
      </c>
      <c r="M4813" s="135" t="s">
        <v>845</v>
      </c>
      <c r="N4813" s="123" t="s">
        <v>845</v>
      </c>
    </row>
    <row r="4814" spans="2:14" hidden="1" x14ac:dyDescent="0.25">
      <c r="B4814" s="120">
        <v>4811</v>
      </c>
      <c r="C4814" s="123">
        <v>10094701720</v>
      </c>
      <c r="D4814" s="126" t="s">
        <v>17255</v>
      </c>
      <c r="E4814" s="126" t="s">
        <v>17256</v>
      </c>
      <c r="F4814" s="123" t="s">
        <v>30</v>
      </c>
      <c r="G4814" s="123" t="s">
        <v>168</v>
      </c>
      <c r="H4814" s="123" t="s">
        <v>168</v>
      </c>
      <c r="I4814" s="126" t="s">
        <v>1424</v>
      </c>
      <c r="J4814" s="123" t="s">
        <v>17257</v>
      </c>
      <c r="K4814" s="123" t="s">
        <v>17255</v>
      </c>
      <c r="L4814" s="131" t="s">
        <v>100</v>
      </c>
      <c r="M4814" s="135" t="s">
        <v>845</v>
      </c>
      <c r="N4814" s="123" t="s">
        <v>845</v>
      </c>
    </row>
    <row r="4815" spans="2:14" hidden="1" x14ac:dyDescent="0.25">
      <c r="B4815" s="120">
        <v>4812</v>
      </c>
      <c r="C4815" s="123">
        <v>10423806694</v>
      </c>
      <c r="D4815" s="126" t="s">
        <v>17258</v>
      </c>
      <c r="E4815" s="126" t="s">
        <v>17259</v>
      </c>
      <c r="F4815" s="123" t="s">
        <v>30</v>
      </c>
      <c r="G4815" s="123" t="s">
        <v>168</v>
      </c>
      <c r="H4815" s="123" t="s">
        <v>168</v>
      </c>
      <c r="I4815" s="126" t="s">
        <v>1962</v>
      </c>
      <c r="J4815" s="123" t="s">
        <v>17260</v>
      </c>
      <c r="K4815" s="123" t="s">
        <v>17258</v>
      </c>
      <c r="L4815" s="131" t="s">
        <v>100</v>
      </c>
      <c r="M4815" s="135" t="s">
        <v>845</v>
      </c>
      <c r="N4815" s="123" t="s">
        <v>845</v>
      </c>
    </row>
    <row r="4816" spans="2:14" hidden="1" x14ac:dyDescent="0.25">
      <c r="B4816" s="120">
        <v>4813</v>
      </c>
      <c r="C4816" s="123">
        <v>10161441029</v>
      </c>
      <c r="D4816" s="126" t="s">
        <v>17261</v>
      </c>
      <c r="E4816" s="126" t="s">
        <v>17262</v>
      </c>
      <c r="F4816" s="123" t="s">
        <v>30</v>
      </c>
      <c r="G4816" s="123" t="s">
        <v>48</v>
      </c>
      <c r="H4816" s="123" t="s">
        <v>902</v>
      </c>
      <c r="I4816" s="126" t="s">
        <v>1424</v>
      </c>
      <c r="J4816" s="123" t="s">
        <v>17263</v>
      </c>
      <c r="K4816" s="123" t="s">
        <v>17264</v>
      </c>
      <c r="L4816" s="131" t="s">
        <v>100</v>
      </c>
      <c r="M4816" s="135" t="s">
        <v>845</v>
      </c>
      <c r="N4816" s="123" t="s">
        <v>845</v>
      </c>
    </row>
    <row r="4817" spans="2:14" hidden="1" x14ac:dyDescent="0.25">
      <c r="B4817" s="120">
        <v>4814</v>
      </c>
      <c r="C4817" s="123">
        <v>10211228224</v>
      </c>
      <c r="D4817" s="126" t="s">
        <v>17265</v>
      </c>
      <c r="E4817" s="126" t="s">
        <v>17266</v>
      </c>
      <c r="F4817" s="123" t="s">
        <v>30</v>
      </c>
      <c r="G4817" s="123" t="s">
        <v>30</v>
      </c>
      <c r="H4817" s="123" t="s">
        <v>65</v>
      </c>
      <c r="I4817" s="126" t="s">
        <v>1931</v>
      </c>
      <c r="J4817" s="123" t="s">
        <v>17267</v>
      </c>
      <c r="K4817" s="123" t="s">
        <v>17265</v>
      </c>
      <c r="L4817" s="131" t="s">
        <v>100</v>
      </c>
      <c r="M4817" s="135" t="s">
        <v>845</v>
      </c>
      <c r="N4817" s="123" t="s">
        <v>845</v>
      </c>
    </row>
    <row r="4818" spans="2:14" hidden="1" x14ac:dyDescent="0.25">
      <c r="B4818" s="120">
        <v>4815</v>
      </c>
      <c r="C4818" s="123">
        <v>10477189003</v>
      </c>
      <c r="D4818" s="126" t="s">
        <v>17268</v>
      </c>
      <c r="E4818" s="126" t="s">
        <v>17269</v>
      </c>
      <c r="F4818" s="123" t="s">
        <v>30</v>
      </c>
      <c r="G4818" s="123" t="s">
        <v>30</v>
      </c>
      <c r="H4818" s="123" t="s">
        <v>52</v>
      </c>
      <c r="I4818" s="126" t="s">
        <v>1950</v>
      </c>
      <c r="J4818" s="123" t="s">
        <v>17270</v>
      </c>
      <c r="K4818" s="123" t="s">
        <v>17268</v>
      </c>
      <c r="L4818" s="131" t="s">
        <v>100</v>
      </c>
      <c r="M4818" s="135" t="s">
        <v>845</v>
      </c>
      <c r="N4818" s="123" t="s">
        <v>845</v>
      </c>
    </row>
    <row r="4819" spans="2:14" hidden="1" x14ac:dyDescent="0.25">
      <c r="B4819" s="120">
        <v>4816</v>
      </c>
      <c r="C4819" s="123">
        <v>10456312026</v>
      </c>
      <c r="D4819" s="126" t="s">
        <v>17271</v>
      </c>
      <c r="E4819" s="126" t="s">
        <v>17272</v>
      </c>
      <c r="F4819" s="123" t="s">
        <v>30</v>
      </c>
      <c r="G4819" s="123" t="s">
        <v>30</v>
      </c>
      <c r="H4819" s="123" t="s">
        <v>72</v>
      </c>
      <c r="I4819" s="126" t="s">
        <v>17273</v>
      </c>
      <c r="J4819" s="123" t="s">
        <v>17274</v>
      </c>
      <c r="K4819" s="123" t="s">
        <v>17271</v>
      </c>
      <c r="L4819" s="131" t="s">
        <v>100</v>
      </c>
      <c r="M4819" s="135" t="s">
        <v>845</v>
      </c>
      <c r="N4819" s="123" t="s">
        <v>845</v>
      </c>
    </row>
    <row r="4820" spans="2:14" hidden="1" x14ac:dyDescent="0.25">
      <c r="B4820" s="120">
        <v>4817</v>
      </c>
      <c r="C4820" s="123">
        <v>10478573419</v>
      </c>
      <c r="D4820" s="126" t="s">
        <v>17275</v>
      </c>
      <c r="E4820" s="126" t="s">
        <v>17276</v>
      </c>
      <c r="F4820" s="123" t="s">
        <v>30</v>
      </c>
      <c r="G4820" s="123" t="s">
        <v>30</v>
      </c>
      <c r="H4820" s="123" t="s">
        <v>79</v>
      </c>
      <c r="I4820" s="126" t="s">
        <v>9035</v>
      </c>
      <c r="J4820" s="123" t="s">
        <v>17277</v>
      </c>
      <c r="K4820" s="123" t="s">
        <v>17275</v>
      </c>
      <c r="L4820" s="131" t="s">
        <v>100</v>
      </c>
      <c r="M4820" s="135" t="s">
        <v>845</v>
      </c>
      <c r="N4820" s="123" t="s">
        <v>845</v>
      </c>
    </row>
    <row r="4821" spans="2:14" hidden="1" x14ac:dyDescent="0.25">
      <c r="B4821" s="120">
        <v>4818</v>
      </c>
      <c r="C4821" s="123">
        <v>10715856714</v>
      </c>
      <c r="D4821" s="126" t="s">
        <v>17278</v>
      </c>
      <c r="E4821" s="126" t="s">
        <v>17279</v>
      </c>
      <c r="F4821" s="123" t="s">
        <v>30</v>
      </c>
      <c r="G4821" s="123" t="s">
        <v>170</v>
      </c>
      <c r="H4821" s="123" t="s">
        <v>174</v>
      </c>
      <c r="I4821" s="126" t="s">
        <v>1484</v>
      </c>
      <c r="J4821" s="123" t="s">
        <v>17280</v>
      </c>
      <c r="K4821" s="123" t="s">
        <v>17278</v>
      </c>
      <c r="L4821" s="131" t="s">
        <v>100</v>
      </c>
      <c r="M4821" s="135" t="s">
        <v>845</v>
      </c>
      <c r="N4821" s="123" t="s">
        <v>845</v>
      </c>
    </row>
    <row r="4822" spans="2:14" hidden="1" x14ac:dyDescent="0.25">
      <c r="B4822" s="120">
        <v>4819</v>
      </c>
      <c r="C4822" s="123">
        <v>10428676241</v>
      </c>
      <c r="D4822" s="126" t="s">
        <v>17281</v>
      </c>
      <c r="E4822" s="126" t="s">
        <v>17282</v>
      </c>
      <c r="F4822" s="123" t="s">
        <v>30</v>
      </c>
      <c r="G4822" s="123" t="s">
        <v>30</v>
      </c>
      <c r="H4822" s="123" t="s">
        <v>75</v>
      </c>
      <c r="I4822" s="126" t="s">
        <v>1737</v>
      </c>
      <c r="J4822" s="123" t="s">
        <v>17283</v>
      </c>
      <c r="K4822" s="123" t="s">
        <v>17281</v>
      </c>
      <c r="L4822" s="131" t="s">
        <v>100</v>
      </c>
      <c r="M4822" s="135" t="s">
        <v>845</v>
      </c>
      <c r="N4822" s="123" t="s">
        <v>845</v>
      </c>
    </row>
    <row r="4823" spans="2:14" hidden="1" x14ac:dyDescent="0.25">
      <c r="B4823" s="120">
        <v>4820</v>
      </c>
      <c r="C4823" s="123">
        <v>10108830510</v>
      </c>
      <c r="D4823" s="126" t="s">
        <v>17284</v>
      </c>
      <c r="E4823" s="126" t="s">
        <v>17285</v>
      </c>
      <c r="F4823" s="123" t="s">
        <v>30</v>
      </c>
      <c r="G4823" s="123" t="s">
        <v>30</v>
      </c>
      <c r="H4823" s="123" t="s">
        <v>50</v>
      </c>
      <c r="I4823" s="126" t="s">
        <v>1737</v>
      </c>
      <c r="J4823" s="123" t="s">
        <v>17286</v>
      </c>
      <c r="K4823" s="123" t="s">
        <v>17284</v>
      </c>
      <c r="L4823" s="131" t="s">
        <v>100</v>
      </c>
      <c r="M4823" s="135" t="s">
        <v>845</v>
      </c>
      <c r="N4823" s="123" t="s">
        <v>845</v>
      </c>
    </row>
    <row r="4824" spans="2:14" hidden="1" x14ac:dyDescent="0.25">
      <c r="B4824" s="120">
        <v>4821</v>
      </c>
      <c r="C4824" s="123">
        <v>10463914121</v>
      </c>
      <c r="D4824" s="126" t="s">
        <v>17287</v>
      </c>
      <c r="E4824" s="126" t="s">
        <v>17288</v>
      </c>
      <c r="F4824" s="123" t="s">
        <v>30</v>
      </c>
      <c r="G4824" s="123" t="s">
        <v>30</v>
      </c>
      <c r="H4824" s="123" t="s">
        <v>50</v>
      </c>
      <c r="I4824" s="126" t="s">
        <v>1949</v>
      </c>
      <c r="J4824" s="123" t="s">
        <v>17289</v>
      </c>
      <c r="K4824" s="123" t="s">
        <v>17290</v>
      </c>
      <c r="L4824" s="131" t="s">
        <v>100</v>
      </c>
      <c r="M4824" s="135" t="s">
        <v>845</v>
      </c>
      <c r="N4824" s="123" t="s">
        <v>845</v>
      </c>
    </row>
    <row r="4825" spans="2:14" hidden="1" x14ac:dyDescent="0.25">
      <c r="B4825" s="120">
        <v>4822</v>
      </c>
      <c r="C4825" s="123">
        <v>10157568138</v>
      </c>
      <c r="D4825" s="126" t="s">
        <v>17291</v>
      </c>
      <c r="E4825" s="126" t="s">
        <v>17292</v>
      </c>
      <c r="F4825" s="123" t="s">
        <v>30</v>
      </c>
      <c r="G4825" s="123" t="s">
        <v>170</v>
      </c>
      <c r="H4825" s="123" t="s">
        <v>170</v>
      </c>
      <c r="I4825" s="126" t="s">
        <v>8725</v>
      </c>
      <c r="J4825" s="123" t="s">
        <v>17293</v>
      </c>
      <c r="K4825" s="123" t="s">
        <v>17291</v>
      </c>
      <c r="L4825" s="131" t="s">
        <v>100</v>
      </c>
      <c r="M4825" s="135" t="s">
        <v>845</v>
      </c>
      <c r="N4825" s="123" t="s">
        <v>845</v>
      </c>
    </row>
    <row r="4826" spans="2:14" hidden="1" x14ac:dyDescent="0.25">
      <c r="B4826" s="120">
        <v>4823</v>
      </c>
      <c r="C4826" s="123">
        <v>10728580530</v>
      </c>
      <c r="D4826" s="126" t="s">
        <v>17294</v>
      </c>
      <c r="E4826" s="126" t="s">
        <v>17295</v>
      </c>
      <c r="F4826" s="123" t="s">
        <v>30</v>
      </c>
      <c r="G4826" s="123" t="s">
        <v>30</v>
      </c>
      <c r="H4826" s="123" t="s">
        <v>75</v>
      </c>
      <c r="I4826" s="126" t="s">
        <v>1950</v>
      </c>
      <c r="J4826" s="123" t="s">
        <v>17296</v>
      </c>
      <c r="K4826" s="123" t="s">
        <v>17294</v>
      </c>
      <c r="L4826" s="131" t="s">
        <v>100</v>
      </c>
      <c r="M4826" s="135" t="s">
        <v>845</v>
      </c>
      <c r="N4826" s="123" t="s">
        <v>845</v>
      </c>
    </row>
    <row r="4827" spans="2:14" hidden="1" x14ac:dyDescent="0.25">
      <c r="B4827" s="120">
        <v>4824</v>
      </c>
      <c r="C4827" s="123">
        <v>10461725983</v>
      </c>
      <c r="D4827" s="126" t="s">
        <v>17297</v>
      </c>
      <c r="E4827" s="126" t="s">
        <v>17298</v>
      </c>
      <c r="F4827" s="123" t="s">
        <v>30</v>
      </c>
      <c r="G4827" s="123" t="s">
        <v>170</v>
      </c>
      <c r="H4827" s="123" t="s">
        <v>171</v>
      </c>
      <c r="I4827" s="126" t="s">
        <v>17299</v>
      </c>
      <c r="J4827" s="123" t="s">
        <v>17300</v>
      </c>
      <c r="K4827" s="123" t="s">
        <v>17301</v>
      </c>
      <c r="L4827" s="131" t="s">
        <v>100</v>
      </c>
      <c r="M4827" s="135" t="s">
        <v>845</v>
      </c>
      <c r="N4827" s="123" t="s">
        <v>845</v>
      </c>
    </row>
    <row r="4828" spans="2:14" hidden="1" x14ac:dyDescent="0.25">
      <c r="B4828" s="120">
        <v>4825</v>
      </c>
      <c r="C4828" s="123">
        <v>10156411715</v>
      </c>
      <c r="D4828" s="126" t="s">
        <v>17302</v>
      </c>
      <c r="E4828" s="126" t="s">
        <v>17303</v>
      </c>
      <c r="F4828" s="123" t="s">
        <v>30</v>
      </c>
      <c r="G4828" s="123" t="s">
        <v>170</v>
      </c>
      <c r="H4828" s="123" t="s">
        <v>171</v>
      </c>
      <c r="I4828" s="126" t="s">
        <v>1643</v>
      </c>
      <c r="J4828" s="123" t="s">
        <v>17304</v>
      </c>
      <c r="K4828" s="123" t="s">
        <v>17305</v>
      </c>
      <c r="L4828" s="131" t="s">
        <v>100</v>
      </c>
      <c r="M4828" s="135" t="s">
        <v>845</v>
      </c>
      <c r="N4828" s="123" t="s">
        <v>845</v>
      </c>
    </row>
    <row r="4829" spans="2:14" hidden="1" x14ac:dyDescent="0.25">
      <c r="B4829" s="120">
        <v>4826</v>
      </c>
      <c r="C4829" s="123">
        <v>10432553502</v>
      </c>
      <c r="D4829" s="126" t="s">
        <v>17306</v>
      </c>
      <c r="E4829" s="126" t="s">
        <v>17307</v>
      </c>
      <c r="F4829" s="123" t="s">
        <v>30</v>
      </c>
      <c r="G4829" s="123" t="s">
        <v>30</v>
      </c>
      <c r="H4829" s="123" t="s">
        <v>41</v>
      </c>
      <c r="I4829" s="126" t="s">
        <v>1737</v>
      </c>
      <c r="J4829" s="123" t="s">
        <v>17308</v>
      </c>
      <c r="K4829" s="123" t="s">
        <v>17306</v>
      </c>
      <c r="L4829" s="131" t="s">
        <v>100</v>
      </c>
      <c r="M4829" s="135" t="s">
        <v>845</v>
      </c>
      <c r="N4829" s="123" t="s">
        <v>845</v>
      </c>
    </row>
    <row r="4830" spans="2:14" hidden="1" x14ac:dyDescent="0.25">
      <c r="B4830" s="120">
        <v>4827</v>
      </c>
      <c r="C4830" s="123">
        <v>10478505081</v>
      </c>
      <c r="D4830" s="126" t="s">
        <v>17309</v>
      </c>
      <c r="E4830" s="126" t="s">
        <v>17310</v>
      </c>
      <c r="F4830" s="123" t="s">
        <v>30</v>
      </c>
      <c r="G4830" s="123" t="s">
        <v>30</v>
      </c>
      <c r="H4830" s="123" t="s">
        <v>43</v>
      </c>
      <c r="I4830" s="126" t="s">
        <v>1701</v>
      </c>
      <c r="J4830" s="123" t="s">
        <v>17311</v>
      </c>
      <c r="K4830" s="123" t="s">
        <v>17309</v>
      </c>
      <c r="L4830" s="131" t="s">
        <v>100</v>
      </c>
      <c r="M4830" s="135" t="s">
        <v>845</v>
      </c>
      <c r="N4830" s="123" t="s">
        <v>845</v>
      </c>
    </row>
    <row r="4831" spans="2:14" hidden="1" x14ac:dyDescent="0.25">
      <c r="B4831" s="120">
        <v>4828</v>
      </c>
      <c r="C4831" s="123">
        <v>10080769534</v>
      </c>
      <c r="D4831" s="126" t="s">
        <v>17312</v>
      </c>
      <c r="E4831" s="126" t="s">
        <v>17313</v>
      </c>
      <c r="F4831" s="123" t="s">
        <v>30</v>
      </c>
      <c r="G4831" s="123" t="s">
        <v>30</v>
      </c>
      <c r="H4831" s="123" t="s">
        <v>40</v>
      </c>
      <c r="I4831" s="126" t="s">
        <v>1701</v>
      </c>
      <c r="J4831" s="123" t="s">
        <v>17314</v>
      </c>
      <c r="K4831" s="123" t="s">
        <v>17312</v>
      </c>
      <c r="L4831" s="131" t="s">
        <v>100</v>
      </c>
      <c r="M4831" s="135" t="s">
        <v>845</v>
      </c>
      <c r="N4831" s="123" t="s">
        <v>845</v>
      </c>
    </row>
    <row r="4832" spans="2:14" hidden="1" x14ac:dyDescent="0.25">
      <c r="B4832" s="120">
        <v>4829</v>
      </c>
      <c r="C4832" s="123">
        <v>10104787083</v>
      </c>
      <c r="D4832" s="126" t="s">
        <v>17315</v>
      </c>
      <c r="E4832" s="126" t="s">
        <v>17316</v>
      </c>
      <c r="F4832" s="123" t="s">
        <v>30</v>
      </c>
      <c r="G4832" s="123" t="s">
        <v>30</v>
      </c>
      <c r="H4832" s="123" t="s">
        <v>58</v>
      </c>
      <c r="I4832" s="126" t="s">
        <v>9914</v>
      </c>
      <c r="J4832" s="123" t="s">
        <v>17317</v>
      </c>
      <c r="K4832" s="123" t="s">
        <v>17315</v>
      </c>
      <c r="L4832" s="131" t="s">
        <v>100</v>
      </c>
      <c r="M4832" s="135" t="s">
        <v>845</v>
      </c>
      <c r="N4832" s="123" t="s">
        <v>845</v>
      </c>
    </row>
    <row r="4833" spans="2:14" hidden="1" x14ac:dyDescent="0.25">
      <c r="B4833" s="120">
        <v>4830</v>
      </c>
      <c r="C4833" s="123">
        <v>10215385707</v>
      </c>
      <c r="D4833" s="126" t="s">
        <v>17318</v>
      </c>
      <c r="E4833" s="126" t="s">
        <v>17319</v>
      </c>
      <c r="F4833" s="123" t="s">
        <v>30</v>
      </c>
      <c r="G4833" s="123" t="s">
        <v>30</v>
      </c>
      <c r="H4833" s="123" t="s">
        <v>72</v>
      </c>
      <c r="I4833" s="126" t="s">
        <v>1424</v>
      </c>
      <c r="J4833" s="123" t="s">
        <v>17320</v>
      </c>
      <c r="K4833" s="123" t="s">
        <v>17321</v>
      </c>
      <c r="L4833" s="131" t="s">
        <v>100</v>
      </c>
      <c r="M4833" s="135" t="s">
        <v>845</v>
      </c>
      <c r="N4833" s="123" t="s">
        <v>845</v>
      </c>
    </row>
    <row r="4834" spans="2:14" hidden="1" x14ac:dyDescent="0.25">
      <c r="B4834" s="120">
        <v>4831</v>
      </c>
      <c r="C4834" s="123">
        <v>10296934343</v>
      </c>
      <c r="D4834" s="126" t="s">
        <v>17322</v>
      </c>
      <c r="E4834" s="126" t="s">
        <v>17323</v>
      </c>
      <c r="F4834" s="123" t="s">
        <v>30</v>
      </c>
      <c r="G4834" s="123" t="s">
        <v>30</v>
      </c>
      <c r="H4834" s="123" t="s">
        <v>40</v>
      </c>
      <c r="I4834" s="126" t="s">
        <v>9769</v>
      </c>
      <c r="J4834" s="123" t="s">
        <v>17324</v>
      </c>
      <c r="K4834" s="123" t="s">
        <v>17325</v>
      </c>
      <c r="L4834" s="131" t="s">
        <v>100</v>
      </c>
      <c r="M4834" s="135" t="s">
        <v>845</v>
      </c>
      <c r="N4834" s="123" t="s">
        <v>845</v>
      </c>
    </row>
    <row r="4835" spans="2:14" hidden="1" x14ac:dyDescent="0.25">
      <c r="B4835" s="120">
        <v>4832</v>
      </c>
      <c r="C4835" s="123">
        <v>10096578330</v>
      </c>
      <c r="D4835" s="126" t="s">
        <v>17326</v>
      </c>
      <c r="E4835" s="126" t="s">
        <v>17327</v>
      </c>
      <c r="F4835" s="123" t="s">
        <v>30</v>
      </c>
      <c r="G4835" s="123" t="s">
        <v>30</v>
      </c>
      <c r="H4835" s="123" t="s">
        <v>43</v>
      </c>
      <c r="I4835" s="126" t="s">
        <v>1706</v>
      </c>
      <c r="J4835" s="123" t="s">
        <v>17328</v>
      </c>
      <c r="K4835" s="123" t="s">
        <v>17329</v>
      </c>
      <c r="L4835" s="131" t="s">
        <v>100</v>
      </c>
      <c r="M4835" s="135" t="s">
        <v>845</v>
      </c>
      <c r="N4835" s="123" t="s">
        <v>845</v>
      </c>
    </row>
    <row r="4836" spans="2:14" hidden="1" x14ac:dyDescent="0.25">
      <c r="B4836" s="120">
        <v>4833</v>
      </c>
      <c r="C4836" s="123">
        <v>10108640559</v>
      </c>
      <c r="D4836" s="126" t="s">
        <v>17330</v>
      </c>
      <c r="E4836" s="126" t="s">
        <v>17331</v>
      </c>
      <c r="F4836" s="123" t="s">
        <v>30</v>
      </c>
      <c r="G4836" s="123" t="s">
        <v>30</v>
      </c>
      <c r="H4836" s="123" t="s">
        <v>50</v>
      </c>
      <c r="I4836" s="126" t="s">
        <v>1564</v>
      </c>
      <c r="J4836" s="123" t="s">
        <v>17332</v>
      </c>
      <c r="K4836" s="123" t="s">
        <v>17330</v>
      </c>
      <c r="L4836" s="131" t="s">
        <v>100</v>
      </c>
      <c r="M4836" s="135" t="s">
        <v>845</v>
      </c>
      <c r="N4836" s="123" t="s">
        <v>845</v>
      </c>
    </row>
    <row r="4837" spans="2:14" hidden="1" x14ac:dyDescent="0.25">
      <c r="B4837" s="120">
        <v>4834</v>
      </c>
      <c r="C4837" s="123">
        <v>15605074721</v>
      </c>
      <c r="D4837" s="126" t="s">
        <v>17333</v>
      </c>
      <c r="E4837" s="126" t="s">
        <v>17334</v>
      </c>
      <c r="F4837" s="123" t="s">
        <v>30</v>
      </c>
      <c r="G4837" s="123" t="s">
        <v>168</v>
      </c>
      <c r="H4837" s="123" t="s">
        <v>168</v>
      </c>
      <c r="I4837" s="126" t="s">
        <v>1424</v>
      </c>
      <c r="J4837" s="123" t="s">
        <v>17335</v>
      </c>
      <c r="K4837" s="123" t="s">
        <v>17333</v>
      </c>
      <c r="L4837" s="131" t="s">
        <v>100</v>
      </c>
      <c r="M4837" s="135" t="s">
        <v>845</v>
      </c>
      <c r="N4837" s="123" t="s">
        <v>845</v>
      </c>
    </row>
    <row r="4838" spans="2:14" hidden="1" x14ac:dyDescent="0.25">
      <c r="B4838" s="120">
        <v>4835</v>
      </c>
      <c r="C4838" s="123">
        <v>10411460105</v>
      </c>
      <c r="D4838" s="126" t="s">
        <v>17336</v>
      </c>
      <c r="E4838" s="126" t="s">
        <v>17337</v>
      </c>
      <c r="F4838" s="123" t="s">
        <v>183</v>
      </c>
      <c r="G4838" s="123" t="s">
        <v>5020</v>
      </c>
      <c r="H4838" s="123" t="s">
        <v>88</v>
      </c>
      <c r="I4838" s="126" t="s">
        <v>1701</v>
      </c>
      <c r="J4838" s="123" t="s">
        <v>17338</v>
      </c>
      <c r="K4838" s="123" t="s">
        <v>17339</v>
      </c>
      <c r="L4838" s="131" t="s">
        <v>100</v>
      </c>
      <c r="M4838" s="135" t="s">
        <v>845</v>
      </c>
      <c r="N4838" s="123" t="s">
        <v>845</v>
      </c>
    </row>
    <row r="4839" spans="2:14" hidden="1" x14ac:dyDescent="0.25">
      <c r="B4839" s="120">
        <v>4836</v>
      </c>
      <c r="C4839" s="123">
        <v>10407450561</v>
      </c>
      <c r="D4839" s="126" t="s">
        <v>17340</v>
      </c>
      <c r="E4839" s="126" t="s">
        <v>17341</v>
      </c>
      <c r="F4839" s="123" t="s">
        <v>30</v>
      </c>
      <c r="G4839" s="123" t="s">
        <v>31</v>
      </c>
      <c r="H4839" s="123" t="s">
        <v>9381</v>
      </c>
      <c r="I4839" s="126" t="s">
        <v>1931</v>
      </c>
      <c r="J4839" s="123" t="s">
        <v>17342</v>
      </c>
      <c r="K4839" s="123" t="s">
        <v>17340</v>
      </c>
      <c r="L4839" s="131" t="s">
        <v>100</v>
      </c>
      <c r="M4839" s="135" t="s">
        <v>845</v>
      </c>
      <c r="N4839" s="123" t="s">
        <v>845</v>
      </c>
    </row>
    <row r="4840" spans="2:14" hidden="1" x14ac:dyDescent="0.25">
      <c r="B4840" s="120">
        <v>4837</v>
      </c>
      <c r="C4840" s="123">
        <v>10447954341</v>
      </c>
      <c r="D4840" s="126" t="s">
        <v>17343</v>
      </c>
      <c r="E4840" s="126" t="s">
        <v>17344</v>
      </c>
      <c r="F4840" s="123" t="s">
        <v>30</v>
      </c>
      <c r="G4840" s="123" t="s">
        <v>30</v>
      </c>
      <c r="H4840" s="123" t="s">
        <v>75</v>
      </c>
      <c r="I4840" s="126" t="s">
        <v>9769</v>
      </c>
      <c r="J4840" s="123" t="s">
        <v>17345</v>
      </c>
      <c r="K4840" s="123" t="s">
        <v>17346</v>
      </c>
      <c r="L4840" s="131" t="s">
        <v>100</v>
      </c>
      <c r="M4840" s="135" t="s">
        <v>845</v>
      </c>
      <c r="N4840" s="123" t="s">
        <v>845</v>
      </c>
    </row>
    <row r="4841" spans="2:14" hidden="1" x14ac:dyDescent="0.25">
      <c r="B4841" s="120">
        <v>4838</v>
      </c>
      <c r="C4841" s="123">
        <v>10731009193</v>
      </c>
      <c r="D4841" s="126" t="s">
        <v>17347</v>
      </c>
      <c r="E4841" s="126" t="s">
        <v>17348</v>
      </c>
      <c r="F4841" s="123" t="s">
        <v>30</v>
      </c>
      <c r="G4841" s="123" t="s">
        <v>30</v>
      </c>
      <c r="H4841" s="123" t="s">
        <v>37</v>
      </c>
      <c r="I4841" s="126" t="s">
        <v>17349</v>
      </c>
      <c r="J4841" s="123" t="s">
        <v>17350</v>
      </c>
      <c r="K4841" s="123" t="s">
        <v>17347</v>
      </c>
      <c r="L4841" s="131" t="s">
        <v>100</v>
      </c>
      <c r="M4841" s="135" t="s">
        <v>845</v>
      </c>
      <c r="N4841" s="123" t="s">
        <v>845</v>
      </c>
    </row>
    <row r="4842" spans="2:14" hidden="1" x14ac:dyDescent="0.25">
      <c r="B4842" s="120">
        <v>4839</v>
      </c>
      <c r="C4842" s="123">
        <v>10418416390</v>
      </c>
      <c r="D4842" s="126" t="s">
        <v>17351</v>
      </c>
      <c r="E4842" s="126" t="s">
        <v>17352</v>
      </c>
      <c r="F4842" s="123" t="s">
        <v>30</v>
      </c>
      <c r="G4842" s="123" t="s">
        <v>30</v>
      </c>
      <c r="H4842" s="123" t="s">
        <v>30</v>
      </c>
      <c r="I4842" s="126" t="s">
        <v>1207</v>
      </c>
      <c r="J4842" s="123" t="s">
        <v>17353</v>
      </c>
      <c r="K4842" s="123" t="s">
        <v>17354</v>
      </c>
      <c r="L4842" s="131" t="s">
        <v>100</v>
      </c>
      <c r="M4842" s="135" t="s">
        <v>845</v>
      </c>
      <c r="N4842" s="123" t="s">
        <v>845</v>
      </c>
    </row>
    <row r="4843" spans="2:14" hidden="1" x14ac:dyDescent="0.25">
      <c r="B4843" s="120">
        <v>4840</v>
      </c>
      <c r="C4843" s="123">
        <v>10406120576</v>
      </c>
      <c r="D4843" s="126" t="s">
        <v>17355</v>
      </c>
      <c r="E4843" s="126" t="s">
        <v>17356</v>
      </c>
      <c r="F4843" s="123" t="s">
        <v>30</v>
      </c>
      <c r="G4843" s="123" t="s">
        <v>30</v>
      </c>
      <c r="H4843" s="123" t="s">
        <v>34</v>
      </c>
      <c r="I4843" s="126" t="s">
        <v>1939</v>
      </c>
      <c r="J4843" s="123" t="s">
        <v>17357</v>
      </c>
      <c r="K4843" s="123" t="s">
        <v>17355</v>
      </c>
      <c r="L4843" s="131" t="s">
        <v>100</v>
      </c>
      <c r="M4843" s="135" t="s">
        <v>845</v>
      </c>
      <c r="N4843" s="123" t="s">
        <v>845</v>
      </c>
    </row>
    <row r="4844" spans="2:14" hidden="1" x14ac:dyDescent="0.25">
      <c r="B4844" s="120">
        <v>4841</v>
      </c>
      <c r="C4844" s="123">
        <v>10405252134</v>
      </c>
      <c r="D4844" s="126" t="s">
        <v>17358</v>
      </c>
      <c r="E4844" s="126" t="s">
        <v>17359</v>
      </c>
      <c r="F4844" s="123" t="s">
        <v>30</v>
      </c>
      <c r="G4844" s="123" t="s">
        <v>30</v>
      </c>
      <c r="H4844" s="123" t="s">
        <v>43</v>
      </c>
      <c r="I4844" s="126" t="s">
        <v>1507</v>
      </c>
      <c r="J4844" s="123" t="s">
        <v>17360</v>
      </c>
      <c r="K4844" s="123" t="s">
        <v>17358</v>
      </c>
      <c r="L4844" s="131" t="s">
        <v>100</v>
      </c>
      <c r="M4844" s="135" t="s">
        <v>845</v>
      </c>
      <c r="N4844" s="123" t="s">
        <v>845</v>
      </c>
    </row>
    <row r="4845" spans="2:14" hidden="1" x14ac:dyDescent="0.25">
      <c r="B4845" s="120">
        <v>4842</v>
      </c>
      <c r="C4845" s="123">
        <v>10424079559</v>
      </c>
      <c r="D4845" s="126" t="s">
        <v>17361</v>
      </c>
      <c r="E4845" s="126" t="s">
        <v>17362</v>
      </c>
      <c r="F4845" s="123" t="s">
        <v>30</v>
      </c>
      <c r="G4845" s="123" t="s">
        <v>30</v>
      </c>
      <c r="H4845" s="123" t="s">
        <v>47</v>
      </c>
      <c r="I4845" s="126" t="s">
        <v>1805</v>
      </c>
      <c r="J4845" s="123" t="s">
        <v>17363</v>
      </c>
      <c r="K4845" s="123" t="s">
        <v>17364</v>
      </c>
      <c r="L4845" s="131" t="s">
        <v>100</v>
      </c>
      <c r="M4845" s="135" t="s">
        <v>845</v>
      </c>
      <c r="N4845" s="123" t="s">
        <v>845</v>
      </c>
    </row>
    <row r="4846" spans="2:14" hidden="1" x14ac:dyDescent="0.25">
      <c r="B4846" s="120">
        <v>4843</v>
      </c>
      <c r="C4846" s="123">
        <v>10770150600</v>
      </c>
      <c r="D4846" s="126" t="s">
        <v>17365</v>
      </c>
      <c r="E4846" s="126" t="s">
        <v>17366</v>
      </c>
      <c r="F4846" s="123" t="s">
        <v>30</v>
      </c>
      <c r="G4846" s="123" t="s">
        <v>30</v>
      </c>
      <c r="H4846" s="123" t="s">
        <v>43</v>
      </c>
      <c r="I4846" s="126" t="s">
        <v>1706</v>
      </c>
      <c r="J4846" s="123" t="s">
        <v>17367</v>
      </c>
      <c r="K4846" s="123" t="s">
        <v>17368</v>
      </c>
      <c r="L4846" s="131" t="s">
        <v>100</v>
      </c>
      <c r="M4846" s="135" t="s">
        <v>845</v>
      </c>
      <c r="N4846" s="123" t="s">
        <v>845</v>
      </c>
    </row>
    <row r="4847" spans="2:14" hidden="1" x14ac:dyDescent="0.25">
      <c r="B4847" s="120">
        <v>4844</v>
      </c>
      <c r="C4847" s="123">
        <v>10407787221</v>
      </c>
      <c r="D4847" s="126" t="s">
        <v>17369</v>
      </c>
      <c r="E4847" s="126" t="s">
        <v>17370</v>
      </c>
      <c r="F4847" s="123" t="s">
        <v>30</v>
      </c>
      <c r="G4847" s="123" t="s">
        <v>30</v>
      </c>
      <c r="H4847" s="123" t="s">
        <v>45</v>
      </c>
      <c r="I4847" s="126" t="s">
        <v>1424</v>
      </c>
      <c r="J4847" s="123" t="s">
        <v>17371</v>
      </c>
      <c r="K4847" s="123" t="s">
        <v>17372</v>
      </c>
      <c r="L4847" s="131" t="s">
        <v>100</v>
      </c>
      <c r="M4847" s="135" t="s">
        <v>845</v>
      </c>
      <c r="N4847" s="123" t="s">
        <v>845</v>
      </c>
    </row>
    <row r="4848" spans="2:14" hidden="1" x14ac:dyDescent="0.25">
      <c r="B4848" s="120">
        <v>4845</v>
      </c>
      <c r="C4848" s="123">
        <v>10727071101</v>
      </c>
      <c r="D4848" s="126" t="s">
        <v>17373</v>
      </c>
      <c r="E4848" s="126" t="s">
        <v>17374</v>
      </c>
      <c r="F4848" s="123" t="s">
        <v>30</v>
      </c>
      <c r="G4848" s="123" t="s">
        <v>30</v>
      </c>
      <c r="H4848" s="123" t="s">
        <v>85</v>
      </c>
      <c r="I4848" s="126" t="s">
        <v>1701</v>
      </c>
      <c r="J4848" s="123" t="s">
        <v>17375</v>
      </c>
      <c r="K4848" s="123" t="s">
        <v>17373</v>
      </c>
      <c r="L4848" s="131" t="s">
        <v>100</v>
      </c>
      <c r="M4848" s="135" t="s">
        <v>845</v>
      </c>
      <c r="N4848" s="123" t="s">
        <v>845</v>
      </c>
    </row>
    <row r="4849" spans="2:14" hidden="1" x14ac:dyDescent="0.25">
      <c r="B4849" s="120">
        <v>4846</v>
      </c>
      <c r="C4849" s="123">
        <v>10457604098</v>
      </c>
      <c r="D4849" s="126" t="s">
        <v>17376</v>
      </c>
      <c r="E4849" s="126" t="s">
        <v>17377</v>
      </c>
      <c r="F4849" s="123" t="s">
        <v>30</v>
      </c>
      <c r="G4849" s="123" t="s">
        <v>30</v>
      </c>
      <c r="H4849" s="123" t="s">
        <v>58</v>
      </c>
      <c r="I4849" s="126" t="s">
        <v>1701</v>
      </c>
      <c r="J4849" s="123" t="s">
        <v>17378</v>
      </c>
      <c r="K4849" s="123" t="s">
        <v>17376</v>
      </c>
      <c r="L4849" s="131" t="s">
        <v>100</v>
      </c>
      <c r="M4849" s="135" t="s">
        <v>845</v>
      </c>
      <c r="N4849" s="123" t="s">
        <v>845</v>
      </c>
    </row>
    <row r="4850" spans="2:14" hidden="1" x14ac:dyDescent="0.25">
      <c r="B4850" s="120">
        <v>4847</v>
      </c>
      <c r="C4850" s="123">
        <v>10258536997</v>
      </c>
      <c r="D4850" s="126" t="s">
        <v>17379</v>
      </c>
      <c r="E4850" s="126" t="s">
        <v>17380</v>
      </c>
      <c r="F4850" s="123" t="s">
        <v>67</v>
      </c>
      <c r="G4850" s="123" t="s">
        <v>67</v>
      </c>
      <c r="H4850" s="123" t="s">
        <v>94</v>
      </c>
      <c r="I4850" s="126" t="s">
        <v>1944</v>
      </c>
      <c r="J4850" s="123" t="s">
        <v>17381</v>
      </c>
      <c r="K4850" s="123" t="s">
        <v>17382</v>
      </c>
      <c r="L4850" s="131" t="s">
        <v>100</v>
      </c>
      <c r="M4850" s="135" t="s">
        <v>845</v>
      </c>
      <c r="N4850" s="123" t="s">
        <v>845</v>
      </c>
    </row>
    <row r="4851" spans="2:14" hidden="1" x14ac:dyDescent="0.25">
      <c r="B4851" s="120">
        <v>4848</v>
      </c>
      <c r="C4851" s="123">
        <v>10752026161</v>
      </c>
      <c r="D4851" s="126" t="s">
        <v>17383</v>
      </c>
      <c r="E4851" s="126" t="s">
        <v>17384</v>
      </c>
      <c r="F4851" s="123" t="s">
        <v>30</v>
      </c>
      <c r="G4851" s="123" t="s">
        <v>30</v>
      </c>
      <c r="H4851" s="123" t="s">
        <v>41</v>
      </c>
      <c r="I4851" s="126" t="s">
        <v>1737</v>
      </c>
      <c r="J4851" s="123" t="s">
        <v>17385</v>
      </c>
      <c r="K4851" s="123" t="s">
        <v>17383</v>
      </c>
      <c r="L4851" s="131" t="s">
        <v>100</v>
      </c>
      <c r="M4851" s="135" t="s">
        <v>845</v>
      </c>
      <c r="N4851" s="123" t="s">
        <v>845</v>
      </c>
    </row>
    <row r="4852" spans="2:14" hidden="1" x14ac:dyDescent="0.25">
      <c r="B4852" s="120">
        <v>4849</v>
      </c>
      <c r="C4852" s="123">
        <v>10159504366</v>
      </c>
      <c r="D4852" s="126" t="s">
        <v>17386</v>
      </c>
      <c r="E4852" s="126" t="s">
        <v>17387</v>
      </c>
      <c r="F4852" s="123" t="s">
        <v>30</v>
      </c>
      <c r="G4852" s="123" t="s">
        <v>54</v>
      </c>
      <c r="H4852" s="123" t="s">
        <v>55</v>
      </c>
      <c r="I4852" s="126" t="s">
        <v>1701</v>
      </c>
      <c r="J4852" s="123" t="s">
        <v>17388</v>
      </c>
      <c r="K4852" s="123" t="s">
        <v>17386</v>
      </c>
      <c r="L4852" s="131" t="s">
        <v>100</v>
      </c>
      <c r="M4852" s="135" t="s">
        <v>845</v>
      </c>
      <c r="N4852" s="123" t="s">
        <v>845</v>
      </c>
    </row>
    <row r="4853" spans="2:14" hidden="1" x14ac:dyDescent="0.25">
      <c r="B4853" s="120">
        <v>4850</v>
      </c>
      <c r="C4853" s="123">
        <v>10427442654</v>
      </c>
      <c r="D4853" s="126" t="s">
        <v>17389</v>
      </c>
      <c r="E4853" s="126" t="s">
        <v>17390</v>
      </c>
      <c r="F4853" s="123" t="s">
        <v>30</v>
      </c>
      <c r="G4853" s="123" t="s">
        <v>30</v>
      </c>
      <c r="H4853" s="123" t="s">
        <v>30</v>
      </c>
      <c r="I4853" s="126" t="s">
        <v>1941</v>
      </c>
      <c r="J4853" s="123" t="s">
        <v>17391</v>
      </c>
      <c r="K4853" s="123" t="s">
        <v>17389</v>
      </c>
      <c r="L4853" s="131" t="s">
        <v>100</v>
      </c>
      <c r="M4853" s="135" t="s">
        <v>845</v>
      </c>
      <c r="N4853" s="123" t="s">
        <v>845</v>
      </c>
    </row>
    <row r="4854" spans="2:14" hidden="1" x14ac:dyDescent="0.25">
      <c r="B4854" s="120">
        <v>4851</v>
      </c>
      <c r="C4854" s="123">
        <v>10438318262</v>
      </c>
      <c r="D4854" s="126" t="s">
        <v>17392</v>
      </c>
      <c r="E4854" s="126" t="s">
        <v>17393</v>
      </c>
      <c r="F4854" s="123" t="s">
        <v>30</v>
      </c>
      <c r="G4854" s="123" t="s">
        <v>31</v>
      </c>
      <c r="H4854" s="123" t="s">
        <v>9381</v>
      </c>
      <c r="I4854" s="126" t="s">
        <v>1424</v>
      </c>
      <c r="J4854" s="123" t="s">
        <v>17394</v>
      </c>
      <c r="K4854" s="123" t="s">
        <v>17392</v>
      </c>
      <c r="L4854" s="131" t="s">
        <v>100</v>
      </c>
      <c r="M4854" s="135" t="s">
        <v>845</v>
      </c>
      <c r="N4854" s="123" t="s">
        <v>845</v>
      </c>
    </row>
    <row r="4855" spans="2:14" hidden="1" x14ac:dyDescent="0.25">
      <c r="B4855" s="120">
        <v>4852</v>
      </c>
      <c r="C4855" s="123">
        <v>10425093091</v>
      </c>
      <c r="D4855" s="126" t="s">
        <v>17395</v>
      </c>
      <c r="E4855" s="126" t="s">
        <v>17396</v>
      </c>
      <c r="F4855" s="123" t="s">
        <v>30</v>
      </c>
      <c r="G4855" s="123" t="s">
        <v>54</v>
      </c>
      <c r="H4855" s="123" t="s">
        <v>54</v>
      </c>
      <c r="I4855" s="126" t="s">
        <v>1701</v>
      </c>
      <c r="J4855" s="123" t="s">
        <v>17397</v>
      </c>
      <c r="K4855" s="123" t="s">
        <v>17395</v>
      </c>
      <c r="L4855" s="131" t="s">
        <v>100</v>
      </c>
      <c r="M4855" s="135" t="s">
        <v>845</v>
      </c>
      <c r="N4855" s="123" t="s">
        <v>845</v>
      </c>
    </row>
    <row r="4856" spans="2:14" hidden="1" x14ac:dyDescent="0.25">
      <c r="B4856" s="120">
        <v>4853</v>
      </c>
      <c r="C4856" s="123">
        <v>10097822722</v>
      </c>
      <c r="D4856" s="126" t="s">
        <v>17398</v>
      </c>
      <c r="E4856" s="126" t="s">
        <v>17399</v>
      </c>
      <c r="F4856" s="123" t="s">
        <v>30</v>
      </c>
      <c r="G4856" s="123" t="s">
        <v>30</v>
      </c>
      <c r="H4856" s="123" t="s">
        <v>51</v>
      </c>
      <c r="I4856" s="126" t="s">
        <v>1655</v>
      </c>
      <c r="J4856" s="123" t="s">
        <v>17400</v>
      </c>
      <c r="K4856" s="123" t="s">
        <v>17401</v>
      </c>
      <c r="L4856" s="131" t="s">
        <v>100</v>
      </c>
      <c r="M4856" s="135" t="s">
        <v>845</v>
      </c>
      <c r="N4856" s="123" t="s">
        <v>845</v>
      </c>
    </row>
    <row r="4857" spans="2:14" hidden="1" x14ac:dyDescent="0.25">
      <c r="B4857" s="120">
        <v>4854</v>
      </c>
      <c r="C4857" s="123">
        <v>10429773291</v>
      </c>
      <c r="D4857" s="126" t="s">
        <v>17402</v>
      </c>
      <c r="E4857" s="126" t="s">
        <v>17403</v>
      </c>
      <c r="F4857" s="123" t="s">
        <v>30</v>
      </c>
      <c r="G4857" s="123" t="s">
        <v>170</v>
      </c>
      <c r="H4857" s="123" t="s">
        <v>174</v>
      </c>
      <c r="I4857" s="126" t="s">
        <v>1931</v>
      </c>
      <c r="J4857" s="123" t="s">
        <v>17404</v>
      </c>
      <c r="K4857" s="123" t="s">
        <v>17402</v>
      </c>
      <c r="L4857" s="131" t="s">
        <v>100</v>
      </c>
      <c r="M4857" s="135" t="s">
        <v>845</v>
      </c>
      <c r="N4857" s="123" t="s">
        <v>845</v>
      </c>
    </row>
    <row r="4858" spans="2:14" hidden="1" x14ac:dyDescent="0.25">
      <c r="B4858" s="120">
        <v>4855</v>
      </c>
      <c r="C4858" s="123">
        <v>10091023755</v>
      </c>
      <c r="D4858" s="126" t="s">
        <v>17405</v>
      </c>
      <c r="E4858" s="126" t="s">
        <v>17406</v>
      </c>
      <c r="F4858" s="123" t="s">
        <v>30</v>
      </c>
      <c r="G4858" s="123" t="s">
        <v>30</v>
      </c>
      <c r="H4858" s="123" t="s">
        <v>43</v>
      </c>
      <c r="I4858" s="126" t="s">
        <v>16555</v>
      </c>
      <c r="J4858" s="123" t="s">
        <v>17407</v>
      </c>
      <c r="K4858" s="123" t="s">
        <v>17405</v>
      </c>
      <c r="L4858" s="131" t="s">
        <v>100</v>
      </c>
      <c r="M4858" s="135" t="s">
        <v>845</v>
      </c>
      <c r="N4858" s="123" t="s">
        <v>845</v>
      </c>
    </row>
    <row r="4859" spans="2:14" hidden="1" x14ac:dyDescent="0.25">
      <c r="B4859" s="120">
        <v>4856</v>
      </c>
      <c r="C4859" s="123">
        <v>10435974908</v>
      </c>
      <c r="D4859" s="126" t="s">
        <v>17408</v>
      </c>
      <c r="E4859" s="126" t="s">
        <v>17409</v>
      </c>
      <c r="F4859" s="123" t="s">
        <v>30</v>
      </c>
      <c r="G4859" s="123" t="s">
        <v>30</v>
      </c>
      <c r="H4859" s="123" t="s">
        <v>43</v>
      </c>
      <c r="I4859" s="126" t="s">
        <v>1424</v>
      </c>
      <c r="J4859" s="123" t="s">
        <v>17410</v>
      </c>
      <c r="K4859" s="123" t="s">
        <v>17411</v>
      </c>
      <c r="L4859" s="131" t="s">
        <v>100</v>
      </c>
      <c r="M4859" s="135" t="s">
        <v>845</v>
      </c>
      <c r="N4859" s="123" t="s">
        <v>845</v>
      </c>
    </row>
    <row r="4860" spans="2:14" hidden="1" x14ac:dyDescent="0.25">
      <c r="B4860" s="120">
        <v>4857</v>
      </c>
      <c r="C4860" s="123">
        <v>10158651560</v>
      </c>
      <c r="D4860" s="126" t="s">
        <v>17412</v>
      </c>
      <c r="E4860" s="126" t="s">
        <v>17413</v>
      </c>
      <c r="F4860" s="123" t="s">
        <v>30</v>
      </c>
      <c r="G4860" s="123" t="s">
        <v>168</v>
      </c>
      <c r="H4860" s="123" t="s">
        <v>168</v>
      </c>
      <c r="I4860" s="126" t="s">
        <v>1949</v>
      </c>
      <c r="J4860" s="123" t="s">
        <v>17414</v>
      </c>
      <c r="K4860" s="123" t="s">
        <v>17412</v>
      </c>
      <c r="L4860" s="131" t="s">
        <v>100</v>
      </c>
      <c r="M4860" s="135" t="s">
        <v>845</v>
      </c>
      <c r="N4860" s="123" t="s">
        <v>845</v>
      </c>
    </row>
    <row r="4861" spans="2:14" hidden="1" x14ac:dyDescent="0.25">
      <c r="B4861" s="120">
        <v>4858</v>
      </c>
      <c r="C4861" s="123">
        <v>10400857291</v>
      </c>
      <c r="D4861" s="126" t="s">
        <v>17415</v>
      </c>
      <c r="E4861" s="126" t="s">
        <v>17416</v>
      </c>
      <c r="F4861" s="123" t="s">
        <v>30</v>
      </c>
      <c r="G4861" s="123" t="s">
        <v>30</v>
      </c>
      <c r="H4861" s="123" t="s">
        <v>45</v>
      </c>
      <c r="I4861" s="126" t="s">
        <v>1952</v>
      </c>
      <c r="J4861" s="123" t="s">
        <v>17417</v>
      </c>
      <c r="K4861" s="123" t="s">
        <v>17415</v>
      </c>
      <c r="L4861" s="131" t="s">
        <v>100</v>
      </c>
      <c r="M4861" s="135" t="s">
        <v>845</v>
      </c>
      <c r="N4861" s="123" t="s">
        <v>845</v>
      </c>
    </row>
    <row r="4862" spans="2:14" hidden="1" x14ac:dyDescent="0.25">
      <c r="B4862" s="120">
        <v>4859</v>
      </c>
      <c r="C4862" s="123">
        <v>10056451221</v>
      </c>
      <c r="D4862" s="126" t="s">
        <v>17418</v>
      </c>
      <c r="E4862" s="126" t="s">
        <v>17419</v>
      </c>
      <c r="F4862" s="123" t="s">
        <v>30</v>
      </c>
      <c r="G4862" s="123" t="s">
        <v>30</v>
      </c>
      <c r="H4862" s="123" t="s">
        <v>75</v>
      </c>
      <c r="I4862" s="126" t="s">
        <v>1564</v>
      </c>
      <c r="J4862" s="123" t="s">
        <v>17420</v>
      </c>
      <c r="K4862" s="123" t="s">
        <v>17421</v>
      </c>
      <c r="L4862" s="131" t="s">
        <v>100</v>
      </c>
      <c r="M4862" s="135" t="s">
        <v>845</v>
      </c>
      <c r="N4862" s="123" t="s">
        <v>845</v>
      </c>
    </row>
    <row r="4863" spans="2:14" hidden="1" x14ac:dyDescent="0.25">
      <c r="B4863" s="120">
        <v>4860</v>
      </c>
      <c r="C4863" s="123">
        <v>10461720680</v>
      </c>
      <c r="D4863" s="126" t="s">
        <v>17422</v>
      </c>
      <c r="E4863" s="126" t="s">
        <v>17423</v>
      </c>
      <c r="F4863" s="123" t="s">
        <v>30</v>
      </c>
      <c r="G4863" s="123" t="s">
        <v>170</v>
      </c>
      <c r="H4863" s="123" t="s">
        <v>171</v>
      </c>
      <c r="I4863" s="126" t="s">
        <v>1962</v>
      </c>
      <c r="J4863" s="123" t="s">
        <v>17424</v>
      </c>
      <c r="K4863" s="123" t="s">
        <v>17422</v>
      </c>
      <c r="L4863" s="131" t="s">
        <v>100</v>
      </c>
      <c r="M4863" s="135" t="s">
        <v>845</v>
      </c>
      <c r="N4863" s="123" t="s">
        <v>845</v>
      </c>
    </row>
    <row r="4864" spans="2:14" hidden="1" x14ac:dyDescent="0.25">
      <c r="B4864" s="120">
        <v>4861</v>
      </c>
      <c r="C4864" s="123">
        <v>10106942914</v>
      </c>
      <c r="D4864" s="126" t="s">
        <v>17425</v>
      </c>
      <c r="E4864" s="126" t="s">
        <v>17426</v>
      </c>
      <c r="F4864" s="123" t="s">
        <v>30</v>
      </c>
      <c r="G4864" s="123" t="s">
        <v>30</v>
      </c>
      <c r="H4864" s="123" t="s">
        <v>58</v>
      </c>
      <c r="I4864" s="126" t="s">
        <v>8743</v>
      </c>
      <c r="J4864" s="123" t="s">
        <v>17427</v>
      </c>
      <c r="K4864" s="123" t="s">
        <v>17425</v>
      </c>
      <c r="L4864" s="131" t="s">
        <v>100</v>
      </c>
      <c r="M4864" s="135" t="s">
        <v>845</v>
      </c>
      <c r="N4864" s="123" t="s">
        <v>845</v>
      </c>
    </row>
    <row r="4865" spans="2:14" hidden="1" x14ac:dyDescent="0.25">
      <c r="B4865" s="120">
        <v>4862</v>
      </c>
      <c r="C4865" s="123">
        <v>10438025664</v>
      </c>
      <c r="D4865" s="126" t="s">
        <v>17428</v>
      </c>
      <c r="E4865" s="126" t="s">
        <v>17429</v>
      </c>
      <c r="F4865" s="123" t="s">
        <v>30</v>
      </c>
      <c r="G4865" s="123" t="s">
        <v>30</v>
      </c>
      <c r="H4865" s="123" t="s">
        <v>68</v>
      </c>
      <c r="I4865" s="126" t="s">
        <v>8825</v>
      </c>
      <c r="J4865" s="123" t="s">
        <v>17430</v>
      </c>
      <c r="K4865" s="123" t="s">
        <v>17428</v>
      </c>
      <c r="L4865" s="131" t="s">
        <v>100</v>
      </c>
      <c r="M4865" s="135" t="s">
        <v>845</v>
      </c>
      <c r="N4865" s="123" t="s">
        <v>845</v>
      </c>
    </row>
    <row r="4866" spans="2:14" hidden="1" x14ac:dyDescent="0.25">
      <c r="B4866" s="120">
        <v>4863</v>
      </c>
      <c r="C4866" s="123">
        <v>10438196671</v>
      </c>
      <c r="D4866" s="126" t="s">
        <v>17431</v>
      </c>
      <c r="E4866" s="126" t="s">
        <v>17432</v>
      </c>
      <c r="F4866" s="123" t="s">
        <v>30</v>
      </c>
      <c r="G4866" s="123" t="s">
        <v>30</v>
      </c>
      <c r="H4866" s="123" t="s">
        <v>51</v>
      </c>
      <c r="I4866" s="126" t="s">
        <v>1942</v>
      </c>
      <c r="J4866" s="123" t="s">
        <v>17433</v>
      </c>
      <c r="K4866" s="123" t="s">
        <v>17431</v>
      </c>
      <c r="L4866" s="131" t="s">
        <v>100</v>
      </c>
      <c r="M4866" s="135" t="s">
        <v>845</v>
      </c>
      <c r="N4866" s="123" t="s">
        <v>845</v>
      </c>
    </row>
    <row r="4867" spans="2:14" hidden="1" x14ac:dyDescent="0.25">
      <c r="B4867" s="120">
        <v>4864</v>
      </c>
      <c r="C4867" s="123">
        <v>10458651618</v>
      </c>
      <c r="D4867" s="126" t="s">
        <v>17434</v>
      </c>
      <c r="E4867" s="126" t="s">
        <v>17435</v>
      </c>
      <c r="F4867" s="123" t="s">
        <v>30</v>
      </c>
      <c r="G4867" s="123" t="s">
        <v>30</v>
      </c>
      <c r="H4867" s="123" t="s">
        <v>88</v>
      </c>
      <c r="I4867" s="126" t="s">
        <v>1950</v>
      </c>
      <c r="J4867" s="123" t="s">
        <v>17436</v>
      </c>
      <c r="K4867" s="123" t="s">
        <v>17434</v>
      </c>
      <c r="L4867" s="131" t="s">
        <v>100</v>
      </c>
      <c r="M4867" s="135" t="s">
        <v>845</v>
      </c>
      <c r="N4867" s="123" t="s">
        <v>845</v>
      </c>
    </row>
    <row r="4868" spans="2:14" hidden="1" x14ac:dyDescent="0.25">
      <c r="B4868" s="120">
        <v>4865</v>
      </c>
      <c r="C4868" s="123">
        <v>10426918485</v>
      </c>
      <c r="D4868" s="126" t="s">
        <v>17437</v>
      </c>
      <c r="E4868" s="126" t="s">
        <v>17438</v>
      </c>
      <c r="F4868" s="123" t="s">
        <v>30</v>
      </c>
      <c r="G4868" s="123" t="s">
        <v>30</v>
      </c>
      <c r="H4868" s="123" t="s">
        <v>72</v>
      </c>
      <c r="I4868" s="126" t="s">
        <v>1950</v>
      </c>
      <c r="J4868" s="123" t="s">
        <v>17439</v>
      </c>
      <c r="K4868" s="123" t="s">
        <v>17437</v>
      </c>
      <c r="L4868" s="131" t="s">
        <v>100</v>
      </c>
      <c r="M4868" s="135" t="s">
        <v>845</v>
      </c>
      <c r="N4868" s="123" t="s">
        <v>845</v>
      </c>
    </row>
    <row r="4869" spans="2:14" hidden="1" x14ac:dyDescent="0.25">
      <c r="B4869" s="120">
        <v>4866</v>
      </c>
      <c r="C4869" s="123">
        <v>10156233655</v>
      </c>
      <c r="D4869" s="126" t="s">
        <v>17440</v>
      </c>
      <c r="E4869" s="126" t="s">
        <v>17441</v>
      </c>
      <c r="F4869" s="123" t="s">
        <v>30</v>
      </c>
      <c r="G4869" s="123" t="s">
        <v>168</v>
      </c>
      <c r="H4869" s="123" t="s">
        <v>168</v>
      </c>
      <c r="I4869" s="126" t="s">
        <v>1962</v>
      </c>
      <c r="J4869" s="123" t="s">
        <v>17442</v>
      </c>
      <c r="K4869" s="123" t="s">
        <v>17443</v>
      </c>
      <c r="L4869" s="131" t="s">
        <v>100</v>
      </c>
      <c r="M4869" s="135" t="s">
        <v>845</v>
      </c>
      <c r="N4869" s="123" t="s">
        <v>845</v>
      </c>
    </row>
    <row r="4870" spans="2:14" hidden="1" x14ac:dyDescent="0.25">
      <c r="B4870" s="120">
        <v>4867</v>
      </c>
      <c r="C4870" s="123">
        <v>10429871978</v>
      </c>
      <c r="D4870" s="126" t="s">
        <v>17444</v>
      </c>
      <c r="E4870" s="126" t="s">
        <v>17445</v>
      </c>
      <c r="F4870" s="123" t="s">
        <v>30</v>
      </c>
      <c r="G4870" s="123" t="s">
        <v>30</v>
      </c>
      <c r="H4870" s="123" t="s">
        <v>41</v>
      </c>
      <c r="I4870" s="126" t="s">
        <v>1737</v>
      </c>
      <c r="J4870" s="123" t="s">
        <v>17446</v>
      </c>
      <c r="K4870" s="123" t="s">
        <v>17444</v>
      </c>
      <c r="L4870" s="131" t="s">
        <v>100</v>
      </c>
      <c r="M4870" s="135" t="s">
        <v>845</v>
      </c>
      <c r="N4870" s="123" t="s">
        <v>845</v>
      </c>
    </row>
    <row r="4871" spans="2:14" hidden="1" x14ac:dyDescent="0.25">
      <c r="B4871" s="120">
        <v>4868</v>
      </c>
      <c r="C4871" s="123">
        <v>10156562128</v>
      </c>
      <c r="D4871" s="126" t="s">
        <v>17447</v>
      </c>
      <c r="E4871" s="126" t="s">
        <v>17448</v>
      </c>
      <c r="F4871" s="123" t="s">
        <v>30</v>
      </c>
      <c r="G4871" s="123" t="s">
        <v>170</v>
      </c>
      <c r="H4871" s="123" t="s">
        <v>170</v>
      </c>
      <c r="I4871" s="126" t="s">
        <v>1939</v>
      </c>
      <c r="J4871" s="123" t="s">
        <v>17449</v>
      </c>
      <c r="K4871" s="123" t="s">
        <v>17447</v>
      </c>
      <c r="L4871" s="131" t="s">
        <v>100</v>
      </c>
      <c r="M4871" s="135" t="s">
        <v>845</v>
      </c>
      <c r="N4871" s="123" t="s">
        <v>845</v>
      </c>
    </row>
    <row r="4872" spans="2:14" hidden="1" x14ac:dyDescent="0.25">
      <c r="B4872" s="120">
        <v>4869</v>
      </c>
      <c r="C4872" s="123">
        <v>10433621633</v>
      </c>
      <c r="D4872" s="126" t="s">
        <v>17450</v>
      </c>
      <c r="E4872" s="126" t="s">
        <v>17451</v>
      </c>
      <c r="F4872" s="123" t="s">
        <v>30</v>
      </c>
      <c r="G4872" s="123" t="s">
        <v>30</v>
      </c>
      <c r="H4872" s="123" t="s">
        <v>75</v>
      </c>
      <c r="I4872" s="126" t="s">
        <v>1946</v>
      </c>
      <c r="J4872" s="123" t="s">
        <v>17452</v>
      </c>
      <c r="K4872" s="123" t="s">
        <v>17450</v>
      </c>
      <c r="L4872" s="131" t="s">
        <v>100</v>
      </c>
      <c r="M4872" s="135" t="s">
        <v>845</v>
      </c>
      <c r="N4872" s="123" t="s">
        <v>845</v>
      </c>
    </row>
    <row r="4873" spans="2:14" hidden="1" x14ac:dyDescent="0.25">
      <c r="B4873" s="120">
        <v>4870</v>
      </c>
      <c r="C4873" s="123">
        <v>10413846604</v>
      </c>
      <c r="D4873" s="126" t="s">
        <v>17453</v>
      </c>
      <c r="E4873" s="126" t="s">
        <v>17454</v>
      </c>
      <c r="F4873" s="123" t="s">
        <v>30</v>
      </c>
      <c r="G4873" s="123" t="s">
        <v>30</v>
      </c>
      <c r="H4873" s="123" t="s">
        <v>37</v>
      </c>
      <c r="I4873" s="126" t="s">
        <v>1950</v>
      </c>
      <c r="J4873" s="123" t="s">
        <v>17455</v>
      </c>
      <c r="K4873" s="123" t="s">
        <v>17456</v>
      </c>
      <c r="L4873" s="131" t="s">
        <v>100</v>
      </c>
      <c r="M4873" s="135" t="s">
        <v>845</v>
      </c>
      <c r="N4873" s="123" t="s">
        <v>845</v>
      </c>
    </row>
    <row r="4874" spans="2:14" hidden="1" x14ac:dyDescent="0.25">
      <c r="B4874" s="120">
        <v>4871</v>
      </c>
      <c r="C4874" s="123">
        <v>10781059400</v>
      </c>
      <c r="D4874" s="126" t="s">
        <v>17457</v>
      </c>
      <c r="E4874" s="126" t="s">
        <v>17458</v>
      </c>
      <c r="F4874" s="123" t="s">
        <v>30</v>
      </c>
      <c r="G4874" s="123" t="s">
        <v>170</v>
      </c>
      <c r="H4874" s="123" t="s">
        <v>170</v>
      </c>
      <c r="I4874" s="126" t="s">
        <v>8659</v>
      </c>
      <c r="J4874" s="123" t="s">
        <v>17459</v>
      </c>
      <c r="K4874" s="123" t="s">
        <v>17457</v>
      </c>
      <c r="L4874" s="131" t="s">
        <v>100</v>
      </c>
      <c r="M4874" s="135" t="s">
        <v>845</v>
      </c>
      <c r="N4874" s="123" t="s">
        <v>845</v>
      </c>
    </row>
    <row r="4875" spans="2:14" hidden="1" x14ac:dyDescent="0.25">
      <c r="B4875" s="120">
        <v>4872</v>
      </c>
      <c r="C4875" s="123">
        <v>10419677201</v>
      </c>
      <c r="D4875" s="126" t="s">
        <v>17460</v>
      </c>
      <c r="E4875" s="126" t="s">
        <v>17461</v>
      </c>
      <c r="F4875" s="123" t="s">
        <v>30</v>
      </c>
      <c r="G4875" s="123" t="s">
        <v>30</v>
      </c>
      <c r="H4875" s="123" t="s">
        <v>50</v>
      </c>
      <c r="I4875" s="126" t="s">
        <v>1931</v>
      </c>
      <c r="J4875" s="123" t="s">
        <v>17462</v>
      </c>
      <c r="K4875" s="123" t="s">
        <v>17460</v>
      </c>
      <c r="L4875" s="131" t="s">
        <v>100</v>
      </c>
      <c r="M4875" s="135" t="s">
        <v>845</v>
      </c>
      <c r="N4875" s="123" t="s">
        <v>845</v>
      </c>
    </row>
    <row r="4876" spans="2:14" hidden="1" x14ac:dyDescent="0.25">
      <c r="B4876" s="120">
        <v>4873</v>
      </c>
      <c r="C4876" s="123">
        <v>10432994991</v>
      </c>
      <c r="D4876" s="126" t="s">
        <v>17463</v>
      </c>
      <c r="E4876" s="126" t="s">
        <v>17464</v>
      </c>
      <c r="F4876" s="123" t="s">
        <v>30</v>
      </c>
      <c r="G4876" s="123" t="s">
        <v>30</v>
      </c>
      <c r="H4876" s="123" t="s">
        <v>50</v>
      </c>
      <c r="I4876" s="126" t="s">
        <v>1952</v>
      </c>
      <c r="J4876" s="123" t="s">
        <v>17465</v>
      </c>
      <c r="K4876" s="123" t="s">
        <v>17463</v>
      </c>
      <c r="L4876" s="131" t="s">
        <v>100</v>
      </c>
      <c r="M4876" s="135" t="s">
        <v>845</v>
      </c>
      <c r="N4876" s="123" t="s">
        <v>845</v>
      </c>
    </row>
    <row r="4877" spans="2:14" hidden="1" x14ac:dyDescent="0.25">
      <c r="B4877" s="120">
        <v>4874</v>
      </c>
      <c r="C4877" s="123">
        <v>10411764481</v>
      </c>
      <c r="D4877" s="126" t="s">
        <v>17466</v>
      </c>
      <c r="E4877" s="126" t="s">
        <v>17467</v>
      </c>
      <c r="F4877" s="123" t="s">
        <v>30</v>
      </c>
      <c r="G4877" s="123" t="s">
        <v>30</v>
      </c>
      <c r="H4877" s="123" t="s">
        <v>113</v>
      </c>
      <c r="I4877" s="126" t="s">
        <v>1701</v>
      </c>
      <c r="J4877" s="123" t="s">
        <v>17468</v>
      </c>
      <c r="K4877" s="123" t="s">
        <v>17466</v>
      </c>
      <c r="L4877" s="131" t="s">
        <v>100</v>
      </c>
      <c r="M4877" s="135" t="s">
        <v>845</v>
      </c>
      <c r="N4877" s="123" t="s">
        <v>845</v>
      </c>
    </row>
    <row r="4878" spans="2:14" hidden="1" x14ac:dyDescent="0.25">
      <c r="B4878" s="120">
        <v>4875</v>
      </c>
      <c r="C4878" s="123">
        <v>10413792857</v>
      </c>
      <c r="D4878" s="126" t="s">
        <v>17469</v>
      </c>
      <c r="E4878" s="126" t="s">
        <v>17470</v>
      </c>
      <c r="F4878" s="123" t="s">
        <v>30</v>
      </c>
      <c r="G4878" s="123" t="s">
        <v>30</v>
      </c>
      <c r="H4878" s="123" t="s">
        <v>60</v>
      </c>
      <c r="I4878" s="126" t="s">
        <v>17471</v>
      </c>
      <c r="J4878" s="123" t="s">
        <v>17472</v>
      </c>
      <c r="K4878" s="123" t="s">
        <v>17469</v>
      </c>
      <c r="L4878" s="131" t="s">
        <v>100</v>
      </c>
      <c r="M4878" s="135" t="s">
        <v>845</v>
      </c>
      <c r="N4878" s="123" t="s">
        <v>845</v>
      </c>
    </row>
    <row r="4879" spans="2:14" hidden="1" x14ac:dyDescent="0.25">
      <c r="B4879" s="120">
        <v>4876</v>
      </c>
      <c r="C4879" s="123">
        <v>17107072691</v>
      </c>
      <c r="D4879" s="126" t="s">
        <v>17473</v>
      </c>
      <c r="E4879" s="126" t="s">
        <v>17474</v>
      </c>
      <c r="F4879" s="123" t="s">
        <v>30</v>
      </c>
      <c r="G4879" s="123" t="s">
        <v>30</v>
      </c>
      <c r="H4879" s="123" t="s">
        <v>47</v>
      </c>
      <c r="I4879" s="126" t="s">
        <v>1936</v>
      </c>
      <c r="J4879" s="123" t="s">
        <v>17475</v>
      </c>
      <c r="K4879" s="123" t="s">
        <v>17473</v>
      </c>
      <c r="L4879" s="131" t="s">
        <v>100</v>
      </c>
      <c r="M4879" s="135" t="s">
        <v>845</v>
      </c>
      <c r="N4879" s="123" t="s">
        <v>845</v>
      </c>
    </row>
    <row r="4880" spans="2:14" hidden="1" x14ac:dyDescent="0.25">
      <c r="B4880" s="120">
        <v>4877</v>
      </c>
      <c r="C4880" s="123">
        <v>10416580931</v>
      </c>
      <c r="D4880" s="126" t="s">
        <v>17476</v>
      </c>
      <c r="E4880" s="126" t="s">
        <v>17477</v>
      </c>
      <c r="F4880" s="123" t="s">
        <v>30</v>
      </c>
      <c r="G4880" s="123" t="s">
        <v>30</v>
      </c>
      <c r="H4880" s="123" t="s">
        <v>60</v>
      </c>
      <c r="I4880" s="126" t="s">
        <v>1701</v>
      </c>
      <c r="J4880" s="123" t="s">
        <v>17478</v>
      </c>
      <c r="K4880" s="123" t="s">
        <v>17476</v>
      </c>
      <c r="L4880" s="131" t="s">
        <v>100</v>
      </c>
      <c r="M4880" s="135" t="s">
        <v>845</v>
      </c>
      <c r="N4880" s="123" t="s">
        <v>845</v>
      </c>
    </row>
    <row r="4881" spans="2:14" hidden="1" x14ac:dyDescent="0.25">
      <c r="B4881" s="120">
        <v>4878</v>
      </c>
      <c r="C4881" s="123">
        <v>10800186094</v>
      </c>
      <c r="D4881" s="126" t="s">
        <v>17479</v>
      </c>
      <c r="E4881" s="126" t="s">
        <v>17480</v>
      </c>
      <c r="F4881" s="123" t="s">
        <v>30</v>
      </c>
      <c r="G4881" s="123" t="s">
        <v>30</v>
      </c>
      <c r="H4881" s="123" t="s">
        <v>51</v>
      </c>
      <c r="I4881" s="126" t="s">
        <v>1701</v>
      </c>
      <c r="J4881" s="123" t="s">
        <v>17481</v>
      </c>
      <c r="K4881" s="123" t="s">
        <v>17479</v>
      </c>
      <c r="L4881" s="131" t="s">
        <v>100</v>
      </c>
      <c r="M4881" s="135" t="s">
        <v>845</v>
      </c>
      <c r="N4881" s="123" t="s">
        <v>845</v>
      </c>
    </row>
    <row r="4882" spans="2:14" hidden="1" x14ac:dyDescent="0.25">
      <c r="B4882" s="120">
        <v>4879</v>
      </c>
      <c r="C4882" s="123">
        <v>10730760359</v>
      </c>
      <c r="D4882" s="126" t="s">
        <v>17482</v>
      </c>
      <c r="E4882" s="126" t="s">
        <v>17483</v>
      </c>
      <c r="F4882" s="123" t="s">
        <v>30</v>
      </c>
      <c r="G4882" s="123" t="s">
        <v>30</v>
      </c>
      <c r="H4882" s="123" t="s">
        <v>58</v>
      </c>
      <c r="I4882" s="126" t="s">
        <v>1952</v>
      </c>
      <c r="J4882" s="123" t="s">
        <v>17484</v>
      </c>
      <c r="K4882" s="123" t="s">
        <v>17485</v>
      </c>
      <c r="L4882" s="131" t="s">
        <v>100</v>
      </c>
      <c r="M4882" s="135" t="s">
        <v>845</v>
      </c>
      <c r="N4882" s="123" t="s">
        <v>845</v>
      </c>
    </row>
    <row r="4883" spans="2:14" hidden="1" x14ac:dyDescent="0.25">
      <c r="B4883" s="120">
        <v>4880</v>
      </c>
      <c r="C4883" s="123">
        <v>10107794196</v>
      </c>
      <c r="D4883" s="126" t="s">
        <v>17486</v>
      </c>
      <c r="E4883" s="126" t="s">
        <v>17487</v>
      </c>
      <c r="F4883" s="123" t="s">
        <v>30</v>
      </c>
      <c r="G4883" s="123" t="s">
        <v>30</v>
      </c>
      <c r="H4883" s="123" t="s">
        <v>75</v>
      </c>
      <c r="I4883" s="126" t="s">
        <v>1424</v>
      </c>
      <c r="J4883" s="123" t="s">
        <v>17488</v>
      </c>
      <c r="K4883" s="123" t="s">
        <v>17486</v>
      </c>
      <c r="L4883" s="131" t="s">
        <v>100</v>
      </c>
      <c r="M4883" s="135" t="s">
        <v>845</v>
      </c>
      <c r="N4883" s="123" t="s">
        <v>845</v>
      </c>
    </row>
    <row r="4884" spans="2:14" hidden="1" x14ac:dyDescent="0.25">
      <c r="B4884" s="120">
        <v>4881</v>
      </c>
      <c r="C4884" s="123">
        <v>10100901086</v>
      </c>
      <c r="D4884" s="126" t="s">
        <v>17489</v>
      </c>
      <c r="E4884" s="126" t="s">
        <v>17490</v>
      </c>
      <c r="F4884" s="123" t="s">
        <v>30</v>
      </c>
      <c r="G4884" s="123" t="s">
        <v>30</v>
      </c>
      <c r="H4884" s="123" t="s">
        <v>38</v>
      </c>
      <c r="I4884" s="126" t="s">
        <v>1701</v>
      </c>
      <c r="J4884" s="123" t="s">
        <v>17491</v>
      </c>
      <c r="K4884" s="123" t="s">
        <v>17489</v>
      </c>
      <c r="L4884" s="131" t="s">
        <v>100</v>
      </c>
      <c r="M4884" s="135" t="s">
        <v>845</v>
      </c>
      <c r="N4884" s="123" t="s">
        <v>845</v>
      </c>
    </row>
    <row r="4885" spans="2:14" hidden="1" x14ac:dyDescent="0.25">
      <c r="B4885" s="120">
        <v>4882</v>
      </c>
      <c r="C4885" s="123">
        <v>10433931268</v>
      </c>
      <c r="D4885" s="126" t="s">
        <v>17492</v>
      </c>
      <c r="E4885" s="126" t="s">
        <v>17493</v>
      </c>
      <c r="F4885" s="123" t="s">
        <v>30</v>
      </c>
      <c r="G4885" s="123" t="s">
        <v>30</v>
      </c>
      <c r="H4885" s="123" t="s">
        <v>38</v>
      </c>
      <c r="I4885" s="126" t="s">
        <v>17494</v>
      </c>
      <c r="J4885" s="123" t="s">
        <v>17495</v>
      </c>
      <c r="K4885" s="123" t="s">
        <v>17496</v>
      </c>
      <c r="L4885" s="131" t="s">
        <v>100</v>
      </c>
      <c r="M4885" s="135" t="s">
        <v>845</v>
      </c>
      <c r="N4885" s="123" t="s">
        <v>845</v>
      </c>
    </row>
    <row r="4886" spans="2:14" hidden="1" x14ac:dyDescent="0.25">
      <c r="B4886" s="120">
        <v>4883</v>
      </c>
      <c r="C4886" s="123">
        <v>10453860308</v>
      </c>
      <c r="D4886" s="126" t="s">
        <v>17497</v>
      </c>
      <c r="E4886" s="126" t="s">
        <v>17498</v>
      </c>
      <c r="F4886" s="123" t="s">
        <v>30</v>
      </c>
      <c r="G4886" s="123" t="s">
        <v>168</v>
      </c>
      <c r="H4886" s="123" t="s">
        <v>168</v>
      </c>
      <c r="I4886" s="126" t="s">
        <v>1930</v>
      </c>
      <c r="J4886" s="123" t="s">
        <v>17499</v>
      </c>
      <c r="K4886" s="123" t="s">
        <v>17497</v>
      </c>
      <c r="L4886" s="131" t="s">
        <v>100</v>
      </c>
      <c r="M4886" s="135" t="s">
        <v>845</v>
      </c>
      <c r="N4886" s="123" t="s">
        <v>845</v>
      </c>
    </row>
    <row r="4887" spans="2:14" hidden="1" x14ac:dyDescent="0.25">
      <c r="B4887" s="120">
        <v>4884</v>
      </c>
      <c r="C4887" s="123">
        <v>10806038241</v>
      </c>
      <c r="D4887" s="126" t="s">
        <v>17500</v>
      </c>
      <c r="E4887" s="126" t="s">
        <v>17501</v>
      </c>
      <c r="F4887" s="123" t="s">
        <v>30</v>
      </c>
      <c r="G4887" s="123" t="s">
        <v>168</v>
      </c>
      <c r="H4887" s="123" t="s">
        <v>168</v>
      </c>
      <c r="I4887" s="126" t="s">
        <v>1931</v>
      </c>
      <c r="J4887" s="123" t="s">
        <v>17502</v>
      </c>
      <c r="K4887" s="123" t="s">
        <v>17500</v>
      </c>
      <c r="L4887" s="131" t="s">
        <v>100</v>
      </c>
      <c r="M4887" s="135" t="s">
        <v>845</v>
      </c>
      <c r="N4887" s="123" t="s">
        <v>845</v>
      </c>
    </row>
    <row r="4888" spans="2:14" hidden="1" x14ac:dyDescent="0.25">
      <c r="B4888" s="120">
        <v>4885</v>
      </c>
      <c r="C4888" s="123">
        <v>10106918487</v>
      </c>
      <c r="D4888" s="126" t="s">
        <v>17503</v>
      </c>
      <c r="E4888" s="126" t="s">
        <v>17504</v>
      </c>
      <c r="F4888" s="123" t="s">
        <v>30</v>
      </c>
      <c r="G4888" s="123" t="s">
        <v>30</v>
      </c>
      <c r="H4888" s="123" t="s">
        <v>45</v>
      </c>
      <c r="I4888" s="126" t="s">
        <v>9095</v>
      </c>
      <c r="J4888" s="123" t="s">
        <v>17505</v>
      </c>
      <c r="K4888" s="123" t="s">
        <v>17503</v>
      </c>
      <c r="L4888" s="131" t="s">
        <v>100</v>
      </c>
      <c r="M4888" s="135" t="s">
        <v>845</v>
      </c>
      <c r="N4888" s="123" t="s">
        <v>845</v>
      </c>
    </row>
    <row r="4889" spans="2:14" hidden="1" x14ac:dyDescent="0.25">
      <c r="B4889" s="120">
        <v>4886</v>
      </c>
      <c r="C4889" s="123">
        <v>10455597531</v>
      </c>
      <c r="D4889" s="126" t="s">
        <v>17506</v>
      </c>
      <c r="E4889" s="126" t="s">
        <v>17507</v>
      </c>
      <c r="F4889" s="123" t="s">
        <v>30</v>
      </c>
      <c r="G4889" s="123" t="s">
        <v>30</v>
      </c>
      <c r="H4889" s="123" t="s">
        <v>40</v>
      </c>
      <c r="I4889" s="126" t="s">
        <v>1424</v>
      </c>
      <c r="J4889" s="123" t="s">
        <v>17508</v>
      </c>
      <c r="K4889" s="123" t="s">
        <v>17506</v>
      </c>
      <c r="L4889" s="131" t="s">
        <v>100</v>
      </c>
      <c r="M4889" s="135" t="s">
        <v>845</v>
      </c>
      <c r="N4889" s="123" t="s">
        <v>845</v>
      </c>
    </row>
    <row r="4890" spans="2:14" hidden="1" x14ac:dyDescent="0.25">
      <c r="B4890" s="120">
        <v>4887</v>
      </c>
      <c r="C4890" s="123">
        <v>10763155825</v>
      </c>
      <c r="D4890" s="126" t="s">
        <v>17509</v>
      </c>
      <c r="E4890" s="126" t="s">
        <v>17510</v>
      </c>
      <c r="F4890" s="123" t="s">
        <v>30</v>
      </c>
      <c r="G4890" s="123" t="s">
        <v>168</v>
      </c>
      <c r="H4890" s="123" t="s">
        <v>168</v>
      </c>
      <c r="I4890" s="126" t="s">
        <v>1931</v>
      </c>
      <c r="J4890" s="123" t="s">
        <v>17511</v>
      </c>
      <c r="K4890" s="123" t="s">
        <v>17509</v>
      </c>
      <c r="L4890" s="131" t="s">
        <v>100</v>
      </c>
      <c r="M4890" s="135" t="s">
        <v>845</v>
      </c>
      <c r="N4890" s="123" t="s">
        <v>845</v>
      </c>
    </row>
    <row r="4891" spans="2:14" hidden="1" x14ac:dyDescent="0.25">
      <c r="B4891" s="120">
        <v>4888</v>
      </c>
      <c r="C4891" s="123">
        <v>10460923005</v>
      </c>
      <c r="D4891" s="126" t="s">
        <v>17512</v>
      </c>
      <c r="E4891" s="126" t="s">
        <v>17513</v>
      </c>
      <c r="F4891" s="123" t="s">
        <v>30</v>
      </c>
      <c r="G4891" s="123" t="s">
        <v>30</v>
      </c>
      <c r="H4891" s="123" t="s">
        <v>30</v>
      </c>
      <c r="I4891" s="126" t="s">
        <v>1499</v>
      </c>
      <c r="J4891" s="123" t="s">
        <v>17514</v>
      </c>
      <c r="K4891" s="123" t="s">
        <v>17512</v>
      </c>
      <c r="L4891" s="131" t="s">
        <v>100</v>
      </c>
      <c r="M4891" s="135" t="s">
        <v>845</v>
      </c>
      <c r="N4891" s="123" t="s">
        <v>845</v>
      </c>
    </row>
    <row r="4892" spans="2:14" hidden="1" x14ac:dyDescent="0.25">
      <c r="B4892" s="120">
        <v>4889</v>
      </c>
      <c r="C4892" s="123">
        <v>10441388310</v>
      </c>
      <c r="D4892" s="126" t="s">
        <v>17515</v>
      </c>
      <c r="E4892" s="126" t="s">
        <v>17516</v>
      </c>
      <c r="F4892" s="123" t="s">
        <v>30</v>
      </c>
      <c r="G4892" s="123" t="s">
        <v>30</v>
      </c>
      <c r="H4892" s="123" t="s">
        <v>50</v>
      </c>
      <c r="I4892" s="126" t="s">
        <v>1564</v>
      </c>
      <c r="J4892" s="123" t="s">
        <v>17517</v>
      </c>
      <c r="K4892" s="123" t="s">
        <v>17515</v>
      </c>
      <c r="L4892" s="131" t="s">
        <v>100</v>
      </c>
      <c r="M4892" s="135" t="s">
        <v>845</v>
      </c>
      <c r="N4892" s="123" t="s">
        <v>845</v>
      </c>
    </row>
    <row r="4893" spans="2:14" hidden="1" x14ac:dyDescent="0.25">
      <c r="B4893" s="120">
        <v>4890</v>
      </c>
      <c r="C4893" s="123">
        <v>10417268206</v>
      </c>
      <c r="D4893" s="126" t="s">
        <v>17518</v>
      </c>
      <c r="E4893" s="126" t="s">
        <v>17519</v>
      </c>
      <c r="F4893" s="123" t="s">
        <v>30</v>
      </c>
      <c r="G4893" s="123" t="s">
        <v>30</v>
      </c>
      <c r="H4893" s="123" t="s">
        <v>30</v>
      </c>
      <c r="I4893" s="126" t="s">
        <v>1499</v>
      </c>
      <c r="J4893" s="123" t="s">
        <v>17520</v>
      </c>
      <c r="K4893" s="123" t="s">
        <v>17518</v>
      </c>
      <c r="L4893" s="131" t="s">
        <v>100</v>
      </c>
      <c r="M4893" s="135" t="s">
        <v>845</v>
      </c>
      <c r="N4893" s="123" t="s">
        <v>845</v>
      </c>
    </row>
    <row r="4894" spans="2:14" hidden="1" x14ac:dyDescent="0.25">
      <c r="B4894" s="120">
        <v>4891</v>
      </c>
      <c r="C4894" s="123">
        <v>10453976730</v>
      </c>
      <c r="D4894" s="126" t="s">
        <v>17521</v>
      </c>
      <c r="E4894" s="126" t="s">
        <v>17522</v>
      </c>
      <c r="F4894" s="123" t="s">
        <v>30</v>
      </c>
      <c r="G4894" s="123" t="s">
        <v>30</v>
      </c>
      <c r="H4894" s="123" t="s">
        <v>38</v>
      </c>
      <c r="I4894" s="126" t="s">
        <v>1564</v>
      </c>
      <c r="J4894" s="123" t="s">
        <v>17523</v>
      </c>
      <c r="K4894" s="123" t="s">
        <v>17521</v>
      </c>
      <c r="L4894" s="131" t="s">
        <v>100</v>
      </c>
      <c r="M4894" s="135" t="s">
        <v>845</v>
      </c>
      <c r="N4894" s="123" t="s">
        <v>845</v>
      </c>
    </row>
    <row r="4895" spans="2:14" hidden="1" x14ac:dyDescent="0.25">
      <c r="B4895" s="120">
        <v>4892</v>
      </c>
      <c r="C4895" s="123">
        <v>10157333203</v>
      </c>
      <c r="D4895" s="126" t="s">
        <v>17524</v>
      </c>
      <c r="E4895" s="126" t="s">
        <v>17525</v>
      </c>
      <c r="F4895" s="123" t="s">
        <v>30</v>
      </c>
      <c r="G4895" s="123" t="s">
        <v>170</v>
      </c>
      <c r="H4895" s="123" t="s">
        <v>179</v>
      </c>
      <c r="I4895" s="126" t="s">
        <v>1655</v>
      </c>
      <c r="J4895" s="123" t="s">
        <v>17526</v>
      </c>
      <c r="K4895" s="123" t="s">
        <v>17524</v>
      </c>
      <c r="L4895" s="131" t="s">
        <v>100</v>
      </c>
      <c r="M4895" s="135" t="s">
        <v>845</v>
      </c>
      <c r="N4895" s="123" t="s">
        <v>845</v>
      </c>
    </row>
    <row r="4896" spans="2:14" hidden="1" x14ac:dyDescent="0.25">
      <c r="B4896" s="120">
        <v>4893</v>
      </c>
      <c r="C4896" s="123">
        <v>10154391776</v>
      </c>
      <c r="D4896" s="126" t="s">
        <v>17527</v>
      </c>
      <c r="E4896" s="126" t="s">
        <v>17528</v>
      </c>
      <c r="F4896" s="123" t="s">
        <v>30</v>
      </c>
      <c r="G4896" s="123" t="s">
        <v>31</v>
      </c>
      <c r="H4896" s="123" t="s">
        <v>150</v>
      </c>
      <c r="I4896" s="126" t="s">
        <v>1977</v>
      </c>
      <c r="J4896" s="123" t="s">
        <v>17529</v>
      </c>
      <c r="K4896" s="123" t="s">
        <v>17527</v>
      </c>
      <c r="L4896" s="131" t="s">
        <v>100</v>
      </c>
      <c r="M4896" s="135" t="s">
        <v>845</v>
      </c>
      <c r="N4896" s="123" t="s">
        <v>845</v>
      </c>
    </row>
    <row r="4897" spans="2:14" hidden="1" x14ac:dyDescent="0.25">
      <c r="B4897" s="120">
        <v>4894</v>
      </c>
      <c r="C4897" s="123">
        <v>10074223813</v>
      </c>
      <c r="D4897" s="126" t="s">
        <v>17530</v>
      </c>
      <c r="E4897" s="126" t="s">
        <v>17531</v>
      </c>
      <c r="F4897" s="123" t="s">
        <v>30</v>
      </c>
      <c r="G4897" s="123" t="s">
        <v>170</v>
      </c>
      <c r="H4897" s="123" t="s">
        <v>175</v>
      </c>
      <c r="I4897" s="126" t="s">
        <v>8884</v>
      </c>
      <c r="J4897" s="123" t="s">
        <v>17532</v>
      </c>
      <c r="K4897" s="123" t="s">
        <v>17530</v>
      </c>
      <c r="L4897" s="131" t="s">
        <v>100</v>
      </c>
      <c r="M4897" s="135" t="s">
        <v>845</v>
      </c>
      <c r="N4897" s="123" t="s">
        <v>845</v>
      </c>
    </row>
    <row r="4898" spans="2:14" hidden="1" x14ac:dyDescent="0.25">
      <c r="B4898" s="120">
        <v>4895</v>
      </c>
      <c r="C4898" s="123">
        <v>10107400953</v>
      </c>
      <c r="D4898" s="126" t="s">
        <v>17533</v>
      </c>
      <c r="E4898" s="126" t="s">
        <v>17534</v>
      </c>
      <c r="F4898" s="123" t="s">
        <v>30</v>
      </c>
      <c r="G4898" s="123" t="s">
        <v>30</v>
      </c>
      <c r="H4898" s="123" t="s">
        <v>50</v>
      </c>
      <c r="I4898" s="126" t="s">
        <v>1931</v>
      </c>
      <c r="J4898" s="123" t="s">
        <v>17535</v>
      </c>
      <c r="K4898" s="123" t="s">
        <v>17533</v>
      </c>
      <c r="L4898" s="131" t="s">
        <v>100</v>
      </c>
      <c r="M4898" s="135" t="s">
        <v>845</v>
      </c>
      <c r="N4898" s="123" t="s">
        <v>845</v>
      </c>
    </row>
    <row r="4899" spans="2:14" hidden="1" x14ac:dyDescent="0.25">
      <c r="B4899" s="120">
        <v>4896</v>
      </c>
      <c r="C4899" s="123">
        <v>10406186755</v>
      </c>
      <c r="D4899" s="126" t="s">
        <v>17536</v>
      </c>
      <c r="E4899" s="126" t="s">
        <v>17537</v>
      </c>
      <c r="F4899" s="123" t="s">
        <v>30</v>
      </c>
      <c r="G4899" s="123" t="s">
        <v>30</v>
      </c>
      <c r="H4899" s="123" t="s">
        <v>72</v>
      </c>
      <c r="I4899" s="126" t="s">
        <v>1701</v>
      </c>
      <c r="J4899" s="123" t="s">
        <v>17538</v>
      </c>
      <c r="K4899" s="123" t="s">
        <v>17536</v>
      </c>
      <c r="L4899" s="131" t="s">
        <v>100</v>
      </c>
      <c r="M4899" s="135" t="s">
        <v>845</v>
      </c>
      <c r="N4899" s="123" t="s">
        <v>845</v>
      </c>
    </row>
    <row r="4900" spans="2:14" hidden="1" x14ac:dyDescent="0.25">
      <c r="B4900" s="120">
        <v>4897</v>
      </c>
      <c r="C4900" s="123">
        <v>10462937470</v>
      </c>
      <c r="D4900" s="126" t="s">
        <v>17539</v>
      </c>
      <c r="E4900" s="126" t="s">
        <v>17540</v>
      </c>
      <c r="F4900" s="123" t="s">
        <v>30</v>
      </c>
      <c r="G4900" s="123" t="s">
        <v>168</v>
      </c>
      <c r="H4900" s="123" t="s">
        <v>168</v>
      </c>
      <c r="I4900" s="126" t="s">
        <v>1701</v>
      </c>
      <c r="J4900" s="123" t="s">
        <v>17541</v>
      </c>
      <c r="K4900" s="123" t="s">
        <v>17539</v>
      </c>
      <c r="L4900" s="131" t="s">
        <v>100</v>
      </c>
      <c r="M4900" s="135" t="s">
        <v>845</v>
      </c>
      <c r="N4900" s="123" t="s">
        <v>845</v>
      </c>
    </row>
    <row r="4901" spans="2:14" hidden="1" x14ac:dyDescent="0.25">
      <c r="B4901" s="120">
        <v>4898</v>
      </c>
      <c r="C4901" s="123">
        <v>10401646278</v>
      </c>
      <c r="D4901" s="126" t="s">
        <v>17542</v>
      </c>
      <c r="E4901" s="126" t="s">
        <v>17543</v>
      </c>
      <c r="F4901" s="123" t="s">
        <v>67</v>
      </c>
      <c r="G4901" s="123" t="s">
        <v>67</v>
      </c>
      <c r="H4901" s="123" t="s">
        <v>67</v>
      </c>
      <c r="I4901" s="126" t="s">
        <v>1957</v>
      </c>
      <c r="J4901" s="123" t="s">
        <v>17544</v>
      </c>
      <c r="K4901" s="123" t="s">
        <v>17545</v>
      </c>
      <c r="L4901" s="131" t="s">
        <v>100</v>
      </c>
      <c r="M4901" s="135" t="s">
        <v>845</v>
      </c>
      <c r="N4901" s="123" t="s">
        <v>845</v>
      </c>
    </row>
    <row r="4902" spans="2:14" hidden="1" x14ac:dyDescent="0.25">
      <c r="B4902" s="120">
        <v>4899</v>
      </c>
      <c r="C4902" s="123">
        <v>10806478674</v>
      </c>
      <c r="D4902" s="126" t="s">
        <v>17546</v>
      </c>
      <c r="E4902" s="126" t="s">
        <v>17547</v>
      </c>
      <c r="F4902" s="123" t="s">
        <v>30</v>
      </c>
      <c r="G4902" s="123" t="s">
        <v>30</v>
      </c>
      <c r="H4902" s="123" t="s">
        <v>58</v>
      </c>
      <c r="I4902" s="126" t="s">
        <v>1950</v>
      </c>
      <c r="J4902" s="123" t="s">
        <v>17548</v>
      </c>
      <c r="K4902" s="123" t="s">
        <v>17546</v>
      </c>
      <c r="L4902" s="131" t="s">
        <v>100</v>
      </c>
      <c r="M4902" s="135" t="s">
        <v>845</v>
      </c>
      <c r="N4902" s="123" t="s">
        <v>845</v>
      </c>
    </row>
    <row r="4903" spans="2:14" hidden="1" x14ac:dyDescent="0.25">
      <c r="B4903" s="120">
        <v>4900</v>
      </c>
      <c r="C4903" s="123">
        <v>10462688283</v>
      </c>
      <c r="D4903" s="126" t="s">
        <v>17549</v>
      </c>
      <c r="E4903" s="126" t="s">
        <v>17550</v>
      </c>
      <c r="F4903" s="123" t="s">
        <v>30</v>
      </c>
      <c r="G4903" s="123" t="s">
        <v>30</v>
      </c>
      <c r="H4903" s="123" t="s">
        <v>41</v>
      </c>
      <c r="I4903" s="126" t="s">
        <v>1439</v>
      </c>
      <c r="J4903" s="123" t="s">
        <v>17551</v>
      </c>
      <c r="K4903" s="123" t="s">
        <v>17549</v>
      </c>
      <c r="L4903" s="131" t="s">
        <v>100</v>
      </c>
      <c r="M4903" s="135" t="s">
        <v>845</v>
      </c>
      <c r="N4903" s="123" t="s">
        <v>845</v>
      </c>
    </row>
    <row r="4904" spans="2:14" hidden="1" x14ac:dyDescent="0.25">
      <c r="B4904" s="120">
        <v>4901</v>
      </c>
      <c r="C4904" s="123">
        <v>10477853451</v>
      </c>
      <c r="D4904" s="126" t="s">
        <v>17552</v>
      </c>
      <c r="E4904" s="126" t="s">
        <v>17553</v>
      </c>
      <c r="F4904" s="123" t="s">
        <v>30</v>
      </c>
      <c r="G4904" s="123" t="s">
        <v>30</v>
      </c>
      <c r="H4904" s="123" t="s">
        <v>30</v>
      </c>
      <c r="I4904" s="126" t="s">
        <v>17554</v>
      </c>
      <c r="J4904" s="123" t="s">
        <v>17555</v>
      </c>
      <c r="K4904" s="123" t="s">
        <v>17552</v>
      </c>
      <c r="L4904" s="131" t="s">
        <v>100</v>
      </c>
      <c r="M4904" s="135" t="s">
        <v>845</v>
      </c>
      <c r="N4904" s="123" t="s">
        <v>845</v>
      </c>
    </row>
    <row r="4905" spans="2:14" hidden="1" x14ac:dyDescent="0.25">
      <c r="B4905" s="120">
        <v>4902</v>
      </c>
      <c r="C4905" s="123">
        <v>10091729160</v>
      </c>
      <c r="D4905" s="126" t="s">
        <v>17556</v>
      </c>
      <c r="E4905" s="126" t="s">
        <v>17557</v>
      </c>
      <c r="F4905" s="123" t="s">
        <v>30</v>
      </c>
      <c r="G4905" s="123" t="s">
        <v>30</v>
      </c>
      <c r="H4905" s="123" t="s">
        <v>58</v>
      </c>
      <c r="I4905" s="126" t="s">
        <v>1963</v>
      </c>
      <c r="J4905" s="123" t="s">
        <v>17558</v>
      </c>
      <c r="K4905" s="123" t="s">
        <v>17559</v>
      </c>
      <c r="L4905" s="131" t="s">
        <v>100</v>
      </c>
      <c r="M4905" s="135" t="s">
        <v>845</v>
      </c>
      <c r="N4905" s="123" t="s">
        <v>845</v>
      </c>
    </row>
    <row r="4906" spans="2:14" hidden="1" x14ac:dyDescent="0.25">
      <c r="B4906" s="120">
        <v>4903</v>
      </c>
      <c r="C4906" s="123">
        <v>10419585501</v>
      </c>
      <c r="D4906" s="126" t="s">
        <v>17560</v>
      </c>
      <c r="E4906" s="126" t="s">
        <v>17561</v>
      </c>
      <c r="F4906" s="123" t="s">
        <v>30</v>
      </c>
      <c r="G4906" s="123" t="s">
        <v>30</v>
      </c>
      <c r="H4906" s="123" t="s">
        <v>45</v>
      </c>
      <c r="I4906" s="126" t="s">
        <v>1931</v>
      </c>
      <c r="J4906" s="123" t="s">
        <v>17562</v>
      </c>
      <c r="K4906" s="123" t="s">
        <v>17560</v>
      </c>
      <c r="L4906" s="131" t="s">
        <v>100</v>
      </c>
      <c r="M4906" s="135" t="s">
        <v>845</v>
      </c>
      <c r="N4906" s="123" t="s">
        <v>845</v>
      </c>
    </row>
    <row r="4907" spans="2:14" hidden="1" x14ac:dyDescent="0.25">
      <c r="B4907" s="120">
        <v>4904</v>
      </c>
      <c r="C4907" s="123">
        <v>10479117051</v>
      </c>
      <c r="D4907" s="126" t="s">
        <v>17563</v>
      </c>
      <c r="E4907" s="126" t="s">
        <v>17564</v>
      </c>
      <c r="F4907" s="123" t="s">
        <v>30</v>
      </c>
      <c r="G4907" s="123" t="s">
        <v>30</v>
      </c>
      <c r="H4907" s="123" t="s">
        <v>30</v>
      </c>
      <c r="I4907" s="126" t="s">
        <v>1930</v>
      </c>
      <c r="J4907" s="123" t="s">
        <v>17565</v>
      </c>
      <c r="K4907" s="123" t="s">
        <v>17563</v>
      </c>
      <c r="L4907" s="131" t="s">
        <v>100</v>
      </c>
      <c r="M4907" s="135" t="s">
        <v>845</v>
      </c>
      <c r="N4907" s="123" t="s">
        <v>845</v>
      </c>
    </row>
    <row r="4908" spans="2:14" hidden="1" x14ac:dyDescent="0.25">
      <c r="B4908" s="120">
        <v>4905</v>
      </c>
      <c r="C4908" s="123">
        <v>10455283201</v>
      </c>
      <c r="D4908" s="126" t="s">
        <v>17566</v>
      </c>
      <c r="E4908" s="126" t="s">
        <v>17567</v>
      </c>
      <c r="F4908" s="123" t="s">
        <v>30</v>
      </c>
      <c r="G4908" s="123" t="s">
        <v>30</v>
      </c>
      <c r="H4908" s="123" t="s">
        <v>79</v>
      </c>
      <c r="I4908" s="126" t="s">
        <v>1441</v>
      </c>
      <c r="J4908" s="123" t="s">
        <v>17568</v>
      </c>
      <c r="K4908" s="123" t="s">
        <v>17569</v>
      </c>
      <c r="L4908" s="131" t="s">
        <v>100</v>
      </c>
      <c r="M4908" s="135" t="s">
        <v>845</v>
      </c>
      <c r="N4908" s="123" t="s">
        <v>845</v>
      </c>
    </row>
    <row r="4909" spans="2:14" hidden="1" x14ac:dyDescent="0.25">
      <c r="B4909" s="120">
        <v>4906</v>
      </c>
      <c r="C4909" s="123">
        <v>10418705120</v>
      </c>
      <c r="D4909" s="126" t="s">
        <v>17570</v>
      </c>
      <c r="E4909" s="126" t="s">
        <v>17571</v>
      </c>
      <c r="F4909" s="123" t="s">
        <v>30</v>
      </c>
      <c r="G4909" s="123" t="s">
        <v>54</v>
      </c>
      <c r="H4909" s="123" t="s">
        <v>55</v>
      </c>
      <c r="I4909" s="126" t="s">
        <v>1701</v>
      </c>
      <c r="J4909" s="123" t="s">
        <v>17572</v>
      </c>
      <c r="K4909" s="123" t="s">
        <v>17570</v>
      </c>
      <c r="L4909" s="131" t="s">
        <v>100</v>
      </c>
      <c r="M4909" s="135" t="s">
        <v>845</v>
      </c>
      <c r="N4909" s="123" t="s">
        <v>845</v>
      </c>
    </row>
    <row r="4910" spans="2:14" hidden="1" x14ac:dyDescent="0.25">
      <c r="B4910" s="120">
        <v>4907</v>
      </c>
      <c r="C4910" s="123">
        <v>10156741871</v>
      </c>
      <c r="D4910" s="126" t="s">
        <v>17573</v>
      </c>
      <c r="E4910" s="126" t="s">
        <v>17574</v>
      </c>
      <c r="F4910" s="123" t="s">
        <v>30</v>
      </c>
      <c r="G4910" s="123" t="s">
        <v>30</v>
      </c>
      <c r="H4910" s="123" t="s">
        <v>51</v>
      </c>
      <c r="I4910" s="126" t="s">
        <v>1701</v>
      </c>
      <c r="J4910" s="123" t="s">
        <v>17575</v>
      </c>
      <c r="K4910" s="123" t="s">
        <v>17573</v>
      </c>
      <c r="L4910" s="131" t="s">
        <v>100</v>
      </c>
      <c r="M4910" s="135" t="s">
        <v>845</v>
      </c>
      <c r="N4910" s="123" t="s">
        <v>845</v>
      </c>
    </row>
    <row r="4911" spans="2:14" hidden="1" x14ac:dyDescent="0.25">
      <c r="B4911" s="120">
        <v>4908</v>
      </c>
      <c r="C4911" s="123">
        <v>10157520992</v>
      </c>
      <c r="D4911" s="126" t="s">
        <v>17576</v>
      </c>
      <c r="E4911" s="126" t="s">
        <v>17577</v>
      </c>
      <c r="F4911" s="123" t="s">
        <v>30</v>
      </c>
      <c r="G4911" s="123" t="s">
        <v>54</v>
      </c>
      <c r="H4911" s="123" t="s">
        <v>54</v>
      </c>
      <c r="I4911" s="126" t="s">
        <v>1936</v>
      </c>
      <c r="J4911" s="123" t="s">
        <v>17578</v>
      </c>
      <c r="K4911" s="123" t="s">
        <v>17576</v>
      </c>
      <c r="L4911" s="131" t="s">
        <v>100</v>
      </c>
      <c r="M4911" s="135" t="s">
        <v>845</v>
      </c>
      <c r="N4911" s="123" t="s">
        <v>845</v>
      </c>
    </row>
    <row r="4912" spans="2:14" hidden="1" x14ac:dyDescent="0.25">
      <c r="B4912" s="120">
        <v>4909</v>
      </c>
      <c r="C4912" s="123">
        <v>10445923031</v>
      </c>
      <c r="D4912" s="126" t="s">
        <v>17579</v>
      </c>
      <c r="E4912" s="126" t="s">
        <v>17580</v>
      </c>
      <c r="F4912" s="123" t="s">
        <v>30</v>
      </c>
      <c r="G4912" s="123" t="s">
        <v>30</v>
      </c>
      <c r="H4912" s="123" t="s">
        <v>38</v>
      </c>
      <c r="I4912" s="126" t="s">
        <v>1957</v>
      </c>
      <c r="J4912" s="123" t="s">
        <v>17581</v>
      </c>
      <c r="K4912" s="123" t="s">
        <v>17579</v>
      </c>
      <c r="L4912" s="131" t="s">
        <v>100</v>
      </c>
      <c r="M4912" s="135" t="s">
        <v>845</v>
      </c>
      <c r="N4912" s="123" t="s">
        <v>845</v>
      </c>
    </row>
    <row r="4913" spans="2:14" hidden="1" x14ac:dyDescent="0.25">
      <c r="B4913" s="120">
        <v>4910</v>
      </c>
      <c r="C4913" s="123">
        <v>10273913276</v>
      </c>
      <c r="D4913" s="126" t="s">
        <v>17582</v>
      </c>
      <c r="E4913" s="126" t="s">
        <v>17583</v>
      </c>
      <c r="F4913" s="123" t="s">
        <v>67</v>
      </c>
      <c r="G4913" s="123" t="s">
        <v>67</v>
      </c>
      <c r="H4913" s="123" t="s">
        <v>94</v>
      </c>
      <c r="I4913" s="126" t="s">
        <v>10787</v>
      </c>
      <c r="J4913" s="123" t="s">
        <v>17584</v>
      </c>
      <c r="K4913" s="123" t="s">
        <v>17585</v>
      </c>
      <c r="L4913" s="131" t="s">
        <v>100</v>
      </c>
      <c r="M4913" s="135" t="s">
        <v>845</v>
      </c>
      <c r="N4913" s="123" t="s">
        <v>845</v>
      </c>
    </row>
    <row r="4914" spans="2:14" hidden="1" x14ac:dyDescent="0.25">
      <c r="B4914" s="120">
        <v>4911</v>
      </c>
      <c r="C4914" s="123">
        <v>10421739949</v>
      </c>
      <c r="D4914" s="126" t="s">
        <v>17586</v>
      </c>
      <c r="E4914" s="126" t="s">
        <v>17587</v>
      </c>
      <c r="F4914" s="123" t="s">
        <v>30</v>
      </c>
      <c r="G4914" s="123" t="s">
        <v>30</v>
      </c>
      <c r="H4914" s="123" t="s">
        <v>88</v>
      </c>
      <c r="I4914" s="126" t="s">
        <v>1701</v>
      </c>
      <c r="J4914" s="123" t="s">
        <v>17588</v>
      </c>
      <c r="K4914" s="123" t="s">
        <v>17586</v>
      </c>
      <c r="L4914" s="131" t="s">
        <v>100</v>
      </c>
      <c r="M4914" s="135" t="s">
        <v>845</v>
      </c>
      <c r="N4914" s="123" t="s">
        <v>845</v>
      </c>
    </row>
    <row r="4915" spans="2:14" hidden="1" x14ac:dyDescent="0.25">
      <c r="B4915" s="120">
        <v>4912</v>
      </c>
      <c r="C4915" s="123">
        <v>10103165143</v>
      </c>
      <c r="D4915" s="126" t="s">
        <v>17589</v>
      </c>
      <c r="E4915" s="126" t="s">
        <v>17590</v>
      </c>
      <c r="F4915" s="123" t="s">
        <v>30</v>
      </c>
      <c r="G4915" s="123" t="s">
        <v>30</v>
      </c>
      <c r="H4915" s="123" t="s">
        <v>72</v>
      </c>
      <c r="I4915" s="126" t="s">
        <v>1737</v>
      </c>
      <c r="J4915" s="123" t="s">
        <v>17591</v>
      </c>
      <c r="K4915" s="123" t="s">
        <v>17589</v>
      </c>
      <c r="L4915" s="131" t="s">
        <v>100</v>
      </c>
      <c r="M4915" s="135" t="s">
        <v>845</v>
      </c>
      <c r="N4915" s="123" t="s">
        <v>845</v>
      </c>
    </row>
    <row r="4916" spans="2:14" hidden="1" x14ac:dyDescent="0.25">
      <c r="B4916" s="120">
        <v>4913</v>
      </c>
      <c r="C4916" s="123">
        <v>10416397517</v>
      </c>
      <c r="D4916" s="126" t="s">
        <v>17592</v>
      </c>
      <c r="E4916" s="126" t="s">
        <v>17593</v>
      </c>
      <c r="F4916" s="123" t="s">
        <v>30</v>
      </c>
      <c r="G4916" s="123" t="s">
        <v>30</v>
      </c>
      <c r="H4916" s="123" t="s">
        <v>58</v>
      </c>
      <c r="I4916" s="126" t="s">
        <v>1936</v>
      </c>
      <c r="J4916" s="123" t="s">
        <v>17594</v>
      </c>
      <c r="K4916" s="123" t="s">
        <v>17592</v>
      </c>
      <c r="L4916" s="131" t="s">
        <v>100</v>
      </c>
      <c r="M4916" s="135" t="s">
        <v>845</v>
      </c>
      <c r="N4916" s="123" t="s">
        <v>845</v>
      </c>
    </row>
    <row r="4917" spans="2:14" hidden="1" x14ac:dyDescent="0.25">
      <c r="B4917" s="120">
        <v>4914</v>
      </c>
      <c r="C4917" s="123">
        <v>10085740691</v>
      </c>
      <c r="D4917" s="126" t="s">
        <v>17595</v>
      </c>
      <c r="E4917" s="126" t="s">
        <v>17596</v>
      </c>
      <c r="F4917" s="123" t="s">
        <v>30</v>
      </c>
      <c r="G4917" s="123" t="s">
        <v>30</v>
      </c>
      <c r="H4917" s="123" t="s">
        <v>45</v>
      </c>
      <c r="I4917" s="126" t="s">
        <v>9625</v>
      </c>
      <c r="J4917" s="123" t="s">
        <v>17597</v>
      </c>
      <c r="K4917" s="123" t="s">
        <v>17595</v>
      </c>
      <c r="L4917" s="131" t="s">
        <v>100</v>
      </c>
      <c r="M4917" s="135" t="s">
        <v>845</v>
      </c>
      <c r="N4917" s="123" t="s">
        <v>845</v>
      </c>
    </row>
    <row r="4918" spans="2:14" hidden="1" x14ac:dyDescent="0.25">
      <c r="B4918" s="120">
        <v>4915</v>
      </c>
      <c r="C4918" s="123">
        <v>10726907388</v>
      </c>
      <c r="D4918" s="126" t="s">
        <v>17598</v>
      </c>
      <c r="E4918" s="126" t="s">
        <v>17599</v>
      </c>
      <c r="F4918" s="123" t="s">
        <v>30</v>
      </c>
      <c r="G4918" s="123" t="s">
        <v>30</v>
      </c>
      <c r="H4918" s="123" t="s">
        <v>68</v>
      </c>
      <c r="I4918" s="126" t="s">
        <v>6746</v>
      </c>
      <c r="J4918" s="123" t="s">
        <v>17600</v>
      </c>
      <c r="K4918" s="123" t="s">
        <v>17598</v>
      </c>
      <c r="L4918" s="131" t="s">
        <v>100</v>
      </c>
      <c r="M4918" s="135" t="s">
        <v>845</v>
      </c>
      <c r="N4918" s="123" t="s">
        <v>845</v>
      </c>
    </row>
    <row r="4919" spans="2:14" hidden="1" x14ac:dyDescent="0.25">
      <c r="B4919" s="120">
        <v>4916</v>
      </c>
      <c r="C4919" s="123">
        <v>10429363727</v>
      </c>
      <c r="D4919" s="126" t="s">
        <v>17601</v>
      </c>
      <c r="E4919" s="126" t="s">
        <v>17602</v>
      </c>
      <c r="F4919" s="123" t="s">
        <v>30</v>
      </c>
      <c r="G4919" s="123" t="s">
        <v>30</v>
      </c>
      <c r="H4919" s="123" t="s">
        <v>88</v>
      </c>
      <c r="I4919" s="126" t="s">
        <v>1950</v>
      </c>
      <c r="J4919" s="123" t="s">
        <v>17603</v>
      </c>
      <c r="K4919" s="123" t="s">
        <v>17601</v>
      </c>
      <c r="L4919" s="131" t="s">
        <v>100</v>
      </c>
      <c r="M4919" s="135" t="s">
        <v>845</v>
      </c>
      <c r="N4919" s="123" t="s">
        <v>845</v>
      </c>
    </row>
    <row r="4920" spans="2:14" hidden="1" x14ac:dyDescent="0.25">
      <c r="B4920" s="120">
        <v>4917</v>
      </c>
      <c r="C4920" s="123">
        <v>10706522960</v>
      </c>
      <c r="D4920" s="126" t="s">
        <v>17604</v>
      </c>
      <c r="E4920" s="126" t="s">
        <v>17605</v>
      </c>
      <c r="F4920" s="123" t="s">
        <v>30</v>
      </c>
      <c r="G4920" s="123" t="s">
        <v>170</v>
      </c>
      <c r="H4920" s="123" t="s">
        <v>171</v>
      </c>
      <c r="I4920" s="126" t="s">
        <v>1952</v>
      </c>
      <c r="J4920" s="123" t="s">
        <v>17606</v>
      </c>
      <c r="K4920" s="123" t="s">
        <v>17604</v>
      </c>
      <c r="L4920" s="131" t="s">
        <v>100</v>
      </c>
      <c r="M4920" s="135" t="s">
        <v>845</v>
      </c>
      <c r="N4920" s="123" t="s">
        <v>845</v>
      </c>
    </row>
    <row r="4921" spans="2:14" hidden="1" x14ac:dyDescent="0.25">
      <c r="B4921" s="120">
        <v>4918</v>
      </c>
      <c r="C4921" s="123">
        <v>10400441737</v>
      </c>
      <c r="D4921" s="126" t="s">
        <v>17607</v>
      </c>
      <c r="E4921" s="126" t="s">
        <v>17608</v>
      </c>
      <c r="F4921" s="123" t="s">
        <v>30</v>
      </c>
      <c r="G4921" s="123" t="s">
        <v>30</v>
      </c>
      <c r="H4921" s="123" t="s">
        <v>50</v>
      </c>
      <c r="I4921" s="126" t="s">
        <v>1932</v>
      </c>
      <c r="J4921" s="123" t="s">
        <v>17609</v>
      </c>
      <c r="K4921" s="123" t="s">
        <v>17610</v>
      </c>
      <c r="L4921" s="131" t="s">
        <v>100</v>
      </c>
      <c r="M4921" s="135" t="s">
        <v>845</v>
      </c>
      <c r="N4921" s="123" t="s">
        <v>845</v>
      </c>
    </row>
    <row r="4922" spans="2:14" hidden="1" x14ac:dyDescent="0.25">
      <c r="B4922" s="120">
        <v>4919</v>
      </c>
      <c r="C4922" s="123">
        <v>10703786371</v>
      </c>
      <c r="D4922" s="126" t="s">
        <v>17611</v>
      </c>
      <c r="E4922" s="126" t="s">
        <v>17612</v>
      </c>
      <c r="F4922" s="123" t="s">
        <v>30</v>
      </c>
      <c r="G4922" s="123" t="s">
        <v>30</v>
      </c>
      <c r="H4922" s="123" t="s">
        <v>156</v>
      </c>
      <c r="I4922" s="126" t="s">
        <v>1701</v>
      </c>
      <c r="J4922" s="123" t="s">
        <v>17613</v>
      </c>
      <c r="K4922" s="123" t="s">
        <v>17611</v>
      </c>
      <c r="L4922" s="131" t="s">
        <v>100</v>
      </c>
      <c r="M4922" s="135" t="s">
        <v>845</v>
      </c>
      <c r="N4922" s="123" t="s">
        <v>845</v>
      </c>
    </row>
    <row r="4923" spans="2:14" hidden="1" x14ac:dyDescent="0.25">
      <c r="B4923" s="120">
        <v>4920</v>
      </c>
      <c r="C4923" s="123">
        <v>10762767991</v>
      </c>
      <c r="D4923" s="126" t="s">
        <v>17614</v>
      </c>
      <c r="E4923" s="126" t="s">
        <v>17615</v>
      </c>
      <c r="F4923" s="123" t="s">
        <v>30</v>
      </c>
      <c r="G4923" s="123" t="s">
        <v>30</v>
      </c>
      <c r="H4923" s="123" t="s">
        <v>60</v>
      </c>
      <c r="I4923" s="126" t="s">
        <v>1805</v>
      </c>
      <c r="J4923" s="123" t="s">
        <v>17616</v>
      </c>
      <c r="K4923" s="123" t="s">
        <v>17614</v>
      </c>
      <c r="L4923" s="131" t="s">
        <v>100</v>
      </c>
      <c r="M4923" s="135" t="s">
        <v>845</v>
      </c>
      <c r="N4923" s="123" t="s">
        <v>845</v>
      </c>
    </row>
    <row r="4924" spans="2:14" hidden="1" x14ac:dyDescent="0.25">
      <c r="B4924" s="120">
        <v>4921</v>
      </c>
      <c r="C4924" s="123">
        <v>10278550465</v>
      </c>
      <c r="D4924" s="126" t="s">
        <v>17617</v>
      </c>
      <c r="E4924" s="126" t="s">
        <v>17618</v>
      </c>
      <c r="F4924" s="123" t="s">
        <v>30</v>
      </c>
      <c r="G4924" s="123" t="s">
        <v>30</v>
      </c>
      <c r="H4924" s="123" t="s">
        <v>50</v>
      </c>
      <c r="I4924" s="126" t="s">
        <v>1950</v>
      </c>
      <c r="J4924" s="123" t="s">
        <v>17619</v>
      </c>
      <c r="K4924" s="123" t="s">
        <v>17617</v>
      </c>
      <c r="L4924" s="131" t="s">
        <v>100</v>
      </c>
      <c r="M4924" s="135" t="s">
        <v>845</v>
      </c>
      <c r="N4924" s="123" t="s">
        <v>845</v>
      </c>
    </row>
    <row r="4925" spans="2:14" hidden="1" x14ac:dyDescent="0.25">
      <c r="B4925" s="120">
        <v>4922</v>
      </c>
      <c r="C4925" s="123">
        <v>10803937031</v>
      </c>
      <c r="D4925" s="126" t="s">
        <v>17620</v>
      </c>
      <c r="E4925" s="126" t="s">
        <v>17621</v>
      </c>
      <c r="F4925" s="123" t="s">
        <v>30</v>
      </c>
      <c r="G4925" s="123" t="s">
        <v>30</v>
      </c>
      <c r="H4925" s="123" t="s">
        <v>147</v>
      </c>
      <c r="I4925" s="126" t="s">
        <v>1949</v>
      </c>
      <c r="J4925" s="123" t="s">
        <v>17622</v>
      </c>
      <c r="K4925" s="123" t="s">
        <v>17620</v>
      </c>
      <c r="L4925" s="131" t="s">
        <v>100</v>
      </c>
      <c r="M4925" s="135" t="s">
        <v>845</v>
      </c>
      <c r="N4925" s="123" t="s">
        <v>845</v>
      </c>
    </row>
    <row r="4926" spans="2:14" hidden="1" x14ac:dyDescent="0.25">
      <c r="B4926" s="120">
        <v>4923</v>
      </c>
      <c r="C4926" s="123">
        <v>10094887777</v>
      </c>
      <c r="D4926" s="126" t="s">
        <v>17623</v>
      </c>
      <c r="E4926" s="126" t="s">
        <v>17624</v>
      </c>
      <c r="F4926" s="123" t="s">
        <v>30</v>
      </c>
      <c r="G4926" s="123" t="s">
        <v>30</v>
      </c>
      <c r="H4926" s="123" t="s">
        <v>147</v>
      </c>
      <c r="I4926" s="126" t="s">
        <v>1701</v>
      </c>
      <c r="J4926" s="123" t="s">
        <v>17625</v>
      </c>
      <c r="K4926" s="123" t="s">
        <v>17623</v>
      </c>
      <c r="L4926" s="131" t="s">
        <v>100</v>
      </c>
      <c r="M4926" s="135" t="s">
        <v>845</v>
      </c>
      <c r="N4926" s="123" t="s">
        <v>845</v>
      </c>
    </row>
    <row r="4927" spans="2:14" hidden="1" x14ac:dyDescent="0.25">
      <c r="B4927" s="120">
        <v>4924</v>
      </c>
      <c r="C4927" s="123">
        <v>10425672041</v>
      </c>
      <c r="D4927" s="126" t="s">
        <v>17626</v>
      </c>
      <c r="E4927" s="126" t="s">
        <v>17627</v>
      </c>
      <c r="F4927" s="123" t="s">
        <v>30</v>
      </c>
      <c r="G4927" s="123" t="s">
        <v>30</v>
      </c>
      <c r="H4927" s="123" t="s">
        <v>88</v>
      </c>
      <c r="I4927" s="126" t="s">
        <v>1507</v>
      </c>
      <c r="J4927" s="123" t="s">
        <v>17628</v>
      </c>
      <c r="K4927" s="123" t="s">
        <v>17626</v>
      </c>
      <c r="L4927" s="131" t="s">
        <v>100</v>
      </c>
      <c r="M4927" s="135" t="s">
        <v>845</v>
      </c>
      <c r="N4927" s="123" t="s">
        <v>845</v>
      </c>
    </row>
    <row r="4928" spans="2:14" hidden="1" x14ac:dyDescent="0.25">
      <c r="B4928" s="120">
        <v>4925</v>
      </c>
      <c r="C4928" s="123">
        <v>10092279583</v>
      </c>
      <c r="D4928" s="126" t="s">
        <v>17629</v>
      </c>
      <c r="E4928" s="126" t="s">
        <v>17630</v>
      </c>
      <c r="F4928" s="123" t="s">
        <v>30</v>
      </c>
      <c r="G4928" s="123" t="s">
        <v>30</v>
      </c>
      <c r="H4928" s="123" t="s">
        <v>58</v>
      </c>
      <c r="I4928" s="126" t="s">
        <v>1424</v>
      </c>
      <c r="J4928" s="123" t="s">
        <v>17631</v>
      </c>
      <c r="K4928" s="123" t="s">
        <v>17629</v>
      </c>
      <c r="L4928" s="131" t="s">
        <v>100</v>
      </c>
      <c r="M4928" s="135" t="s">
        <v>845</v>
      </c>
      <c r="N4928" s="123" t="s">
        <v>845</v>
      </c>
    </row>
    <row r="4929" spans="2:14" hidden="1" x14ac:dyDescent="0.25">
      <c r="B4929" s="120">
        <v>4926</v>
      </c>
      <c r="C4929" s="123">
        <v>10153464559</v>
      </c>
      <c r="D4929" s="126" t="s">
        <v>17632</v>
      </c>
      <c r="E4929" s="126" t="s">
        <v>17633</v>
      </c>
      <c r="F4929" s="123" t="s">
        <v>30</v>
      </c>
      <c r="G4929" s="123" t="s">
        <v>31</v>
      </c>
      <c r="H4929" s="123" t="s">
        <v>9381</v>
      </c>
      <c r="I4929" s="126" t="s">
        <v>1424</v>
      </c>
      <c r="J4929" s="123" t="s">
        <v>17634</v>
      </c>
      <c r="K4929" s="123" t="s">
        <v>17632</v>
      </c>
      <c r="L4929" s="131" t="s">
        <v>100</v>
      </c>
      <c r="M4929" s="135" t="s">
        <v>845</v>
      </c>
      <c r="N4929" s="123" t="s">
        <v>845</v>
      </c>
    </row>
    <row r="4930" spans="2:14" hidden="1" x14ac:dyDescent="0.25">
      <c r="B4930" s="120">
        <v>4927</v>
      </c>
      <c r="C4930" s="123">
        <v>10090955247</v>
      </c>
      <c r="D4930" s="126" t="s">
        <v>17635</v>
      </c>
      <c r="E4930" s="126" t="s">
        <v>17636</v>
      </c>
      <c r="F4930" s="123" t="s">
        <v>30</v>
      </c>
      <c r="G4930" s="123" t="s">
        <v>30</v>
      </c>
      <c r="H4930" s="123" t="s">
        <v>30</v>
      </c>
      <c r="I4930" s="126" t="s">
        <v>1365</v>
      </c>
      <c r="J4930" s="123" t="s">
        <v>17637</v>
      </c>
      <c r="K4930" s="123" t="s">
        <v>17638</v>
      </c>
      <c r="L4930" s="131" t="s">
        <v>100</v>
      </c>
      <c r="M4930" s="135" t="s">
        <v>845</v>
      </c>
      <c r="N4930" s="123" t="s">
        <v>845</v>
      </c>
    </row>
    <row r="4931" spans="2:14" hidden="1" x14ac:dyDescent="0.25">
      <c r="B4931" s="120">
        <v>4928</v>
      </c>
      <c r="C4931" s="123">
        <v>10430387435</v>
      </c>
      <c r="D4931" s="126" t="s">
        <v>17639</v>
      </c>
      <c r="E4931" s="126" t="s">
        <v>17640</v>
      </c>
      <c r="F4931" s="123" t="s">
        <v>30</v>
      </c>
      <c r="G4931" s="123" t="s">
        <v>30</v>
      </c>
      <c r="H4931" s="123" t="s">
        <v>40</v>
      </c>
      <c r="I4931" s="126" t="s">
        <v>1701</v>
      </c>
      <c r="J4931" s="123" t="s">
        <v>17641</v>
      </c>
      <c r="K4931" s="123" t="s">
        <v>17639</v>
      </c>
      <c r="L4931" s="131" t="s">
        <v>100</v>
      </c>
      <c r="M4931" s="135" t="s">
        <v>845</v>
      </c>
      <c r="N4931" s="123" t="s">
        <v>845</v>
      </c>
    </row>
    <row r="4932" spans="2:14" hidden="1" x14ac:dyDescent="0.25">
      <c r="B4932" s="120">
        <v>4929</v>
      </c>
      <c r="C4932" s="123">
        <v>10077646006</v>
      </c>
      <c r="D4932" s="126" t="s">
        <v>17642</v>
      </c>
      <c r="E4932" s="126" t="s">
        <v>17643</v>
      </c>
      <c r="F4932" s="123" t="s">
        <v>30</v>
      </c>
      <c r="G4932" s="123" t="s">
        <v>30</v>
      </c>
      <c r="H4932" s="123" t="s">
        <v>127</v>
      </c>
      <c r="I4932" s="126" t="s">
        <v>1701</v>
      </c>
      <c r="J4932" s="123" t="s">
        <v>17644</v>
      </c>
      <c r="K4932" s="123" t="s">
        <v>17642</v>
      </c>
      <c r="L4932" s="131" t="s">
        <v>100</v>
      </c>
      <c r="M4932" s="135" t="s">
        <v>845</v>
      </c>
      <c r="N4932" s="123" t="s">
        <v>845</v>
      </c>
    </row>
    <row r="4933" spans="2:14" hidden="1" x14ac:dyDescent="0.25">
      <c r="B4933" s="120">
        <v>4930</v>
      </c>
      <c r="C4933" s="123">
        <v>10157350752</v>
      </c>
      <c r="D4933" s="126" t="s">
        <v>17645</v>
      </c>
      <c r="E4933" s="126" t="s">
        <v>17646</v>
      </c>
      <c r="F4933" s="123" t="s">
        <v>30</v>
      </c>
      <c r="G4933" s="123" t="s">
        <v>170</v>
      </c>
      <c r="H4933" s="123" t="s">
        <v>176</v>
      </c>
      <c r="I4933" s="126" t="s">
        <v>1950</v>
      </c>
      <c r="J4933" s="123" t="s">
        <v>17647</v>
      </c>
      <c r="K4933" s="123" t="s">
        <v>17645</v>
      </c>
      <c r="L4933" s="131" t="s">
        <v>100</v>
      </c>
      <c r="M4933" s="135" t="s">
        <v>845</v>
      </c>
      <c r="N4933" s="123" t="s">
        <v>845</v>
      </c>
    </row>
    <row r="4934" spans="2:14" hidden="1" x14ac:dyDescent="0.25">
      <c r="B4934" s="120">
        <v>4931</v>
      </c>
      <c r="C4934" s="123">
        <v>10106722035</v>
      </c>
      <c r="D4934" s="126" t="s">
        <v>17648</v>
      </c>
      <c r="E4934" s="126" t="s">
        <v>17649</v>
      </c>
      <c r="F4934" s="123" t="s">
        <v>30</v>
      </c>
      <c r="G4934" s="123" t="s">
        <v>30</v>
      </c>
      <c r="H4934" s="123" t="s">
        <v>65</v>
      </c>
      <c r="I4934" s="126" t="s">
        <v>15056</v>
      </c>
      <c r="J4934" s="123" t="s">
        <v>17650</v>
      </c>
      <c r="K4934" s="123" t="s">
        <v>17648</v>
      </c>
      <c r="L4934" s="131" t="s">
        <v>100</v>
      </c>
      <c r="M4934" s="135" t="s">
        <v>845</v>
      </c>
      <c r="N4934" s="123" t="s">
        <v>845</v>
      </c>
    </row>
    <row r="4935" spans="2:14" hidden="1" x14ac:dyDescent="0.25">
      <c r="B4935" s="120">
        <v>4932</v>
      </c>
      <c r="C4935" s="123">
        <v>10105307832</v>
      </c>
      <c r="D4935" s="126" t="s">
        <v>17651</v>
      </c>
      <c r="E4935" s="126" t="s">
        <v>17652</v>
      </c>
      <c r="F4935" s="123" t="s">
        <v>30</v>
      </c>
      <c r="G4935" s="123" t="s">
        <v>30</v>
      </c>
      <c r="H4935" s="123" t="s">
        <v>88</v>
      </c>
      <c r="I4935" s="126" t="s">
        <v>17653</v>
      </c>
      <c r="J4935" s="123" t="s">
        <v>17654</v>
      </c>
      <c r="K4935" s="123" t="s">
        <v>17651</v>
      </c>
      <c r="L4935" s="131" t="s">
        <v>100</v>
      </c>
      <c r="M4935" s="135" t="s">
        <v>845</v>
      </c>
      <c r="N4935" s="123" t="s">
        <v>845</v>
      </c>
    </row>
    <row r="4936" spans="2:14" hidden="1" x14ac:dyDescent="0.25">
      <c r="B4936" s="120">
        <v>4933</v>
      </c>
      <c r="C4936" s="123">
        <v>10431764666</v>
      </c>
      <c r="D4936" s="126" t="s">
        <v>17655</v>
      </c>
      <c r="E4936" s="126" t="s">
        <v>17656</v>
      </c>
      <c r="F4936" s="123" t="s">
        <v>30</v>
      </c>
      <c r="G4936" s="123" t="s">
        <v>30</v>
      </c>
      <c r="H4936" s="123" t="s">
        <v>40</v>
      </c>
      <c r="I4936" s="126" t="s">
        <v>1701</v>
      </c>
      <c r="J4936" s="123" t="s">
        <v>17657</v>
      </c>
      <c r="K4936" s="123" t="s">
        <v>17655</v>
      </c>
      <c r="L4936" s="131" t="s">
        <v>100</v>
      </c>
      <c r="M4936" s="135" t="s">
        <v>845</v>
      </c>
      <c r="N4936" s="123" t="s">
        <v>845</v>
      </c>
    </row>
    <row r="4937" spans="2:14" hidden="1" x14ac:dyDescent="0.25">
      <c r="B4937" s="120">
        <v>4934</v>
      </c>
      <c r="C4937" s="123">
        <v>10097948483</v>
      </c>
      <c r="D4937" s="126" t="s">
        <v>17658</v>
      </c>
      <c r="E4937" s="126" t="s">
        <v>17659</v>
      </c>
      <c r="F4937" s="123" t="s">
        <v>30</v>
      </c>
      <c r="G4937" s="123" t="s">
        <v>30</v>
      </c>
      <c r="H4937" s="123" t="s">
        <v>88</v>
      </c>
      <c r="I4937" s="126" t="s">
        <v>1701</v>
      </c>
      <c r="J4937" s="123" t="s">
        <v>17660</v>
      </c>
      <c r="K4937" s="123" t="s">
        <v>17658</v>
      </c>
      <c r="L4937" s="131" t="s">
        <v>100</v>
      </c>
      <c r="M4937" s="135" t="s">
        <v>845</v>
      </c>
      <c r="N4937" s="123" t="s">
        <v>845</v>
      </c>
    </row>
    <row r="4938" spans="2:14" hidden="1" x14ac:dyDescent="0.25">
      <c r="B4938" s="120">
        <v>4935</v>
      </c>
      <c r="C4938" s="123">
        <v>10436121267</v>
      </c>
      <c r="D4938" s="126" t="s">
        <v>17661</v>
      </c>
      <c r="E4938" s="126" t="s">
        <v>17662</v>
      </c>
      <c r="F4938" s="123" t="s">
        <v>30</v>
      </c>
      <c r="G4938" s="123" t="s">
        <v>170</v>
      </c>
      <c r="H4938" s="123" t="s">
        <v>179</v>
      </c>
      <c r="I4938" s="126" t="s">
        <v>1643</v>
      </c>
      <c r="J4938" s="123" t="s">
        <v>17663</v>
      </c>
      <c r="K4938" s="123" t="s">
        <v>17661</v>
      </c>
      <c r="L4938" s="131" t="s">
        <v>100</v>
      </c>
      <c r="M4938" s="135" t="s">
        <v>845</v>
      </c>
      <c r="N4938" s="123" t="s">
        <v>845</v>
      </c>
    </row>
    <row r="4939" spans="2:14" hidden="1" x14ac:dyDescent="0.25">
      <c r="B4939" s="120">
        <v>4936</v>
      </c>
      <c r="C4939" s="123">
        <v>10410508635</v>
      </c>
      <c r="D4939" s="126" t="s">
        <v>17664</v>
      </c>
      <c r="E4939" s="126" t="s">
        <v>17665</v>
      </c>
      <c r="F4939" s="123" t="s">
        <v>30</v>
      </c>
      <c r="G4939" s="123" t="s">
        <v>168</v>
      </c>
      <c r="H4939" s="123" t="s">
        <v>168</v>
      </c>
      <c r="I4939" s="126" t="s">
        <v>1935</v>
      </c>
      <c r="J4939" s="123" t="s">
        <v>17666</v>
      </c>
      <c r="K4939" s="123" t="s">
        <v>17664</v>
      </c>
      <c r="L4939" s="131" t="s">
        <v>100</v>
      </c>
      <c r="M4939" s="135" t="s">
        <v>845</v>
      </c>
      <c r="N4939" s="123" t="s">
        <v>845</v>
      </c>
    </row>
    <row r="4940" spans="2:14" hidden="1" x14ac:dyDescent="0.25">
      <c r="B4940" s="120">
        <v>4937</v>
      </c>
      <c r="C4940" s="123">
        <v>10455256599</v>
      </c>
      <c r="D4940" s="126" t="s">
        <v>17667</v>
      </c>
      <c r="E4940" s="126" t="s">
        <v>17668</v>
      </c>
      <c r="F4940" s="123" t="s">
        <v>30</v>
      </c>
      <c r="G4940" s="123" t="s">
        <v>30</v>
      </c>
      <c r="H4940" s="123" t="s">
        <v>52</v>
      </c>
      <c r="I4940" s="126" t="s">
        <v>1701</v>
      </c>
      <c r="J4940" s="123" t="s">
        <v>17669</v>
      </c>
      <c r="K4940" s="123" t="s">
        <v>17670</v>
      </c>
      <c r="L4940" s="131" t="s">
        <v>100</v>
      </c>
      <c r="M4940" s="135" t="s">
        <v>845</v>
      </c>
      <c r="N4940" s="123" t="s">
        <v>845</v>
      </c>
    </row>
    <row r="4941" spans="2:14" hidden="1" x14ac:dyDescent="0.25">
      <c r="B4941" s="120">
        <v>4938</v>
      </c>
      <c r="C4941" s="123">
        <v>10101155281</v>
      </c>
      <c r="D4941" s="126" t="s">
        <v>17671</v>
      </c>
      <c r="E4941" s="126" t="s">
        <v>17672</v>
      </c>
      <c r="F4941" s="123" t="s">
        <v>30</v>
      </c>
      <c r="G4941" s="123" t="s">
        <v>30</v>
      </c>
      <c r="H4941" s="123" t="s">
        <v>75</v>
      </c>
      <c r="I4941" s="126" t="s">
        <v>1737</v>
      </c>
      <c r="J4941" s="123" t="s">
        <v>17673</v>
      </c>
      <c r="K4941" s="123" t="s">
        <v>17674</v>
      </c>
      <c r="L4941" s="131" t="s">
        <v>100</v>
      </c>
      <c r="M4941" s="135" t="s">
        <v>845</v>
      </c>
      <c r="N4941" s="123" t="s">
        <v>845</v>
      </c>
    </row>
    <row r="4942" spans="2:14" hidden="1" x14ac:dyDescent="0.25">
      <c r="B4942" s="120">
        <v>4939</v>
      </c>
      <c r="C4942" s="123">
        <v>10449226220</v>
      </c>
      <c r="D4942" s="126" t="s">
        <v>17675</v>
      </c>
      <c r="E4942" s="126" t="s">
        <v>17676</v>
      </c>
      <c r="F4942" s="123" t="s">
        <v>30</v>
      </c>
      <c r="G4942" s="123" t="s">
        <v>30</v>
      </c>
      <c r="H4942" s="123" t="s">
        <v>75</v>
      </c>
      <c r="I4942" s="126" t="s">
        <v>1737</v>
      </c>
      <c r="J4942" s="123" t="s">
        <v>17677</v>
      </c>
      <c r="K4942" s="123" t="s">
        <v>17675</v>
      </c>
      <c r="L4942" s="131" t="s">
        <v>100</v>
      </c>
      <c r="M4942" s="135" t="s">
        <v>845</v>
      </c>
      <c r="N4942" s="123" t="s">
        <v>845</v>
      </c>
    </row>
    <row r="4943" spans="2:14" hidden="1" x14ac:dyDescent="0.25">
      <c r="B4943" s="120">
        <v>4940</v>
      </c>
      <c r="C4943" s="123">
        <v>10764813281</v>
      </c>
      <c r="D4943" s="126" t="s">
        <v>17678</v>
      </c>
      <c r="E4943" s="126" t="s">
        <v>17679</v>
      </c>
      <c r="F4943" s="123" t="s">
        <v>30</v>
      </c>
      <c r="G4943" s="123" t="s">
        <v>30</v>
      </c>
      <c r="H4943" s="123" t="s">
        <v>30</v>
      </c>
      <c r="I4943" s="126" t="s">
        <v>1694</v>
      </c>
      <c r="J4943" s="123" t="s">
        <v>17680</v>
      </c>
      <c r="K4943" s="123" t="s">
        <v>17678</v>
      </c>
      <c r="L4943" s="131" t="s">
        <v>100</v>
      </c>
      <c r="M4943" s="135" t="s">
        <v>845</v>
      </c>
      <c r="N4943" s="123" t="s">
        <v>845</v>
      </c>
    </row>
    <row r="4944" spans="2:14" hidden="1" x14ac:dyDescent="0.25">
      <c r="B4944" s="120">
        <v>4941</v>
      </c>
      <c r="C4944" s="123">
        <v>10420842495</v>
      </c>
      <c r="D4944" s="126" t="s">
        <v>17681</v>
      </c>
      <c r="E4944" s="126" t="s">
        <v>17682</v>
      </c>
      <c r="F4944" s="123" t="s">
        <v>30</v>
      </c>
      <c r="G4944" s="123" t="s">
        <v>168</v>
      </c>
      <c r="H4944" s="123" t="s">
        <v>168</v>
      </c>
      <c r="I4944" s="126" t="s">
        <v>1809</v>
      </c>
      <c r="J4944" s="123" t="s">
        <v>17683</v>
      </c>
      <c r="K4944" s="123" t="s">
        <v>17684</v>
      </c>
      <c r="L4944" s="131" t="s">
        <v>100</v>
      </c>
      <c r="M4944" s="135" t="s">
        <v>845</v>
      </c>
      <c r="N4944" s="123" t="s">
        <v>845</v>
      </c>
    </row>
    <row r="4945" spans="2:14" hidden="1" x14ac:dyDescent="0.25">
      <c r="B4945" s="120">
        <v>4942</v>
      </c>
      <c r="C4945" s="123">
        <v>10462141799</v>
      </c>
      <c r="D4945" s="126" t="s">
        <v>17685</v>
      </c>
      <c r="E4945" s="126" t="s">
        <v>17686</v>
      </c>
      <c r="F4945" s="123" t="s">
        <v>67</v>
      </c>
      <c r="G4945" s="123" t="s">
        <v>67</v>
      </c>
      <c r="H4945" s="123" t="s">
        <v>67</v>
      </c>
      <c r="I4945" s="126" t="s">
        <v>1950</v>
      </c>
      <c r="J4945" s="123" t="s">
        <v>17687</v>
      </c>
      <c r="K4945" s="123" t="s">
        <v>17685</v>
      </c>
      <c r="L4945" s="131" t="s">
        <v>100</v>
      </c>
      <c r="M4945" s="135" t="s">
        <v>845</v>
      </c>
      <c r="N4945" s="123" t="s">
        <v>845</v>
      </c>
    </row>
    <row r="4946" spans="2:14" hidden="1" x14ac:dyDescent="0.25">
      <c r="B4946" s="120">
        <v>4943</v>
      </c>
      <c r="C4946" s="123">
        <v>10102019143</v>
      </c>
      <c r="D4946" s="126" t="s">
        <v>17688</v>
      </c>
      <c r="E4946" s="126" t="s">
        <v>17689</v>
      </c>
      <c r="F4946" s="123" t="s">
        <v>30</v>
      </c>
      <c r="G4946" s="123" t="s">
        <v>30</v>
      </c>
      <c r="H4946" s="123" t="s">
        <v>75</v>
      </c>
      <c r="I4946" s="126" t="s">
        <v>1958</v>
      </c>
      <c r="J4946" s="123" t="s">
        <v>17690</v>
      </c>
      <c r="K4946" s="123" t="s">
        <v>17688</v>
      </c>
      <c r="L4946" s="131" t="s">
        <v>100</v>
      </c>
      <c r="M4946" s="135" t="s">
        <v>845</v>
      </c>
      <c r="N4946" s="123" t="s">
        <v>845</v>
      </c>
    </row>
    <row r="4947" spans="2:14" hidden="1" x14ac:dyDescent="0.25">
      <c r="B4947" s="120">
        <v>4944</v>
      </c>
      <c r="C4947" s="123">
        <v>10427630761</v>
      </c>
      <c r="D4947" s="126" t="s">
        <v>17691</v>
      </c>
      <c r="E4947" s="126" t="s">
        <v>17692</v>
      </c>
      <c r="F4947" s="123" t="s">
        <v>30</v>
      </c>
      <c r="G4947" s="123" t="s">
        <v>31</v>
      </c>
      <c r="H4947" s="123" t="s">
        <v>150</v>
      </c>
      <c r="I4947" s="126" t="s">
        <v>1374</v>
      </c>
      <c r="J4947" s="123" t="s">
        <v>17693</v>
      </c>
      <c r="K4947" s="123" t="s">
        <v>17691</v>
      </c>
      <c r="L4947" s="131" t="s">
        <v>100</v>
      </c>
      <c r="M4947" s="135" t="s">
        <v>845</v>
      </c>
      <c r="N4947" s="123" t="s">
        <v>845</v>
      </c>
    </row>
    <row r="4948" spans="2:14" hidden="1" x14ac:dyDescent="0.25">
      <c r="B4948" s="120">
        <v>4945</v>
      </c>
      <c r="C4948" s="123">
        <v>10436365638</v>
      </c>
      <c r="D4948" s="126" t="s">
        <v>17694</v>
      </c>
      <c r="E4948" s="126" t="s">
        <v>17695</v>
      </c>
      <c r="F4948" s="123" t="s">
        <v>30</v>
      </c>
      <c r="G4948" s="123" t="s">
        <v>30</v>
      </c>
      <c r="H4948" s="123" t="s">
        <v>50</v>
      </c>
      <c r="I4948" s="126" t="s">
        <v>1949</v>
      </c>
      <c r="J4948" s="123" t="s">
        <v>17696</v>
      </c>
      <c r="K4948" s="123" t="s">
        <v>17694</v>
      </c>
      <c r="L4948" s="131" t="s">
        <v>100</v>
      </c>
      <c r="M4948" s="135" t="s">
        <v>845</v>
      </c>
      <c r="N4948" s="123" t="s">
        <v>845</v>
      </c>
    </row>
    <row r="4949" spans="2:14" hidden="1" x14ac:dyDescent="0.25">
      <c r="B4949" s="120">
        <v>4946</v>
      </c>
      <c r="C4949" s="123">
        <v>10257188138</v>
      </c>
      <c r="D4949" s="126" t="s">
        <v>17697</v>
      </c>
      <c r="E4949" s="126" t="s">
        <v>17698</v>
      </c>
      <c r="F4949" s="123" t="s">
        <v>67</v>
      </c>
      <c r="G4949" s="123" t="s">
        <v>67</v>
      </c>
      <c r="H4949" s="123" t="s">
        <v>67</v>
      </c>
      <c r="I4949" s="126" t="s">
        <v>1942</v>
      </c>
      <c r="J4949" s="123" t="s">
        <v>17699</v>
      </c>
      <c r="K4949" s="123" t="s">
        <v>17697</v>
      </c>
      <c r="L4949" s="131" t="s">
        <v>100</v>
      </c>
      <c r="M4949" s="135" t="s">
        <v>845</v>
      </c>
      <c r="N4949" s="123" t="s">
        <v>845</v>
      </c>
    </row>
    <row r="4950" spans="2:14" hidden="1" x14ac:dyDescent="0.25">
      <c r="B4950" s="120">
        <v>4947</v>
      </c>
      <c r="C4950" s="123">
        <v>10461418193</v>
      </c>
      <c r="D4950" s="126" t="s">
        <v>17700</v>
      </c>
      <c r="E4950" s="126" t="s">
        <v>17701</v>
      </c>
      <c r="F4950" s="123" t="s">
        <v>30</v>
      </c>
      <c r="G4950" s="123" t="s">
        <v>30</v>
      </c>
      <c r="H4950" s="123" t="s">
        <v>39</v>
      </c>
      <c r="I4950" s="126" t="s">
        <v>1984</v>
      </c>
      <c r="J4950" s="123" t="s">
        <v>17702</v>
      </c>
      <c r="K4950" s="123" t="s">
        <v>17700</v>
      </c>
      <c r="L4950" s="131" t="s">
        <v>100</v>
      </c>
      <c r="M4950" s="135" t="s">
        <v>845</v>
      </c>
      <c r="N4950" s="123" t="s">
        <v>845</v>
      </c>
    </row>
    <row r="4951" spans="2:14" hidden="1" x14ac:dyDescent="0.25">
      <c r="B4951" s="120">
        <v>4948</v>
      </c>
      <c r="C4951" s="123">
        <v>10097773314</v>
      </c>
      <c r="D4951" s="126" t="s">
        <v>17703</v>
      </c>
      <c r="E4951" s="126" t="s">
        <v>17704</v>
      </c>
      <c r="F4951" s="123" t="s">
        <v>30</v>
      </c>
      <c r="G4951" s="123" t="s">
        <v>30</v>
      </c>
      <c r="H4951" s="123" t="s">
        <v>39</v>
      </c>
      <c r="I4951" s="126" t="s">
        <v>101</v>
      </c>
      <c r="J4951" s="123" t="s">
        <v>17705</v>
      </c>
      <c r="K4951" s="123" t="s">
        <v>17703</v>
      </c>
      <c r="L4951" s="131" t="s">
        <v>100</v>
      </c>
      <c r="M4951" s="135" t="s">
        <v>845</v>
      </c>
      <c r="N4951" s="123" t="s">
        <v>845</v>
      </c>
    </row>
    <row r="4952" spans="2:14" hidden="1" x14ac:dyDescent="0.25">
      <c r="B4952" s="120">
        <v>4949</v>
      </c>
      <c r="C4952" s="123">
        <v>10316673789</v>
      </c>
      <c r="D4952" s="126" t="s">
        <v>17706</v>
      </c>
      <c r="E4952" s="126" t="s">
        <v>17707</v>
      </c>
      <c r="F4952" s="123" t="s">
        <v>30</v>
      </c>
      <c r="G4952" s="123" t="s">
        <v>30</v>
      </c>
      <c r="H4952" s="123" t="s">
        <v>35</v>
      </c>
      <c r="I4952" s="126" t="s">
        <v>9790</v>
      </c>
      <c r="J4952" s="123" t="s">
        <v>17708</v>
      </c>
      <c r="K4952" s="123" t="s">
        <v>17706</v>
      </c>
      <c r="L4952" s="131" t="s">
        <v>100</v>
      </c>
      <c r="M4952" s="135" t="s">
        <v>845</v>
      </c>
      <c r="N4952" s="123" t="s">
        <v>845</v>
      </c>
    </row>
    <row r="4953" spans="2:14" hidden="1" x14ac:dyDescent="0.25">
      <c r="B4953" s="120">
        <v>4950</v>
      </c>
      <c r="C4953" s="123">
        <v>10316558297</v>
      </c>
      <c r="D4953" s="126" t="s">
        <v>17709</v>
      </c>
      <c r="E4953" s="126" t="s">
        <v>17710</v>
      </c>
      <c r="F4953" s="123" t="s">
        <v>30</v>
      </c>
      <c r="G4953" s="123" t="s">
        <v>30</v>
      </c>
      <c r="H4953" s="123" t="s">
        <v>35</v>
      </c>
      <c r="I4953" s="126" t="s">
        <v>14126</v>
      </c>
      <c r="J4953" s="123" t="s">
        <v>17711</v>
      </c>
      <c r="K4953" s="123" t="s">
        <v>17709</v>
      </c>
      <c r="L4953" s="131" t="s">
        <v>100</v>
      </c>
      <c r="M4953" s="135" t="s">
        <v>845</v>
      </c>
      <c r="N4953" s="123" t="s">
        <v>845</v>
      </c>
    </row>
    <row r="4954" spans="2:14" hidden="1" x14ac:dyDescent="0.25">
      <c r="B4954" s="120">
        <v>4951</v>
      </c>
      <c r="C4954" s="123">
        <v>10457701662</v>
      </c>
      <c r="D4954" s="126" t="s">
        <v>17712</v>
      </c>
      <c r="E4954" s="126" t="s">
        <v>17713</v>
      </c>
      <c r="F4954" s="123" t="s">
        <v>30</v>
      </c>
      <c r="G4954" s="123" t="s">
        <v>30</v>
      </c>
      <c r="H4954" s="123" t="s">
        <v>43</v>
      </c>
      <c r="I4954" s="126" t="s">
        <v>1701</v>
      </c>
      <c r="J4954" s="123" t="s">
        <v>17714</v>
      </c>
      <c r="K4954" s="123" t="s">
        <v>17712</v>
      </c>
      <c r="L4954" s="131" t="s">
        <v>100</v>
      </c>
      <c r="M4954" s="135" t="s">
        <v>845</v>
      </c>
      <c r="N4954" s="123" t="s">
        <v>845</v>
      </c>
    </row>
    <row r="4955" spans="2:14" hidden="1" x14ac:dyDescent="0.25">
      <c r="B4955" s="120">
        <v>4952</v>
      </c>
      <c r="C4955" s="123">
        <v>10040838614</v>
      </c>
      <c r="D4955" s="126" t="s">
        <v>17715</v>
      </c>
      <c r="E4955" s="126" t="s">
        <v>17716</v>
      </c>
      <c r="F4955" s="123" t="s">
        <v>30</v>
      </c>
      <c r="G4955" s="123" t="s">
        <v>30</v>
      </c>
      <c r="H4955" s="123" t="s">
        <v>43</v>
      </c>
      <c r="I4955" s="126" t="s">
        <v>1564</v>
      </c>
      <c r="J4955" s="123" t="s">
        <v>17717</v>
      </c>
      <c r="K4955" s="123" t="s">
        <v>17715</v>
      </c>
      <c r="L4955" s="131" t="s">
        <v>100</v>
      </c>
      <c r="M4955" s="135" t="s">
        <v>845</v>
      </c>
      <c r="N4955" s="123" t="s">
        <v>845</v>
      </c>
    </row>
    <row r="4956" spans="2:14" hidden="1" x14ac:dyDescent="0.25">
      <c r="B4956" s="120">
        <v>4953</v>
      </c>
      <c r="C4956" s="123">
        <v>10101505303</v>
      </c>
      <c r="D4956" s="126" t="s">
        <v>17718</v>
      </c>
      <c r="E4956" s="126" t="s">
        <v>17719</v>
      </c>
      <c r="F4956" s="123" t="s">
        <v>30</v>
      </c>
      <c r="G4956" s="123" t="s">
        <v>30</v>
      </c>
      <c r="H4956" s="123" t="s">
        <v>51</v>
      </c>
      <c r="I4956" s="126" t="s">
        <v>1701</v>
      </c>
      <c r="J4956" s="123" t="s">
        <v>17720</v>
      </c>
      <c r="K4956" s="123" t="s">
        <v>17718</v>
      </c>
      <c r="L4956" s="131" t="s">
        <v>100</v>
      </c>
      <c r="M4956" s="135" t="s">
        <v>845</v>
      </c>
      <c r="N4956" s="123" t="s">
        <v>845</v>
      </c>
    </row>
    <row r="4957" spans="2:14" hidden="1" x14ac:dyDescent="0.25">
      <c r="B4957" s="120">
        <v>4954</v>
      </c>
      <c r="C4957" s="123">
        <v>10743983918</v>
      </c>
      <c r="D4957" s="126" t="s">
        <v>17721</v>
      </c>
      <c r="E4957" s="126" t="s">
        <v>17722</v>
      </c>
      <c r="F4957" s="123" t="s">
        <v>67</v>
      </c>
      <c r="G4957" s="123" t="s">
        <v>67</v>
      </c>
      <c r="H4957" s="123" t="s">
        <v>67</v>
      </c>
      <c r="I4957" s="126" t="s">
        <v>1701</v>
      </c>
      <c r="J4957" s="123" t="s">
        <v>17723</v>
      </c>
      <c r="K4957" s="123" t="s">
        <v>17721</v>
      </c>
      <c r="L4957" s="131" t="s">
        <v>100</v>
      </c>
      <c r="M4957" s="135" t="s">
        <v>845</v>
      </c>
      <c r="N4957" s="123" t="s">
        <v>845</v>
      </c>
    </row>
    <row r="4958" spans="2:14" hidden="1" x14ac:dyDescent="0.25">
      <c r="B4958" s="120">
        <v>4955</v>
      </c>
      <c r="C4958" s="123">
        <v>10102160563</v>
      </c>
      <c r="D4958" s="126" t="s">
        <v>17724</v>
      </c>
      <c r="E4958" s="126" t="s">
        <v>17725</v>
      </c>
      <c r="F4958" s="123" t="s">
        <v>30</v>
      </c>
      <c r="G4958" s="123" t="s">
        <v>30</v>
      </c>
      <c r="H4958" s="123" t="s">
        <v>45</v>
      </c>
      <c r="I4958" s="126" t="s">
        <v>12353</v>
      </c>
      <c r="J4958" s="123" t="s">
        <v>17726</v>
      </c>
      <c r="K4958" s="123" t="s">
        <v>17727</v>
      </c>
      <c r="L4958" s="131" t="s">
        <v>100</v>
      </c>
      <c r="M4958" s="135" t="s">
        <v>845</v>
      </c>
      <c r="N4958" s="123" t="s">
        <v>845</v>
      </c>
    </row>
    <row r="4959" spans="2:14" hidden="1" x14ac:dyDescent="0.25">
      <c r="B4959" s="120">
        <v>4956</v>
      </c>
      <c r="C4959" s="123">
        <v>10157176515</v>
      </c>
      <c r="D4959" s="126" t="s">
        <v>17728</v>
      </c>
      <c r="E4959" s="126" t="s">
        <v>17729</v>
      </c>
      <c r="F4959" s="123" t="s">
        <v>30</v>
      </c>
      <c r="G4959" s="123" t="s">
        <v>170</v>
      </c>
      <c r="H4959" s="123" t="s">
        <v>175</v>
      </c>
      <c r="I4959" s="126" t="s">
        <v>1963</v>
      </c>
      <c r="J4959" s="123" t="s">
        <v>17730</v>
      </c>
      <c r="K4959" s="123" t="s">
        <v>17728</v>
      </c>
      <c r="L4959" s="131" t="s">
        <v>100</v>
      </c>
      <c r="M4959" s="135" t="s">
        <v>845</v>
      </c>
      <c r="N4959" s="123" t="s">
        <v>845</v>
      </c>
    </row>
    <row r="4960" spans="2:14" hidden="1" x14ac:dyDescent="0.25">
      <c r="B4960" s="120">
        <v>4957</v>
      </c>
      <c r="C4960" s="123">
        <v>15610173958</v>
      </c>
      <c r="D4960" s="126" t="s">
        <v>17731</v>
      </c>
      <c r="E4960" s="126" t="s">
        <v>17732</v>
      </c>
      <c r="F4960" s="123" t="s">
        <v>30</v>
      </c>
      <c r="G4960" s="123" t="s">
        <v>168</v>
      </c>
      <c r="H4960" s="123" t="s">
        <v>168</v>
      </c>
      <c r="I4960" s="126" t="s">
        <v>1701</v>
      </c>
      <c r="J4960" s="123" t="s">
        <v>17733</v>
      </c>
      <c r="K4960" s="123" t="s">
        <v>17731</v>
      </c>
      <c r="L4960" s="131" t="s">
        <v>100</v>
      </c>
      <c r="M4960" s="135" t="s">
        <v>845</v>
      </c>
      <c r="N4960" s="123" t="s">
        <v>845</v>
      </c>
    </row>
    <row r="4961" spans="2:14" hidden="1" x14ac:dyDescent="0.25">
      <c r="B4961" s="120">
        <v>4958</v>
      </c>
      <c r="C4961" s="123">
        <v>10102331392</v>
      </c>
      <c r="D4961" s="126" t="s">
        <v>17734</v>
      </c>
      <c r="E4961" s="126" t="s">
        <v>17735</v>
      </c>
      <c r="F4961" s="123" t="s">
        <v>30</v>
      </c>
      <c r="G4961" s="123" t="s">
        <v>30</v>
      </c>
      <c r="H4961" s="123" t="s">
        <v>60</v>
      </c>
      <c r="I4961" s="126" t="s">
        <v>101</v>
      </c>
      <c r="J4961" s="123" t="s">
        <v>17736</v>
      </c>
      <c r="K4961" s="123" t="s">
        <v>17734</v>
      </c>
      <c r="L4961" s="131" t="s">
        <v>100</v>
      </c>
      <c r="M4961" s="135" t="s">
        <v>845</v>
      </c>
      <c r="N4961" s="123" t="s">
        <v>845</v>
      </c>
    </row>
    <row r="4962" spans="2:14" hidden="1" x14ac:dyDescent="0.25">
      <c r="B4962" s="120">
        <v>4959</v>
      </c>
      <c r="C4962" s="123">
        <v>15506222661</v>
      </c>
      <c r="D4962" s="126" t="s">
        <v>17737</v>
      </c>
      <c r="E4962" s="126" t="s">
        <v>17738</v>
      </c>
      <c r="F4962" s="123" t="s">
        <v>30</v>
      </c>
      <c r="G4962" s="123" t="s">
        <v>30</v>
      </c>
      <c r="H4962" s="123" t="s">
        <v>43</v>
      </c>
      <c r="I4962" s="126" t="s">
        <v>1931</v>
      </c>
      <c r="J4962" s="123" t="s">
        <v>17739</v>
      </c>
      <c r="K4962" s="123" t="s">
        <v>17737</v>
      </c>
      <c r="L4962" s="131" t="s">
        <v>100</v>
      </c>
      <c r="M4962" s="135" t="s">
        <v>845</v>
      </c>
      <c r="N4962" s="123" t="s">
        <v>845</v>
      </c>
    </row>
    <row r="4963" spans="2:14" hidden="1" x14ac:dyDescent="0.25">
      <c r="B4963" s="120">
        <v>4960</v>
      </c>
      <c r="C4963" s="123">
        <v>10157623988</v>
      </c>
      <c r="D4963" s="126" t="s">
        <v>17740</v>
      </c>
      <c r="E4963" s="126" t="s">
        <v>17741</v>
      </c>
      <c r="F4963" s="123" t="s">
        <v>30</v>
      </c>
      <c r="G4963" s="123" t="s">
        <v>170</v>
      </c>
      <c r="H4963" s="123" t="s">
        <v>171</v>
      </c>
      <c r="I4963" s="126" t="s">
        <v>1950</v>
      </c>
      <c r="J4963" s="123" t="s">
        <v>17742</v>
      </c>
      <c r="K4963" s="123" t="s">
        <v>17740</v>
      </c>
      <c r="L4963" s="131" t="s">
        <v>100</v>
      </c>
      <c r="M4963" s="135" t="s">
        <v>845</v>
      </c>
      <c r="N4963" s="123" t="s">
        <v>845</v>
      </c>
    </row>
    <row r="4964" spans="2:14" hidden="1" x14ac:dyDescent="0.25">
      <c r="B4964" s="120">
        <v>4961</v>
      </c>
      <c r="C4964" s="123">
        <v>10802303098</v>
      </c>
      <c r="D4964" s="126" t="s">
        <v>17743</v>
      </c>
      <c r="E4964" s="126" t="s">
        <v>17744</v>
      </c>
      <c r="F4964" s="123" t="s">
        <v>30</v>
      </c>
      <c r="G4964" s="123" t="s">
        <v>30</v>
      </c>
      <c r="H4964" s="123" t="s">
        <v>50</v>
      </c>
      <c r="I4964" s="126" t="s">
        <v>1701</v>
      </c>
      <c r="J4964" s="123" t="s">
        <v>17745</v>
      </c>
      <c r="K4964" s="123" t="s">
        <v>17743</v>
      </c>
      <c r="L4964" s="131" t="s">
        <v>100</v>
      </c>
      <c r="M4964" s="135" t="s">
        <v>845</v>
      </c>
      <c r="N4964" s="123" t="s">
        <v>845</v>
      </c>
    </row>
    <row r="4965" spans="2:14" hidden="1" x14ac:dyDescent="0.25">
      <c r="B4965" s="120">
        <v>4962</v>
      </c>
      <c r="C4965" s="123">
        <v>10428988642</v>
      </c>
      <c r="D4965" s="126" t="s">
        <v>17746</v>
      </c>
      <c r="E4965" s="126" t="s">
        <v>17747</v>
      </c>
      <c r="F4965" s="123" t="s">
        <v>30</v>
      </c>
      <c r="G4965" s="123" t="s">
        <v>30</v>
      </c>
      <c r="H4965" s="123" t="s">
        <v>72</v>
      </c>
      <c r="I4965" s="126" t="s">
        <v>1931</v>
      </c>
      <c r="J4965" s="123" t="s">
        <v>17748</v>
      </c>
      <c r="K4965" s="123" t="s">
        <v>17746</v>
      </c>
      <c r="L4965" s="131" t="s">
        <v>100</v>
      </c>
      <c r="M4965" s="135" t="s">
        <v>845</v>
      </c>
      <c r="N4965" s="123" t="s">
        <v>845</v>
      </c>
    </row>
    <row r="4966" spans="2:14" hidden="1" x14ac:dyDescent="0.25">
      <c r="B4966" s="120">
        <v>4963</v>
      </c>
      <c r="C4966" s="123">
        <v>10156668970</v>
      </c>
      <c r="D4966" s="126" t="s">
        <v>17749</v>
      </c>
      <c r="E4966" s="126" t="s">
        <v>17750</v>
      </c>
      <c r="F4966" s="123" t="s">
        <v>30</v>
      </c>
      <c r="G4966" s="123" t="s">
        <v>168</v>
      </c>
      <c r="H4966" s="123" t="s">
        <v>169</v>
      </c>
      <c r="I4966" s="126" t="s">
        <v>2089</v>
      </c>
      <c r="J4966" s="123" t="s">
        <v>17751</v>
      </c>
      <c r="K4966" s="123" t="s">
        <v>17749</v>
      </c>
      <c r="L4966" s="131" t="s">
        <v>100</v>
      </c>
      <c r="M4966" s="135" t="s">
        <v>845</v>
      </c>
      <c r="N4966" s="123" t="s">
        <v>845</v>
      </c>
    </row>
    <row r="4967" spans="2:14" hidden="1" x14ac:dyDescent="0.25">
      <c r="B4967" s="120">
        <v>4964</v>
      </c>
      <c r="C4967" s="123">
        <v>15606575944</v>
      </c>
      <c r="D4967" s="126" t="s">
        <v>17752</v>
      </c>
      <c r="E4967" s="126" t="s">
        <v>17753</v>
      </c>
      <c r="F4967" s="123" t="s">
        <v>30</v>
      </c>
      <c r="G4967" s="123" t="s">
        <v>30</v>
      </c>
      <c r="H4967" s="123" t="s">
        <v>123</v>
      </c>
      <c r="I4967" s="126" t="s">
        <v>1424</v>
      </c>
      <c r="J4967" s="123" t="s">
        <v>17754</v>
      </c>
      <c r="K4967" s="123" t="s">
        <v>17752</v>
      </c>
      <c r="L4967" s="131" t="s">
        <v>100</v>
      </c>
      <c r="M4967" s="135" t="s">
        <v>845</v>
      </c>
      <c r="N4967" s="123" t="s">
        <v>845</v>
      </c>
    </row>
    <row r="4968" spans="2:14" hidden="1" x14ac:dyDescent="0.25">
      <c r="B4968" s="120">
        <v>4965</v>
      </c>
      <c r="C4968" s="123">
        <v>10726423429</v>
      </c>
      <c r="D4968" s="126" t="s">
        <v>17755</v>
      </c>
      <c r="E4968" s="126" t="s">
        <v>17756</v>
      </c>
      <c r="F4968" s="123" t="s">
        <v>30</v>
      </c>
      <c r="G4968" s="123" t="s">
        <v>30</v>
      </c>
      <c r="H4968" s="123" t="s">
        <v>58</v>
      </c>
      <c r="I4968" s="126" t="s">
        <v>1701</v>
      </c>
      <c r="J4968" s="123" t="s">
        <v>17757</v>
      </c>
      <c r="K4968" s="123" t="s">
        <v>17755</v>
      </c>
      <c r="L4968" s="131" t="s">
        <v>100</v>
      </c>
      <c r="M4968" s="135" t="s">
        <v>845</v>
      </c>
      <c r="N4968" s="123" t="s">
        <v>845</v>
      </c>
    </row>
    <row r="4969" spans="2:14" hidden="1" x14ac:dyDescent="0.25">
      <c r="B4969" s="120">
        <v>4966</v>
      </c>
      <c r="C4969" s="123">
        <v>10158481575</v>
      </c>
      <c r="D4969" s="126" t="s">
        <v>17758</v>
      </c>
      <c r="E4969" s="126" t="s">
        <v>17759</v>
      </c>
      <c r="F4969" s="123" t="s">
        <v>30</v>
      </c>
      <c r="G4969" s="123" t="s">
        <v>168</v>
      </c>
      <c r="H4969" s="123" t="s">
        <v>168</v>
      </c>
      <c r="I4969" s="126" t="s">
        <v>1964</v>
      </c>
      <c r="J4969" s="123" t="s">
        <v>17760</v>
      </c>
      <c r="K4969" s="123" t="s">
        <v>17758</v>
      </c>
      <c r="L4969" s="131" t="s">
        <v>100</v>
      </c>
      <c r="M4969" s="135" t="s">
        <v>845</v>
      </c>
      <c r="N4969" s="123" t="s">
        <v>845</v>
      </c>
    </row>
    <row r="4970" spans="2:14" hidden="1" x14ac:dyDescent="0.25">
      <c r="B4970" s="120">
        <v>4967</v>
      </c>
      <c r="C4970" s="123">
        <v>10082967392</v>
      </c>
      <c r="D4970" s="126" t="s">
        <v>17761</v>
      </c>
      <c r="E4970" s="126" t="s">
        <v>17762</v>
      </c>
      <c r="F4970" s="123" t="s">
        <v>30</v>
      </c>
      <c r="G4970" s="123" t="s">
        <v>30</v>
      </c>
      <c r="H4970" s="123" t="s">
        <v>45</v>
      </c>
      <c r="I4970" s="126" t="s">
        <v>1963</v>
      </c>
      <c r="J4970" s="123" t="s">
        <v>17763</v>
      </c>
      <c r="K4970" s="123" t="s">
        <v>17761</v>
      </c>
      <c r="L4970" s="131" t="s">
        <v>100</v>
      </c>
      <c r="M4970" s="135" t="s">
        <v>845</v>
      </c>
      <c r="N4970" s="123" t="s">
        <v>845</v>
      </c>
    </row>
    <row r="4971" spans="2:14" hidden="1" x14ac:dyDescent="0.25">
      <c r="B4971" s="120">
        <v>4968</v>
      </c>
      <c r="C4971" s="123">
        <v>10705484941</v>
      </c>
      <c r="D4971" s="126" t="s">
        <v>17764</v>
      </c>
      <c r="E4971" s="126" t="s">
        <v>17765</v>
      </c>
      <c r="F4971" s="123" t="s">
        <v>30</v>
      </c>
      <c r="G4971" s="123" t="s">
        <v>30</v>
      </c>
      <c r="H4971" s="123" t="s">
        <v>37</v>
      </c>
      <c r="I4971" s="126" t="s">
        <v>17766</v>
      </c>
      <c r="J4971" s="123" t="s">
        <v>17767</v>
      </c>
      <c r="K4971" s="123" t="s">
        <v>17768</v>
      </c>
      <c r="L4971" s="131" t="s">
        <v>100</v>
      </c>
      <c r="M4971" s="135" t="s">
        <v>845</v>
      </c>
      <c r="N4971" s="123" t="s">
        <v>845</v>
      </c>
    </row>
    <row r="4972" spans="2:14" hidden="1" x14ac:dyDescent="0.25">
      <c r="B4972" s="120">
        <v>4969</v>
      </c>
      <c r="C4972" s="123">
        <v>10430481989</v>
      </c>
      <c r="D4972" s="126" t="s">
        <v>17769</v>
      </c>
      <c r="E4972" s="126" t="s">
        <v>17770</v>
      </c>
      <c r="F4972" s="123" t="s">
        <v>30</v>
      </c>
      <c r="G4972" s="123" t="s">
        <v>30</v>
      </c>
      <c r="H4972" s="123" t="s">
        <v>30</v>
      </c>
      <c r="I4972" s="126" t="s">
        <v>1805</v>
      </c>
      <c r="J4972" s="123" t="s">
        <v>17771</v>
      </c>
      <c r="K4972" s="123" t="s">
        <v>17769</v>
      </c>
      <c r="L4972" s="131" t="s">
        <v>100</v>
      </c>
      <c r="M4972" s="135" t="s">
        <v>845</v>
      </c>
      <c r="N4972" s="123" t="s">
        <v>845</v>
      </c>
    </row>
    <row r="4973" spans="2:14" hidden="1" x14ac:dyDescent="0.25">
      <c r="B4973" s="120">
        <v>4970</v>
      </c>
      <c r="C4973" s="123">
        <v>10456692287</v>
      </c>
      <c r="D4973" s="126" t="s">
        <v>17772</v>
      </c>
      <c r="E4973" s="126" t="s">
        <v>17773</v>
      </c>
      <c r="F4973" s="123" t="s">
        <v>67</v>
      </c>
      <c r="G4973" s="123" t="s">
        <v>67</v>
      </c>
      <c r="H4973" s="123" t="s">
        <v>67</v>
      </c>
      <c r="I4973" s="126" t="s">
        <v>1931</v>
      </c>
      <c r="J4973" s="123" t="s">
        <v>17774</v>
      </c>
      <c r="K4973" s="123" t="s">
        <v>17772</v>
      </c>
      <c r="L4973" s="131" t="s">
        <v>100</v>
      </c>
      <c r="M4973" s="135" t="s">
        <v>845</v>
      </c>
      <c r="N4973" s="123" t="s">
        <v>845</v>
      </c>
    </row>
    <row r="4974" spans="2:14" hidden="1" x14ac:dyDescent="0.25">
      <c r="B4974" s="120">
        <v>4971</v>
      </c>
      <c r="C4974" s="123">
        <v>10103952048</v>
      </c>
      <c r="D4974" s="126" t="s">
        <v>17775</v>
      </c>
      <c r="E4974" s="126" t="s">
        <v>17776</v>
      </c>
      <c r="F4974" s="123" t="s">
        <v>30</v>
      </c>
      <c r="G4974" s="123" t="s">
        <v>30</v>
      </c>
      <c r="H4974" s="123" t="s">
        <v>88</v>
      </c>
      <c r="I4974" s="126" t="s">
        <v>1701</v>
      </c>
      <c r="J4974" s="123" t="s">
        <v>17777</v>
      </c>
      <c r="K4974" s="123" t="s">
        <v>17775</v>
      </c>
      <c r="L4974" s="131" t="s">
        <v>100</v>
      </c>
      <c r="M4974" s="135" t="s">
        <v>845</v>
      </c>
      <c r="N4974" s="123" t="s">
        <v>845</v>
      </c>
    </row>
    <row r="4975" spans="2:14" hidden="1" x14ac:dyDescent="0.25">
      <c r="B4975" s="120">
        <v>4972</v>
      </c>
      <c r="C4975" s="123">
        <v>10084808461</v>
      </c>
      <c r="D4975" s="126" t="s">
        <v>17778</v>
      </c>
      <c r="E4975" s="126" t="s">
        <v>17779</v>
      </c>
      <c r="F4975" s="123" t="s">
        <v>30</v>
      </c>
      <c r="G4975" s="123" t="s">
        <v>30</v>
      </c>
      <c r="H4975" s="123" t="s">
        <v>60</v>
      </c>
      <c r="I4975" s="126" t="s">
        <v>1561</v>
      </c>
      <c r="J4975" s="123" t="s">
        <v>17780</v>
      </c>
      <c r="K4975" s="123" t="s">
        <v>17778</v>
      </c>
      <c r="L4975" s="131" t="s">
        <v>100</v>
      </c>
      <c r="M4975" s="135" t="s">
        <v>845</v>
      </c>
      <c r="N4975" s="123" t="s">
        <v>845</v>
      </c>
    </row>
    <row r="4976" spans="2:14" hidden="1" x14ac:dyDescent="0.25">
      <c r="B4976" s="120">
        <v>4973</v>
      </c>
      <c r="C4976" s="123">
        <v>10429441191</v>
      </c>
      <c r="D4976" s="126" t="s">
        <v>17781</v>
      </c>
      <c r="E4976" s="126" t="s">
        <v>17782</v>
      </c>
      <c r="F4976" s="123" t="s">
        <v>30</v>
      </c>
      <c r="G4976" s="123" t="s">
        <v>30</v>
      </c>
      <c r="H4976" s="123" t="s">
        <v>51</v>
      </c>
      <c r="I4976" s="126" t="s">
        <v>1953</v>
      </c>
      <c r="J4976" s="123" t="s">
        <v>17783</v>
      </c>
      <c r="K4976" s="123" t="s">
        <v>17781</v>
      </c>
      <c r="L4976" s="131" t="s">
        <v>100</v>
      </c>
      <c r="M4976" s="135" t="s">
        <v>845</v>
      </c>
      <c r="N4976" s="123" t="s">
        <v>845</v>
      </c>
    </row>
    <row r="4977" spans="2:14" hidden="1" x14ac:dyDescent="0.25">
      <c r="B4977" s="120">
        <v>4974</v>
      </c>
      <c r="C4977" s="123">
        <v>10094790196</v>
      </c>
      <c r="D4977" s="126" t="s">
        <v>17784</v>
      </c>
      <c r="E4977" s="126" t="s">
        <v>17785</v>
      </c>
      <c r="F4977" s="123" t="s">
        <v>30</v>
      </c>
      <c r="G4977" s="123" t="s">
        <v>30</v>
      </c>
      <c r="H4977" s="123" t="s">
        <v>30</v>
      </c>
      <c r="I4977" s="126" t="s">
        <v>1930</v>
      </c>
      <c r="J4977" s="123" t="s">
        <v>17786</v>
      </c>
      <c r="K4977" s="123" t="s">
        <v>17784</v>
      </c>
      <c r="L4977" s="131" t="s">
        <v>100</v>
      </c>
      <c r="M4977" s="135" t="s">
        <v>845</v>
      </c>
      <c r="N4977" s="123" t="s">
        <v>845</v>
      </c>
    </row>
    <row r="4978" spans="2:14" hidden="1" x14ac:dyDescent="0.25">
      <c r="B4978" s="120">
        <v>4975</v>
      </c>
      <c r="C4978" s="123">
        <v>10416780027</v>
      </c>
      <c r="D4978" s="126" t="s">
        <v>17787</v>
      </c>
      <c r="E4978" s="126" t="s">
        <v>17788</v>
      </c>
      <c r="F4978" s="123" t="s">
        <v>30</v>
      </c>
      <c r="G4978" s="123" t="s">
        <v>30</v>
      </c>
      <c r="H4978" s="123" t="s">
        <v>52</v>
      </c>
      <c r="I4978" s="126" t="s">
        <v>1706</v>
      </c>
      <c r="J4978" s="123" t="s">
        <v>17789</v>
      </c>
      <c r="K4978" s="123" t="s">
        <v>17790</v>
      </c>
      <c r="L4978" s="131" t="s">
        <v>100</v>
      </c>
      <c r="M4978" s="135" t="s">
        <v>845</v>
      </c>
      <c r="N4978" s="123" t="s">
        <v>845</v>
      </c>
    </row>
    <row r="4979" spans="2:14" hidden="1" x14ac:dyDescent="0.25">
      <c r="B4979" s="120">
        <v>4976</v>
      </c>
      <c r="C4979" s="123">
        <v>10467689181</v>
      </c>
      <c r="D4979" s="126" t="s">
        <v>17791</v>
      </c>
      <c r="E4979" s="126" t="s">
        <v>17792</v>
      </c>
      <c r="F4979" s="123" t="s">
        <v>30</v>
      </c>
      <c r="G4979" s="123" t="s">
        <v>54</v>
      </c>
      <c r="H4979" s="123" t="s">
        <v>54</v>
      </c>
      <c r="I4979" s="126" t="s">
        <v>1931</v>
      </c>
      <c r="J4979" s="123" t="s">
        <v>17793</v>
      </c>
      <c r="K4979" s="123" t="s">
        <v>17791</v>
      </c>
      <c r="L4979" s="131" t="s">
        <v>100</v>
      </c>
      <c r="M4979" s="135" t="s">
        <v>845</v>
      </c>
      <c r="N4979" s="123" t="s">
        <v>845</v>
      </c>
    </row>
    <row r="4980" spans="2:14" hidden="1" x14ac:dyDescent="0.25">
      <c r="B4980" s="120">
        <v>4977</v>
      </c>
      <c r="C4980" s="123">
        <v>10411322314</v>
      </c>
      <c r="D4980" s="126" t="s">
        <v>17794</v>
      </c>
      <c r="E4980" s="126" t="s">
        <v>17795</v>
      </c>
      <c r="F4980" s="123" t="s">
        <v>30</v>
      </c>
      <c r="G4980" s="123" t="s">
        <v>30</v>
      </c>
      <c r="H4980" s="123" t="s">
        <v>51</v>
      </c>
      <c r="I4980" s="126" t="s">
        <v>1551</v>
      </c>
      <c r="J4980" s="123" t="s">
        <v>17796</v>
      </c>
      <c r="K4980" s="123" t="s">
        <v>17794</v>
      </c>
      <c r="L4980" s="131" t="s">
        <v>100</v>
      </c>
      <c r="M4980" s="135" t="s">
        <v>845</v>
      </c>
      <c r="N4980" s="123" t="s">
        <v>845</v>
      </c>
    </row>
    <row r="4981" spans="2:14" hidden="1" x14ac:dyDescent="0.25">
      <c r="B4981" s="120">
        <v>4978</v>
      </c>
      <c r="C4981" s="123">
        <v>10427462507</v>
      </c>
      <c r="D4981" s="126" t="s">
        <v>17797</v>
      </c>
      <c r="E4981" s="126" t="s">
        <v>17798</v>
      </c>
      <c r="F4981" s="123" t="s">
        <v>30</v>
      </c>
      <c r="G4981" s="123" t="s">
        <v>30</v>
      </c>
      <c r="H4981" s="123" t="s">
        <v>43</v>
      </c>
      <c r="I4981" s="126" t="s">
        <v>1952</v>
      </c>
      <c r="J4981" s="123" t="s">
        <v>17799</v>
      </c>
      <c r="K4981" s="123" t="s">
        <v>17800</v>
      </c>
      <c r="L4981" s="131" t="s">
        <v>100</v>
      </c>
      <c r="M4981" s="135" t="s">
        <v>845</v>
      </c>
      <c r="N4981" s="123" t="s">
        <v>845</v>
      </c>
    </row>
    <row r="4982" spans="2:14" hidden="1" x14ac:dyDescent="0.25">
      <c r="B4982" s="120">
        <v>4979</v>
      </c>
      <c r="C4982" s="123">
        <v>10454805432</v>
      </c>
      <c r="D4982" s="126" t="s">
        <v>17801</v>
      </c>
      <c r="E4982" s="126" t="s">
        <v>17802</v>
      </c>
      <c r="F4982" s="123" t="s">
        <v>30</v>
      </c>
      <c r="G4982" s="123" t="s">
        <v>30</v>
      </c>
      <c r="H4982" s="123" t="s">
        <v>58</v>
      </c>
      <c r="I4982" s="126" t="s">
        <v>1701</v>
      </c>
      <c r="J4982" s="123" t="s">
        <v>17803</v>
      </c>
      <c r="K4982" s="123" t="s">
        <v>17801</v>
      </c>
      <c r="L4982" s="131" t="s">
        <v>100</v>
      </c>
      <c r="M4982" s="135" t="s">
        <v>845</v>
      </c>
      <c r="N4982" s="123" t="s">
        <v>845</v>
      </c>
    </row>
    <row r="4983" spans="2:14" hidden="1" x14ac:dyDescent="0.25">
      <c r="B4983" s="120">
        <v>4980</v>
      </c>
      <c r="C4983" s="123">
        <v>10106947606</v>
      </c>
      <c r="D4983" s="126" t="s">
        <v>17804</v>
      </c>
      <c r="E4983" s="126" t="s">
        <v>17805</v>
      </c>
      <c r="F4983" s="123" t="s">
        <v>30</v>
      </c>
      <c r="G4983" s="123" t="s">
        <v>30</v>
      </c>
      <c r="H4983" s="123" t="s">
        <v>72</v>
      </c>
      <c r="I4983" s="126" t="s">
        <v>2460</v>
      </c>
      <c r="J4983" s="123" t="s">
        <v>17806</v>
      </c>
      <c r="K4983" s="123" t="s">
        <v>17804</v>
      </c>
      <c r="L4983" s="131" t="s">
        <v>100</v>
      </c>
      <c r="M4983" s="135" t="s">
        <v>845</v>
      </c>
      <c r="N4983" s="123" t="s">
        <v>845</v>
      </c>
    </row>
    <row r="4984" spans="2:14" hidden="1" x14ac:dyDescent="0.25">
      <c r="B4984" s="120">
        <v>4981</v>
      </c>
      <c r="C4984" s="123">
        <v>10256600221</v>
      </c>
      <c r="D4984" s="126" t="s">
        <v>17807</v>
      </c>
      <c r="E4984" s="126" t="s">
        <v>17808</v>
      </c>
      <c r="F4984" s="123" t="s">
        <v>30</v>
      </c>
      <c r="G4984" s="123" t="s">
        <v>30</v>
      </c>
      <c r="H4984" s="123" t="s">
        <v>64</v>
      </c>
      <c r="I4984" s="126" t="s">
        <v>1564</v>
      </c>
      <c r="J4984" s="123" t="s">
        <v>17809</v>
      </c>
      <c r="K4984" s="123" t="s">
        <v>17807</v>
      </c>
      <c r="L4984" s="131" t="s">
        <v>100</v>
      </c>
      <c r="M4984" s="135" t="s">
        <v>845</v>
      </c>
      <c r="N4984" s="123" t="s">
        <v>845</v>
      </c>
    </row>
    <row r="4985" spans="2:14" hidden="1" x14ac:dyDescent="0.25">
      <c r="B4985" s="120">
        <v>4982</v>
      </c>
      <c r="C4985" s="123">
        <v>10460191560</v>
      </c>
      <c r="D4985" s="126" t="s">
        <v>17810</v>
      </c>
      <c r="E4985" s="126" t="s">
        <v>17811</v>
      </c>
      <c r="F4985" s="123" t="s">
        <v>30</v>
      </c>
      <c r="G4985" s="123" t="s">
        <v>30</v>
      </c>
      <c r="H4985" s="123" t="s">
        <v>88</v>
      </c>
      <c r="I4985" s="126" t="s">
        <v>1931</v>
      </c>
      <c r="J4985" s="123" t="s">
        <v>17812</v>
      </c>
      <c r="K4985" s="123" t="s">
        <v>17810</v>
      </c>
      <c r="L4985" s="131" t="s">
        <v>100</v>
      </c>
      <c r="M4985" s="135" t="s">
        <v>845</v>
      </c>
      <c r="N4985" s="123" t="s">
        <v>845</v>
      </c>
    </row>
    <row r="4986" spans="2:14" hidden="1" x14ac:dyDescent="0.25">
      <c r="B4986" s="120">
        <v>4983</v>
      </c>
      <c r="C4986" s="123">
        <v>10085194408</v>
      </c>
      <c r="D4986" s="126" t="s">
        <v>17813</v>
      </c>
      <c r="E4986" s="126" t="s">
        <v>17814</v>
      </c>
      <c r="F4986" s="123" t="s">
        <v>30</v>
      </c>
      <c r="G4986" s="123" t="s">
        <v>30</v>
      </c>
      <c r="H4986" s="123" t="s">
        <v>45</v>
      </c>
      <c r="I4986" s="126" t="s">
        <v>1943</v>
      </c>
      <c r="J4986" s="123" t="s">
        <v>17815</v>
      </c>
      <c r="K4986" s="123" t="s">
        <v>17816</v>
      </c>
      <c r="L4986" s="131" t="s">
        <v>100</v>
      </c>
      <c r="M4986" s="135" t="s">
        <v>845</v>
      </c>
      <c r="N4986" s="123" t="s">
        <v>845</v>
      </c>
    </row>
    <row r="4987" spans="2:14" hidden="1" x14ac:dyDescent="0.25">
      <c r="B4987" s="120">
        <v>4984</v>
      </c>
      <c r="C4987" s="123">
        <v>10101823852</v>
      </c>
      <c r="D4987" s="126" t="s">
        <v>17817</v>
      </c>
      <c r="E4987" s="126" t="s">
        <v>17818</v>
      </c>
      <c r="F4987" s="123" t="s">
        <v>30</v>
      </c>
      <c r="G4987" s="123" t="s">
        <v>30</v>
      </c>
      <c r="H4987" s="123" t="s">
        <v>60</v>
      </c>
      <c r="I4987" s="126" t="s">
        <v>1701</v>
      </c>
      <c r="J4987" s="123" t="s">
        <v>17819</v>
      </c>
      <c r="K4987" s="123" t="s">
        <v>17817</v>
      </c>
      <c r="L4987" s="131" t="s">
        <v>100</v>
      </c>
      <c r="M4987" s="135" t="s">
        <v>845</v>
      </c>
      <c r="N4987" s="123" t="s">
        <v>845</v>
      </c>
    </row>
    <row r="4988" spans="2:14" hidden="1" x14ac:dyDescent="0.25">
      <c r="B4988" s="120">
        <v>4985</v>
      </c>
      <c r="C4988" s="123">
        <v>10476461541</v>
      </c>
      <c r="D4988" s="126" t="s">
        <v>17820</v>
      </c>
      <c r="E4988" s="126" t="s">
        <v>17821</v>
      </c>
      <c r="F4988" s="123" t="s">
        <v>30</v>
      </c>
      <c r="G4988" s="123" t="s">
        <v>168</v>
      </c>
      <c r="H4988" s="123" t="s">
        <v>168</v>
      </c>
      <c r="I4988" s="126" t="s">
        <v>1424</v>
      </c>
      <c r="J4988" s="123" t="s">
        <v>17822</v>
      </c>
      <c r="K4988" s="123" t="s">
        <v>17823</v>
      </c>
      <c r="L4988" s="131" t="s">
        <v>100</v>
      </c>
      <c r="M4988" s="135" t="s">
        <v>845</v>
      </c>
      <c r="N4988" s="123" t="s">
        <v>845</v>
      </c>
    </row>
    <row r="4989" spans="2:14" hidden="1" x14ac:dyDescent="0.25">
      <c r="B4989" s="120">
        <v>4986</v>
      </c>
      <c r="C4989" s="123">
        <v>10487350929</v>
      </c>
      <c r="D4989" s="126" t="s">
        <v>17824</v>
      </c>
      <c r="E4989" s="126" t="s">
        <v>17825</v>
      </c>
      <c r="F4989" s="123" t="s">
        <v>30</v>
      </c>
      <c r="G4989" s="123" t="s">
        <v>168</v>
      </c>
      <c r="H4989" s="123" t="s">
        <v>168</v>
      </c>
      <c r="I4989" s="126" t="s">
        <v>1439</v>
      </c>
      <c r="J4989" s="123" t="s">
        <v>17826</v>
      </c>
      <c r="K4989" s="123" t="s">
        <v>17824</v>
      </c>
      <c r="L4989" s="131" t="s">
        <v>100</v>
      </c>
      <c r="M4989" s="135" t="s">
        <v>845</v>
      </c>
      <c r="N4989" s="123" t="s">
        <v>845</v>
      </c>
    </row>
    <row r="4990" spans="2:14" hidden="1" x14ac:dyDescent="0.25">
      <c r="B4990" s="120">
        <v>4987</v>
      </c>
      <c r="C4990" s="123">
        <v>10751473376</v>
      </c>
      <c r="D4990" s="126" t="s">
        <v>17827</v>
      </c>
      <c r="E4990" s="126" t="s">
        <v>17828</v>
      </c>
      <c r="F4990" s="123" t="s">
        <v>30</v>
      </c>
      <c r="G4990" s="123" t="s">
        <v>54</v>
      </c>
      <c r="H4990" s="123" t="s">
        <v>55</v>
      </c>
      <c r="I4990" s="126" t="s">
        <v>1441</v>
      </c>
      <c r="J4990" s="123" t="s">
        <v>17829</v>
      </c>
      <c r="K4990" s="123" t="s">
        <v>17827</v>
      </c>
      <c r="L4990" s="131" t="s">
        <v>100</v>
      </c>
      <c r="M4990" s="135" t="s">
        <v>845</v>
      </c>
      <c r="N4990" s="123" t="s">
        <v>845</v>
      </c>
    </row>
    <row r="4991" spans="2:14" hidden="1" x14ac:dyDescent="0.25">
      <c r="B4991" s="120">
        <v>4988</v>
      </c>
      <c r="C4991" s="123">
        <v>10805529925</v>
      </c>
      <c r="D4991" s="126" t="s">
        <v>17830</v>
      </c>
      <c r="E4991" s="126" t="s">
        <v>17831</v>
      </c>
      <c r="F4991" s="123" t="s">
        <v>30</v>
      </c>
      <c r="G4991" s="123" t="s">
        <v>30</v>
      </c>
      <c r="H4991" s="123" t="s">
        <v>72</v>
      </c>
      <c r="I4991" s="126" t="s">
        <v>11931</v>
      </c>
      <c r="J4991" s="123" t="s">
        <v>17832</v>
      </c>
      <c r="K4991" s="123" t="s">
        <v>17833</v>
      </c>
      <c r="L4991" s="131" t="s">
        <v>100</v>
      </c>
      <c r="M4991" s="135" t="s">
        <v>845</v>
      </c>
      <c r="N4991" s="123" t="s">
        <v>845</v>
      </c>
    </row>
    <row r="4992" spans="2:14" hidden="1" x14ac:dyDescent="0.25">
      <c r="B4992" s="120">
        <v>4989</v>
      </c>
      <c r="C4992" s="123">
        <v>10094051938</v>
      </c>
      <c r="D4992" s="126" t="s">
        <v>17834</v>
      </c>
      <c r="E4992" s="126" t="s">
        <v>17835</v>
      </c>
      <c r="F4992" s="123" t="s">
        <v>30</v>
      </c>
      <c r="G4992" s="123" t="s">
        <v>30</v>
      </c>
      <c r="H4992" s="123" t="s">
        <v>68</v>
      </c>
      <c r="I4992" s="126" t="s">
        <v>1963</v>
      </c>
      <c r="J4992" s="123" t="s">
        <v>17836</v>
      </c>
      <c r="K4992" s="123" t="s">
        <v>17834</v>
      </c>
      <c r="L4992" s="131" t="s">
        <v>100</v>
      </c>
      <c r="M4992" s="135" t="s">
        <v>845</v>
      </c>
      <c r="N4992" s="123" t="s">
        <v>845</v>
      </c>
    </row>
    <row r="4993" spans="2:14" hidden="1" x14ac:dyDescent="0.25">
      <c r="B4993" s="120">
        <v>4990</v>
      </c>
      <c r="C4993" s="123">
        <v>10107790379</v>
      </c>
      <c r="D4993" s="126" t="s">
        <v>17837</v>
      </c>
      <c r="E4993" s="126" t="s">
        <v>17838</v>
      </c>
      <c r="F4993" s="123" t="s">
        <v>30</v>
      </c>
      <c r="G4993" s="123" t="s">
        <v>30</v>
      </c>
      <c r="H4993" s="123" t="s">
        <v>75</v>
      </c>
      <c r="I4993" s="126" t="s">
        <v>1950</v>
      </c>
      <c r="J4993" s="123" t="s">
        <v>17839</v>
      </c>
      <c r="K4993" s="123" t="s">
        <v>17837</v>
      </c>
      <c r="L4993" s="131" t="s">
        <v>100</v>
      </c>
      <c r="M4993" s="135" t="s">
        <v>845</v>
      </c>
      <c r="N4993" s="123" t="s">
        <v>845</v>
      </c>
    </row>
    <row r="4994" spans="2:14" hidden="1" x14ac:dyDescent="0.25">
      <c r="B4994" s="120">
        <v>4991</v>
      </c>
      <c r="C4994" s="123">
        <v>10101989769</v>
      </c>
      <c r="D4994" s="126" t="s">
        <v>17840</v>
      </c>
      <c r="E4994" s="126" t="s">
        <v>17841</v>
      </c>
      <c r="F4994" s="123" t="s">
        <v>30</v>
      </c>
      <c r="G4994" s="123" t="s">
        <v>30</v>
      </c>
      <c r="H4994" s="123" t="s">
        <v>45</v>
      </c>
      <c r="I4994" s="126" t="s">
        <v>9340</v>
      </c>
      <c r="J4994" s="123" t="s">
        <v>17842</v>
      </c>
      <c r="K4994" s="123" t="s">
        <v>17840</v>
      </c>
      <c r="L4994" s="131" t="s">
        <v>100</v>
      </c>
      <c r="M4994" s="135" t="s">
        <v>845</v>
      </c>
      <c r="N4994" s="123" t="s">
        <v>845</v>
      </c>
    </row>
    <row r="4995" spans="2:14" hidden="1" x14ac:dyDescent="0.25">
      <c r="B4995" s="120">
        <v>4992</v>
      </c>
      <c r="C4995" s="123">
        <v>10478338487</v>
      </c>
      <c r="D4995" s="126" t="s">
        <v>17843</v>
      </c>
      <c r="E4995" s="126" t="s">
        <v>17844</v>
      </c>
      <c r="F4995" s="123" t="s">
        <v>30</v>
      </c>
      <c r="G4995" s="123" t="s">
        <v>30</v>
      </c>
      <c r="H4995" s="123" t="s">
        <v>60</v>
      </c>
      <c r="I4995" s="126" t="s">
        <v>101</v>
      </c>
      <c r="J4995" s="123" t="s">
        <v>17845</v>
      </c>
      <c r="K4995" s="123" t="s">
        <v>17843</v>
      </c>
      <c r="L4995" s="131" t="s">
        <v>100</v>
      </c>
      <c r="M4995" s="135" t="s">
        <v>845</v>
      </c>
      <c r="N4995" s="123" t="s">
        <v>845</v>
      </c>
    </row>
    <row r="4996" spans="2:14" hidden="1" x14ac:dyDescent="0.25">
      <c r="B4996" s="120">
        <v>4993</v>
      </c>
      <c r="C4996" s="123">
        <v>10475524778</v>
      </c>
      <c r="D4996" s="126" t="s">
        <v>17846</v>
      </c>
      <c r="E4996" s="126" t="s">
        <v>17847</v>
      </c>
      <c r="F4996" s="123" t="s">
        <v>30</v>
      </c>
      <c r="G4996" s="123" t="s">
        <v>30</v>
      </c>
      <c r="H4996" s="123" t="s">
        <v>47</v>
      </c>
      <c r="I4996" s="126" t="s">
        <v>1948</v>
      </c>
      <c r="J4996" s="123" t="s">
        <v>17848</v>
      </c>
      <c r="K4996" s="123" t="s">
        <v>17846</v>
      </c>
      <c r="L4996" s="131" t="s">
        <v>100</v>
      </c>
      <c r="M4996" s="135" t="s">
        <v>845</v>
      </c>
      <c r="N4996" s="123" t="s">
        <v>845</v>
      </c>
    </row>
    <row r="4997" spans="2:14" hidden="1" x14ac:dyDescent="0.25">
      <c r="B4997" s="120">
        <v>4994</v>
      </c>
      <c r="C4997" s="123">
        <v>10064861030</v>
      </c>
      <c r="D4997" s="126" t="s">
        <v>17849</v>
      </c>
      <c r="E4997" s="126" t="s">
        <v>17850</v>
      </c>
      <c r="F4997" s="123" t="s">
        <v>30</v>
      </c>
      <c r="G4997" s="123" t="s">
        <v>30</v>
      </c>
      <c r="H4997" s="123" t="s">
        <v>65</v>
      </c>
      <c r="I4997" s="126" t="s">
        <v>10025</v>
      </c>
      <c r="J4997" s="123" t="s">
        <v>17851</v>
      </c>
      <c r="K4997" s="123" t="s">
        <v>17852</v>
      </c>
      <c r="L4997" s="131" t="s">
        <v>100</v>
      </c>
      <c r="M4997" s="135" t="s">
        <v>845</v>
      </c>
      <c r="N4997" s="123" t="s">
        <v>845</v>
      </c>
    </row>
    <row r="4998" spans="2:14" hidden="1" x14ac:dyDescent="0.25">
      <c r="B4998" s="120">
        <v>4995</v>
      </c>
      <c r="C4998" s="123">
        <v>10090616809</v>
      </c>
      <c r="D4998" s="126" t="s">
        <v>17853</v>
      </c>
      <c r="E4998" s="126" t="s">
        <v>17854</v>
      </c>
      <c r="F4998" s="123" t="s">
        <v>30</v>
      </c>
      <c r="G4998" s="123" t="s">
        <v>30</v>
      </c>
      <c r="H4998" s="123" t="s">
        <v>51</v>
      </c>
      <c r="I4998" s="126" t="s">
        <v>1737</v>
      </c>
      <c r="J4998" s="123" t="s">
        <v>17855</v>
      </c>
      <c r="K4998" s="123" t="s">
        <v>17853</v>
      </c>
      <c r="L4998" s="131" t="s">
        <v>100</v>
      </c>
      <c r="M4998" s="135" t="s">
        <v>845</v>
      </c>
      <c r="N4998" s="123" t="s">
        <v>845</v>
      </c>
    </row>
    <row r="4999" spans="2:14" hidden="1" x14ac:dyDescent="0.25">
      <c r="B4999" s="120">
        <v>4996</v>
      </c>
      <c r="C4999" s="123">
        <v>10457076296</v>
      </c>
      <c r="D4999" s="126" t="s">
        <v>17856</v>
      </c>
      <c r="E4999" s="126" t="s">
        <v>17857</v>
      </c>
      <c r="F4999" s="123" t="s">
        <v>30</v>
      </c>
      <c r="G4999" s="123" t="s">
        <v>30</v>
      </c>
      <c r="H4999" s="123" t="s">
        <v>30</v>
      </c>
      <c r="I4999" s="126" t="s">
        <v>1930</v>
      </c>
      <c r="J4999" s="123" t="s">
        <v>17858</v>
      </c>
      <c r="K4999" s="123" t="s">
        <v>17856</v>
      </c>
      <c r="L4999" s="131" t="s">
        <v>100</v>
      </c>
      <c r="M4999" s="135" t="s">
        <v>845</v>
      </c>
      <c r="N4999" s="123" t="s">
        <v>845</v>
      </c>
    </row>
    <row r="5000" spans="2:14" hidden="1" x14ac:dyDescent="0.25">
      <c r="B5000" s="120">
        <v>4997</v>
      </c>
      <c r="C5000" s="123">
        <v>10763642408</v>
      </c>
      <c r="D5000" s="126" t="s">
        <v>17859</v>
      </c>
      <c r="E5000" s="126" t="s">
        <v>17860</v>
      </c>
      <c r="F5000" s="123" t="s">
        <v>30</v>
      </c>
      <c r="G5000" s="123" t="s">
        <v>30</v>
      </c>
      <c r="H5000" s="123" t="s">
        <v>51</v>
      </c>
      <c r="I5000" s="126" t="s">
        <v>1949</v>
      </c>
      <c r="J5000" s="123" t="s">
        <v>17861</v>
      </c>
      <c r="K5000" s="123" t="s">
        <v>17859</v>
      </c>
      <c r="L5000" s="131" t="s">
        <v>100</v>
      </c>
      <c r="M5000" s="135" t="s">
        <v>845</v>
      </c>
      <c r="N5000" s="123" t="s">
        <v>845</v>
      </c>
    </row>
    <row r="5001" spans="2:14" hidden="1" x14ac:dyDescent="0.25">
      <c r="B5001" s="120">
        <v>4998</v>
      </c>
      <c r="C5001" s="123">
        <v>10069251892</v>
      </c>
      <c r="D5001" s="126" t="s">
        <v>17862</v>
      </c>
      <c r="E5001" s="126" t="s">
        <v>17863</v>
      </c>
      <c r="F5001" s="123" t="s">
        <v>30</v>
      </c>
      <c r="G5001" s="123" t="s">
        <v>30</v>
      </c>
      <c r="H5001" s="123" t="s">
        <v>50</v>
      </c>
      <c r="I5001" s="126" t="s">
        <v>17864</v>
      </c>
      <c r="J5001" s="123" t="s">
        <v>17865</v>
      </c>
      <c r="K5001" s="123" t="s">
        <v>17862</v>
      </c>
      <c r="L5001" s="131" t="s">
        <v>100</v>
      </c>
      <c r="M5001" s="135" t="s">
        <v>845</v>
      </c>
      <c r="N5001" s="123" t="s">
        <v>845</v>
      </c>
    </row>
    <row r="5002" spans="2:14" hidden="1" x14ac:dyDescent="0.25">
      <c r="B5002" s="120">
        <v>4999</v>
      </c>
      <c r="C5002" s="123">
        <v>10801334241</v>
      </c>
      <c r="D5002" s="126" t="s">
        <v>17866</v>
      </c>
      <c r="E5002" s="126" t="s">
        <v>17867</v>
      </c>
      <c r="F5002" s="123" t="s">
        <v>30</v>
      </c>
      <c r="G5002" s="123" t="s">
        <v>30</v>
      </c>
      <c r="H5002" s="123" t="s">
        <v>43</v>
      </c>
      <c r="I5002" s="126" t="s">
        <v>1365</v>
      </c>
      <c r="J5002" s="123" t="s">
        <v>17868</v>
      </c>
      <c r="K5002" s="123" t="s">
        <v>17866</v>
      </c>
      <c r="L5002" s="131" t="s">
        <v>100</v>
      </c>
      <c r="M5002" s="135" t="s">
        <v>845</v>
      </c>
      <c r="N5002" s="123" t="s">
        <v>845</v>
      </c>
    </row>
    <row r="5003" spans="2:14" hidden="1" x14ac:dyDescent="0.25">
      <c r="B5003" s="120">
        <v>5000</v>
      </c>
      <c r="C5003" s="123">
        <v>10413124871</v>
      </c>
      <c r="D5003" s="126" t="s">
        <v>17869</v>
      </c>
      <c r="E5003" s="126" t="s">
        <v>17870</v>
      </c>
      <c r="F5003" s="123" t="s">
        <v>30</v>
      </c>
      <c r="G5003" s="123" t="s">
        <v>30</v>
      </c>
      <c r="H5003" s="123" t="s">
        <v>72</v>
      </c>
      <c r="I5003" s="126" t="s">
        <v>1962</v>
      </c>
      <c r="J5003" s="123" t="s">
        <v>17871</v>
      </c>
      <c r="K5003" s="123" t="s">
        <v>17869</v>
      </c>
      <c r="L5003" s="131" t="s">
        <v>100</v>
      </c>
      <c r="M5003" s="135" t="s">
        <v>845</v>
      </c>
      <c r="N5003" s="123" t="s">
        <v>845</v>
      </c>
    </row>
    <row r="5004" spans="2:14" hidden="1" x14ac:dyDescent="0.25">
      <c r="B5004" s="120">
        <v>5001</v>
      </c>
      <c r="C5004" s="123">
        <v>10096846989</v>
      </c>
      <c r="D5004" s="126" t="s">
        <v>17872</v>
      </c>
      <c r="E5004" s="126" t="s">
        <v>17873</v>
      </c>
      <c r="F5004" s="123" t="s">
        <v>30</v>
      </c>
      <c r="G5004" s="123" t="s">
        <v>30</v>
      </c>
      <c r="H5004" s="123" t="s">
        <v>88</v>
      </c>
      <c r="I5004" s="126" t="s">
        <v>1551</v>
      </c>
      <c r="J5004" s="123" t="s">
        <v>17874</v>
      </c>
      <c r="K5004" s="123" t="s">
        <v>17872</v>
      </c>
      <c r="L5004" s="131" t="s">
        <v>100</v>
      </c>
      <c r="M5004" s="135" t="s">
        <v>845</v>
      </c>
      <c r="N5004" s="123" t="s">
        <v>845</v>
      </c>
    </row>
    <row r="5005" spans="2:14" hidden="1" x14ac:dyDescent="0.25">
      <c r="B5005" s="120">
        <v>5002</v>
      </c>
      <c r="C5005" s="123">
        <v>10094746979</v>
      </c>
      <c r="D5005" s="126" t="s">
        <v>17875</v>
      </c>
      <c r="E5005" s="126" t="s">
        <v>17876</v>
      </c>
      <c r="F5005" s="123" t="s">
        <v>30</v>
      </c>
      <c r="G5005" s="123" t="s">
        <v>30</v>
      </c>
      <c r="H5005" s="123" t="s">
        <v>72</v>
      </c>
      <c r="I5005" s="126" t="s">
        <v>1701</v>
      </c>
      <c r="J5005" s="123" t="s">
        <v>17877</v>
      </c>
      <c r="K5005" s="123" t="s">
        <v>17875</v>
      </c>
      <c r="L5005" s="131" t="s">
        <v>100</v>
      </c>
      <c r="M5005" s="135" t="s">
        <v>845</v>
      </c>
      <c r="N5005" s="123" t="s">
        <v>845</v>
      </c>
    </row>
    <row r="5006" spans="2:14" hidden="1" x14ac:dyDescent="0.25">
      <c r="B5006" s="120">
        <v>5003</v>
      </c>
      <c r="C5006" s="123">
        <v>10200041190</v>
      </c>
      <c r="D5006" s="126" t="s">
        <v>17878</v>
      </c>
      <c r="E5006" s="126" t="s">
        <v>17879</v>
      </c>
      <c r="F5006" s="123" t="s">
        <v>30</v>
      </c>
      <c r="G5006" s="123" t="s">
        <v>30</v>
      </c>
      <c r="H5006" s="123" t="s">
        <v>88</v>
      </c>
      <c r="I5006" s="126" t="s">
        <v>1930</v>
      </c>
      <c r="J5006" s="123" t="s">
        <v>17880</v>
      </c>
      <c r="K5006" s="123" t="s">
        <v>17878</v>
      </c>
      <c r="L5006" s="131" t="s">
        <v>100</v>
      </c>
      <c r="M5006" s="135" t="s">
        <v>845</v>
      </c>
      <c r="N5006" s="123" t="s">
        <v>845</v>
      </c>
    </row>
    <row r="5007" spans="2:14" hidden="1" x14ac:dyDescent="0.25">
      <c r="B5007" s="120">
        <v>5004</v>
      </c>
      <c r="C5007" s="123">
        <v>10733356494</v>
      </c>
      <c r="D5007" s="126" t="s">
        <v>17881</v>
      </c>
      <c r="E5007" s="126" t="s">
        <v>17882</v>
      </c>
      <c r="F5007" s="123" t="s">
        <v>67</v>
      </c>
      <c r="G5007" s="123" t="s">
        <v>67</v>
      </c>
      <c r="H5007" s="123" t="s">
        <v>67</v>
      </c>
      <c r="I5007" s="126" t="s">
        <v>1424</v>
      </c>
      <c r="J5007" s="123" t="s">
        <v>17883</v>
      </c>
      <c r="K5007" s="123" t="s">
        <v>17881</v>
      </c>
      <c r="L5007" s="131" t="s">
        <v>100</v>
      </c>
      <c r="M5007" s="135" t="s">
        <v>845</v>
      </c>
      <c r="N5007" s="123" t="s">
        <v>845</v>
      </c>
    </row>
    <row r="5008" spans="2:14" hidden="1" x14ac:dyDescent="0.25">
      <c r="B5008" s="120">
        <v>5005</v>
      </c>
      <c r="C5008" s="123">
        <v>10079936885</v>
      </c>
      <c r="D5008" s="126" t="s">
        <v>17884</v>
      </c>
      <c r="E5008" s="126" t="s">
        <v>17885</v>
      </c>
      <c r="F5008" s="123" t="s">
        <v>30</v>
      </c>
      <c r="G5008" s="123" t="s">
        <v>30</v>
      </c>
      <c r="H5008" s="123" t="s">
        <v>75</v>
      </c>
      <c r="I5008" s="126" t="s">
        <v>83</v>
      </c>
      <c r="J5008" s="123" t="s">
        <v>17886</v>
      </c>
      <c r="K5008" s="123" t="s">
        <v>17887</v>
      </c>
      <c r="L5008" s="131" t="s">
        <v>100</v>
      </c>
      <c r="M5008" s="135" t="s">
        <v>845</v>
      </c>
      <c r="N5008" s="123" t="s">
        <v>845</v>
      </c>
    </row>
    <row r="5009" spans="2:14" hidden="1" x14ac:dyDescent="0.25">
      <c r="B5009" s="120">
        <v>5006</v>
      </c>
      <c r="C5009" s="123">
        <v>10762938273</v>
      </c>
      <c r="D5009" s="126" t="s">
        <v>17888</v>
      </c>
      <c r="E5009" s="126" t="s">
        <v>17889</v>
      </c>
      <c r="F5009" s="123" t="s">
        <v>30</v>
      </c>
      <c r="G5009" s="123" t="s">
        <v>30</v>
      </c>
      <c r="H5009" s="123" t="s">
        <v>110</v>
      </c>
      <c r="I5009" s="126" t="s">
        <v>258</v>
      </c>
      <c r="J5009" s="123" t="s">
        <v>17890</v>
      </c>
      <c r="K5009" s="123" t="s">
        <v>17891</v>
      </c>
      <c r="L5009" s="131" t="s">
        <v>100</v>
      </c>
      <c r="M5009" s="135" t="s">
        <v>845</v>
      </c>
      <c r="N5009" s="123" t="s">
        <v>845</v>
      </c>
    </row>
    <row r="5010" spans="2:14" hidden="1" x14ac:dyDescent="0.25">
      <c r="B5010" s="120">
        <v>5007</v>
      </c>
      <c r="C5010" s="123">
        <v>10456906856</v>
      </c>
      <c r="D5010" s="126" t="s">
        <v>17892</v>
      </c>
      <c r="E5010" s="126" t="s">
        <v>17893</v>
      </c>
      <c r="F5010" s="123" t="s">
        <v>30</v>
      </c>
      <c r="G5010" s="123" t="s">
        <v>30</v>
      </c>
      <c r="H5010" s="123" t="s">
        <v>88</v>
      </c>
      <c r="I5010" s="126" t="s">
        <v>1931</v>
      </c>
      <c r="J5010" s="123" t="s">
        <v>17894</v>
      </c>
      <c r="K5010" s="123" t="s">
        <v>17892</v>
      </c>
      <c r="L5010" s="131" t="s">
        <v>100</v>
      </c>
      <c r="M5010" s="135" t="s">
        <v>845</v>
      </c>
      <c r="N5010" s="123" t="s">
        <v>845</v>
      </c>
    </row>
    <row r="5011" spans="2:14" hidden="1" x14ac:dyDescent="0.25">
      <c r="B5011" s="120">
        <v>5008</v>
      </c>
      <c r="C5011" s="123">
        <v>10637396621</v>
      </c>
      <c r="D5011" s="126" t="s">
        <v>17895</v>
      </c>
      <c r="E5011" s="126" t="s">
        <v>17896</v>
      </c>
      <c r="F5011" s="123" t="s">
        <v>30</v>
      </c>
      <c r="G5011" s="123" t="s">
        <v>54</v>
      </c>
      <c r="H5011" s="123" t="s">
        <v>54</v>
      </c>
      <c r="I5011" s="126" t="s">
        <v>1950</v>
      </c>
      <c r="J5011" s="123" t="s">
        <v>17897</v>
      </c>
      <c r="K5011" s="123" t="s">
        <v>17895</v>
      </c>
      <c r="L5011" s="131" t="s">
        <v>100</v>
      </c>
      <c r="M5011" s="135" t="s">
        <v>845</v>
      </c>
      <c r="N5011" s="123" t="s">
        <v>845</v>
      </c>
    </row>
    <row r="5012" spans="2:14" hidden="1" x14ac:dyDescent="0.25">
      <c r="B5012" s="120">
        <v>5009</v>
      </c>
      <c r="C5012" s="123">
        <v>10402766374</v>
      </c>
      <c r="D5012" s="126" t="s">
        <v>17898</v>
      </c>
      <c r="E5012" s="126" t="s">
        <v>17899</v>
      </c>
      <c r="F5012" s="123" t="s">
        <v>30</v>
      </c>
      <c r="G5012" s="123" t="s">
        <v>30</v>
      </c>
      <c r="H5012" s="123" t="s">
        <v>41</v>
      </c>
      <c r="I5012" s="126" t="s">
        <v>1805</v>
      </c>
      <c r="J5012" s="123" t="s">
        <v>17900</v>
      </c>
      <c r="K5012" s="123" t="s">
        <v>17901</v>
      </c>
      <c r="L5012" s="131" t="s">
        <v>100</v>
      </c>
      <c r="M5012" s="135" t="s">
        <v>845</v>
      </c>
      <c r="N5012" s="123" t="s">
        <v>845</v>
      </c>
    </row>
    <row r="5013" spans="2:14" hidden="1" x14ac:dyDescent="0.25">
      <c r="B5013" s="120">
        <v>5010</v>
      </c>
      <c r="C5013" s="123">
        <v>10094752804</v>
      </c>
      <c r="D5013" s="126" t="s">
        <v>17902</v>
      </c>
      <c r="E5013" s="126" t="s">
        <v>17903</v>
      </c>
      <c r="F5013" s="123" t="s">
        <v>30</v>
      </c>
      <c r="G5013" s="123" t="s">
        <v>30</v>
      </c>
      <c r="H5013" s="123" t="s">
        <v>50</v>
      </c>
      <c r="I5013" s="126" t="s">
        <v>1701</v>
      </c>
      <c r="J5013" s="123" t="s">
        <v>17904</v>
      </c>
      <c r="K5013" s="123" t="s">
        <v>17902</v>
      </c>
      <c r="L5013" s="131" t="s">
        <v>100</v>
      </c>
      <c r="M5013" s="135" t="s">
        <v>845</v>
      </c>
      <c r="N5013" s="123" t="s">
        <v>845</v>
      </c>
    </row>
    <row r="5014" spans="2:14" hidden="1" x14ac:dyDescent="0.25">
      <c r="B5014" s="120">
        <v>5011</v>
      </c>
      <c r="C5014" s="123">
        <v>10772220061</v>
      </c>
      <c r="D5014" s="126" t="s">
        <v>17905</v>
      </c>
      <c r="E5014" s="126" t="s">
        <v>17906</v>
      </c>
      <c r="F5014" s="123" t="s">
        <v>30</v>
      </c>
      <c r="G5014" s="123" t="s">
        <v>30</v>
      </c>
      <c r="H5014" s="123" t="s">
        <v>72</v>
      </c>
      <c r="I5014" s="126" t="s">
        <v>11311</v>
      </c>
      <c r="J5014" s="123" t="s">
        <v>17907</v>
      </c>
      <c r="K5014" s="123" t="s">
        <v>17905</v>
      </c>
      <c r="L5014" s="131" t="s">
        <v>100</v>
      </c>
      <c r="M5014" s="135" t="s">
        <v>845</v>
      </c>
      <c r="N5014" s="123" t="s">
        <v>845</v>
      </c>
    </row>
    <row r="5015" spans="2:14" hidden="1" x14ac:dyDescent="0.25">
      <c r="B5015" s="120">
        <v>5012</v>
      </c>
      <c r="C5015" s="123">
        <v>10445137320</v>
      </c>
      <c r="D5015" s="126" t="s">
        <v>17908</v>
      </c>
      <c r="E5015" s="126" t="s">
        <v>17909</v>
      </c>
      <c r="F5015" s="123" t="s">
        <v>30</v>
      </c>
      <c r="G5015" s="123" t="s">
        <v>30</v>
      </c>
      <c r="H5015" s="123" t="s">
        <v>43</v>
      </c>
      <c r="I5015" s="126" t="s">
        <v>1931</v>
      </c>
      <c r="J5015" s="123" t="s">
        <v>17910</v>
      </c>
      <c r="K5015" s="123" t="s">
        <v>17911</v>
      </c>
      <c r="L5015" s="131" t="s">
        <v>100</v>
      </c>
      <c r="M5015" s="135" t="s">
        <v>845</v>
      </c>
      <c r="N5015" s="123" t="s">
        <v>845</v>
      </c>
    </row>
    <row r="5016" spans="2:14" hidden="1" x14ac:dyDescent="0.25">
      <c r="B5016" s="120">
        <v>5013</v>
      </c>
      <c r="C5016" s="123">
        <v>10748918731</v>
      </c>
      <c r="D5016" s="126" t="s">
        <v>17912</v>
      </c>
      <c r="E5016" s="126" t="s">
        <v>17913</v>
      </c>
      <c r="F5016" s="123" t="s">
        <v>30</v>
      </c>
      <c r="G5016" s="123" t="s">
        <v>30</v>
      </c>
      <c r="H5016" s="123" t="s">
        <v>72</v>
      </c>
      <c r="I5016" s="126" t="s">
        <v>1424</v>
      </c>
      <c r="J5016" s="123" t="s">
        <v>17914</v>
      </c>
      <c r="K5016" s="123" t="s">
        <v>17915</v>
      </c>
      <c r="L5016" s="131" t="s">
        <v>100</v>
      </c>
      <c r="M5016" s="135" t="s">
        <v>845</v>
      </c>
      <c r="N5016" s="123" t="s">
        <v>845</v>
      </c>
    </row>
    <row r="5017" spans="2:14" hidden="1" x14ac:dyDescent="0.25">
      <c r="B5017" s="120">
        <v>5014</v>
      </c>
      <c r="C5017" s="123">
        <v>10084011865</v>
      </c>
      <c r="D5017" s="126" t="s">
        <v>7550</v>
      </c>
      <c r="E5017" s="126" t="s">
        <v>7552</v>
      </c>
      <c r="F5017" s="123" t="s">
        <v>30</v>
      </c>
      <c r="G5017" s="123" t="s">
        <v>30</v>
      </c>
      <c r="H5017" s="123" t="s">
        <v>38</v>
      </c>
      <c r="I5017" s="126" t="s">
        <v>1365</v>
      </c>
      <c r="J5017" s="123" t="s">
        <v>7551</v>
      </c>
      <c r="K5017" s="123" t="s">
        <v>7550</v>
      </c>
      <c r="L5017" s="131" t="s">
        <v>100</v>
      </c>
      <c r="M5017" s="135" t="s">
        <v>845</v>
      </c>
      <c r="N5017" s="123" t="s">
        <v>845</v>
      </c>
    </row>
    <row r="5018" spans="2:14" hidden="1" x14ac:dyDescent="0.25">
      <c r="B5018" s="120">
        <v>5015</v>
      </c>
      <c r="C5018" s="123">
        <v>10065708774</v>
      </c>
      <c r="D5018" s="126" t="s">
        <v>17916</v>
      </c>
      <c r="E5018" s="126" t="s">
        <v>17917</v>
      </c>
      <c r="F5018" s="123" t="s">
        <v>30</v>
      </c>
      <c r="G5018" s="123" t="s">
        <v>30</v>
      </c>
      <c r="H5018" s="123" t="s">
        <v>72</v>
      </c>
      <c r="I5018" s="126" t="s">
        <v>1737</v>
      </c>
      <c r="J5018" s="123" t="s">
        <v>17918</v>
      </c>
      <c r="K5018" s="123" t="s">
        <v>17916</v>
      </c>
      <c r="L5018" s="131" t="s">
        <v>100</v>
      </c>
      <c r="M5018" s="135" t="s">
        <v>845</v>
      </c>
      <c r="N5018" s="123" t="s">
        <v>845</v>
      </c>
    </row>
    <row r="5019" spans="2:14" hidden="1" x14ac:dyDescent="0.25">
      <c r="B5019" s="120">
        <v>5016</v>
      </c>
      <c r="C5019" s="123">
        <v>10096376729</v>
      </c>
      <c r="D5019" s="126" t="s">
        <v>17919</v>
      </c>
      <c r="E5019" s="126" t="s">
        <v>17920</v>
      </c>
      <c r="F5019" s="123" t="s">
        <v>30</v>
      </c>
      <c r="G5019" s="123" t="s">
        <v>30</v>
      </c>
      <c r="H5019" s="123" t="s">
        <v>45</v>
      </c>
      <c r="I5019" s="126" t="s">
        <v>1930</v>
      </c>
      <c r="J5019" s="123" t="s">
        <v>17921</v>
      </c>
      <c r="K5019" s="123" t="s">
        <v>17922</v>
      </c>
      <c r="L5019" s="131" t="s">
        <v>100</v>
      </c>
      <c r="M5019" s="135" t="s">
        <v>845</v>
      </c>
      <c r="N5019" s="123" t="s">
        <v>845</v>
      </c>
    </row>
    <row r="5020" spans="2:14" hidden="1" x14ac:dyDescent="0.25">
      <c r="B5020" s="120">
        <v>5017</v>
      </c>
      <c r="C5020" s="123">
        <v>10281110573</v>
      </c>
      <c r="D5020" s="126" t="s">
        <v>17923</v>
      </c>
      <c r="E5020" s="126" t="s">
        <v>17924</v>
      </c>
      <c r="F5020" s="123" t="s">
        <v>30</v>
      </c>
      <c r="G5020" s="123" t="s">
        <v>30</v>
      </c>
      <c r="H5020" s="123" t="s">
        <v>75</v>
      </c>
      <c r="I5020" s="126" t="s">
        <v>1950</v>
      </c>
      <c r="J5020" s="123" t="s">
        <v>17925</v>
      </c>
      <c r="K5020" s="123" t="s">
        <v>17923</v>
      </c>
      <c r="L5020" s="131" t="s">
        <v>100</v>
      </c>
      <c r="M5020" s="135" t="s">
        <v>845</v>
      </c>
      <c r="N5020" s="123" t="s">
        <v>845</v>
      </c>
    </row>
    <row r="5021" spans="2:14" hidden="1" x14ac:dyDescent="0.25">
      <c r="B5021" s="120">
        <v>5018</v>
      </c>
      <c r="C5021" s="123">
        <v>10155813241</v>
      </c>
      <c r="D5021" s="126" t="s">
        <v>17926</v>
      </c>
      <c r="E5021" s="126" t="s">
        <v>17927</v>
      </c>
      <c r="F5021" s="123" t="s">
        <v>30</v>
      </c>
      <c r="G5021" s="123" t="s">
        <v>170</v>
      </c>
      <c r="H5021" s="123" t="s">
        <v>179</v>
      </c>
      <c r="I5021" s="126" t="s">
        <v>10025</v>
      </c>
      <c r="J5021" s="123" t="s">
        <v>17928</v>
      </c>
      <c r="K5021" s="123" t="s">
        <v>17926</v>
      </c>
      <c r="L5021" s="131" t="s">
        <v>100</v>
      </c>
      <c r="M5021" s="135" t="s">
        <v>845</v>
      </c>
      <c r="N5021" s="123" t="s">
        <v>845</v>
      </c>
    </row>
    <row r="5022" spans="2:14" hidden="1" x14ac:dyDescent="0.25">
      <c r="B5022" s="120">
        <v>5019</v>
      </c>
      <c r="C5022" s="123">
        <v>10704586219</v>
      </c>
      <c r="D5022" s="126" t="s">
        <v>17929</v>
      </c>
      <c r="E5022" s="126" t="s">
        <v>17930</v>
      </c>
      <c r="F5022" s="123" t="s">
        <v>30</v>
      </c>
      <c r="G5022" s="123" t="s">
        <v>30</v>
      </c>
      <c r="H5022" s="123" t="s">
        <v>110</v>
      </c>
      <c r="I5022" s="126" t="s">
        <v>1424</v>
      </c>
      <c r="J5022" s="123" t="s">
        <v>17931</v>
      </c>
      <c r="K5022" s="123" t="s">
        <v>17929</v>
      </c>
      <c r="L5022" s="131" t="s">
        <v>100</v>
      </c>
      <c r="M5022" s="135" t="s">
        <v>845</v>
      </c>
      <c r="N5022" s="123" t="s">
        <v>845</v>
      </c>
    </row>
    <row r="5023" spans="2:14" hidden="1" x14ac:dyDescent="0.25">
      <c r="B5023" s="120">
        <v>5020</v>
      </c>
      <c r="C5023" s="123">
        <v>10474311291</v>
      </c>
      <c r="D5023" s="126" t="s">
        <v>17932</v>
      </c>
      <c r="E5023" s="126" t="s">
        <v>17933</v>
      </c>
      <c r="F5023" s="123" t="s">
        <v>30</v>
      </c>
      <c r="G5023" s="123" t="s">
        <v>54</v>
      </c>
      <c r="H5023" s="123" t="s">
        <v>54</v>
      </c>
      <c r="I5023" s="126" t="s">
        <v>9769</v>
      </c>
      <c r="J5023" s="123" t="s">
        <v>17934</v>
      </c>
      <c r="K5023" s="123" t="s">
        <v>17935</v>
      </c>
      <c r="L5023" s="131" t="s">
        <v>100</v>
      </c>
      <c r="M5023" s="135" t="s">
        <v>845</v>
      </c>
      <c r="N5023" s="123" t="s">
        <v>845</v>
      </c>
    </row>
    <row r="5024" spans="2:14" hidden="1" x14ac:dyDescent="0.25">
      <c r="B5024" s="120">
        <v>5021</v>
      </c>
      <c r="C5024" s="123">
        <v>10104670666</v>
      </c>
      <c r="D5024" s="126" t="s">
        <v>17936</v>
      </c>
      <c r="E5024" s="126" t="s">
        <v>17937</v>
      </c>
      <c r="F5024" s="123" t="s">
        <v>30</v>
      </c>
      <c r="G5024" s="123" t="s">
        <v>30</v>
      </c>
      <c r="H5024" s="123" t="s">
        <v>152</v>
      </c>
      <c r="I5024" s="126" t="s">
        <v>1484</v>
      </c>
      <c r="J5024" s="123" t="s">
        <v>17938</v>
      </c>
      <c r="K5024" s="123" t="s">
        <v>17936</v>
      </c>
      <c r="L5024" s="131" t="s">
        <v>100</v>
      </c>
      <c r="M5024" s="135" t="s">
        <v>845</v>
      </c>
      <c r="N5024" s="123" t="s">
        <v>845</v>
      </c>
    </row>
    <row r="5025" spans="2:14" hidden="1" x14ac:dyDescent="0.25">
      <c r="B5025" s="120">
        <v>5022</v>
      </c>
      <c r="C5025" s="123">
        <v>10462316696</v>
      </c>
      <c r="D5025" s="126" t="s">
        <v>17939</v>
      </c>
      <c r="E5025" s="126" t="s">
        <v>17940</v>
      </c>
      <c r="F5025" s="123" t="s">
        <v>30</v>
      </c>
      <c r="G5025" s="123" t="s">
        <v>168</v>
      </c>
      <c r="H5025" s="123" t="s">
        <v>180</v>
      </c>
      <c r="I5025" s="126" t="s">
        <v>1701</v>
      </c>
      <c r="J5025" s="123" t="s">
        <v>17941</v>
      </c>
      <c r="K5025" s="123" t="s">
        <v>17939</v>
      </c>
      <c r="L5025" s="131" t="s">
        <v>100</v>
      </c>
      <c r="M5025" s="135" t="s">
        <v>845</v>
      </c>
      <c r="N5025" s="123" t="s">
        <v>845</v>
      </c>
    </row>
    <row r="5026" spans="2:14" hidden="1" x14ac:dyDescent="0.25">
      <c r="B5026" s="120">
        <v>5023</v>
      </c>
      <c r="C5026" s="123">
        <v>10753681634</v>
      </c>
      <c r="D5026" s="126" t="s">
        <v>17942</v>
      </c>
      <c r="E5026" s="126" t="s">
        <v>17943</v>
      </c>
      <c r="F5026" s="123" t="s">
        <v>30</v>
      </c>
      <c r="G5026" s="123" t="s">
        <v>30</v>
      </c>
      <c r="H5026" s="123" t="s">
        <v>45</v>
      </c>
      <c r="I5026" s="126" t="s">
        <v>1706</v>
      </c>
      <c r="J5026" s="123" t="s">
        <v>17944</v>
      </c>
      <c r="K5026" s="123" t="s">
        <v>17945</v>
      </c>
      <c r="L5026" s="131" t="s">
        <v>100</v>
      </c>
      <c r="M5026" s="135" t="s">
        <v>845</v>
      </c>
      <c r="N5026" s="123" t="s">
        <v>845</v>
      </c>
    </row>
    <row r="5027" spans="2:14" hidden="1" x14ac:dyDescent="0.25">
      <c r="B5027" s="120">
        <v>5024</v>
      </c>
      <c r="C5027" s="123">
        <v>10453958651</v>
      </c>
      <c r="D5027" s="126" t="s">
        <v>17946</v>
      </c>
      <c r="E5027" s="126" t="s">
        <v>17947</v>
      </c>
      <c r="F5027" s="123" t="s">
        <v>30</v>
      </c>
      <c r="G5027" s="123" t="s">
        <v>30</v>
      </c>
      <c r="H5027" s="123" t="s">
        <v>75</v>
      </c>
      <c r="I5027" s="126" t="s">
        <v>1701</v>
      </c>
      <c r="J5027" s="123" t="s">
        <v>17948</v>
      </c>
      <c r="K5027" s="123" t="s">
        <v>17946</v>
      </c>
      <c r="L5027" s="131" t="s">
        <v>100</v>
      </c>
      <c r="M5027" s="135" t="s">
        <v>845</v>
      </c>
      <c r="N5027" s="123" t="s">
        <v>845</v>
      </c>
    </row>
    <row r="5028" spans="2:14" hidden="1" x14ac:dyDescent="0.25">
      <c r="B5028" s="120">
        <v>5025</v>
      </c>
      <c r="C5028" s="123">
        <v>10470495265</v>
      </c>
      <c r="D5028" s="126" t="s">
        <v>17949</v>
      </c>
      <c r="E5028" s="126" t="s">
        <v>17950</v>
      </c>
      <c r="F5028" s="123" t="s">
        <v>30</v>
      </c>
      <c r="G5028" s="123" t="s">
        <v>30</v>
      </c>
      <c r="H5028" s="123" t="s">
        <v>72</v>
      </c>
      <c r="I5028" s="126" t="s">
        <v>1931</v>
      </c>
      <c r="J5028" s="123" t="s">
        <v>17951</v>
      </c>
      <c r="K5028" s="123" t="s">
        <v>17949</v>
      </c>
      <c r="L5028" s="131" t="s">
        <v>100</v>
      </c>
      <c r="M5028" s="135" t="s">
        <v>845</v>
      </c>
      <c r="N5028" s="123" t="s">
        <v>845</v>
      </c>
    </row>
    <row r="5029" spans="2:14" hidden="1" x14ac:dyDescent="0.25">
      <c r="B5029" s="120">
        <v>5026</v>
      </c>
      <c r="C5029" s="123">
        <v>10279934836</v>
      </c>
      <c r="D5029" s="126" t="s">
        <v>17952</v>
      </c>
      <c r="E5029" s="126" t="s">
        <v>17953</v>
      </c>
      <c r="F5029" s="123" t="s">
        <v>30</v>
      </c>
      <c r="G5029" s="123" t="s">
        <v>30</v>
      </c>
      <c r="H5029" s="123" t="s">
        <v>52</v>
      </c>
      <c r="I5029" s="126" t="s">
        <v>1701</v>
      </c>
      <c r="J5029" s="123" t="s">
        <v>17954</v>
      </c>
      <c r="K5029" s="123" t="s">
        <v>17952</v>
      </c>
      <c r="L5029" s="131" t="s">
        <v>100</v>
      </c>
      <c r="M5029" s="135" t="s">
        <v>845</v>
      </c>
      <c r="N5029" s="123" t="s">
        <v>845</v>
      </c>
    </row>
    <row r="5030" spans="2:14" hidden="1" x14ac:dyDescent="0.25">
      <c r="B5030" s="120">
        <v>5027</v>
      </c>
      <c r="C5030" s="123">
        <v>10212793651</v>
      </c>
      <c r="D5030" s="126" t="s">
        <v>17955</v>
      </c>
      <c r="E5030" s="126" t="s">
        <v>17956</v>
      </c>
      <c r="F5030" s="123" t="s">
        <v>93</v>
      </c>
      <c r="G5030" s="123" t="s">
        <v>17957</v>
      </c>
      <c r="H5030" s="123" t="s">
        <v>17958</v>
      </c>
      <c r="I5030" s="126" t="s">
        <v>1701</v>
      </c>
      <c r="J5030" s="123" t="s">
        <v>17959</v>
      </c>
      <c r="K5030" s="123" t="s">
        <v>17955</v>
      </c>
      <c r="L5030" s="131" t="s">
        <v>100</v>
      </c>
      <c r="M5030" s="135" t="s">
        <v>845</v>
      </c>
      <c r="N5030" s="123" t="s">
        <v>845</v>
      </c>
    </row>
    <row r="5031" spans="2:14" hidden="1" x14ac:dyDescent="0.25">
      <c r="B5031" s="120">
        <v>5028</v>
      </c>
      <c r="C5031" s="123">
        <v>10450534060</v>
      </c>
      <c r="D5031" s="126" t="s">
        <v>17960</v>
      </c>
      <c r="E5031" s="126" t="s">
        <v>17961</v>
      </c>
      <c r="F5031" s="123" t="s">
        <v>30</v>
      </c>
      <c r="G5031" s="123" t="s">
        <v>30</v>
      </c>
      <c r="H5031" s="123" t="s">
        <v>72</v>
      </c>
      <c r="I5031" s="126" t="s">
        <v>1970</v>
      </c>
      <c r="J5031" s="123" t="s">
        <v>17962</v>
      </c>
      <c r="K5031" s="123" t="s">
        <v>17963</v>
      </c>
      <c r="L5031" s="131" t="s">
        <v>100</v>
      </c>
      <c r="M5031" s="135" t="s">
        <v>845</v>
      </c>
      <c r="N5031" s="123" t="s">
        <v>845</v>
      </c>
    </row>
    <row r="5032" spans="2:14" hidden="1" x14ac:dyDescent="0.25">
      <c r="B5032" s="120">
        <v>5029</v>
      </c>
      <c r="C5032" s="123">
        <v>10255028427</v>
      </c>
      <c r="D5032" s="126" t="s">
        <v>17964</v>
      </c>
      <c r="E5032" s="126" t="s">
        <v>17965</v>
      </c>
      <c r="F5032" s="123" t="s">
        <v>30</v>
      </c>
      <c r="G5032" s="123" t="s">
        <v>30</v>
      </c>
      <c r="H5032" s="123" t="s">
        <v>30</v>
      </c>
      <c r="I5032" s="126" t="s">
        <v>1930</v>
      </c>
      <c r="J5032" s="123" t="s">
        <v>17966</v>
      </c>
      <c r="K5032" s="123" t="s">
        <v>17964</v>
      </c>
      <c r="L5032" s="131" t="s">
        <v>100</v>
      </c>
      <c r="M5032" s="135" t="s">
        <v>845</v>
      </c>
      <c r="N5032" s="123" t="s">
        <v>845</v>
      </c>
    </row>
    <row r="5033" spans="2:14" hidden="1" x14ac:dyDescent="0.25">
      <c r="B5033" s="120">
        <v>5030</v>
      </c>
      <c r="C5033" s="123">
        <v>10429042360</v>
      </c>
      <c r="D5033" s="126" t="s">
        <v>17967</v>
      </c>
      <c r="E5033" s="126" t="s">
        <v>17968</v>
      </c>
      <c r="F5033" s="123" t="s">
        <v>30</v>
      </c>
      <c r="G5033" s="123" t="s">
        <v>30</v>
      </c>
      <c r="H5033" s="123" t="s">
        <v>30</v>
      </c>
      <c r="I5033" s="126" t="s">
        <v>1930</v>
      </c>
      <c r="J5033" s="123" t="s">
        <v>17969</v>
      </c>
      <c r="K5033" s="123" t="s">
        <v>17970</v>
      </c>
      <c r="L5033" s="131" t="s">
        <v>100</v>
      </c>
      <c r="M5033" s="135" t="s">
        <v>845</v>
      </c>
      <c r="N5033" s="123" t="s">
        <v>845</v>
      </c>
    </row>
    <row r="5034" spans="2:14" hidden="1" x14ac:dyDescent="0.25">
      <c r="B5034" s="120">
        <v>5031</v>
      </c>
      <c r="C5034" s="123">
        <v>10478182851</v>
      </c>
      <c r="D5034" s="126" t="s">
        <v>17971</v>
      </c>
      <c r="E5034" s="126" t="s">
        <v>17972</v>
      </c>
      <c r="F5034" s="123" t="s">
        <v>30</v>
      </c>
      <c r="G5034" s="123" t="s">
        <v>168</v>
      </c>
      <c r="H5034" s="123" t="s">
        <v>180</v>
      </c>
      <c r="I5034" s="126" t="s">
        <v>1931</v>
      </c>
      <c r="J5034" s="123" t="s">
        <v>17973</v>
      </c>
      <c r="K5034" s="123" t="s">
        <v>17971</v>
      </c>
      <c r="L5034" s="131" t="s">
        <v>100</v>
      </c>
      <c r="M5034" s="135" t="s">
        <v>845</v>
      </c>
      <c r="N5034" s="123" t="s">
        <v>845</v>
      </c>
    </row>
    <row r="5035" spans="2:14" hidden="1" x14ac:dyDescent="0.25">
      <c r="B5035" s="120">
        <v>5032</v>
      </c>
      <c r="C5035" s="123">
        <v>10487850760</v>
      </c>
      <c r="D5035" s="126" t="s">
        <v>17974</v>
      </c>
      <c r="E5035" s="126" t="s">
        <v>17975</v>
      </c>
      <c r="F5035" s="123" t="s">
        <v>30</v>
      </c>
      <c r="G5035" s="123" t="s">
        <v>30</v>
      </c>
      <c r="H5035" s="123" t="s">
        <v>152</v>
      </c>
      <c r="I5035" s="126" t="s">
        <v>1930</v>
      </c>
      <c r="J5035" s="123" t="s">
        <v>17976</v>
      </c>
      <c r="K5035" s="123" t="s">
        <v>17977</v>
      </c>
      <c r="L5035" s="131" t="s">
        <v>100</v>
      </c>
      <c r="M5035" s="135" t="s">
        <v>845</v>
      </c>
      <c r="N5035" s="123" t="s">
        <v>845</v>
      </c>
    </row>
    <row r="5036" spans="2:14" hidden="1" x14ac:dyDescent="0.25">
      <c r="B5036" s="120">
        <v>5033</v>
      </c>
      <c r="C5036" s="123">
        <v>10096287254</v>
      </c>
      <c r="D5036" s="126" t="s">
        <v>17978</v>
      </c>
      <c r="E5036" s="126" t="s">
        <v>17979</v>
      </c>
      <c r="F5036" s="123" t="s">
        <v>30</v>
      </c>
      <c r="G5036" s="123" t="s">
        <v>30</v>
      </c>
      <c r="H5036" s="123" t="s">
        <v>45</v>
      </c>
      <c r="I5036" s="126" t="s">
        <v>8884</v>
      </c>
      <c r="J5036" s="123" t="s">
        <v>17980</v>
      </c>
      <c r="K5036" s="123" t="s">
        <v>17978</v>
      </c>
      <c r="L5036" s="131" t="s">
        <v>100</v>
      </c>
      <c r="M5036" s="135" t="s">
        <v>845</v>
      </c>
      <c r="N5036" s="123" t="s">
        <v>845</v>
      </c>
    </row>
    <row r="5037" spans="2:14" hidden="1" x14ac:dyDescent="0.25">
      <c r="B5037" s="120">
        <v>5034</v>
      </c>
      <c r="C5037" s="123">
        <v>10085900817</v>
      </c>
      <c r="D5037" s="126" t="s">
        <v>17981</v>
      </c>
      <c r="E5037" s="126" t="s">
        <v>17982</v>
      </c>
      <c r="F5037" s="123" t="s">
        <v>30</v>
      </c>
      <c r="G5037" s="123" t="s">
        <v>30</v>
      </c>
      <c r="H5037" s="123" t="s">
        <v>30</v>
      </c>
      <c r="I5037" s="126" t="s">
        <v>1450</v>
      </c>
      <c r="J5037" s="123" t="s">
        <v>17983</v>
      </c>
      <c r="K5037" s="123" t="s">
        <v>17984</v>
      </c>
      <c r="L5037" s="131" t="s">
        <v>100</v>
      </c>
      <c r="M5037" s="135" t="s">
        <v>845</v>
      </c>
      <c r="N5037" s="123" t="s">
        <v>845</v>
      </c>
    </row>
    <row r="5038" spans="2:14" hidden="1" x14ac:dyDescent="0.25">
      <c r="B5038" s="120">
        <v>5035</v>
      </c>
      <c r="C5038" s="123">
        <v>10107438853</v>
      </c>
      <c r="D5038" s="126" t="s">
        <v>17985</v>
      </c>
      <c r="E5038" s="126" t="s">
        <v>17986</v>
      </c>
      <c r="F5038" s="123" t="s">
        <v>30</v>
      </c>
      <c r="G5038" s="123" t="s">
        <v>30</v>
      </c>
      <c r="H5038" s="123" t="s">
        <v>50</v>
      </c>
      <c r="I5038" s="126" t="s">
        <v>8897</v>
      </c>
      <c r="J5038" s="123" t="s">
        <v>17987</v>
      </c>
      <c r="K5038" s="123" t="s">
        <v>17985</v>
      </c>
      <c r="L5038" s="131" t="s">
        <v>100</v>
      </c>
      <c r="M5038" s="135" t="s">
        <v>845</v>
      </c>
      <c r="N5038" s="123" t="s">
        <v>845</v>
      </c>
    </row>
    <row r="5039" spans="2:14" hidden="1" x14ac:dyDescent="0.25">
      <c r="B5039" s="120">
        <v>5036</v>
      </c>
      <c r="C5039" s="123">
        <v>10476135121</v>
      </c>
      <c r="D5039" s="126" t="s">
        <v>17988</v>
      </c>
      <c r="E5039" s="126" t="s">
        <v>17989</v>
      </c>
      <c r="F5039" s="123" t="s">
        <v>30</v>
      </c>
      <c r="G5039" s="123" t="s">
        <v>30</v>
      </c>
      <c r="H5039" s="123" t="s">
        <v>60</v>
      </c>
      <c r="I5039" s="126" t="s">
        <v>101</v>
      </c>
      <c r="J5039" s="123" t="s">
        <v>17990</v>
      </c>
      <c r="K5039" s="123" t="s">
        <v>17988</v>
      </c>
      <c r="L5039" s="131" t="s">
        <v>100</v>
      </c>
      <c r="M5039" s="135" t="s">
        <v>845</v>
      </c>
      <c r="N5039" s="123" t="s">
        <v>845</v>
      </c>
    </row>
    <row r="5040" spans="2:14" hidden="1" x14ac:dyDescent="0.25">
      <c r="B5040" s="120">
        <v>5037</v>
      </c>
      <c r="C5040" s="123">
        <v>10402333567</v>
      </c>
      <c r="D5040" s="126" t="s">
        <v>17991</v>
      </c>
      <c r="E5040" s="126" t="s">
        <v>17992</v>
      </c>
      <c r="F5040" s="123" t="s">
        <v>30</v>
      </c>
      <c r="G5040" s="123" t="s">
        <v>30</v>
      </c>
      <c r="H5040" s="123" t="s">
        <v>68</v>
      </c>
      <c r="I5040" s="126" t="s">
        <v>87</v>
      </c>
      <c r="J5040" s="123" t="s">
        <v>17993</v>
      </c>
      <c r="K5040" s="123" t="s">
        <v>17991</v>
      </c>
      <c r="L5040" s="131" t="s">
        <v>100</v>
      </c>
      <c r="M5040" s="135" t="s">
        <v>845</v>
      </c>
      <c r="N5040" s="123" t="s">
        <v>845</v>
      </c>
    </row>
    <row r="5041" spans="2:14" hidden="1" x14ac:dyDescent="0.25">
      <c r="B5041" s="120">
        <v>5038</v>
      </c>
      <c r="C5041" s="123">
        <v>10103903420</v>
      </c>
      <c r="D5041" s="126" t="s">
        <v>17994</v>
      </c>
      <c r="E5041" s="126" t="s">
        <v>17995</v>
      </c>
      <c r="F5041" s="123" t="s">
        <v>30</v>
      </c>
      <c r="G5041" s="123" t="s">
        <v>30</v>
      </c>
      <c r="H5041" s="123" t="s">
        <v>45</v>
      </c>
      <c r="I5041" s="126" t="s">
        <v>1950</v>
      </c>
      <c r="J5041" s="123" t="s">
        <v>17996</v>
      </c>
      <c r="K5041" s="123" t="s">
        <v>17994</v>
      </c>
      <c r="L5041" s="131" t="s">
        <v>100</v>
      </c>
      <c r="M5041" s="135" t="s">
        <v>845</v>
      </c>
      <c r="N5041" s="123" t="s">
        <v>845</v>
      </c>
    </row>
    <row r="5042" spans="2:14" hidden="1" x14ac:dyDescent="0.25">
      <c r="B5042" s="120">
        <v>5039</v>
      </c>
      <c r="C5042" s="123">
        <v>10771655390</v>
      </c>
      <c r="D5042" s="126" t="s">
        <v>17997</v>
      </c>
      <c r="E5042" s="126" t="s">
        <v>17998</v>
      </c>
      <c r="F5042" s="123" t="s">
        <v>30</v>
      </c>
      <c r="G5042" s="123" t="s">
        <v>30</v>
      </c>
      <c r="H5042" s="123" t="s">
        <v>127</v>
      </c>
      <c r="I5042" s="126" t="s">
        <v>1964</v>
      </c>
      <c r="J5042" s="123" t="s">
        <v>17999</v>
      </c>
      <c r="K5042" s="123" t="s">
        <v>17997</v>
      </c>
      <c r="L5042" s="131" t="s">
        <v>100</v>
      </c>
      <c r="M5042" s="135" t="s">
        <v>845</v>
      </c>
      <c r="N5042" s="123" t="s">
        <v>845</v>
      </c>
    </row>
    <row r="5043" spans="2:14" hidden="1" x14ac:dyDescent="0.25">
      <c r="B5043" s="120">
        <v>5040</v>
      </c>
      <c r="C5043" s="123">
        <v>10082566487</v>
      </c>
      <c r="D5043" s="126" t="s">
        <v>18000</v>
      </c>
      <c r="E5043" s="126" t="s">
        <v>18001</v>
      </c>
      <c r="F5043" s="123" t="s">
        <v>30</v>
      </c>
      <c r="G5043" s="123" t="s">
        <v>30</v>
      </c>
      <c r="H5043" s="123" t="s">
        <v>68</v>
      </c>
      <c r="I5043" s="126" t="s">
        <v>18002</v>
      </c>
      <c r="J5043" s="123" t="s">
        <v>18003</v>
      </c>
      <c r="K5043" s="123" t="s">
        <v>18000</v>
      </c>
      <c r="L5043" s="131" t="s">
        <v>100</v>
      </c>
      <c r="M5043" s="135" t="s">
        <v>845</v>
      </c>
      <c r="N5043" s="123" t="s">
        <v>845</v>
      </c>
    </row>
    <row r="5044" spans="2:14" hidden="1" x14ac:dyDescent="0.25">
      <c r="B5044" s="120">
        <v>5041</v>
      </c>
      <c r="C5044" s="123">
        <v>10157002690</v>
      </c>
      <c r="D5044" s="126" t="s">
        <v>18004</v>
      </c>
      <c r="E5044" s="126" t="s">
        <v>18005</v>
      </c>
      <c r="F5044" s="123" t="s">
        <v>30</v>
      </c>
      <c r="G5044" s="123" t="s">
        <v>170</v>
      </c>
      <c r="H5044" s="123" t="s">
        <v>176</v>
      </c>
      <c r="I5044" s="126" t="s">
        <v>1969</v>
      </c>
      <c r="J5044" s="123" t="s">
        <v>18006</v>
      </c>
      <c r="K5044" s="123" t="s">
        <v>18004</v>
      </c>
      <c r="L5044" s="131" t="s">
        <v>100</v>
      </c>
      <c r="M5044" s="135" t="s">
        <v>845</v>
      </c>
      <c r="N5044" s="123" t="s">
        <v>845</v>
      </c>
    </row>
    <row r="5045" spans="2:14" hidden="1" x14ac:dyDescent="0.25">
      <c r="B5045" s="120">
        <v>5042</v>
      </c>
      <c r="C5045" s="123">
        <v>10402382444</v>
      </c>
      <c r="D5045" s="126" t="s">
        <v>18007</v>
      </c>
      <c r="E5045" s="126" t="s">
        <v>18008</v>
      </c>
      <c r="F5045" s="123" t="s">
        <v>30</v>
      </c>
      <c r="G5045" s="123" t="s">
        <v>170</v>
      </c>
      <c r="H5045" s="123" t="s">
        <v>171</v>
      </c>
      <c r="I5045" s="126" t="s">
        <v>1441</v>
      </c>
      <c r="J5045" s="123" t="s">
        <v>18009</v>
      </c>
      <c r="K5045" s="123" t="s">
        <v>18007</v>
      </c>
      <c r="L5045" s="131" t="s">
        <v>100</v>
      </c>
      <c r="M5045" s="135" t="s">
        <v>845</v>
      </c>
      <c r="N5045" s="123" t="s">
        <v>845</v>
      </c>
    </row>
    <row r="5046" spans="2:14" hidden="1" x14ac:dyDescent="0.25">
      <c r="B5046" s="120">
        <v>5043</v>
      </c>
      <c r="C5046" s="123">
        <v>10156434138</v>
      </c>
      <c r="D5046" s="126" t="s">
        <v>18010</v>
      </c>
      <c r="E5046" s="126" t="s">
        <v>18011</v>
      </c>
      <c r="F5046" s="123" t="s">
        <v>30</v>
      </c>
      <c r="G5046" s="123" t="s">
        <v>170</v>
      </c>
      <c r="H5046" s="123" t="s">
        <v>174</v>
      </c>
      <c r="I5046" s="126" t="s">
        <v>8743</v>
      </c>
      <c r="J5046" s="123" t="s">
        <v>18012</v>
      </c>
      <c r="K5046" s="123" t="s">
        <v>18010</v>
      </c>
      <c r="L5046" s="131" t="s">
        <v>100</v>
      </c>
      <c r="M5046" s="135" t="s">
        <v>845</v>
      </c>
      <c r="N5046" s="123" t="s">
        <v>845</v>
      </c>
    </row>
    <row r="5047" spans="2:14" hidden="1" x14ac:dyDescent="0.25">
      <c r="B5047" s="120">
        <v>5044</v>
      </c>
      <c r="C5047" s="123">
        <v>10095599511</v>
      </c>
      <c r="D5047" s="126" t="s">
        <v>18013</v>
      </c>
      <c r="E5047" s="126" t="s">
        <v>18014</v>
      </c>
      <c r="F5047" s="123" t="s">
        <v>30</v>
      </c>
      <c r="G5047" s="123" t="s">
        <v>30</v>
      </c>
      <c r="H5047" s="123" t="s">
        <v>43</v>
      </c>
      <c r="I5047" s="126" t="s">
        <v>18015</v>
      </c>
      <c r="J5047" s="123" t="s">
        <v>18016</v>
      </c>
      <c r="K5047" s="123" t="s">
        <v>18013</v>
      </c>
      <c r="L5047" s="131" t="s">
        <v>100</v>
      </c>
      <c r="M5047" s="135" t="s">
        <v>845</v>
      </c>
      <c r="N5047" s="123" t="s">
        <v>845</v>
      </c>
    </row>
    <row r="5048" spans="2:14" hidden="1" x14ac:dyDescent="0.25">
      <c r="B5048" s="120">
        <v>5045</v>
      </c>
      <c r="C5048" s="123">
        <v>10445518099</v>
      </c>
      <c r="D5048" s="126" t="s">
        <v>18017</v>
      </c>
      <c r="E5048" s="126" t="s">
        <v>18018</v>
      </c>
      <c r="F5048" s="123" t="s">
        <v>30</v>
      </c>
      <c r="G5048" s="123" t="s">
        <v>30</v>
      </c>
      <c r="H5048" s="123" t="s">
        <v>45</v>
      </c>
      <c r="I5048" s="126" t="s">
        <v>1935</v>
      </c>
      <c r="J5048" s="123" t="s">
        <v>18019</v>
      </c>
      <c r="K5048" s="123" t="s">
        <v>18020</v>
      </c>
      <c r="L5048" s="131" t="s">
        <v>100</v>
      </c>
      <c r="M5048" s="135" t="s">
        <v>845</v>
      </c>
      <c r="N5048" s="123" t="s">
        <v>845</v>
      </c>
    </row>
    <row r="5049" spans="2:14" hidden="1" x14ac:dyDescent="0.25">
      <c r="B5049" s="120">
        <v>5046</v>
      </c>
      <c r="C5049" s="123">
        <v>10710103025</v>
      </c>
      <c r="D5049" s="126" t="s">
        <v>18021</v>
      </c>
      <c r="E5049" s="126" t="s">
        <v>18022</v>
      </c>
      <c r="F5049" s="123" t="s">
        <v>30</v>
      </c>
      <c r="G5049" s="123" t="s">
        <v>30</v>
      </c>
      <c r="H5049" s="123" t="s">
        <v>30</v>
      </c>
      <c r="I5049" s="126" t="s">
        <v>1551</v>
      </c>
      <c r="J5049" s="123" t="s">
        <v>18023</v>
      </c>
      <c r="K5049" s="123" t="s">
        <v>18021</v>
      </c>
      <c r="L5049" s="131" t="s">
        <v>100</v>
      </c>
      <c r="M5049" s="135" t="s">
        <v>845</v>
      </c>
      <c r="N5049" s="123" t="s">
        <v>845</v>
      </c>
    </row>
    <row r="5050" spans="2:14" hidden="1" x14ac:dyDescent="0.25">
      <c r="B5050" s="120">
        <v>5047</v>
      </c>
      <c r="C5050" s="123">
        <v>10460662759</v>
      </c>
      <c r="D5050" s="126" t="s">
        <v>18024</v>
      </c>
      <c r="E5050" s="126" t="s">
        <v>18025</v>
      </c>
      <c r="F5050" s="123" t="s">
        <v>30</v>
      </c>
      <c r="G5050" s="123" t="s">
        <v>181</v>
      </c>
      <c r="H5050" s="123" t="s">
        <v>181</v>
      </c>
      <c r="I5050" s="126" t="s">
        <v>8743</v>
      </c>
      <c r="J5050" s="123" t="s">
        <v>18026</v>
      </c>
      <c r="K5050" s="123" t="s">
        <v>18024</v>
      </c>
      <c r="L5050" s="131" t="s">
        <v>100</v>
      </c>
      <c r="M5050" s="135" t="s">
        <v>845</v>
      </c>
      <c r="N5050" s="123" t="s">
        <v>845</v>
      </c>
    </row>
    <row r="5051" spans="2:14" hidden="1" x14ac:dyDescent="0.25">
      <c r="B5051" s="120">
        <v>5048</v>
      </c>
      <c r="C5051" s="123">
        <v>10153580265</v>
      </c>
      <c r="D5051" s="126" t="s">
        <v>18027</v>
      </c>
      <c r="E5051" s="126" t="s">
        <v>18028</v>
      </c>
      <c r="F5051" s="123" t="s">
        <v>30</v>
      </c>
      <c r="G5051" s="123" t="s">
        <v>31</v>
      </c>
      <c r="H5051" s="123" t="s">
        <v>9381</v>
      </c>
      <c r="I5051" s="126" t="s">
        <v>1936</v>
      </c>
      <c r="J5051" s="123" t="s">
        <v>18029</v>
      </c>
      <c r="K5051" s="123" t="s">
        <v>18027</v>
      </c>
      <c r="L5051" s="131" t="s">
        <v>100</v>
      </c>
      <c r="M5051" s="135" t="s">
        <v>845</v>
      </c>
      <c r="N5051" s="123" t="s">
        <v>845</v>
      </c>
    </row>
    <row r="5052" spans="2:14" hidden="1" x14ac:dyDescent="0.25">
      <c r="B5052" s="120">
        <v>5049</v>
      </c>
      <c r="C5052" s="123">
        <v>10466858795</v>
      </c>
      <c r="D5052" s="126" t="s">
        <v>18030</v>
      </c>
      <c r="E5052" s="126" t="s">
        <v>18031</v>
      </c>
      <c r="F5052" s="123" t="s">
        <v>30</v>
      </c>
      <c r="G5052" s="123" t="s">
        <v>31</v>
      </c>
      <c r="H5052" s="123" t="s">
        <v>9381</v>
      </c>
      <c r="I5052" s="126" t="s">
        <v>1424</v>
      </c>
      <c r="J5052" s="123" t="s">
        <v>18032</v>
      </c>
      <c r="K5052" s="123" t="s">
        <v>18030</v>
      </c>
      <c r="L5052" s="131" t="s">
        <v>100</v>
      </c>
      <c r="M5052" s="135" t="s">
        <v>845</v>
      </c>
      <c r="N5052" s="123" t="s">
        <v>845</v>
      </c>
    </row>
    <row r="5053" spans="2:14" hidden="1" x14ac:dyDescent="0.25">
      <c r="B5053" s="120">
        <v>5050</v>
      </c>
      <c r="C5053" s="123">
        <v>10408686623</v>
      </c>
      <c r="D5053" s="126" t="s">
        <v>18033</v>
      </c>
      <c r="E5053" s="126" t="s">
        <v>18034</v>
      </c>
      <c r="F5053" s="123" t="s">
        <v>30</v>
      </c>
      <c r="G5053" s="123" t="s">
        <v>30</v>
      </c>
      <c r="H5053" s="123" t="s">
        <v>75</v>
      </c>
      <c r="I5053" s="126" t="s">
        <v>1939</v>
      </c>
      <c r="J5053" s="123" t="s">
        <v>18035</v>
      </c>
      <c r="K5053" s="123" t="s">
        <v>18033</v>
      </c>
      <c r="L5053" s="131" t="s">
        <v>100</v>
      </c>
      <c r="M5053" s="135" t="s">
        <v>845</v>
      </c>
      <c r="N5053" s="123" t="s">
        <v>845</v>
      </c>
    </row>
    <row r="5054" spans="2:14" hidden="1" x14ac:dyDescent="0.25">
      <c r="B5054" s="120">
        <v>5051</v>
      </c>
      <c r="C5054" s="123">
        <v>10481592386</v>
      </c>
      <c r="D5054" s="126" t="s">
        <v>18036</v>
      </c>
      <c r="E5054" s="126" t="s">
        <v>18037</v>
      </c>
      <c r="F5054" s="123" t="s">
        <v>67</v>
      </c>
      <c r="G5054" s="123" t="s">
        <v>67</v>
      </c>
      <c r="H5054" s="123" t="s">
        <v>94</v>
      </c>
      <c r="I5054" s="126" t="s">
        <v>1561</v>
      </c>
      <c r="J5054" s="123" t="s">
        <v>18038</v>
      </c>
      <c r="K5054" s="123" t="s">
        <v>18039</v>
      </c>
      <c r="L5054" s="131" t="s">
        <v>100</v>
      </c>
      <c r="M5054" s="135" t="s">
        <v>845</v>
      </c>
      <c r="N5054" s="123" t="s">
        <v>845</v>
      </c>
    </row>
    <row r="5055" spans="2:14" hidden="1" x14ac:dyDescent="0.25">
      <c r="B5055" s="120">
        <v>5052</v>
      </c>
      <c r="C5055" s="123">
        <v>10759204641</v>
      </c>
      <c r="D5055" s="126" t="s">
        <v>18040</v>
      </c>
      <c r="E5055" s="126" t="s">
        <v>18041</v>
      </c>
      <c r="F5055" s="123" t="s">
        <v>30</v>
      </c>
      <c r="G5055" s="123" t="s">
        <v>30</v>
      </c>
      <c r="H5055" s="123" t="s">
        <v>75</v>
      </c>
      <c r="I5055" s="126" t="s">
        <v>1930</v>
      </c>
      <c r="J5055" s="123" t="s">
        <v>18042</v>
      </c>
      <c r="K5055" s="123" t="s">
        <v>18043</v>
      </c>
      <c r="L5055" s="131" t="s">
        <v>100</v>
      </c>
      <c r="M5055" s="135" t="s">
        <v>845</v>
      </c>
      <c r="N5055" s="123" t="s">
        <v>845</v>
      </c>
    </row>
    <row r="5056" spans="2:14" hidden="1" x14ac:dyDescent="0.25">
      <c r="B5056" s="120">
        <v>5053</v>
      </c>
      <c r="C5056" s="123">
        <v>10405425829</v>
      </c>
      <c r="D5056" s="126" t="s">
        <v>18044</v>
      </c>
      <c r="E5056" s="126" t="s">
        <v>18045</v>
      </c>
      <c r="F5056" s="123" t="s">
        <v>30</v>
      </c>
      <c r="G5056" s="123" t="s">
        <v>30</v>
      </c>
      <c r="H5056" s="123" t="s">
        <v>72</v>
      </c>
      <c r="I5056" s="126" t="s">
        <v>8743</v>
      </c>
      <c r="J5056" s="123" t="s">
        <v>18046</v>
      </c>
      <c r="K5056" s="123" t="s">
        <v>18044</v>
      </c>
      <c r="L5056" s="131" t="s">
        <v>100</v>
      </c>
      <c r="M5056" s="135" t="s">
        <v>845</v>
      </c>
      <c r="N5056" s="123" t="s">
        <v>845</v>
      </c>
    </row>
    <row r="5057" spans="2:14" hidden="1" x14ac:dyDescent="0.25">
      <c r="B5057" s="120">
        <v>5054</v>
      </c>
      <c r="C5057" s="123">
        <v>10417824371</v>
      </c>
      <c r="D5057" s="126" t="s">
        <v>18047</v>
      </c>
      <c r="E5057" s="126" t="s">
        <v>18048</v>
      </c>
      <c r="F5057" s="123" t="s">
        <v>30</v>
      </c>
      <c r="G5057" s="123" t="s">
        <v>30</v>
      </c>
      <c r="H5057" s="123" t="s">
        <v>58</v>
      </c>
      <c r="I5057" s="126" t="s">
        <v>1931</v>
      </c>
      <c r="J5057" s="123" t="s">
        <v>18049</v>
      </c>
      <c r="K5057" s="123" t="s">
        <v>18047</v>
      </c>
      <c r="L5057" s="131" t="s">
        <v>100</v>
      </c>
      <c r="M5057" s="135" t="s">
        <v>845</v>
      </c>
      <c r="N5057" s="123" t="s">
        <v>845</v>
      </c>
    </row>
    <row r="5058" spans="2:14" hidden="1" x14ac:dyDescent="0.25">
      <c r="B5058" s="120">
        <v>5055</v>
      </c>
      <c r="C5058" s="123">
        <v>10106745400</v>
      </c>
      <c r="D5058" s="126" t="s">
        <v>18050</v>
      </c>
      <c r="E5058" s="126" t="s">
        <v>18051</v>
      </c>
      <c r="F5058" s="123" t="s">
        <v>30</v>
      </c>
      <c r="G5058" s="123" t="s">
        <v>30</v>
      </c>
      <c r="H5058" s="123" t="s">
        <v>72</v>
      </c>
      <c r="I5058" s="126" t="s">
        <v>1963</v>
      </c>
      <c r="J5058" s="123" t="s">
        <v>18052</v>
      </c>
      <c r="K5058" s="123" t="s">
        <v>18050</v>
      </c>
      <c r="L5058" s="131" t="s">
        <v>100</v>
      </c>
      <c r="M5058" s="135" t="s">
        <v>845</v>
      </c>
      <c r="N5058" s="123" t="s">
        <v>845</v>
      </c>
    </row>
    <row r="5059" spans="2:14" hidden="1" x14ac:dyDescent="0.25">
      <c r="B5059" s="120">
        <v>5056</v>
      </c>
      <c r="C5059" s="123">
        <v>10739820443</v>
      </c>
      <c r="D5059" s="126" t="s">
        <v>18053</v>
      </c>
      <c r="E5059" s="126" t="s">
        <v>18054</v>
      </c>
      <c r="F5059" s="123" t="s">
        <v>30</v>
      </c>
      <c r="G5059" s="123" t="s">
        <v>30</v>
      </c>
      <c r="H5059" s="123" t="s">
        <v>50</v>
      </c>
      <c r="I5059" s="126" t="s">
        <v>1940</v>
      </c>
      <c r="J5059" s="123" t="s">
        <v>18055</v>
      </c>
      <c r="K5059" s="123" t="s">
        <v>18053</v>
      </c>
      <c r="L5059" s="131" t="s">
        <v>100</v>
      </c>
      <c r="M5059" s="135" t="s">
        <v>845</v>
      </c>
      <c r="N5059" s="123" t="s">
        <v>845</v>
      </c>
    </row>
    <row r="5060" spans="2:14" hidden="1" x14ac:dyDescent="0.25">
      <c r="B5060" s="120">
        <v>5057</v>
      </c>
      <c r="C5060" s="123">
        <v>10092057904</v>
      </c>
      <c r="D5060" s="126" t="s">
        <v>18056</v>
      </c>
      <c r="E5060" s="126" t="s">
        <v>18057</v>
      </c>
      <c r="F5060" s="123" t="s">
        <v>30</v>
      </c>
      <c r="G5060" s="123" t="s">
        <v>30</v>
      </c>
      <c r="H5060" s="123" t="s">
        <v>75</v>
      </c>
      <c r="I5060" s="126" t="s">
        <v>1706</v>
      </c>
      <c r="J5060" s="123" t="s">
        <v>18058</v>
      </c>
      <c r="K5060" s="123" t="s">
        <v>18059</v>
      </c>
      <c r="L5060" s="131" t="s">
        <v>100</v>
      </c>
      <c r="M5060" s="135" t="s">
        <v>845</v>
      </c>
      <c r="N5060" s="123" t="s">
        <v>845</v>
      </c>
    </row>
    <row r="5061" spans="2:14" hidden="1" x14ac:dyDescent="0.25">
      <c r="B5061" s="120">
        <v>5058</v>
      </c>
      <c r="C5061" s="123">
        <v>10407698181</v>
      </c>
      <c r="D5061" s="126" t="s">
        <v>18060</v>
      </c>
      <c r="E5061" s="126" t="s">
        <v>18061</v>
      </c>
      <c r="F5061" s="123" t="s">
        <v>30</v>
      </c>
      <c r="G5061" s="123" t="s">
        <v>168</v>
      </c>
      <c r="H5061" s="123" t="s">
        <v>168</v>
      </c>
      <c r="I5061" s="126" t="s">
        <v>1701</v>
      </c>
      <c r="J5061" s="123" t="s">
        <v>18062</v>
      </c>
      <c r="K5061" s="123" t="s">
        <v>18060</v>
      </c>
      <c r="L5061" s="131" t="s">
        <v>100</v>
      </c>
      <c r="M5061" s="135" t="s">
        <v>845</v>
      </c>
      <c r="N5061" s="123" t="s">
        <v>845</v>
      </c>
    </row>
    <row r="5062" spans="2:14" hidden="1" x14ac:dyDescent="0.25">
      <c r="B5062" s="120">
        <v>5059</v>
      </c>
      <c r="C5062" s="123">
        <v>10095838800</v>
      </c>
      <c r="D5062" s="126" t="s">
        <v>18063</v>
      </c>
      <c r="E5062" s="126" t="s">
        <v>18064</v>
      </c>
      <c r="F5062" s="123" t="s">
        <v>30</v>
      </c>
      <c r="G5062" s="123" t="s">
        <v>30</v>
      </c>
      <c r="H5062" s="123" t="s">
        <v>38</v>
      </c>
      <c r="I5062" s="126" t="s">
        <v>1931</v>
      </c>
      <c r="J5062" s="123" t="s">
        <v>18065</v>
      </c>
      <c r="K5062" s="123" t="s">
        <v>18063</v>
      </c>
      <c r="L5062" s="131" t="s">
        <v>100</v>
      </c>
      <c r="M5062" s="135" t="s">
        <v>845</v>
      </c>
      <c r="N5062" s="123" t="s">
        <v>845</v>
      </c>
    </row>
    <row r="5063" spans="2:14" hidden="1" x14ac:dyDescent="0.25">
      <c r="B5063" s="120">
        <v>5060</v>
      </c>
      <c r="C5063" s="123">
        <v>10409217635</v>
      </c>
      <c r="D5063" s="126" t="s">
        <v>18066</v>
      </c>
      <c r="E5063" s="126" t="s">
        <v>18067</v>
      </c>
      <c r="F5063" s="123" t="s">
        <v>67</v>
      </c>
      <c r="G5063" s="123" t="s">
        <v>67</v>
      </c>
      <c r="H5063" s="123" t="s">
        <v>67</v>
      </c>
      <c r="I5063" s="126" t="s">
        <v>8743</v>
      </c>
      <c r="J5063" s="123" t="s">
        <v>18068</v>
      </c>
      <c r="K5063" s="123" t="s">
        <v>18066</v>
      </c>
      <c r="L5063" s="131" t="s">
        <v>100</v>
      </c>
      <c r="M5063" s="135" t="s">
        <v>845</v>
      </c>
      <c r="N5063" s="123" t="s">
        <v>845</v>
      </c>
    </row>
    <row r="5064" spans="2:14" hidden="1" x14ac:dyDescent="0.25">
      <c r="B5064" s="120">
        <v>5061</v>
      </c>
      <c r="C5064" s="123">
        <v>10472961646</v>
      </c>
      <c r="D5064" s="126" t="s">
        <v>18069</v>
      </c>
      <c r="E5064" s="126" t="s">
        <v>18070</v>
      </c>
      <c r="F5064" s="123" t="s">
        <v>30</v>
      </c>
      <c r="G5064" s="123" t="s">
        <v>30</v>
      </c>
      <c r="H5064" s="123" t="s">
        <v>58</v>
      </c>
      <c r="I5064" s="126" t="s">
        <v>9575</v>
      </c>
      <c r="J5064" s="123" t="s">
        <v>18071</v>
      </c>
      <c r="K5064" s="123" t="s">
        <v>18072</v>
      </c>
      <c r="L5064" s="131" t="s">
        <v>100</v>
      </c>
      <c r="M5064" s="135" t="s">
        <v>845</v>
      </c>
      <c r="N5064" s="123" t="s">
        <v>845</v>
      </c>
    </row>
    <row r="5065" spans="2:14" hidden="1" x14ac:dyDescent="0.25">
      <c r="B5065" s="120">
        <v>5062</v>
      </c>
      <c r="C5065" s="123">
        <v>10469061987</v>
      </c>
      <c r="D5065" s="126" t="s">
        <v>18073</v>
      </c>
      <c r="E5065" s="126" t="s">
        <v>18074</v>
      </c>
      <c r="F5065" s="123" t="s">
        <v>30</v>
      </c>
      <c r="G5065" s="123" t="s">
        <v>168</v>
      </c>
      <c r="H5065" s="123" t="s">
        <v>168</v>
      </c>
      <c r="I5065" s="126" t="s">
        <v>1950</v>
      </c>
      <c r="J5065" s="123" t="s">
        <v>18075</v>
      </c>
      <c r="K5065" s="123" t="s">
        <v>18073</v>
      </c>
      <c r="L5065" s="131" t="s">
        <v>100</v>
      </c>
      <c r="M5065" s="135" t="s">
        <v>845</v>
      </c>
      <c r="N5065" s="123" t="s">
        <v>845</v>
      </c>
    </row>
    <row r="5066" spans="2:14" hidden="1" x14ac:dyDescent="0.25">
      <c r="B5066" s="120">
        <v>5063</v>
      </c>
      <c r="C5066" s="123">
        <v>10083817742</v>
      </c>
      <c r="D5066" s="126" t="s">
        <v>18076</v>
      </c>
      <c r="E5066" s="126" t="s">
        <v>18077</v>
      </c>
      <c r="F5066" s="123" t="s">
        <v>30</v>
      </c>
      <c r="G5066" s="123" t="s">
        <v>30</v>
      </c>
      <c r="H5066" s="123" t="s">
        <v>37</v>
      </c>
      <c r="I5066" s="126" t="s">
        <v>1931</v>
      </c>
      <c r="J5066" s="123" t="s">
        <v>18078</v>
      </c>
      <c r="K5066" s="123" t="s">
        <v>18076</v>
      </c>
      <c r="L5066" s="131" t="s">
        <v>100</v>
      </c>
      <c r="M5066" s="135" t="s">
        <v>845</v>
      </c>
      <c r="N5066" s="123" t="s">
        <v>845</v>
      </c>
    </row>
    <row r="5067" spans="2:14" hidden="1" x14ac:dyDescent="0.25">
      <c r="B5067" s="120">
        <v>5064</v>
      </c>
      <c r="C5067" s="123">
        <v>10422360790</v>
      </c>
      <c r="D5067" s="126" t="s">
        <v>18079</v>
      </c>
      <c r="E5067" s="126" t="s">
        <v>18080</v>
      </c>
      <c r="F5067" s="123" t="s">
        <v>30</v>
      </c>
      <c r="G5067" s="123" t="s">
        <v>30</v>
      </c>
      <c r="H5067" s="123" t="s">
        <v>40</v>
      </c>
      <c r="I5067" s="126" t="s">
        <v>1706</v>
      </c>
      <c r="J5067" s="123" t="s">
        <v>18081</v>
      </c>
      <c r="K5067" s="123" t="s">
        <v>18079</v>
      </c>
      <c r="L5067" s="131" t="s">
        <v>100</v>
      </c>
      <c r="M5067" s="135" t="s">
        <v>845</v>
      </c>
      <c r="N5067" s="123" t="s">
        <v>845</v>
      </c>
    </row>
    <row r="5068" spans="2:14" hidden="1" x14ac:dyDescent="0.25">
      <c r="B5068" s="120">
        <v>5065</v>
      </c>
      <c r="C5068" s="123">
        <v>10102164852</v>
      </c>
      <c r="D5068" s="126" t="s">
        <v>18082</v>
      </c>
      <c r="E5068" s="126" t="s">
        <v>18083</v>
      </c>
      <c r="F5068" s="123" t="s">
        <v>30</v>
      </c>
      <c r="G5068" s="123" t="s">
        <v>30</v>
      </c>
      <c r="H5068" s="123" t="s">
        <v>50</v>
      </c>
      <c r="I5068" s="126" t="s">
        <v>1564</v>
      </c>
      <c r="J5068" s="123" t="s">
        <v>18084</v>
      </c>
      <c r="K5068" s="123" t="s">
        <v>18082</v>
      </c>
      <c r="L5068" s="131" t="s">
        <v>100</v>
      </c>
      <c r="M5068" s="135" t="s">
        <v>845</v>
      </c>
      <c r="N5068" s="123" t="s">
        <v>845</v>
      </c>
    </row>
    <row r="5069" spans="2:14" hidden="1" x14ac:dyDescent="0.25">
      <c r="B5069" s="120">
        <v>5066</v>
      </c>
      <c r="C5069" s="123">
        <v>10478042243</v>
      </c>
      <c r="D5069" s="126" t="s">
        <v>18085</v>
      </c>
      <c r="E5069" s="126" t="s">
        <v>18086</v>
      </c>
      <c r="F5069" s="123" t="s">
        <v>30</v>
      </c>
      <c r="G5069" s="123" t="s">
        <v>30</v>
      </c>
      <c r="H5069" s="123" t="s">
        <v>41</v>
      </c>
      <c r="I5069" s="126" t="s">
        <v>1564</v>
      </c>
      <c r="J5069" s="123" t="s">
        <v>18087</v>
      </c>
      <c r="K5069" s="123" t="s">
        <v>18085</v>
      </c>
      <c r="L5069" s="131" t="s">
        <v>100</v>
      </c>
      <c r="M5069" s="135" t="s">
        <v>845</v>
      </c>
      <c r="N5069" s="123" t="s">
        <v>845</v>
      </c>
    </row>
    <row r="5070" spans="2:14" hidden="1" x14ac:dyDescent="0.25">
      <c r="B5070" s="120">
        <v>5067</v>
      </c>
      <c r="C5070" s="123">
        <v>10156374046</v>
      </c>
      <c r="D5070" s="126" t="s">
        <v>18088</v>
      </c>
      <c r="E5070" s="126" t="s">
        <v>18089</v>
      </c>
      <c r="F5070" s="123" t="s">
        <v>30</v>
      </c>
      <c r="G5070" s="123" t="s">
        <v>168</v>
      </c>
      <c r="H5070" s="123" t="s">
        <v>168</v>
      </c>
      <c r="I5070" s="126" t="s">
        <v>9044</v>
      </c>
      <c r="J5070" s="123" t="s">
        <v>18090</v>
      </c>
      <c r="K5070" s="123" t="s">
        <v>18088</v>
      </c>
      <c r="L5070" s="131" t="s">
        <v>100</v>
      </c>
      <c r="M5070" s="135" t="s">
        <v>845</v>
      </c>
      <c r="N5070" s="123" t="s">
        <v>845</v>
      </c>
    </row>
    <row r="5071" spans="2:14" hidden="1" x14ac:dyDescent="0.25">
      <c r="B5071" s="120">
        <v>5068</v>
      </c>
      <c r="C5071" s="123">
        <v>10424060793</v>
      </c>
      <c r="D5071" s="126" t="s">
        <v>18091</v>
      </c>
      <c r="E5071" s="126" t="s">
        <v>18092</v>
      </c>
      <c r="F5071" s="123" t="s">
        <v>30</v>
      </c>
      <c r="G5071" s="123" t="s">
        <v>30</v>
      </c>
      <c r="H5071" s="123" t="s">
        <v>58</v>
      </c>
      <c r="I5071" s="126" t="s">
        <v>1737</v>
      </c>
      <c r="J5071" s="123" t="s">
        <v>18093</v>
      </c>
      <c r="K5071" s="123" t="s">
        <v>18091</v>
      </c>
      <c r="L5071" s="131" t="s">
        <v>100</v>
      </c>
      <c r="M5071" s="135" t="s">
        <v>845</v>
      </c>
      <c r="N5071" s="123" t="s">
        <v>845</v>
      </c>
    </row>
    <row r="5072" spans="2:14" hidden="1" x14ac:dyDescent="0.25">
      <c r="B5072" s="120">
        <v>5069</v>
      </c>
      <c r="C5072" s="123">
        <v>10089221477</v>
      </c>
      <c r="D5072" s="126" t="s">
        <v>18094</v>
      </c>
      <c r="E5072" s="126" t="s">
        <v>18095</v>
      </c>
      <c r="F5072" s="123" t="s">
        <v>30</v>
      </c>
      <c r="G5072" s="123" t="s">
        <v>30</v>
      </c>
      <c r="H5072" s="123" t="s">
        <v>41</v>
      </c>
      <c r="I5072" s="126" t="s">
        <v>1931</v>
      </c>
      <c r="J5072" s="123" t="s">
        <v>18096</v>
      </c>
      <c r="K5072" s="123" t="s">
        <v>18094</v>
      </c>
      <c r="L5072" s="131" t="s">
        <v>100</v>
      </c>
      <c r="M5072" s="135" t="s">
        <v>845</v>
      </c>
      <c r="N5072" s="123" t="s">
        <v>845</v>
      </c>
    </row>
    <row r="5073" spans="2:14" hidden="1" x14ac:dyDescent="0.25">
      <c r="B5073" s="120">
        <v>5070</v>
      </c>
      <c r="C5073" s="123">
        <v>10437736443</v>
      </c>
      <c r="D5073" s="126" t="s">
        <v>18097</v>
      </c>
      <c r="E5073" s="126" t="s">
        <v>18098</v>
      </c>
      <c r="F5073" s="123" t="s">
        <v>30</v>
      </c>
      <c r="G5073" s="123" t="s">
        <v>168</v>
      </c>
      <c r="H5073" s="123" t="s">
        <v>169</v>
      </c>
      <c r="I5073" s="126" t="s">
        <v>8825</v>
      </c>
      <c r="J5073" s="123" t="s">
        <v>18099</v>
      </c>
      <c r="K5073" s="123" t="s">
        <v>18097</v>
      </c>
      <c r="L5073" s="131" t="s">
        <v>100</v>
      </c>
      <c r="M5073" s="135" t="s">
        <v>845</v>
      </c>
      <c r="N5073" s="123" t="s">
        <v>845</v>
      </c>
    </row>
    <row r="5074" spans="2:14" hidden="1" x14ac:dyDescent="0.25">
      <c r="B5074" s="120">
        <v>5071</v>
      </c>
      <c r="C5074" s="123">
        <v>10329734027</v>
      </c>
      <c r="D5074" s="126" t="s">
        <v>18100</v>
      </c>
      <c r="E5074" s="126" t="s">
        <v>18101</v>
      </c>
      <c r="F5074" s="123" t="s">
        <v>30</v>
      </c>
      <c r="G5074" s="123" t="s">
        <v>30</v>
      </c>
      <c r="H5074" s="123" t="s">
        <v>72</v>
      </c>
      <c r="I5074" s="126" t="s">
        <v>1950</v>
      </c>
      <c r="J5074" s="123" t="s">
        <v>18102</v>
      </c>
      <c r="K5074" s="123" t="s">
        <v>18100</v>
      </c>
      <c r="L5074" s="131" t="s">
        <v>100</v>
      </c>
      <c r="M5074" s="135" t="s">
        <v>845</v>
      </c>
      <c r="N5074" s="123" t="s">
        <v>845</v>
      </c>
    </row>
    <row r="5075" spans="2:14" hidden="1" x14ac:dyDescent="0.25">
      <c r="B5075" s="120">
        <v>5072</v>
      </c>
      <c r="C5075" s="123">
        <v>10200411892</v>
      </c>
      <c r="D5075" s="126" t="s">
        <v>18103</v>
      </c>
      <c r="E5075" s="126" t="s">
        <v>18104</v>
      </c>
      <c r="F5075" s="123" t="s">
        <v>30</v>
      </c>
      <c r="G5075" s="123" t="s">
        <v>30</v>
      </c>
      <c r="H5075" s="123" t="s">
        <v>41</v>
      </c>
      <c r="I5075" s="126" t="s">
        <v>1737</v>
      </c>
      <c r="J5075" s="123" t="s">
        <v>18105</v>
      </c>
      <c r="K5075" s="123" t="s">
        <v>18103</v>
      </c>
      <c r="L5075" s="131" t="s">
        <v>100</v>
      </c>
      <c r="M5075" s="135" t="s">
        <v>845</v>
      </c>
      <c r="N5075" s="123" t="s">
        <v>845</v>
      </c>
    </row>
    <row r="5076" spans="2:14" hidden="1" x14ac:dyDescent="0.25">
      <c r="B5076" s="120">
        <v>5073</v>
      </c>
      <c r="C5076" s="123">
        <v>10420405478</v>
      </c>
      <c r="D5076" s="126" t="s">
        <v>18106</v>
      </c>
      <c r="E5076" s="126" t="s">
        <v>18107</v>
      </c>
      <c r="F5076" s="123" t="s">
        <v>30</v>
      </c>
      <c r="G5076" s="123" t="s">
        <v>30</v>
      </c>
      <c r="H5076" s="123" t="s">
        <v>51</v>
      </c>
      <c r="I5076" s="126" t="s">
        <v>1701</v>
      </c>
      <c r="J5076" s="123" t="s">
        <v>18108</v>
      </c>
      <c r="K5076" s="123" t="s">
        <v>18106</v>
      </c>
      <c r="L5076" s="131" t="s">
        <v>100</v>
      </c>
      <c r="M5076" s="135" t="s">
        <v>845</v>
      </c>
      <c r="N5076" s="123" t="s">
        <v>845</v>
      </c>
    </row>
    <row r="5077" spans="2:14" hidden="1" x14ac:dyDescent="0.25">
      <c r="B5077" s="120">
        <v>5074</v>
      </c>
      <c r="C5077" s="123">
        <v>10071434287</v>
      </c>
      <c r="D5077" s="126" t="s">
        <v>18109</v>
      </c>
      <c r="E5077" s="126" t="s">
        <v>18110</v>
      </c>
      <c r="F5077" s="123" t="s">
        <v>30</v>
      </c>
      <c r="G5077" s="123" t="s">
        <v>30</v>
      </c>
      <c r="H5077" s="123" t="s">
        <v>88</v>
      </c>
      <c r="I5077" s="126" t="s">
        <v>1701</v>
      </c>
      <c r="J5077" s="123" t="s">
        <v>18111</v>
      </c>
      <c r="K5077" s="123" t="s">
        <v>18109</v>
      </c>
      <c r="L5077" s="131" t="s">
        <v>100</v>
      </c>
      <c r="M5077" s="135" t="s">
        <v>845</v>
      </c>
      <c r="N5077" s="123" t="s">
        <v>845</v>
      </c>
    </row>
    <row r="5078" spans="2:14" hidden="1" x14ac:dyDescent="0.25">
      <c r="B5078" s="120">
        <v>5075</v>
      </c>
      <c r="C5078" s="123">
        <v>10431249281</v>
      </c>
      <c r="D5078" s="126" t="s">
        <v>18112</v>
      </c>
      <c r="E5078" s="126" t="s">
        <v>18113</v>
      </c>
      <c r="F5078" s="123" t="s">
        <v>67</v>
      </c>
      <c r="G5078" s="123" t="s">
        <v>67</v>
      </c>
      <c r="H5078" s="123" t="s">
        <v>94</v>
      </c>
      <c r="I5078" s="126" t="s">
        <v>1935</v>
      </c>
      <c r="J5078" s="123" t="s">
        <v>18114</v>
      </c>
      <c r="K5078" s="123" t="s">
        <v>18112</v>
      </c>
      <c r="L5078" s="131" t="s">
        <v>100</v>
      </c>
      <c r="M5078" s="135" t="s">
        <v>845</v>
      </c>
      <c r="N5078" s="123" t="s">
        <v>845</v>
      </c>
    </row>
    <row r="5079" spans="2:14" hidden="1" x14ac:dyDescent="0.25">
      <c r="B5079" s="120">
        <v>5076</v>
      </c>
      <c r="C5079" s="123">
        <v>10478670457</v>
      </c>
      <c r="D5079" s="126" t="s">
        <v>18115</v>
      </c>
      <c r="E5079" s="126" t="s">
        <v>18116</v>
      </c>
      <c r="F5079" s="123" t="s">
        <v>30</v>
      </c>
      <c r="G5079" s="123" t="s">
        <v>30</v>
      </c>
      <c r="H5079" s="123" t="s">
        <v>30</v>
      </c>
      <c r="I5079" s="126" t="s">
        <v>1930</v>
      </c>
      <c r="J5079" s="123" t="s">
        <v>18117</v>
      </c>
      <c r="K5079" s="123" t="s">
        <v>18118</v>
      </c>
      <c r="L5079" s="131" t="s">
        <v>100</v>
      </c>
      <c r="M5079" s="135" t="s">
        <v>845</v>
      </c>
      <c r="N5079" s="123" t="s">
        <v>845</v>
      </c>
    </row>
    <row r="5080" spans="2:14" hidden="1" x14ac:dyDescent="0.25">
      <c r="B5080" s="120">
        <v>5077</v>
      </c>
      <c r="C5080" s="123">
        <v>10104975718</v>
      </c>
      <c r="D5080" s="126" t="s">
        <v>18119</v>
      </c>
      <c r="E5080" s="126" t="s">
        <v>18120</v>
      </c>
      <c r="F5080" s="123" t="s">
        <v>30</v>
      </c>
      <c r="G5080" s="123" t="s">
        <v>30</v>
      </c>
      <c r="H5080" s="123" t="s">
        <v>85</v>
      </c>
      <c r="I5080" s="126" t="s">
        <v>1701</v>
      </c>
      <c r="J5080" s="123" t="s">
        <v>18121</v>
      </c>
      <c r="K5080" s="123" t="s">
        <v>18119</v>
      </c>
      <c r="L5080" s="131" t="s">
        <v>100</v>
      </c>
      <c r="M5080" s="135" t="s">
        <v>845</v>
      </c>
      <c r="N5080" s="123" t="s">
        <v>845</v>
      </c>
    </row>
    <row r="5081" spans="2:14" hidden="1" x14ac:dyDescent="0.25">
      <c r="B5081" s="120">
        <v>5078</v>
      </c>
      <c r="C5081" s="123">
        <v>10104398664</v>
      </c>
      <c r="D5081" s="126" t="s">
        <v>18122</v>
      </c>
      <c r="E5081" s="126" t="s">
        <v>18123</v>
      </c>
      <c r="F5081" s="123" t="s">
        <v>30</v>
      </c>
      <c r="G5081" s="123" t="s">
        <v>30</v>
      </c>
      <c r="H5081" s="123" t="s">
        <v>72</v>
      </c>
      <c r="I5081" s="126" t="s">
        <v>1931</v>
      </c>
      <c r="J5081" s="123" t="s">
        <v>18124</v>
      </c>
      <c r="K5081" s="123" t="s">
        <v>18122</v>
      </c>
      <c r="L5081" s="131" t="s">
        <v>100</v>
      </c>
      <c r="M5081" s="135" t="s">
        <v>845</v>
      </c>
      <c r="N5081" s="123" t="s">
        <v>845</v>
      </c>
    </row>
    <row r="5082" spans="2:14" hidden="1" x14ac:dyDescent="0.25">
      <c r="B5082" s="120">
        <v>5079</v>
      </c>
      <c r="C5082" s="123">
        <v>10730840361</v>
      </c>
      <c r="D5082" s="126" t="s">
        <v>18125</v>
      </c>
      <c r="E5082" s="126" t="s">
        <v>18126</v>
      </c>
      <c r="F5082" s="123" t="s">
        <v>30</v>
      </c>
      <c r="G5082" s="123" t="s">
        <v>170</v>
      </c>
      <c r="H5082" s="123" t="s">
        <v>170</v>
      </c>
      <c r="I5082" s="126" t="s">
        <v>1701</v>
      </c>
      <c r="J5082" s="123" t="s">
        <v>18127</v>
      </c>
      <c r="K5082" s="123" t="s">
        <v>18125</v>
      </c>
      <c r="L5082" s="131" t="s">
        <v>100</v>
      </c>
      <c r="M5082" s="135" t="s">
        <v>845</v>
      </c>
      <c r="N5082" s="123" t="s">
        <v>845</v>
      </c>
    </row>
    <row r="5083" spans="2:14" hidden="1" x14ac:dyDescent="0.25">
      <c r="B5083" s="120">
        <v>5080</v>
      </c>
      <c r="C5083" s="123">
        <v>10157103585</v>
      </c>
      <c r="D5083" s="126" t="s">
        <v>18128</v>
      </c>
      <c r="E5083" s="126" t="s">
        <v>18129</v>
      </c>
      <c r="F5083" s="123" t="s">
        <v>30</v>
      </c>
      <c r="G5083" s="123" t="s">
        <v>168</v>
      </c>
      <c r="H5083" s="123" t="s">
        <v>168</v>
      </c>
      <c r="I5083" s="126" t="s">
        <v>1424</v>
      </c>
      <c r="J5083" s="123" t="s">
        <v>18130</v>
      </c>
      <c r="K5083" s="123" t="s">
        <v>18128</v>
      </c>
      <c r="L5083" s="131" t="s">
        <v>100</v>
      </c>
      <c r="M5083" s="135" t="s">
        <v>845</v>
      </c>
      <c r="N5083" s="123" t="s">
        <v>845</v>
      </c>
    </row>
    <row r="5084" spans="2:14" hidden="1" x14ac:dyDescent="0.25">
      <c r="B5084" s="120">
        <v>5081</v>
      </c>
      <c r="C5084" s="123">
        <v>10400648528</v>
      </c>
      <c r="D5084" s="126" t="s">
        <v>18131</v>
      </c>
      <c r="E5084" s="126" t="s">
        <v>18132</v>
      </c>
      <c r="F5084" s="123" t="s">
        <v>30</v>
      </c>
      <c r="G5084" s="123" t="s">
        <v>30</v>
      </c>
      <c r="H5084" s="123" t="s">
        <v>51</v>
      </c>
      <c r="I5084" s="126" t="s">
        <v>11256</v>
      </c>
      <c r="J5084" s="123" t="s">
        <v>18133</v>
      </c>
      <c r="K5084" s="123" t="s">
        <v>18131</v>
      </c>
      <c r="L5084" s="131" t="s">
        <v>100</v>
      </c>
      <c r="M5084" s="135" t="s">
        <v>845</v>
      </c>
      <c r="N5084" s="123" t="s">
        <v>845</v>
      </c>
    </row>
    <row r="5085" spans="2:14" hidden="1" x14ac:dyDescent="0.25">
      <c r="B5085" s="120">
        <v>5082</v>
      </c>
      <c r="C5085" s="123">
        <v>10092967781</v>
      </c>
      <c r="D5085" s="126" t="s">
        <v>18134</v>
      </c>
      <c r="E5085" s="126" t="s">
        <v>18135</v>
      </c>
      <c r="F5085" s="123" t="s">
        <v>30</v>
      </c>
      <c r="G5085" s="123" t="s">
        <v>30</v>
      </c>
      <c r="H5085" s="123" t="s">
        <v>86</v>
      </c>
      <c r="I5085" s="126" t="s">
        <v>1935</v>
      </c>
      <c r="J5085" s="123" t="s">
        <v>18136</v>
      </c>
      <c r="K5085" s="123" t="s">
        <v>18134</v>
      </c>
      <c r="L5085" s="131" t="s">
        <v>100</v>
      </c>
      <c r="M5085" s="135" t="s">
        <v>845</v>
      </c>
      <c r="N5085" s="123" t="s">
        <v>845</v>
      </c>
    </row>
    <row r="5086" spans="2:14" hidden="1" x14ac:dyDescent="0.25">
      <c r="B5086" s="120">
        <v>5083</v>
      </c>
      <c r="C5086" s="123">
        <v>10408571435</v>
      </c>
      <c r="D5086" s="126" t="s">
        <v>18137</v>
      </c>
      <c r="E5086" s="126" t="s">
        <v>18138</v>
      </c>
      <c r="F5086" s="123" t="s">
        <v>30</v>
      </c>
      <c r="G5086" s="123" t="s">
        <v>30</v>
      </c>
      <c r="H5086" s="123" t="s">
        <v>88</v>
      </c>
      <c r="I5086" s="126" t="s">
        <v>10025</v>
      </c>
      <c r="J5086" s="123" t="s">
        <v>18139</v>
      </c>
      <c r="K5086" s="123" t="s">
        <v>18137</v>
      </c>
      <c r="L5086" s="131" t="s">
        <v>100</v>
      </c>
      <c r="M5086" s="135" t="s">
        <v>845</v>
      </c>
      <c r="N5086" s="123" t="s">
        <v>845</v>
      </c>
    </row>
    <row r="5087" spans="2:14" hidden="1" x14ac:dyDescent="0.25">
      <c r="B5087" s="120">
        <v>5084</v>
      </c>
      <c r="C5087" s="123">
        <v>10093388688</v>
      </c>
      <c r="D5087" s="126" t="s">
        <v>18140</v>
      </c>
      <c r="E5087" s="126" t="s">
        <v>18141</v>
      </c>
      <c r="F5087" s="123" t="s">
        <v>30</v>
      </c>
      <c r="G5087" s="123" t="s">
        <v>30</v>
      </c>
      <c r="H5087" s="123" t="s">
        <v>41</v>
      </c>
      <c r="I5087" s="126" t="s">
        <v>1737</v>
      </c>
      <c r="J5087" s="123" t="s">
        <v>18142</v>
      </c>
      <c r="K5087" s="123" t="s">
        <v>18140</v>
      </c>
      <c r="L5087" s="131" t="s">
        <v>100</v>
      </c>
      <c r="M5087" s="135" t="s">
        <v>845</v>
      </c>
      <c r="N5087" s="123" t="s">
        <v>845</v>
      </c>
    </row>
    <row r="5088" spans="2:14" hidden="1" x14ac:dyDescent="0.25">
      <c r="B5088" s="120">
        <v>5085</v>
      </c>
      <c r="C5088" s="123">
        <v>10464264774</v>
      </c>
      <c r="D5088" s="126" t="s">
        <v>18143</v>
      </c>
      <c r="E5088" s="126" t="s">
        <v>18144</v>
      </c>
      <c r="F5088" s="123" t="s">
        <v>30</v>
      </c>
      <c r="G5088" s="123" t="s">
        <v>30</v>
      </c>
      <c r="H5088" s="123" t="s">
        <v>40</v>
      </c>
      <c r="I5088" s="126" t="s">
        <v>1701</v>
      </c>
      <c r="J5088" s="123" t="s">
        <v>18145</v>
      </c>
      <c r="K5088" s="123" t="s">
        <v>18146</v>
      </c>
      <c r="L5088" s="131" t="s">
        <v>100</v>
      </c>
      <c r="M5088" s="135" t="s">
        <v>845</v>
      </c>
      <c r="N5088" s="123" t="s">
        <v>845</v>
      </c>
    </row>
    <row r="5089" spans="2:14" hidden="1" x14ac:dyDescent="0.25">
      <c r="B5089" s="120">
        <v>5086</v>
      </c>
      <c r="C5089" s="123">
        <v>10408915801</v>
      </c>
      <c r="D5089" s="126" t="s">
        <v>18147</v>
      </c>
      <c r="E5089" s="126" t="s">
        <v>18148</v>
      </c>
      <c r="F5089" s="123" t="s">
        <v>30</v>
      </c>
      <c r="G5089" s="123" t="s">
        <v>30</v>
      </c>
      <c r="H5089" s="123" t="s">
        <v>51</v>
      </c>
      <c r="I5089" s="126" t="s">
        <v>1930</v>
      </c>
      <c r="J5089" s="123" t="s">
        <v>18149</v>
      </c>
      <c r="K5089" s="123" t="s">
        <v>18147</v>
      </c>
      <c r="L5089" s="131" t="s">
        <v>100</v>
      </c>
      <c r="M5089" s="135" t="s">
        <v>845</v>
      </c>
      <c r="N5089" s="123" t="s">
        <v>845</v>
      </c>
    </row>
    <row r="5090" spans="2:14" hidden="1" x14ac:dyDescent="0.25">
      <c r="B5090" s="120">
        <v>5087</v>
      </c>
      <c r="C5090" s="123">
        <v>10721289899</v>
      </c>
      <c r="D5090" s="126" t="s">
        <v>18150</v>
      </c>
      <c r="E5090" s="126" t="s">
        <v>18151</v>
      </c>
      <c r="F5090" s="123" t="s">
        <v>30</v>
      </c>
      <c r="G5090" s="123" t="s">
        <v>170</v>
      </c>
      <c r="H5090" s="123" t="s">
        <v>171</v>
      </c>
      <c r="I5090" s="126" t="s">
        <v>1960</v>
      </c>
      <c r="J5090" s="123" t="s">
        <v>18152</v>
      </c>
      <c r="K5090" s="123" t="s">
        <v>18150</v>
      </c>
      <c r="L5090" s="131" t="s">
        <v>100</v>
      </c>
      <c r="M5090" s="135" t="s">
        <v>845</v>
      </c>
      <c r="N5090" s="123" t="s">
        <v>845</v>
      </c>
    </row>
    <row r="5091" spans="2:14" hidden="1" x14ac:dyDescent="0.25">
      <c r="B5091" s="120">
        <v>5088</v>
      </c>
      <c r="C5091" s="123">
        <v>10709139121</v>
      </c>
      <c r="D5091" s="126" t="s">
        <v>18153</v>
      </c>
      <c r="E5091" s="126" t="s">
        <v>18154</v>
      </c>
      <c r="F5091" s="123" t="s">
        <v>30</v>
      </c>
      <c r="G5091" s="123" t="s">
        <v>30</v>
      </c>
      <c r="H5091" s="123" t="s">
        <v>72</v>
      </c>
      <c r="I5091" s="126" t="s">
        <v>1950</v>
      </c>
      <c r="J5091" s="123" t="s">
        <v>18155</v>
      </c>
      <c r="K5091" s="123" t="s">
        <v>18153</v>
      </c>
      <c r="L5091" s="131" t="s">
        <v>100</v>
      </c>
      <c r="M5091" s="135" t="s">
        <v>845</v>
      </c>
      <c r="N5091" s="123" t="s">
        <v>845</v>
      </c>
    </row>
    <row r="5092" spans="2:14" hidden="1" x14ac:dyDescent="0.25">
      <c r="B5092" s="120">
        <v>5089</v>
      </c>
      <c r="C5092" s="123">
        <v>10069688344</v>
      </c>
      <c r="D5092" s="126" t="s">
        <v>18156</v>
      </c>
      <c r="E5092" s="126" t="s">
        <v>18157</v>
      </c>
      <c r="F5092" s="123" t="s">
        <v>30</v>
      </c>
      <c r="G5092" s="123" t="s">
        <v>30</v>
      </c>
      <c r="H5092" s="123" t="s">
        <v>40</v>
      </c>
      <c r="I5092" s="126" t="s">
        <v>1701</v>
      </c>
      <c r="J5092" s="123" t="s">
        <v>18158</v>
      </c>
      <c r="K5092" s="123" t="s">
        <v>18159</v>
      </c>
      <c r="L5092" s="131" t="s">
        <v>100</v>
      </c>
      <c r="M5092" s="135" t="s">
        <v>845</v>
      </c>
      <c r="N5092" s="123" t="s">
        <v>845</v>
      </c>
    </row>
    <row r="5093" spans="2:14" hidden="1" x14ac:dyDescent="0.25">
      <c r="B5093" s="120">
        <v>5090</v>
      </c>
      <c r="C5093" s="123">
        <v>10401248108</v>
      </c>
      <c r="D5093" s="126" t="s">
        <v>18160</v>
      </c>
      <c r="E5093" s="126" t="s">
        <v>18161</v>
      </c>
      <c r="F5093" s="123" t="s">
        <v>30</v>
      </c>
      <c r="G5093" s="123" t="s">
        <v>30</v>
      </c>
      <c r="H5093" s="123" t="s">
        <v>38</v>
      </c>
      <c r="I5093" s="126" t="s">
        <v>1944</v>
      </c>
      <c r="J5093" s="123" t="s">
        <v>18162</v>
      </c>
      <c r="K5093" s="123" t="s">
        <v>18160</v>
      </c>
      <c r="L5093" s="131" t="s">
        <v>100</v>
      </c>
      <c r="M5093" s="135" t="s">
        <v>845</v>
      </c>
      <c r="N5093" s="123" t="s">
        <v>845</v>
      </c>
    </row>
    <row r="5094" spans="2:14" hidden="1" x14ac:dyDescent="0.25">
      <c r="B5094" s="120">
        <v>5091</v>
      </c>
      <c r="C5094" s="123">
        <v>10282047026</v>
      </c>
      <c r="D5094" s="126" t="s">
        <v>18163</v>
      </c>
      <c r="E5094" s="126" t="s">
        <v>18164</v>
      </c>
      <c r="F5094" s="123" t="s">
        <v>67</v>
      </c>
      <c r="G5094" s="123" t="s">
        <v>67</v>
      </c>
      <c r="H5094" s="123" t="s">
        <v>67</v>
      </c>
      <c r="I5094" s="126" t="s">
        <v>1701</v>
      </c>
      <c r="J5094" s="123" t="s">
        <v>18165</v>
      </c>
      <c r="K5094" s="123" t="s">
        <v>18163</v>
      </c>
      <c r="L5094" s="131" t="s">
        <v>100</v>
      </c>
      <c r="M5094" s="135" t="s">
        <v>845</v>
      </c>
      <c r="N5094" s="123" t="s">
        <v>845</v>
      </c>
    </row>
    <row r="5095" spans="2:14" hidden="1" x14ac:dyDescent="0.25">
      <c r="B5095" s="120">
        <v>5092</v>
      </c>
      <c r="C5095" s="123">
        <v>10458606566</v>
      </c>
      <c r="D5095" s="126" t="s">
        <v>18166</v>
      </c>
      <c r="E5095" s="126" t="s">
        <v>18167</v>
      </c>
      <c r="F5095" s="123" t="s">
        <v>30</v>
      </c>
      <c r="G5095" s="123" t="s">
        <v>170</v>
      </c>
      <c r="H5095" s="123" t="s">
        <v>171</v>
      </c>
      <c r="I5095" s="126" t="s">
        <v>1950</v>
      </c>
      <c r="J5095" s="123" t="s">
        <v>18168</v>
      </c>
      <c r="K5095" s="123" t="s">
        <v>18166</v>
      </c>
      <c r="L5095" s="131" t="s">
        <v>100</v>
      </c>
      <c r="M5095" s="135" t="s">
        <v>845</v>
      </c>
      <c r="N5095" s="123" t="s">
        <v>845</v>
      </c>
    </row>
    <row r="5096" spans="2:14" hidden="1" x14ac:dyDescent="0.25">
      <c r="B5096" s="120">
        <v>5093</v>
      </c>
      <c r="C5096" s="123">
        <v>10704890538</v>
      </c>
      <c r="D5096" s="126" t="s">
        <v>18169</v>
      </c>
      <c r="E5096" s="126" t="s">
        <v>18170</v>
      </c>
      <c r="F5096" s="123" t="s">
        <v>30</v>
      </c>
      <c r="G5096" s="123" t="s">
        <v>30</v>
      </c>
      <c r="H5096" s="123" t="s">
        <v>79</v>
      </c>
      <c r="I5096" s="126" t="s">
        <v>1737</v>
      </c>
      <c r="J5096" s="123" t="s">
        <v>18171</v>
      </c>
      <c r="K5096" s="123" t="s">
        <v>18169</v>
      </c>
      <c r="L5096" s="131" t="s">
        <v>100</v>
      </c>
      <c r="M5096" s="135" t="s">
        <v>845</v>
      </c>
      <c r="N5096" s="123" t="s">
        <v>845</v>
      </c>
    </row>
    <row r="5097" spans="2:14" hidden="1" x14ac:dyDescent="0.25">
      <c r="B5097" s="120">
        <v>5094</v>
      </c>
      <c r="C5097" s="123">
        <v>10099330738</v>
      </c>
      <c r="D5097" s="126" t="s">
        <v>18172</v>
      </c>
      <c r="E5097" s="126" t="s">
        <v>18173</v>
      </c>
      <c r="F5097" s="123" t="s">
        <v>30</v>
      </c>
      <c r="G5097" s="123" t="s">
        <v>30</v>
      </c>
      <c r="H5097" s="123" t="s">
        <v>51</v>
      </c>
      <c r="I5097" s="126" t="s">
        <v>18174</v>
      </c>
      <c r="J5097" s="123" t="s">
        <v>18175</v>
      </c>
      <c r="K5097" s="123" t="s">
        <v>18176</v>
      </c>
      <c r="L5097" s="131" t="s">
        <v>100</v>
      </c>
      <c r="M5097" s="135" t="s">
        <v>845</v>
      </c>
      <c r="N5097" s="123" t="s">
        <v>845</v>
      </c>
    </row>
    <row r="5098" spans="2:14" hidden="1" x14ac:dyDescent="0.25">
      <c r="B5098" s="120">
        <v>5095</v>
      </c>
      <c r="C5098" s="123">
        <v>10086192760</v>
      </c>
      <c r="D5098" s="126" t="s">
        <v>18177</v>
      </c>
      <c r="E5098" s="126" t="s">
        <v>18178</v>
      </c>
      <c r="F5098" s="123" t="s">
        <v>30</v>
      </c>
      <c r="G5098" s="123" t="s">
        <v>30</v>
      </c>
      <c r="H5098" s="123" t="s">
        <v>75</v>
      </c>
      <c r="I5098" s="126" t="s">
        <v>1387</v>
      </c>
      <c r="J5098" s="123" t="s">
        <v>18179</v>
      </c>
      <c r="K5098" s="123" t="s">
        <v>18180</v>
      </c>
      <c r="L5098" s="131" t="s">
        <v>100</v>
      </c>
      <c r="M5098" s="135" t="s">
        <v>845</v>
      </c>
      <c r="N5098" s="123" t="s">
        <v>845</v>
      </c>
    </row>
    <row r="5099" spans="2:14" hidden="1" x14ac:dyDescent="0.25">
      <c r="B5099" s="120">
        <v>5096</v>
      </c>
      <c r="C5099" s="123">
        <v>10424042108</v>
      </c>
      <c r="D5099" s="126" t="s">
        <v>18181</v>
      </c>
      <c r="E5099" s="126" t="s">
        <v>18182</v>
      </c>
      <c r="F5099" s="123" t="s">
        <v>30</v>
      </c>
      <c r="G5099" s="123" t="s">
        <v>30</v>
      </c>
      <c r="H5099" s="123" t="s">
        <v>51</v>
      </c>
      <c r="I5099" s="126" t="s">
        <v>1701</v>
      </c>
      <c r="J5099" s="123" t="s">
        <v>18183</v>
      </c>
      <c r="K5099" s="123" t="s">
        <v>18181</v>
      </c>
      <c r="L5099" s="131" t="s">
        <v>100</v>
      </c>
      <c r="M5099" s="135" t="s">
        <v>845</v>
      </c>
      <c r="N5099" s="123" t="s">
        <v>845</v>
      </c>
    </row>
    <row r="5100" spans="2:14" hidden="1" x14ac:dyDescent="0.25">
      <c r="B5100" s="120">
        <v>5097</v>
      </c>
      <c r="C5100" s="123">
        <v>10453496991</v>
      </c>
      <c r="D5100" s="126" t="s">
        <v>18184</v>
      </c>
      <c r="E5100" s="126" t="s">
        <v>18185</v>
      </c>
      <c r="F5100" s="123" t="s">
        <v>30</v>
      </c>
      <c r="G5100" s="123" t="s">
        <v>168</v>
      </c>
      <c r="H5100" s="123" t="s">
        <v>168</v>
      </c>
      <c r="I5100" s="126" t="s">
        <v>1930</v>
      </c>
      <c r="J5100" s="123" t="s">
        <v>18186</v>
      </c>
      <c r="K5100" s="123" t="s">
        <v>18184</v>
      </c>
      <c r="L5100" s="131" t="s">
        <v>100</v>
      </c>
      <c r="M5100" s="135" t="s">
        <v>845</v>
      </c>
      <c r="N5100" s="123" t="s">
        <v>845</v>
      </c>
    </row>
    <row r="5101" spans="2:14" hidden="1" x14ac:dyDescent="0.25">
      <c r="B5101" s="120">
        <v>5098</v>
      </c>
      <c r="C5101" s="123">
        <v>10439701841</v>
      </c>
      <c r="D5101" s="126" t="s">
        <v>18187</v>
      </c>
      <c r="E5101" s="126" t="s">
        <v>18188</v>
      </c>
      <c r="F5101" s="123" t="s">
        <v>30</v>
      </c>
      <c r="G5101" s="123" t="s">
        <v>30</v>
      </c>
      <c r="H5101" s="123" t="s">
        <v>30</v>
      </c>
      <c r="I5101" s="126" t="s">
        <v>6746</v>
      </c>
      <c r="J5101" s="123" t="s">
        <v>18189</v>
      </c>
      <c r="K5101" s="123" t="s">
        <v>18187</v>
      </c>
      <c r="L5101" s="131" t="s">
        <v>100</v>
      </c>
      <c r="M5101" s="135" t="s">
        <v>845</v>
      </c>
      <c r="N5101" s="123" t="s">
        <v>845</v>
      </c>
    </row>
    <row r="5102" spans="2:14" hidden="1" x14ac:dyDescent="0.25">
      <c r="B5102" s="120">
        <v>5099</v>
      </c>
      <c r="C5102" s="123">
        <v>10158648381</v>
      </c>
      <c r="D5102" s="126" t="s">
        <v>18190</v>
      </c>
      <c r="E5102" s="126" t="s">
        <v>18191</v>
      </c>
      <c r="F5102" s="123" t="s">
        <v>30</v>
      </c>
      <c r="G5102" s="123" t="s">
        <v>168</v>
      </c>
      <c r="H5102" s="123" t="s">
        <v>168</v>
      </c>
      <c r="I5102" s="126" t="s">
        <v>1499</v>
      </c>
      <c r="J5102" s="123" t="s">
        <v>18192</v>
      </c>
      <c r="K5102" s="123" t="s">
        <v>18190</v>
      </c>
      <c r="L5102" s="131" t="s">
        <v>100</v>
      </c>
      <c r="M5102" s="135" t="s">
        <v>845</v>
      </c>
      <c r="N5102" s="123" t="s">
        <v>845</v>
      </c>
    </row>
    <row r="5103" spans="2:14" hidden="1" x14ac:dyDescent="0.25">
      <c r="B5103" s="120">
        <v>5100</v>
      </c>
      <c r="C5103" s="123">
        <v>10428987212</v>
      </c>
      <c r="D5103" s="126" t="s">
        <v>18193</v>
      </c>
      <c r="E5103" s="126" t="s">
        <v>10155</v>
      </c>
      <c r="F5103" s="123" t="s">
        <v>30</v>
      </c>
      <c r="G5103" s="123" t="s">
        <v>30</v>
      </c>
      <c r="H5103" s="123" t="s">
        <v>41</v>
      </c>
      <c r="I5103" s="126" t="s">
        <v>8659</v>
      </c>
      <c r="J5103" s="123" t="s">
        <v>18194</v>
      </c>
      <c r="K5103" s="123" t="s">
        <v>18193</v>
      </c>
      <c r="L5103" s="131" t="s">
        <v>100</v>
      </c>
      <c r="M5103" s="135" t="s">
        <v>845</v>
      </c>
      <c r="N5103" s="123" t="s">
        <v>845</v>
      </c>
    </row>
    <row r="5104" spans="2:14" hidden="1" x14ac:dyDescent="0.25">
      <c r="B5104" s="120">
        <v>5101</v>
      </c>
      <c r="C5104" s="123">
        <v>10008195647</v>
      </c>
      <c r="D5104" s="126" t="s">
        <v>18195</v>
      </c>
      <c r="E5104" s="126" t="s">
        <v>18196</v>
      </c>
      <c r="F5104" s="123" t="s">
        <v>30</v>
      </c>
      <c r="G5104" s="123" t="s">
        <v>30</v>
      </c>
      <c r="H5104" s="123" t="s">
        <v>47</v>
      </c>
      <c r="I5104" s="126" t="s">
        <v>18197</v>
      </c>
      <c r="J5104" s="123" t="s">
        <v>18198</v>
      </c>
      <c r="K5104" s="123" t="s">
        <v>18195</v>
      </c>
      <c r="L5104" s="131" t="s">
        <v>100</v>
      </c>
      <c r="M5104" s="135" t="s">
        <v>845</v>
      </c>
      <c r="N5104" s="123" t="s">
        <v>845</v>
      </c>
    </row>
    <row r="5105" spans="2:14" hidden="1" x14ac:dyDescent="0.25">
      <c r="B5105" s="120">
        <v>5102</v>
      </c>
      <c r="C5105" s="123">
        <v>10158488847</v>
      </c>
      <c r="D5105" s="126" t="s">
        <v>18199</v>
      </c>
      <c r="E5105" s="126" t="s">
        <v>18200</v>
      </c>
      <c r="F5105" s="123" t="s">
        <v>30</v>
      </c>
      <c r="G5105" s="123" t="s">
        <v>168</v>
      </c>
      <c r="H5105" s="123" t="s">
        <v>168</v>
      </c>
      <c r="I5105" s="126" t="s">
        <v>10520</v>
      </c>
      <c r="J5105" s="123" t="s">
        <v>18201</v>
      </c>
      <c r="K5105" s="123" t="s">
        <v>18199</v>
      </c>
      <c r="L5105" s="131" t="s">
        <v>100</v>
      </c>
      <c r="M5105" s="135" t="s">
        <v>845</v>
      </c>
      <c r="N5105" s="123" t="s">
        <v>845</v>
      </c>
    </row>
    <row r="5106" spans="2:14" hidden="1" x14ac:dyDescent="0.25">
      <c r="B5106" s="120">
        <v>5103</v>
      </c>
      <c r="C5106" s="123">
        <v>10413160346</v>
      </c>
      <c r="D5106" s="126" t="s">
        <v>18202</v>
      </c>
      <c r="E5106" s="126" t="s">
        <v>18203</v>
      </c>
      <c r="F5106" s="123" t="s">
        <v>30</v>
      </c>
      <c r="G5106" s="123" t="s">
        <v>30</v>
      </c>
      <c r="H5106" s="123" t="s">
        <v>30</v>
      </c>
      <c r="I5106" s="126" t="s">
        <v>1365</v>
      </c>
      <c r="J5106" s="123" t="s">
        <v>18204</v>
      </c>
      <c r="K5106" s="123" t="s">
        <v>18202</v>
      </c>
      <c r="L5106" s="131" t="s">
        <v>100</v>
      </c>
      <c r="M5106" s="135" t="s">
        <v>845</v>
      </c>
      <c r="N5106" s="123" t="s">
        <v>845</v>
      </c>
    </row>
    <row r="5107" spans="2:14" hidden="1" x14ac:dyDescent="0.25">
      <c r="B5107" s="120">
        <v>5104</v>
      </c>
      <c r="C5107" s="123">
        <v>10324859751</v>
      </c>
      <c r="D5107" s="126" t="s">
        <v>18205</v>
      </c>
      <c r="E5107" s="126" t="s">
        <v>18206</v>
      </c>
      <c r="F5107" s="123" t="s">
        <v>30</v>
      </c>
      <c r="G5107" s="123" t="s">
        <v>30</v>
      </c>
      <c r="H5107" s="123" t="s">
        <v>50</v>
      </c>
      <c r="I5107" s="126" t="s">
        <v>1950</v>
      </c>
      <c r="J5107" s="123" t="s">
        <v>18207</v>
      </c>
      <c r="K5107" s="123" t="s">
        <v>18205</v>
      </c>
      <c r="L5107" s="131" t="s">
        <v>100</v>
      </c>
      <c r="M5107" s="135" t="s">
        <v>845</v>
      </c>
      <c r="N5107" s="123" t="s">
        <v>845</v>
      </c>
    </row>
    <row r="5108" spans="2:14" hidden="1" x14ac:dyDescent="0.25">
      <c r="B5108" s="120">
        <v>5105</v>
      </c>
      <c r="C5108" s="123">
        <v>10445064632</v>
      </c>
      <c r="D5108" s="126" t="s">
        <v>18208</v>
      </c>
      <c r="E5108" s="126" t="s">
        <v>18209</v>
      </c>
      <c r="F5108" s="123" t="s">
        <v>30</v>
      </c>
      <c r="G5108" s="123" t="s">
        <v>30</v>
      </c>
      <c r="H5108" s="123" t="s">
        <v>39</v>
      </c>
      <c r="I5108" s="126" t="s">
        <v>1701</v>
      </c>
      <c r="J5108" s="123" t="s">
        <v>18210</v>
      </c>
      <c r="K5108" s="123" t="s">
        <v>18208</v>
      </c>
      <c r="L5108" s="131" t="s">
        <v>100</v>
      </c>
      <c r="M5108" s="135" t="s">
        <v>845</v>
      </c>
      <c r="N5108" s="123" t="s">
        <v>845</v>
      </c>
    </row>
    <row r="5109" spans="2:14" hidden="1" x14ac:dyDescent="0.25">
      <c r="B5109" s="120">
        <v>5106</v>
      </c>
      <c r="C5109" s="123">
        <v>10459479487</v>
      </c>
      <c r="D5109" s="126" t="s">
        <v>18211</v>
      </c>
      <c r="E5109" s="126" t="s">
        <v>18212</v>
      </c>
      <c r="F5109" s="123" t="s">
        <v>30</v>
      </c>
      <c r="G5109" s="123" t="s">
        <v>30</v>
      </c>
      <c r="H5109" s="123" t="s">
        <v>30</v>
      </c>
      <c r="I5109" s="126" t="s">
        <v>1365</v>
      </c>
      <c r="J5109" s="123" t="s">
        <v>18213</v>
      </c>
      <c r="K5109" s="123" t="s">
        <v>18211</v>
      </c>
      <c r="L5109" s="131" t="s">
        <v>100</v>
      </c>
      <c r="M5109" s="135" t="s">
        <v>845</v>
      </c>
      <c r="N5109" s="123" t="s">
        <v>845</v>
      </c>
    </row>
    <row r="5110" spans="2:14" hidden="1" x14ac:dyDescent="0.25">
      <c r="B5110" s="120">
        <v>5107</v>
      </c>
      <c r="C5110" s="123">
        <v>10090396761</v>
      </c>
      <c r="D5110" s="126" t="s">
        <v>18214</v>
      </c>
      <c r="E5110" s="126" t="s">
        <v>18215</v>
      </c>
      <c r="F5110" s="123" t="s">
        <v>30</v>
      </c>
      <c r="G5110" s="123" t="s">
        <v>30</v>
      </c>
      <c r="H5110" s="123" t="s">
        <v>88</v>
      </c>
      <c r="I5110" s="126" t="s">
        <v>15493</v>
      </c>
      <c r="J5110" s="123" t="s">
        <v>18216</v>
      </c>
      <c r="K5110" s="123" t="s">
        <v>18217</v>
      </c>
      <c r="L5110" s="131" t="s">
        <v>100</v>
      </c>
      <c r="M5110" s="135" t="s">
        <v>845</v>
      </c>
      <c r="N5110" s="123" t="s">
        <v>845</v>
      </c>
    </row>
    <row r="5111" spans="2:14" hidden="1" x14ac:dyDescent="0.25">
      <c r="B5111" s="120">
        <v>5108</v>
      </c>
      <c r="C5111" s="123">
        <v>10101895306</v>
      </c>
      <c r="D5111" s="126" t="s">
        <v>18218</v>
      </c>
      <c r="E5111" s="126" t="s">
        <v>18219</v>
      </c>
      <c r="F5111" s="123" t="s">
        <v>30</v>
      </c>
      <c r="G5111" s="123" t="s">
        <v>30</v>
      </c>
      <c r="H5111" s="123" t="s">
        <v>88</v>
      </c>
      <c r="I5111" s="126" t="s">
        <v>1365</v>
      </c>
      <c r="J5111" s="123" t="s">
        <v>18220</v>
      </c>
      <c r="K5111" s="123" t="s">
        <v>18218</v>
      </c>
      <c r="L5111" s="131" t="s">
        <v>100</v>
      </c>
      <c r="M5111" s="135" t="s">
        <v>845</v>
      </c>
      <c r="N5111" s="123" t="s">
        <v>845</v>
      </c>
    </row>
    <row r="5112" spans="2:14" hidden="1" x14ac:dyDescent="0.25">
      <c r="B5112" s="120">
        <v>5109</v>
      </c>
      <c r="C5112" s="123">
        <v>10446418942</v>
      </c>
      <c r="D5112" s="126" t="s">
        <v>18221</v>
      </c>
      <c r="E5112" s="126" t="s">
        <v>18222</v>
      </c>
      <c r="F5112" s="123" t="s">
        <v>30</v>
      </c>
      <c r="G5112" s="123" t="s">
        <v>30</v>
      </c>
      <c r="H5112" s="123" t="s">
        <v>43</v>
      </c>
      <c r="I5112" s="126" t="s">
        <v>1701</v>
      </c>
      <c r="J5112" s="123" t="s">
        <v>18223</v>
      </c>
      <c r="K5112" s="123" t="s">
        <v>18221</v>
      </c>
      <c r="L5112" s="131" t="s">
        <v>100</v>
      </c>
      <c r="M5112" s="135" t="s">
        <v>845</v>
      </c>
      <c r="N5112" s="123" t="s">
        <v>845</v>
      </c>
    </row>
    <row r="5113" spans="2:14" hidden="1" x14ac:dyDescent="0.25">
      <c r="B5113" s="120">
        <v>5110</v>
      </c>
      <c r="C5113" s="123">
        <v>10167548542</v>
      </c>
      <c r="D5113" s="126" t="s">
        <v>18224</v>
      </c>
      <c r="E5113" s="126" t="s">
        <v>18225</v>
      </c>
      <c r="F5113" s="123" t="s">
        <v>30</v>
      </c>
      <c r="G5113" s="123" t="s">
        <v>30</v>
      </c>
      <c r="H5113" s="123" t="s">
        <v>50</v>
      </c>
      <c r="I5113" s="126" t="s">
        <v>1701</v>
      </c>
      <c r="J5113" s="123" t="s">
        <v>18226</v>
      </c>
      <c r="K5113" s="123" t="s">
        <v>18224</v>
      </c>
      <c r="L5113" s="131" t="s">
        <v>100</v>
      </c>
      <c r="M5113" s="135" t="s">
        <v>845</v>
      </c>
      <c r="N5113" s="123" t="s">
        <v>845</v>
      </c>
    </row>
    <row r="5114" spans="2:14" hidden="1" x14ac:dyDescent="0.25">
      <c r="B5114" s="120">
        <v>5111</v>
      </c>
      <c r="C5114" s="123">
        <v>10077579015</v>
      </c>
      <c r="D5114" s="126" t="s">
        <v>18227</v>
      </c>
      <c r="E5114" s="126" t="s">
        <v>18228</v>
      </c>
      <c r="F5114" s="123" t="s">
        <v>30</v>
      </c>
      <c r="G5114" s="123" t="s">
        <v>30</v>
      </c>
      <c r="H5114" s="123" t="s">
        <v>72</v>
      </c>
      <c r="I5114" s="126" t="s">
        <v>1564</v>
      </c>
      <c r="J5114" s="123" t="s">
        <v>18229</v>
      </c>
      <c r="K5114" s="123" t="s">
        <v>18227</v>
      </c>
      <c r="L5114" s="131" t="s">
        <v>100</v>
      </c>
      <c r="M5114" s="135" t="s">
        <v>845</v>
      </c>
      <c r="N5114" s="123" t="s">
        <v>845</v>
      </c>
    </row>
    <row r="5115" spans="2:14" hidden="1" x14ac:dyDescent="0.25">
      <c r="B5115" s="120">
        <v>5112</v>
      </c>
      <c r="C5115" s="123">
        <v>10107228506</v>
      </c>
      <c r="D5115" s="126" t="s">
        <v>18230</v>
      </c>
      <c r="E5115" s="126" t="s">
        <v>18231</v>
      </c>
      <c r="F5115" s="123" t="s">
        <v>30</v>
      </c>
      <c r="G5115" s="123" t="s">
        <v>30</v>
      </c>
      <c r="H5115" s="123" t="s">
        <v>43</v>
      </c>
      <c r="I5115" s="126" t="s">
        <v>1701</v>
      </c>
      <c r="J5115" s="123" t="s">
        <v>18232</v>
      </c>
      <c r="K5115" s="123" t="s">
        <v>18230</v>
      </c>
      <c r="L5115" s="131" t="s">
        <v>100</v>
      </c>
      <c r="M5115" s="135" t="s">
        <v>845</v>
      </c>
      <c r="N5115" s="123" t="s">
        <v>845</v>
      </c>
    </row>
    <row r="5116" spans="2:14" hidden="1" x14ac:dyDescent="0.25">
      <c r="B5116" s="120">
        <v>5113</v>
      </c>
      <c r="C5116" s="123">
        <v>10434614894</v>
      </c>
      <c r="D5116" s="126" t="s">
        <v>18233</v>
      </c>
      <c r="E5116" s="126" t="s">
        <v>18234</v>
      </c>
      <c r="F5116" s="123" t="s">
        <v>30</v>
      </c>
      <c r="G5116" s="123" t="s">
        <v>30</v>
      </c>
      <c r="H5116" s="123" t="s">
        <v>72</v>
      </c>
      <c r="I5116" s="126" t="s">
        <v>8743</v>
      </c>
      <c r="J5116" s="123" t="s">
        <v>18235</v>
      </c>
      <c r="K5116" s="123" t="s">
        <v>18233</v>
      </c>
      <c r="L5116" s="131" t="s">
        <v>100</v>
      </c>
      <c r="M5116" s="135" t="s">
        <v>845</v>
      </c>
      <c r="N5116" s="123" t="s">
        <v>845</v>
      </c>
    </row>
    <row r="5117" spans="2:14" hidden="1" x14ac:dyDescent="0.25">
      <c r="B5117" s="120">
        <v>5114</v>
      </c>
      <c r="C5117" s="123">
        <v>10448049324</v>
      </c>
      <c r="D5117" s="126" t="s">
        <v>18236</v>
      </c>
      <c r="E5117" s="126" t="s">
        <v>18237</v>
      </c>
      <c r="F5117" s="123" t="s">
        <v>30</v>
      </c>
      <c r="G5117" s="123" t="s">
        <v>30</v>
      </c>
      <c r="H5117" s="123" t="s">
        <v>72</v>
      </c>
      <c r="I5117" s="126" t="s">
        <v>87</v>
      </c>
      <c r="J5117" s="123" t="s">
        <v>18238</v>
      </c>
      <c r="K5117" s="123" t="s">
        <v>18236</v>
      </c>
      <c r="L5117" s="131" t="s">
        <v>100</v>
      </c>
      <c r="M5117" s="135" t="s">
        <v>845</v>
      </c>
      <c r="N5117" s="123" t="s">
        <v>845</v>
      </c>
    </row>
    <row r="5118" spans="2:14" hidden="1" x14ac:dyDescent="0.25">
      <c r="B5118" s="120">
        <v>5115</v>
      </c>
      <c r="C5118" s="123">
        <v>10256892401</v>
      </c>
      <c r="D5118" s="126" t="s">
        <v>18239</v>
      </c>
      <c r="E5118" s="126" t="s">
        <v>18240</v>
      </c>
      <c r="F5118" s="123" t="s">
        <v>67</v>
      </c>
      <c r="G5118" s="123" t="s">
        <v>67</v>
      </c>
      <c r="H5118" s="123" t="s">
        <v>94</v>
      </c>
      <c r="I5118" s="126" t="s">
        <v>8825</v>
      </c>
      <c r="J5118" s="123" t="s">
        <v>18241</v>
      </c>
      <c r="K5118" s="123" t="s">
        <v>18242</v>
      </c>
      <c r="L5118" s="131" t="s">
        <v>100</v>
      </c>
      <c r="M5118" s="135" t="s">
        <v>845</v>
      </c>
      <c r="N5118" s="123" t="s">
        <v>845</v>
      </c>
    </row>
    <row r="5119" spans="2:14" hidden="1" x14ac:dyDescent="0.25">
      <c r="B5119" s="120">
        <v>5116</v>
      </c>
      <c r="C5119" s="123">
        <v>10742497513</v>
      </c>
      <c r="D5119" s="126" t="s">
        <v>18243</v>
      </c>
      <c r="E5119" s="126" t="s">
        <v>18244</v>
      </c>
      <c r="F5119" s="123" t="s">
        <v>30</v>
      </c>
      <c r="G5119" s="123" t="s">
        <v>170</v>
      </c>
      <c r="H5119" s="123" t="s">
        <v>170</v>
      </c>
      <c r="I5119" s="126" t="s">
        <v>1935</v>
      </c>
      <c r="J5119" s="123" t="s">
        <v>18245</v>
      </c>
      <c r="K5119" s="123" t="s">
        <v>18243</v>
      </c>
      <c r="L5119" s="131" t="s">
        <v>100</v>
      </c>
      <c r="M5119" s="135" t="s">
        <v>845</v>
      </c>
      <c r="N5119" s="123" t="s">
        <v>845</v>
      </c>
    </row>
    <row r="5120" spans="2:14" hidden="1" x14ac:dyDescent="0.25">
      <c r="B5120" s="120">
        <v>5117</v>
      </c>
      <c r="C5120" s="123">
        <v>10156823363</v>
      </c>
      <c r="D5120" s="126" t="s">
        <v>18246</v>
      </c>
      <c r="E5120" s="126" t="s">
        <v>18247</v>
      </c>
      <c r="F5120" s="123" t="s">
        <v>30</v>
      </c>
      <c r="G5120" s="123" t="s">
        <v>168</v>
      </c>
      <c r="H5120" s="123" t="s">
        <v>168</v>
      </c>
      <c r="I5120" s="126" t="s">
        <v>1701</v>
      </c>
      <c r="J5120" s="123" t="s">
        <v>18248</v>
      </c>
      <c r="K5120" s="123" t="s">
        <v>18246</v>
      </c>
      <c r="L5120" s="131" t="s">
        <v>100</v>
      </c>
      <c r="M5120" s="135" t="s">
        <v>845</v>
      </c>
      <c r="N5120" s="123" t="s">
        <v>845</v>
      </c>
    </row>
    <row r="5121" spans="2:14" hidden="1" x14ac:dyDescent="0.25">
      <c r="B5121" s="120">
        <v>5118</v>
      </c>
      <c r="C5121" s="123">
        <v>10721753455</v>
      </c>
      <c r="D5121" s="126" t="s">
        <v>18249</v>
      </c>
      <c r="E5121" s="126" t="s">
        <v>18250</v>
      </c>
      <c r="F5121" s="123" t="s">
        <v>30</v>
      </c>
      <c r="G5121" s="123" t="s">
        <v>30</v>
      </c>
      <c r="H5121" s="123" t="s">
        <v>40</v>
      </c>
      <c r="I5121" s="126" t="s">
        <v>1805</v>
      </c>
      <c r="J5121" s="123" t="s">
        <v>18251</v>
      </c>
      <c r="K5121" s="123" t="s">
        <v>18249</v>
      </c>
      <c r="L5121" s="131" t="s">
        <v>100</v>
      </c>
      <c r="M5121" s="135" t="s">
        <v>845</v>
      </c>
      <c r="N5121" s="123" t="s">
        <v>845</v>
      </c>
    </row>
    <row r="5122" spans="2:14" hidden="1" x14ac:dyDescent="0.25">
      <c r="B5122" s="120">
        <v>5119</v>
      </c>
      <c r="C5122" s="123">
        <v>10095481740</v>
      </c>
      <c r="D5122" s="126" t="s">
        <v>18252</v>
      </c>
      <c r="E5122" s="126" t="s">
        <v>18253</v>
      </c>
      <c r="F5122" s="123" t="s">
        <v>30</v>
      </c>
      <c r="G5122" s="123" t="s">
        <v>30</v>
      </c>
      <c r="H5122" s="123" t="s">
        <v>58</v>
      </c>
      <c r="I5122" s="126" t="s">
        <v>11346</v>
      </c>
      <c r="J5122" s="123" t="s">
        <v>18254</v>
      </c>
      <c r="K5122" s="123" t="s">
        <v>18255</v>
      </c>
      <c r="L5122" s="131" t="s">
        <v>100</v>
      </c>
      <c r="M5122" s="135" t="s">
        <v>845</v>
      </c>
      <c r="N5122" s="123" t="s">
        <v>845</v>
      </c>
    </row>
    <row r="5123" spans="2:14" hidden="1" x14ac:dyDescent="0.25">
      <c r="B5123" s="120">
        <v>5120</v>
      </c>
      <c r="C5123" s="123">
        <v>10450275439</v>
      </c>
      <c r="D5123" s="126" t="s">
        <v>18256</v>
      </c>
      <c r="E5123" s="126" t="s">
        <v>18257</v>
      </c>
      <c r="F5123" s="123" t="s">
        <v>30</v>
      </c>
      <c r="G5123" s="123" t="s">
        <v>30</v>
      </c>
      <c r="H5123" s="123" t="s">
        <v>72</v>
      </c>
      <c r="I5123" s="126" t="s">
        <v>1951</v>
      </c>
      <c r="J5123" s="123" t="s">
        <v>18258</v>
      </c>
      <c r="K5123" s="123" t="s">
        <v>18256</v>
      </c>
      <c r="L5123" s="131" t="s">
        <v>100</v>
      </c>
      <c r="M5123" s="135" t="s">
        <v>845</v>
      </c>
      <c r="N5123" s="123" t="s">
        <v>845</v>
      </c>
    </row>
    <row r="5124" spans="2:14" hidden="1" x14ac:dyDescent="0.25">
      <c r="B5124" s="120">
        <v>5121</v>
      </c>
      <c r="C5124" s="123">
        <v>10096829286</v>
      </c>
      <c r="D5124" s="126" t="s">
        <v>18259</v>
      </c>
      <c r="E5124" s="126" t="s">
        <v>18260</v>
      </c>
      <c r="F5124" s="123" t="s">
        <v>30</v>
      </c>
      <c r="G5124" s="123" t="s">
        <v>30</v>
      </c>
      <c r="H5124" s="123" t="s">
        <v>34</v>
      </c>
      <c r="I5124" s="126" t="s">
        <v>1956</v>
      </c>
      <c r="J5124" s="123" t="s">
        <v>18261</v>
      </c>
      <c r="K5124" s="123" t="s">
        <v>18259</v>
      </c>
      <c r="L5124" s="131" t="s">
        <v>100</v>
      </c>
      <c r="M5124" s="135" t="s">
        <v>845</v>
      </c>
      <c r="N5124" s="123" t="s">
        <v>845</v>
      </c>
    </row>
    <row r="5125" spans="2:14" hidden="1" x14ac:dyDescent="0.25">
      <c r="B5125" s="120">
        <v>5122</v>
      </c>
      <c r="C5125" s="123">
        <v>10434130951</v>
      </c>
      <c r="D5125" s="126" t="s">
        <v>18262</v>
      </c>
      <c r="E5125" s="126" t="s">
        <v>18263</v>
      </c>
      <c r="F5125" s="123" t="s">
        <v>30</v>
      </c>
      <c r="G5125" s="123" t="s">
        <v>30</v>
      </c>
      <c r="H5125" s="123" t="s">
        <v>79</v>
      </c>
      <c r="I5125" s="126" t="s">
        <v>1450</v>
      </c>
      <c r="J5125" s="123" t="s">
        <v>18264</v>
      </c>
      <c r="K5125" s="123" t="s">
        <v>18265</v>
      </c>
      <c r="L5125" s="131" t="s">
        <v>100</v>
      </c>
      <c r="M5125" s="135" t="s">
        <v>845</v>
      </c>
      <c r="N5125" s="123" t="s">
        <v>845</v>
      </c>
    </row>
    <row r="5126" spans="2:14" hidden="1" x14ac:dyDescent="0.25">
      <c r="B5126" s="120">
        <v>5123</v>
      </c>
      <c r="C5126" s="123">
        <v>10067784184</v>
      </c>
      <c r="D5126" s="126" t="s">
        <v>18266</v>
      </c>
      <c r="E5126" s="126" t="s">
        <v>18267</v>
      </c>
      <c r="F5126" s="123" t="s">
        <v>67</v>
      </c>
      <c r="G5126" s="123" t="s">
        <v>67</v>
      </c>
      <c r="H5126" s="123" t="s">
        <v>94</v>
      </c>
      <c r="I5126" s="126" t="s">
        <v>1701</v>
      </c>
      <c r="J5126" s="123" t="s">
        <v>18268</v>
      </c>
      <c r="K5126" s="123" t="s">
        <v>18266</v>
      </c>
      <c r="L5126" s="131" t="s">
        <v>100</v>
      </c>
      <c r="M5126" s="135" t="s">
        <v>845</v>
      </c>
      <c r="N5126" s="123" t="s">
        <v>845</v>
      </c>
    </row>
    <row r="5127" spans="2:14" hidden="1" x14ac:dyDescent="0.25">
      <c r="B5127" s="120">
        <v>5124</v>
      </c>
      <c r="C5127" s="123">
        <v>10740658536</v>
      </c>
      <c r="D5127" s="126" t="s">
        <v>18269</v>
      </c>
      <c r="E5127" s="126" t="s">
        <v>18270</v>
      </c>
      <c r="F5127" s="123" t="s">
        <v>30</v>
      </c>
      <c r="G5127" s="123" t="s">
        <v>30</v>
      </c>
      <c r="H5127" s="123" t="s">
        <v>30</v>
      </c>
      <c r="I5127" s="126" t="s">
        <v>9769</v>
      </c>
      <c r="J5127" s="123" t="s">
        <v>18271</v>
      </c>
      <c r="K5127" s="123" t="s">
        <v>18269</v>
      </c>
      <c r="L5127" s="131" t="s">
        <v>100</v>
      </c>
      <c r="M5127" s="135" t="s">
        <v>845</v>
      </c>
      <c r="N5127" s="123" t="s">
        <v>845</v>
      </c>
    </row>
    <row r="5128" spans="2:14" hidden="1" x14ac:dyDescent="0.25">
      <c r="B5128" s="120">
        <v>5125</v>
      </c>
      <c r="C5128" s="123">
        <v>10730455637</v>
      </c>
      <c r="D5128" s="126" t="s">
        <v>18272</v>
      </c>
      <c r="E5128" s="126" t="s">
        <v>18273</v>
      </c>
      <c r="F5128" s="123" t="s">
        <v>30</v>
      </c>
      <c r="G5128" s="123" t="s">
        <v>30</v>
      </c>
      <c r="H5128" s="123" t="s">
        <v>30</v>
      </c>
      <c r="I5128" s="126" t="s">
        <v>2940</v>
      </c>
      <c r="J5128" s="123" t="s">
        <v>5466</v>
      </c>
      <c r="K5128" s="123" t="s">
        <v>18274</v>
      </c>
      <c r="L5128" s="131" t="s">
        <v>100</v>
      </c>
      <c r="M5128" s="135" t="s">
        <v>845</v>
      </c>
      <c r="N5128" s="123" t="s">
        <v>845</v>
      </c>
    </row>
    <row r="5129" spans="2:14" hidden="1" x14ac:dyDescent="0.25">
      <c r="B5129" s="120">
        <v>5126</v>
      </c>
      <c r="C5129" s="123">
        <v>10406712325</v>
      </c>
      <c r="D5129" s="126" t="s">
        <v>18275</v>
      </c>
      <c r="E5129" s="126" t="s">
        <v>18276</v>
      </c>
      <c r="F5129" s="123" t="s">
        <v>30</v>
      </c>
      <c r="G5129" s="123" t="s">
        <v>30</v>
      </c>
      <c r="H5129" s="123" t="s">
        <v>75</v>
      </c>
      <c r="I5129" s="126" t="s">
        <v>1484</v>
      </c>
      <c r="J5129" s="123" t="s">
        <v>18277</v>
      </c>
      <c r="K5129" s="123" t="s">
        <v>18275</v>
      </c>
      <c r="L5129" s="131" t="s">
        <v>100</v>
      </c>
      <c r="M5129" s="135" t="s">
        <v>845</v>
      </c>
      <c r="N5129" s="123" t="s">
        <v>845</v>
      </c>
    </row>
    <row r="5130" spans="2:14" hidden="1" x14ac:dyDescent="0.25">
      <c r="B5130" s="120">
        <v>5127</v>
      </c>
      <c r="C5130" s="123">
        <v>10449761052</v>
      </c>
      <c r="D5130" s="126" t="s">
        <v>18278</v>
      </c>
      <c r="E5130" s="126" t="s">
        <v>18279</v>
      </c>
      <c r="F5130" s="123" t="s">
        <v>30</v>
      </c>
      <c r="G5130" s="123" t="s">
        <v>168</v>
      </c>
      <c r="H5130" s="123" t="s">
        <v>168</v>
      </c>
      <c r="I5130" s="126" t="s">
        <v>1564</v>
      </c>
      <c r="J5130" s="123" t="s">
        <v>18280</v>
      </c>
      <c r="K5130" s="123" t="s">
        <v>18281</v>
      </c>
      <c r="L5130" s="131" t="s">
        <v>100</v>
      </c>
      <c r="M5130" s="135" t="s">
        <v>845</v>
      </c>
      <c r="N5130" s="123" t="s">
        <v>845</v>
      </c>
    </row>
    <row r="5131" spans="2:14" hidden="1" x14ac:dyDescent="0.25">
      <c r="B5131" s="120">
        <v>5128</v>
      </c>
      <c r="C5131" s="123">
        <v>10415822117</v>
      </c>
      <c r="D5131" s="126" t="s">
        <v>18282</v>
      </c>
      <c r="E5131" s="126" t="s">
        <v>18283</v>
      </c>
      <c r="F5131" s="123" t="s">
        <v>30</v>
      </c>
      <c r="G5131" s="123" t="s">
        <v>30</v>
      </c>
      <c r="H5131" s="123" t="s">
        <v>30</v>
      </c>
      <c r="I5131" s="126" t="s">
        <v>1930</v>
      </c>
      <c r="J5131" s="123" t="s">
        <v>18284</v>
      </c>
      <c r="K5131" s="123" t="s">
        <v>18285</v>
      </c>
      <c r="L5131" s="131" t="s">
        <v>100</v>
      </c>
      <c r="M5131" s="135" t="s">
        <v>845</v>
      </c>
      <c r="N5131" s="123" t="s">
        <v>845</v>
      </c>
    </row>
    <row r="5132" spans="2:14" hidden="1" x14ac:dyDescent="0.25">
      <c r="B5132" s="120">
        <v>5129</v>
      </c>
      <c r="C5132" s="123">
        <v>10095697378</v>
      </c>
      <c r="D5132" s="126" t="s">
        <v>18286</v>
      </c>
      <c r="E5132" s="126" t="s">
        <v>18287</v>
      </c>
      <c r="F5132" s="123" t="s">
        <v>30</v>
      </c>
      <c r="G5132" s="123" t="s">
        <v>30</v>
      </c>
      <c r="H5132" s="123" t="s">
        <v>43</v>
      </c>
      <c r="I5132" s="126" t="s">
        <v>1931</v>
      </c>
      <c r="J5132" s="123" t="s">
        <v>18288</v>
      </c>
      <c r="K5132" s="123" t="s">
        <v>18286</v>
      </c>
      <c r="L5132" s="131" t="s">
        <v>100</v>
      </c>
      <c r="M5132" s="135" t="s">
        <v>845</v>
      </c>
      <c r="N5132" s="123" t="s">
        <v>845</v>
      </c>
    </row>
    <row r="5133" spans="2:14" hidden="1" x14ac:dyDescent="0.25">
      <c r="B5133" s="120">
        <v>5130</v>
      </c>
      <c r="C5133" s="123">
        <v>10211364993</v>
      </c>
      <c r="D5133" s="126" t="s">
        <v>18289</v>
      </c>
      <c r="E5133" s="126" t="s">
        <v>18290</v>
      </c>
      <c r="F5133" s="123" t="s">
        <v>30</v>
      </c>
      <c r="G5133" s="123" t="s">
        <v>30</v>
      </c>
      <c r="H5133" s="123" t="s">
        <v>51</v>
      </c>
      <c r="I5133" s="126" t="s">
        <v>1931</v>
      </c>
      <c r="J5133" s="123" t="s">
        <v>18291</v>
      </c>
      <c r="K5133" s="123" t="s">
        <v>18289</v>
      </c>
      <c r="L5133" s="131" t="s">
        <v>100</v>
      </c>
      <c r="M5133" s="135" t="s">
        <v>845</v>
      </c>
      <c r="N5133" s="123" t="s">
        <v>845</v>
      </c>
    </row>
    <row r="5134" spans="2:14" hidden="1" x14ac:dyDescent="0.25">
      <c r="B5134" s="120">
        <v>5131</v>
      </c>
      <c r="C5134" s="123">
        <v>10759857432</v>
      </c>
      <c r="D5134" s="126" t="s">
        <v>18292</v>
      </c>
      <c r="E5134" s="126" t="s">
        <v>18293</v>
      </c>
      <c r="F5134" s="123" t="s">
        <v>30</v>
      </c>
      <c r="G5134" s="123" t="s">
        <v>30</v>
      </c>
      <c r="H5134" s="123" t="s">
        <v>52</v>
      </c>
      <c r="I5134" s="126" t="s">
        <v>1701</v>
      </c>
      <c r="J5134" s="123" t="s">
        <v>18294</v>
      </c>
      <c r="K5134" s="123" t="s">
        <v>18292</v>
      </c>
      <c r="L5134" s="131" t="s">
        <v>100</v>
      </c>
      <c r="M5134" s="135" t="s">
        <v>845</v>
      </c>
      <c r="N5134" s="123" t="s">
        <v>845</v>
      </c>
    </row>
    <row r="5135" spans="2:14" hidden="1" x14ac:dyDescent="0.25">
      <c r="B5135" s="120">
        <v>5132</v>
      </c>
      <c r="C5135" s="123">
        <v>10473716611</v>
      </c>
      <c r="D5135" s="126" t="s">
        <v>18295</v>
      </c>
      <c r="E5135" s="126" t="s">
        <v>18296</v>
      </c>
      <c r="F5135" s="123" t="s">
        <v>30</v>
      </c>
      <c r="G5135" s="123" t="s">
        <v>30</v>
      </c>
      <c r="H5135" s="123" t="s">
        <v>72</v>
      </c>
      <c r="I5135" s="126" t="s">
        <v>1564</v>
      </c>
      <c r="J5135" s="123" t="s">
        <v>18297</v>
      </c>
      <c r="K5135" s="123" t="s">
        <v>18298</v>
      </c>
      <c r="L5135" s="131" t="s">
        <v>100</v>
      </c>
      <c r="M5135" s="135" t="s">
        <v>845</v>
      </c>
      <c r="N5135" s="123" t="s">
        <v>845</v>
      </c>
    </row>
    <row r="5136" spans="2:14" hidden="1" x14ac:dyDescent="0.25">
      <c r="B5136" s="120">
        <v>5133</v>
      </c>
      <c r="C5136" s="123">
        <v>10090175713</v>
      </c>
      <c r="D5136" s="126" t="s">
        <v>18299</v>
      </c>
      <c r="E5136" s="126" t="s">
        <v>18300</v>
      </c>
      <c r="F5136" s="123" t="s">
        <v>30</v>
      </c>
      <c r="G5136" s="123" t="s">
        <v>30</v>
      </c>
      <c r="H5136" s="123" t="s">
        <v>50</v>
      </c>
      <c r="I5136" s="126" t="s">
        <v>1551</v>
      </c>
      <c r="J5136" s="123" t="s">
        <v>18301</v>
      </c>
      <c r="K5136" s="123" t="s">
        <v>18302</v>
      </c>
      <c r="L5136" s="131" t="s">
        <v>100</v>
      </c>
      <c r="M5136" s="135" t="s">
        <v>845</v>
      </c>
      <c r="N5136" s="123" t="s">
        <v>845</v>
      </c>
    </row>
    <row r="5137" spans="2:14" hidden="1" x14ac:dyDescent="0.25">
      <c r="B5137" s="120">
        <v>5134</v>
      </c>
      <c r="C5137" s="123">
        <v>10402318312</v>
      </c>
      <c r="D5137" s="126" t="s">
        <v>18303</v>
      </c>
      <c r="E5137" s="126" t="s">
        <v>18304</v>
      </c>
      <c r="F5137" s="123" t="s">
        <v>30</v>
      </c>
      <c r="G5137" s="123" t="s">
        <v>30</v>
      </c>
      <c r="H5137" s="123" t="s">
        <v>88</v>
      </c>
      <c r="I5137" s="126" t="s">
        <v>1478</v>
      </c>
      <c r="J5137" s="123" t="s">
        <v>18305</v>
      </c>
      <c r="K5137" s="123" t="s">
        <v>18306</v>
      </c>
      <c r="L5137" s="131" t="s">
        <v>100</v>
      </c>
      <c r="M5137" s="135" t="s">
        <v>845</v>
      </c>
      <c r="N5137" s="123" t="s">
        <v>845</v>
      </c>
    </row>
    <row r="5138" spans="2:14" hidden="1" x14ac:dyDescent="0.25">
      <c r="B5138" s="120">
        <v>5135</v>
      </c>
      <c r="C5138" s="123">
        <v>10411668113</v>
      </c>
      <c r="D5138" s="126" t="s">
        <v>18307</v>
      </c>
      <c r="E5138" s="126" t="s">
        <v>18308</v>
      </c>
      <c r="F5138" s="123" t="s">
        <v>67</v>
      </c>
      <c r="G5138" s="123" t="s">
        <v>67</v>
      </c>
      <c r="H5138" s="123" t="s">
        <v>94</v>
      </c>
      <c r="I5138" s="126" t="s">
        <v>1701</v>
      </c>
      <c r="J5138" s="123" t="s">
        <v>18309</v>
      </c>
      <c r="K5138" s="123" t="s">
        <v>18310</v>
      </c>
      <c r="L5138" s="131" t="s">
        <v>100</v>
      </c>
      <c r="M5138" s="135" t="s">
        <v>845</v>
      </c>
      <c r="N5138" s="123" t="s">
        <v>845</v>
      </c>
    </row>
    <row r="5139" spans="2:14" hidden="1" x14ac:dyDescent="0.25">
      <c r="B5139" s="120">
        <v>5136</v>
      </c>
      <c r="C5139" s="123">
        <v>10415992691</v>
      </c>
      <c r="D5139" s="126" t="s">
        <v>18311</v>
      </c>
      <c r="E5139" s="126" t="s">
        <v>18312</v>
      </c>
      <c r="F5139" s="123" t="s">
        <v>30</v>
      </c>
      <c r="G5139" s="123" t="s">
        <v>30</v>
      </c>
      <c r="H5139" s="123" t="s">
        <v>50</v>
      </c>
      <c r="I5139" s="126" t="s">
        <v>1809</v>
      </c>
      <c r="J5139" s="123" t="s">
        <v>18313</v>
      </c>
      <c r="K5139" s="123" t="s">
        <v>18314</v>
      </c>
      <c r="L5139" s="131" t="s">
        <v>100</v>
      </c>
      <c r="M5139" s="135" t="s">
        <v>845</v>
      </c>
      <c r="N5139" s="123" t="s">
        <v>845</v>
      </c>
    </row>
    <row r="5140" spans="2:14" hidden="1" x14ac:dyDescent="0.25">
      <c r="B5140" s="120">
        <v>5137</v>
      </c>
      <c r="C5140" s="123">
        <v>10075108015</v>
      </c>
      <c r="D5140" s="126" t="s">
        <v>18315</v>
      </c>
      <c r="E5140" s="126" t="s">
        <v>18316</v>
      </c>
      <c r="F5140" s="123" t="s">
        <v>30</v>
      </c>
      <c r="G5140" s="123" t="s">
        <v>30</v>
      </c>
      <c r="H5140" s="123" t="s">
        <v>30</v>
      </c>
      <c r="I5140" s="126" t="s">
        <v>9099</v>
      </c>
      <c r="J5140" s="123" t="s">
        <v>18317</v>
      </c>
      <c r="K5140" s="123" t="s">
        <v>18318</v>
      </c>
      <c r="L5140" s="131" t="s">
        <v>100</v>
      </c>
      <c r="M5140" s="135" t="s">
        <v>845</v>
      </c>
      <c r="N5140" s="123" t="s">
        <v>845</v>
      </c>
    </row>
    <row r="5141" spans="2:14" hidden="1" x14ac:dyDescent="0.25">
      <c r="B5141" s="120">
        <v>5138</v>
      </c>
      <c r="C5141" s="123">
        <v>10421640373</v>
      </c>
      <c r="D5141" s="126" t="s">
        <v>18319</v>
      </c>
      <c r="E5141" s="126" t="s">
        <v>18320</v>
      </c>
      <c r="F5141" s="123" t="s">
        <v>30</v>
      </c>
      <c r="G5141" s="123" t="s">
        <v>31</v>
      </c>
      <c r="H5141" s="123" t="s">
        <v>9381</v>
      </c>
      <c r="I5141" s="126" t="s">
        <v>1551</v>
      </c>
      <c r="J5141" s="123" t="s">
        <v>18321</v>
      </c>
      <c r="K5141" s="123" t="s">
        <v>18319</v>
      </c>
      <c r="L5141" s="131" t="s">
        <v>100</v>
      </c>
      <c r="M5141" s="135" t="s">
        <v>845</v>
      </c>
      <c r="N5141" s="123" t="s">
        <v>845</v>
      </c>
    </row>
    <row r="5142" spans="2:14" hidden="1" x14ac:dyDescent="0.25">
      <c r="B5142" s="120">
        <v>5139</v>
      </c>
      <c r="C5142" s="123">
        <v>10105160238</v>
      </c>
      <c r="D5142" s="126" t="s">
        <v>18322</v>
      </c>
      <c r="E5142" s="126" t="s">
        <v>18323</v>
      </c>
      <c r="F5142" s="123" t="s">
        <v>30</v>
      </c>
      <c r="G5142" s="123" t="s">
        <v>30</v>
      </c>
      <c r="H5142" s="123" t="s">
        <v>43</v>
      </c>
      <c r="I5142" s="126" t="s">
        <v>1701</v>
      </c>
      <c r="J5142" s="123" t="s">
        <v>18324</v>
      </c>
      <c r="K5142" s="123" t="s">
        <v>18322</v>
      </c>
      <c r="L5142" s="131" t="s">
        <v>100</v>
      </c>
      <c r="M5142" s="135" t="s">
        <v>845</v>
      </c>
      <c r="N5142" s="123" t="s">
        <v>845</v>
      </c>
    </row>
    <row r="5143" spans="2:14" hidden="1" x14ac:dyDescent="0.25">
      <c r="B5143" s="120">
        <v>5140</v>
      </c>
      <c r="C5143" s="123">
        <v>10157416257</v>
      </c>
      <c r="D5143" s="126" t="s">
        <v>18325</v>
      </c>
      <c r="E5143" s="126" t="s">
        <v>18326</v>
      </c>
      <c r="F5143" s="123" t="s">
        <v>30</v>
      </c>
      <c r="G5143" s="123" t="s">
        <v>170</v>
      </c>
      <c r="H5143" s="123" t="s">
        <v>171</v>
      </c>
      <c r="I5143" s="126" t="s">
        <v>1930</v>
      </c>
      <c r="J5143" s="123" t="s">
        <v>18327</v>
      </c>
      <c r="K5143" s="123" t="s">
        <v>18325</v>
      </c>
      <c r="L5143" s="131" t="s">
        <v>100</v>
      </c>
      <c r="M5143" s="135" t="s">
        <v>845</v>
      </c>
      <c r="N5143" s="123" t="s">
        <v>845</v>
      </c>
    </row>
    <row r="5144" spans="2:14" hidden="1" x14ac:dyDescent="0.25">
      <c r="B5144" s="120">
        <v>5141</v>
      </c>
      <c r="C5144" s="123">
        <v>10727216192</v>
      </c>
      <c r="D5144" s="126" t="s">
        <v>18328</v>
      </c>
      <c r="E5144" s="126" t="s">
        <v>18329</v>
      </c>
      <c r="F5144" s="123" t="s">
        <v>30</v>
      </c>
      <c r="G5144" s="123" t="s">
        <v>30</v>
      </c>
      <c r="H5144" s="123" t="s">
        <v>30</v>
      </c>
      <c r="I5144" s="126" t="s">
        <v>1439</v>
      </c>
      <c r="J5144" s="123" t="s">
        <v>18330</v>
      </c>
      <c r="K5144" s="123" t="s">
        <v>18331</v>
      </c>
      <c r="L5144" s="131" t="s">
        <v>100</v>
      </c>
      <c r="M5144" s="135" t="s">
        <v>845</v>
      </c>
      <c r="N5144" s="123" t="s">
        <v>845</v>
      </c>
    </row>
    <row r="5145" spans="2:14" hidden="1" x14ac:dyDescent="0.25">
      <c r="B5145" s="120">
        <v>5142</v>
      </c>
      <c r="C5145" s="123">
        <v>10108761780</v>
      </c>
      <c r="D5145" s="126" t="s">
        <v>18332</v>
      </c>
      <c r="E5145" s="126" t="s">
        <v>18333</v>
      </c>
      <c r="F5145" s="123" t="s">
        <v>30</v>
      </c>
      <c r="G5145" s="123" t="s">
        <v>30</v>
      </c>
      <c r="H5145" s="123" t="s">
        <v>51</v>
      </c>
      <c r="I5145" s="126" t="s">
        <v>1424</v>
      </c>
      <c r="J5145" s="123" t="s">
        <v>18334</v>
      </c>
      <c r="K5145" s="123" t="s">
        <v>18335</v>
      </c>
      <c r="L5145" s="131" t="s">
        <v>100</v>
      </c>
      <c r="M5145" s="135" t="s">
        <v>845</v>
      </c>
      <c r="N5145" s="123" t="s">
        <v>845</v>
      </c>
    </row>
    <row r="5146" spans="2:14" hidden="1" x14ac:dyDescent="0.25">
      <c r="B5146" s="120">
        <v>5143</v>
      </c>
      <c r="C5146" s="123">
        <v>10474796961</v>
      </c>
      <c r="D5146" s="126" t="s">
        <v>18336</v>
      </c>
      <c r="E5146" s="126" t="s">
        <v>18337</v>
      </c>
      <c r="F5146" s="123" t="s">
        <v>30</v>
      </c>
      <c r="G5146" s="123" t="s">
        <v>170</v>
      </c>
      <c r="H5146" s="123" t="s">
        <v>179</v>
      </c>
      <c r="I5146" s="126" t="s">
        <v>1931</v>
      </c>
      <c r="J5146" s="123" t="s">
        <v>18338</v>
      </c>
      <c r="K5146" s="123" t="s">
        <v>18336</v>
      </c>
      <c r="L5146" s="131" t="s">
        <v>100</v>
      </c>
      <c r="M5146" s="135" t="s">
        <v>845</v>
      </c>
      <c r="N5146" s="123" t="s">
        <v>845</v>
      </c>
    </row>
    <row r="5147" spans="2:14" hidden="1" x14ac:dyDescent="0.25">
      <c r="B5147" s="120">
        <v>5144</v>
      </c>
      <c r="C5147" s="123">
        <v>10106569733</v>
      </c>
      <c r="D5147" s="126" t="s">
        <v>18339</v>
      </c>
      <c r="E5147" s="126" t="s">
        <v>18340</v>
      </c>
      <c r="F5147" s="123" t="s">
        <v>30</v>
      </c>
      <c r="G5147" s="123" t="s">
        <v>30</v>
      </c>
      <c r="H5147" s="123" t="s">
        <v>43</v>
      </c>
      <c r="I5147" s="126" t="s">
        <v>1564</v>
      </c>
      <c r="J5147" s="123" t="s">
        <v>18341</v>
      </c>
      <c r="K5147" s="123" t="s">
        <v>18342</v>
      </c>
      <c r="L5147" s="131" t="s">
        <v>100</v>
      </c>
      <c r="M5147" s="135" t="s">
        <v>845</v>
      </c>
      <c r="N5147" s="123" t="s">
        <v>845</v>
      </c>
    </row>
    <row r="5148" spans="2:14" hidden="1" x14ac:dyDescent="0.25">
      <c r="B5148" s="120">
        <v>5145</v>
      </c>
      <c r="C5148" s="123">
        <v>10089198912</v>
      </c>
      <c r="D5148" s="126" t="s">
        <v>18343</v>
      </c>
      <c r="E5148" s="126" t="s">
        <v>18344</v>
      </c>
      <c r="F5148" s="123" t="s">
        <v>30</v>
      </c>
      <c r="G5148" s="123" t="s">
        <v>30</v>
      </c>
      <c r="H5148" s="123" t="s">
        <v>68</v>
      </c>
      <c r="I5148" s="126" t="s">
        <v>1942</v>
      </c>
      <c r="J5148" s="123" t="s">
        <v>18345</v>
      </c>
      <c r="K5148" s="123" t="s">
        <v>18343</v>
      </c>
      <c r="L5148" s="131" t="s">
        <v>100</v>
      </c>
      <c r="M5148" s="135" t="s">
        <v>845</v>
      </c>
      <c r="N5148" s="123" t="s">
        <v>845</v>
      </c>
    </row>
    <row r="5149" spans="2:14" hidden="1" x14ac:dyDescent="0.25">
      <c r="B5149" s="120">
        <v>5146</v>
      </c>
      <c r="C5149" s="123">
        <v>10432155809</v>
      </c>
      <c r="D5149" s="126" t="s">
        <v>18346</v>
      </c>
      <c r="E5149" s="126" t="s">
        <v>18347</v>
      </c>
      <c r="F5149" s="123" t="s">
        <v>30</v>
      </c>
      <c r="G5149" s="123" t="s">
        <v>30</v>
      </c>
      <c r="H5149" s="123" t="s">
        <v>68</v>
      </c>
      <c r="I5149" s="126" t="s">
        <v>1706</v>
      </c>
      <c r="J5149" s="123" t="s">
        <v>18348</v>
      </c>
      <c r="K5149" s="123" t="s">
        <v>18346</v>
      </c>
      <c r="L5149" s="131" t="s">
        <v>100</v>
      </c>
      <c r="M5149" s="135" t="s">
        <v>845</v>
      </c>
      <c r="N5149" s="123" t="s">
        <v>845</v>
      </c>
    </row>
    <row r="5150" spans="2:14" hidden="1" x14ac:dyDescent="0.25">
      <c r="B5150" s="120">
        <v>5147</v>
      </c>
      <c r="C5150" s="123">
        <v>10724374048</v>
      </c>
      <c r="D5150" s="126" t="s">
        <v>18349</v>
      </c>
      <c r="E5150" s="126" t="s">
        <v>18350</v>
      </c>
      <c r="F5150" s="123" t="s">
        <v>30</v>
      </c>
      <c r="G5150" s="123" t="s">
        <v>30</v>
      </c>
      <c r="H5150" s="123" t="s">
        <v>60</v>
      </c>
      <c r="I5150" s="126" t="s">
        <v>1394</v>
      </c>
      <c r="J5150" s="123" t="s">
        <v>18351</v>
      </c>
      <c r="K5150" s="123" t="s">
        <v>18349</v>
      </c>
      <c r="L5150" s="131" t="s">
        <v>100</v>
      </c>
      <c r="M5150" s="135" t="s">
        <v>845</v>
      </c>
      <c r="N5150" s="123" t="s">
        <v>845</v>
      </c>
    </row>
    <row r="5151" spans="2:14" hidden="1" x14ac:dyDescent="0.25">
      <c r="B5151" s="120">
        <v>5148</v>
      </c>
      <c r="C5151" s="123">
        <v>10453977388</v>
      </c>
      <c r="D5151" s="126" t="s">
        <v>18352</v>
      </c>
      <c r="E5151" s="126" t="s">
        <v>18353</v>
      </c>
      <c r="F5151" s="123" t="s">
        <v>30</v>
      </c>
      <c r="G5151" s="123" t="s">
        <v>30</v>
      </c>
      <c r="H5151" s="123" t="s">
        <v>75</v>
      </c>
      <c r="I5151" s="126" t="s">
        <v>1944</v>
      </c>
      <c r="J5151" s="123" t="s">
        <v>18354</v>
      </c>
      <c r="K5151" s="123" t="s">
        <v>18352</v>
      </c>
      <c r="L5151" s="131" t="s">
        <v>100</v>
      </c>
      <c r="M5151" s="135" t="s">
        <v>845</v>
      </c>
      <c r="N5151" s="123" t="s">
        <v>845</v>
      </c>
    </row>
    <row r="5152" spans="2:14" hidden="1" x14ac:dyDescent="0.25">
      <c r="B5152" s="120">
        <v>5149</v>
      </c>
      <c r="C5152" s="123">
        <v>10098962412</v>
      </c>
      <c r="D5152" s="126" t="s">
        <v>18355</v>
      </c>
      <c r="E5152" s="126" t="s">
        <v>18356</v>
      </c>
      <c r="F5152" s="123" t="s">
        <v>30</v>
      </c>
      <c r="G5152" s="123" t="s">
        <v>30</v>
      </c>
      <c r="H5152" s="123" t="s">
        <v>30</v>
      </c>
      <c r="I5152" s="126" t="s">
        <v>1701</v>
      </c>
      <c r="J5152" s="123" t="s">
        <v>18357</v>
      </c>
      <c r="K5152" s="123" t="s">
        <v>18355</v>
      </c>
      <c r="L5152" s="131" t="s">
        <v>100</v>
      </c>
      <c r="M5152" s="135" t="s">
        <v>845</v>
      </c>
      <c r="N5152" s="123" t="s">
        <v>845</v>
      </c>
    </row>
    <row r="5153" spans="2:14" hidden="1" x14ac:dyDescent="0.25">
      <c r="B5153" s="120">
        <v>5150</v>
      </c>
      <c r="C5153" s="123">
        <v>10157423636</v>
      </c>
      <c r="D5153" s="126" t="s">
        <v>18358</v>
      </c>
      <c r="E5153" s="126" t="s">
        <v>18359</v>
      </c>
      <c r="F5153" s="123" t="s">
        <v>30</v>
      </c>
      <c r="G5153" s="123" t="s">
        <v>170</v>
      </c>
      <c r="H5153" s="123" t="s">
        <v>171</v>
      </c>
      <c r="I5153" s="126" t="s">
        <v>12353</v>
      </c>
      <c r="J5153" s="123" t="s">
        <v>18360</v>
      </c>
      <c r="K5153" s="123" t="s">
        <v>18358</v>
      </c>
      <c r="L5153" s="131" t="s">
        <v>100</v>
      </c>
      <c r="M5153" s="135" t="s">
        <v>845</v>
      </c>
      <c r="N5153" s="123" t="s">
        <v>845</v>
      </c>
    </row>
    <row r="5154" spans="2:14" hidden="1" x14ac:dyDescent="0.25">
      <c r="B5154" s="120">
        <v>5151</v>
      </c>
      <c r="C5154" s="123">
        <v>10436980120</v>
      </c>
      <c r="D5154" s="126" t="s">
        <v>18361</v>
      </c>
      <c r="E5154" s="126" t="s">
        <v>18362</v>
      </c>
      <c r="F5154" s="123" t="s">
        <v>30</v>
      </c>
      <c r="G5154" s="123" t="s">
        <v>30</v>
      </c>
      <c r="H5154" s="123" t="s">
        <v>40</v>
      </c>
      <c r="I5154" s="126" t="s">
        <v>1643</v>
      </c>
      <c r="J5154" s="123" t="s">
        <v>18363</v>
      </c>
      <c r="K5154" s="123" t="s">
        <v>18361</v>
      </c>
      <c r="L5154" s="131" t="s">
        <v>100</v>
      </c>
      <c r="M5154" s="135" t="s">
        <v>845</v>
      </c>
      <c r="N5154" s="123" t="s">
        <v>845</v>
      </c>
    </row>
    <row r="5155" spans="2:14" hidden="1" x14ac:dyDescent="0.25">
      <c r="B5155" s="120">
        <v>5152</v>
      </c>
      <c r="C5155" s="123">
        <v>10200632791</v>
      </c>
      <c r="D5155" s="126" t="s">
        <v>18364</v>
      </c>
      <c r="E5155" s="126" t="s">
        <v>18365</v>
      </c>
      <c r="F5155" s="123" t="s">
        <v>30</v>
      </c>
      <c r="G5155" s="123" t="s">
        <v>30</v>
      </c>
      <c r="H5155" s="123" t="s">
        <v>51</v>
      </c>
      <c r="I5155" s="126" t="s">
        <v>1979</v>
      </c>
      <c r="J5155" s="123" t="s">
        <v>18366</v>
      </c>
      <c r="K5155" s="123" t="s">
        <v>18364</v>
      </c>
      <c r="L5155" s="131" t="s">
        <v>100</v>
      </c>
      <c r="M5155" s="135" t="s">
        <v>845</v>
      </c>
      <c r="N5155" s="123" t="s">
        <v>845</v>
      </c>
    </row>
    <row r="5156" spans="2:14" hidden="1" x14ac:dyDescent="0.25">
      <c r="B5156" s="120">
        <v>5153</v>
      </c>
      <c r="C5156" s="123">
        <v>10404865647</v>
      </c>
      <c r="D5156" s="126" t="s">
        <v>18367</v>
      </c>
      <c r="E5156" s="126" t="s">
        <v>18368</v>
      </c>
      <c r="F5156" s="123" t="s">
        <v>30</v>
      </c>
      <c r="G5156" s="123" t="s">
        <v>170</v>
      </c>
      <c r="H5156" s="123" t="s">
        <v>175</v>
      </c>
      <c r="I5156" s="126" t="s">
        <v>1805</v>
      </c>
      <c r="J5156" s="123" t="s">
        <v>18369</v>
      </c>
      <c r="K5156" s="123" t="s">
        <v>18367</v>
      </c>
      <c r="L5156" s="131" t="s">
        <v>100</v>
      </c>
      <c r="M5156" s="135" t="s">
        <v>845</v>
      </c>
      <c r="N5156" s="123" t="s">
        <v>845</v>
      </c>
    </row>
    <row r="5157" spans="2:14" hidden="1" x14ac:dyDescent="0.25">
      <c r="B5157" s="120">
        <v>5154</v>
      </c>
      <c r="C5157" s="123">
        <v>10451399506</v>
      </c>
      <c r="D5157" s="126" t="s">
        <v>18370</v>
      </c>
      <c r="E5157" s="126" t="s">
        <v>18371</v>
      </c>
      <c r="F5157" s="123" t="s">
        <v>30</v>
      </c>
      <c r="G5157" s="123" t="s">
        <v>30</v>
      </c>
      <c r="H5157" s="123" t="s">
        <v>50</v>
      </c>
      <c r="I5157" s="126" t="s">
        <v>1701</v>
      </c>
      <c r="J5157" s="123" t="s">
        <v>18372</v>
      </c>
      <c r="K5157" s="123" t="s">
        <v>18370</v>
      </c>
      <c r="L5157" s="131" t="s">
        <v>100</v>
      </c>
      <c r="M5157" s="135" t="s">
        <v>845</v>
      </c>
      <c r="N5157" s="123" t="s">
        <v>845</v>
      </c>
    </row>
    <row r="5158" spans="2:14" hidden="1" x14ac:dyDescent="0.25">
      <c r="B5158" s="120">
        <v>5155</v>
      </c>
      <c r="C5158" s="123">
        <v>10223192624</v>
      </c>
      <c r="D5158" s="126" t="s">
        <v>18373</v>
      </c>
      <c r="E5158" s="126" t="s">
        <v>18374</v>
      </c>
      <c r="F5158" s="123" t="s">
        <v>30</v>
      </c>
      <c r="G5158" s="123" t="s">
        <v>31</v>
      </c>
      <c r="H5158" s="123" t="s">
        <v>149</v>
      </c>
      <c r="I5158" s="126" t="s">
        <v>1424</v>
      </c>
      <c r="J5158" s="123" t="s">
        <v>18375</v>
      </c>
      <c r="K5158" s="123" t="s">
        <v>18373</v>
      </c>
      <c r="L5158" s="131" t="s">
        <v>100</v>
      </c>
      <c r="M5158" s="135" t="s">
        <v>845</v>
      </c>
      <c r="N5158" s="123" t="s">
        <v>845</v>
      </c>
    </row>
    <row r="5159" spans="2:14" hidden="1" x14ac:dyDescent="0.25">
      <c r="B5159" s="120">
        <v>5156</v>
      </c>
      <c r="C5159" s="123">
        <v>10451494142</v>
      </c>
      <c r="D5159" s="126" t="s">
        <v>18376</v>
      </c>
      <c r="E5159" s="126" t="s">
        <v>18377</v>
      </c>
      <c r="F5159" s="123" t="s">
        <v>30</v>
      </c>
      <c r="G5159" s="123" t="s">
        <v>30</v>
      </c>
      <c r="H5159" s="123" t="s">
        <v>50</v>
      </c>
      <c r="I5159" s="126" t="s">
        <v>1950</v>
      </c>
      <c r="J5159" s="123" t="s">
        <v>18378</v>
      </c>
      <c r="K5159" s="123" t="s">
        <v>18376</v>
      </c>
      <c r="L5159" s="131" t="s">
        <v>100</v>
      </c>
      <c r="M5159" s="135" t="s">
        <v>845</v>
      </c>
      <c r="N5159" s="123" t="s">
        <v>845</v>
      </c>
    </row>
    <row r="5160" spans="2:14" hidden="1" x14ac:dyDescent="0.25">
      <c r="B5160" s="120">
        <v>5157</v>
      </c>
      <c r="C5160" s="123">
        <v>10763301937</v>
      </c>
      <c r="D5160" s="126" t="s">
        <v>18379</v>
      </c>
      <c r="E5160" s="126" t="s">
        <v>18380</v>
      </c>
      <c r="F5160" s="123" t="s">
        <v>30</v>
      </c>
      <c r="G5160" s="123" t="s">
        <v>30</v>
      </c>
      <c r="H5160" s="123" t="s">
        <v>43</v>
      </c>
      <c r="I5160" s="126" t="s">
        <v>17471</v>
      </c>
      <c r="J5160" s="123" t="s">
        <v>18381</v>
      </c>
      <c r="K5160" s="123" t="s">
        <v>18382</v>
      </c>
      <c r="L5160" s="131" t="s">
        <v>100</v>
      </c>
      <c r="M5160" s="135" t="s">
        <v>845</v>
      </c>
      <c r="N5160" s="123" t="s">
        <v>845</v>
      </c>
    </row>
    <row r="5161" spans="2:14" hidden="1" x14ac:dyDescent="0.25">
      <c r="B5161" s="120">
        <v>5158</v>
      </c>
      <c r="C5161" s="123">
        <v>10400392329</v>
      </c>
      <c r="D5161" s="126" t="s">
        <v>18383</v>
      </c>
      <c r="E5161" s="126" t="s">
        <v>18384</v>
      </c>
      <c r="F5161" s="123" t="s">
        <v>30</v>
      </c>
      <c r="G5161" s="123" t="s">
        <v>30</v>
      </c>
      <c r="H5161" s="123" t="s">
        <v>88</v>
      </c>
      <c r="I5161" s="126" t="s">
        <v>1701</v>
      </c>
      <c r="J5161" s="123" t="s">
        <v>18385</v>
      </c>
      <c r="K5161" s="123" t="s">
        <v>18383</v>
      </c>
      <c r="L5161" s="131" t="s">
        <v>100</v>
      </c>
      <c r="M5161" s="135" t="s">
        <v>845</v>
      </c>
      <c r="N5161" s="123" t="s">
        <v>845</v>
      </c>
    </row>
    <row r="5162" spans="2:14" hidden="1" x14ac:dyDescent="0.25">
      <c r="B5162" s="120">
        <v>5159</v>
      </c>
      <c r="C5162" s="123">
        <v>10402618731</v>
      </c>
      <c r="D5162" s="126" t="s">
        <v>18386</v>
      </c>
      <c r="E5162" s="126" t="s">
        <v>18387</v>
      </c>
      <c r="F5162" s="123" t="s">
        <v>30</v>
      </c>
      <c r="G5162" s="123" t="s">
        <v>31</v>
      </c>
      <c r="H5162" s="123" t="s">
        <v>65</v>
      </c>
      <c r="I5162" s="126" t="s">
        <v>1936</v>
      </c>
      <c r="J5162" s="123" t="s">
        <v>18388</v>
      </c>
      <c r="K5162" s="123" t="s">
        <v>18386</v>
      </c>
      <c r="L5162" s="131" t="s">
        <v>100</v>
      </c>
      <c r="M5162" s="135" t="s">
        <v>845</v>
      </c>
      <c r="N5162" s="123" t="s">
        <v>845</v>
      </c>
    </row>
    <row r="5163" spans="2:14" hidden="1" x14ac:dyDescent="0.25">
      <c r="B5163" s="120">
        <v>5160</v>
      </c>
      <c r="C5163" s="123">
        <v>10103932691</v>
      </c>
      <c r="D5163" s="126" t="s">
        <v>18389</v>
      </c>
      <c r="E5163" s="126" t="s">
        <v>18390</v>
      </c>
      <c r="F5163" s="123" t="s">
        <v>30</v>
      </c>
      <c r="G5163" s="123" t="s">
        <v>30</v>
      </c>
      <c r="H5163" s="123" t="s">
        <v>58</v>
      </c>
      <c r="I5163" s="126" t="s">
        <v>8743</v>
      </c>
      <c r="J5163" s="123" t="s">
        <v>18391</v>
      </c>
      <c r="K5163" s="123" t="s">
        <v>18389</v>
      </c>
      <c r="L5163" s="131" t="s">
        <v>100</v>
      </c>
      <c r="M5163" s="135" t="s">
        <v>845</v>
      </c>
      <c r="N5163" s="123" t="s">
        <v>845</v>
      </c>
    </row>
    <row r="5164" spans="2:14" hidden="1" x14ac:dyDescent="0.25">
      <c r="B5164" s="120">
        <v>5161</v>
      </c>
      <c r="C5164" s="123">
        <v>10740955115</v>
      </c>
      <c r="D5164" s="126" t="s">
        <v>18392</v>
      </c>
      <c r="E5164" s="126" t="s">
        <v>18393</v>
      </c>
      <c r="F5164" s="123" t="s">
        <v>30</v>
      </c>
      <c r="G5164" s="123" t="s">
        <v>31</v>
      </c>
      <c r="H5164" s="123" t="s">
        <v>92</v>
      </c>
      <c r="I5164" s="126" t="s">
        <v>1439</v>
      </c>
      <c r="J5164" s="123" t="s">
        <v>18394</v>
      </c>
      <c r="K5164" s="123" t="s">
        <v>18392</v>
      </c>
      <c r="L5164" s="131" t="s">
        <v>100</v>
      </c>
      <c r="M5164" s="135" t="s">
        <v>845</v>
      </c>
      <c r="N5164" s="123" t="s">
        <v>845</v>
      </c>
    </row>
    <row r="5165" spans="2:14" hidden="1" x14ac:dyDescent="0.25">
      <c r="B5165" s="120">
        <v>5162</v>
      </c>
      <c r="C5165" s="123">
        <v>10461365120</v>
      </c>
      <c r="D5165" s="126" t="s">
        <v>18395</v>
      </c>
      <c r="E5165" s="126" t="s">
        <v>18396</v>
      </c>
      <c r="F5165" s="123" t="s">
        <v>269</v>
      </c>
      <c r="G5165" s="123" t="s">
        <v>270</v>
      </c>
      <c r="H5165" s="123" t="s">
        <v>270</v>
      </c>
      <c r="I5165" s="126" t="s">
        <v>1737</v>
      </c>
      <c r="J5165" s="123" t="s">
        <v>18397</v>
      </c>
      <c r="K5165" s="123" t="s">
        <v>18395</v>
      </c>
      <c r="L5165" s="131" t="s">
        <v>100</v>
      </c>
      <c r="M5165" s="135" t="s">
        <v>845</v>
      </c>
      <c r="N5165" s="123" t="s">
        <v>845</v>
      </c>
    </row>
    <row r="5166" spans="2:14" hidden="1" x14ac:dyDescent="0.25">
      <c r="B5166" s="120">
        <v>5163</v>
      </c>
      <c r="C5166" s="123">
        <v>10447940669</v>
      </c>
      <c r="D5166" s="126" t="s">
        <v>18398</v>
      </c>
      <c r="E5166" s="126" t="s">
        <v>18399</v>
      </c>
      <c r="F5166" s="123" t="s">
        <v>30</v>
      </c>
      <c r="G5166" s="123" t="s">
        <v>30</v>
      </c>
      <c r="H5166" s="123" t="s">
        <v>50</v>
      </c>
      <c r="I5166" s="126" t="s">
        <v>1950</v>
      </c>
      <c r="J5166" s="123" t="s">
        <v>18400</v>
      </c>
      <c r="K5166" s="123" t="s">
        <v>18398</v>
      </c>
      <c r="L5166" s="131" t="s">
        <v>100</v>
      </c>
      <c r="M5166" s="135" t="s">
        <v>845</v>
      </c>
      <c r="N5166" s="123" t="s">
        <v>845</v>
      </c>
    </row>
    <row r="5167" spans="2:14" hidden="1" x14ac:dyDescent="0.25">
      <c r="B5167" s="120">
        <v>5164</v>
      </c>
      <c r="C5167" s="123">
        <v>10411805625</v>
      </c>
      <c r="D5167" s="126" t="s">
        <v>18401</v>
      </c>
      <c r="E5167" s="126" t="s">
        <v>18402</v>
      </c>
      <c r="F5167" s="123" t="s">
        <v>30</v>
      </c>
      <c r="G5167" s="123" t="s">
        <v>30</v>
      </c>
      <c r="H5167" s="123" t="s">
        <v>34</v>
      </c>
      <c r="I5167" s="126" t="s">
        <v>14002</v>
      </c>
      <c r="J5167" s="123" t="s">
        <v>18403</v>
      </c>
      <c r="K5167" s="123" t="s">
        <v>18404</v>
      </c>
      <c r="L5167" s="131" t="s">
        <v>100</v>
      </c>
      <c r="M5167" s="135" t="s">
        <v>845</v>
      </c>
      <c r="N5167" s="123" t="s">
        <v>845</v>
      </c>
    </row>
    <row r="5168" spans="2:14" hidden="1" x14ac:dyDescent="0.25">
      <c r="B5168" s="120">
        <v>5165</v>
      </c>
      <c r="C5168" s="123">
        <v>10423884024</v>
      </c>
      <c r="D5168" s="126" t="s">
        <v>18405</v>
      </c>
      <c r="E5168" s="126" t="s">
        <v>18406</v>
      </c>
      <c r="F5168" s="123" t="s">
        <v>67</v>
      </c>
      <c r="G5168" s="123" t="s">
        <v>67</v>
      </c>
      <c r="H5168" s="123" t="s">
        <v>67</v>
      </c>
      <c r="I5168" s="126" t="s">
        <v>1424</v>
      </c>
      <c r="J5168" s="123" t="s">
        <v>18407</v>
      </c>
      <c r="K5168" s="123" t="s">
        <v>18408</v>
      </c>
      <c r="L5168" s="131" t="s">
        <v>100</v>
      </c>
      <c r="M5168" s="135" t="s">
        <v>845</v>
      </c>
      <c r="N5168" s="123" t="s">
        <v>845</v>
      </c>
    </row>
    <row r="5169" spans="2:14" hidden="1" x14ac:dyDescent="0.25">
      <c r="B5169" s="120">
        <v>5166</v>
      </c>
      <c r="C5169" s="123">
        <v>10443064422</v>
      </c>
      <c r="D5169" s="126" t="s">
        <v>18409</v>
      </c>
      <c r="E5169" s="126" t="s">
        <v>18410</v>
      </c>
      <c r="F5169" s="123" t="s">
        <v>30</v>
      </c>
      <c r="G5169" s="123" t="s">
        <v>30</v>
      </c>
      <c r="H5169" s="123" t="s">
        <v>45</v>
      </c>
      <c r="I5169" s="126" t="s">
        <v>1450</v>
      </c>
      <c r="J5169" s="123" t="s">
        <v>5460</v>
      </c>
      <c r="K5169" s="123" t="s">
        <v>18411</v>
      </c>
      <c r="L5169" s="131" t="s">
        <v>100</v>
      </c>
      <c r="M5169" s="135" t="s">
        <v>845</v>
      </c>
      <c r="N5169" s="123" t="s">
        <v>845</v>
      </c>
    </row>
    <row r="5170" spans="2:14" hidden="1" x14ac:dyDescent="0.25">
      <c r="B5170" s="120">
        <v>5167</v>
      </c>
      <c r="C5170" s="123">
        <v>10406382767</v>
      </c>
      <c r="D5170" s="126" t="s">
        <v>18412</v>
      </c>
      <c r="E5170" s="126" t="s">
        <v>18413</v>
      </c>
      <c r="F5170" s="123" t="s">
        <v>30</v>
      </c>
      <c r="G5170" s="123" t="s">
        <v>30</v>
      </c>
      <c r="H5170" s="123" t="s">
        <v>39</v>
      </c>
      <c r="I5170" s="126" t="s">
        <v>101</v>
      </c>
      <c r="J5170" s="123" t="s">
        <v>18414</v>
      </c>
      <c r="K5170" s="123" t="s">
        <v>18412</v>
      </c>
      <c r="L5170" s="131" t="s">
        <v>100</v>
      </c>
      <c r="M5170" s="135" t="s">
        <v>845</v>
      </c>
      <c r="N5170" s="123" t="s">
        <v>845</v>
      </c>
    </row>
    <row r="5171" spans="2:14" hidden="1" x14ac:dyDescent="0.25">
      <c r="B5171" s="120">
        <v>5168</v>
      </c>
      <c r="C5171" s="123">
        <v>10408795741</v>
      </c>
      <c r="D5171" s="126" t="s">
        <v>18415</v>
      </c>
      <c r="E5171" s="126" t="s">
        <v>18416</v>
      </c>
      <c r="F5171" s="123" t="s">
        <v>30</v>
      </c>
      <c r="G5171" s="123" t="s">
        <v>30</v>
      </c>
      <c r="H5171" s="123" t="s">
        <v>79</v>
      </c>
      <c r="I5171" s="126" t="s">
        <v>1701</v>
      </c>
      <c r="J5171" s="123" t="s">
        <v>18417</v>
      </c>
      <c r="K5171" s="123" t="s">
        <v>18415</v>
      </c>
      <c r="L5171" s="131" t="s">
        <v>100</v>
      </c>
      <c r="M5171" s="135" t="s">
        <v>845</v>
      </c>
      <c r="N5171" s="123" t="s">
        <v>845</v>
      </c>
    </row>
    <row r="5172" spans="2:14" hidden="1" x14ac:dyDescent="0.25">
      <c r="B5172" s="120">
        <v>5169</v>
      </c>
      <c r="C5172" s="123">
        <v>10412050628</v>
      </c>
      <c r="D5172" s="126" t="s">
        <v>18418</v>
      </c>
      <c r="E5172" s="126" t="s">
        <v>18419</v>
      </c>
      <c r="F5172" s="123" t="s">
        <v>30</v>
      </c>
      <c r="G5172" s="123" t="s">
        <v>30</v>
      </c>
      <c r="H5172" s="123" t="s">
        <v>30</v>
      </c>
      <c r="I5172" s="126" t="s">
        <v>1528</v>
      </c>
      <c r="J5172" s="123" t="s">
        <v>18420</v>
      </c>
      <c r="K5172" s="123" t="s">
        <v>18418</v>
      </c>
      <c r="L5172" s="131" t="s">
        <v>100</v>
      </c>
      <c r="M5172" s="135" t="s">
        <v>845</v>
      </c>
      <c r="N5172" s="123" t="s">
        <v>845</v>
      </c>
    </row>
    <row r="5173" spans="2:14" hidden="1" x14ac:dyDescent="0.25">
      <c r="B5173" s="120">
        <v>5170</v>
      </c>
      <c r="C5173" s="123">
        <v>10431167340</v>
      </c>
      <c r="D5173" s="126" t="s">
        <v>18421</v>
      </c>
      <c r="E5173" s="126" t="s">
        <v>18422</v>
      </c>
      <c r="F5173" s="123" t="s">
        <v>30</v>
      </c>
      <c r="G5173" s="123" t="s">
        <v>170</v>
      </c>
      <c r="H5173" s="123" t="s">
        <v>171</v>
      </c>
      <c r="I5173" s="126" t="s">
        <v>9103</v>
      </c>
      <c r="J5173" s="123" t="s">
        <v>18423</v>
      </c>
      <c r="K5173" s="123" t="s">
        <v>18421</v>
      </c>
      <c r="L5173" s="131" t="s">
        <v>100</v>
      </c>
      <c r="M5173" s="135" t="s">
        <v>845</v>
      </c>
      <c r="N5173" s="123" t="s">
        <v>845</v>
      </c>
    </row>
    <row r="5174" spans="2:14" hidden="1" x14ac:dyDescent="0.25">
      <c r="B5174" s="120">
        <v>5171</v>
      </c>
      <c r="C5174" s="123">
        <v>10451350167</v>
      </c>
      <c r="D5174" s="126" t="s">
        <v>18424</v>
      </c>
      <c r="E5174" s="126" t="s">
        <v>18425</v>
      </c>
      <c r="F5174" s="123" t="s">
        <v>30</v>
      </c>
      <c r="G5174" s="123" t="s">
        <v>170</v>
      </c>
      <c r="H5174" s="123" t="s">
        <v>170</v>
      </c>
      <c r="I5174" s="126" t="s">
        <v>1950</v>
      </c>
      <c r="J5174" s="123" t="s">
        <v>18426</v>
      </c>
      <c r="K5174" s="123" t="s">
        <v>18427</v>
      </c>
      <c r="L5174" s="131" t="s">
        <v>100</v>
      </c>
      <c r="M5174" s="135" t="s">
        <v>845</v>
      </c>
      <c r="N5174" s="123" t="s">
        <v>845</v>
      </c>
    </row>
    <row r="5175" spans="2:14" hidden="1" x14ac:dyDescent="0.25">
      <c r="B5175" s="120">
        <v>5172</v>
      </c>
      <c r="C5175" s="123">
        <v>10403975813</v>
      </c>
      <c r="D5175" s="126" t="s">
        <v>18428</v>
      </c>
      <c r="E5175" s="126" t="s">
        <v>18429</v>
      </c>
      <c r="F5175" s="123" t="s">
        <v>30</v>
      </c>
      <c r="G5175" s="123" t="s">
        <v>30</v>
      </c>
      <c r="H5175" s="123" t="s">
        <v>58</v>
      </c>
      <c r="I5175" s="126" t="s">
        <v>1706</v>
      </c>
      <c r="J5175" s="123" t="s">
        <v>18430</v>
      </c>
      <c r="K5175" s="123" t="s">
        <v>18428</v>
      </c>
      <c r="L5175" s="131" t="s">
        <v>100</v>
      </c>
      <c r="M5175" s="135" t="s">
        <v>845</v>
      </c>
      <c r="N5175" s="123" t="s">
        <v>845</v>
      </c>
    </row>
    <row r="5176" spans="2:14" hidden="1" x14ac:dyDescent="0.25">
      <c r="B5176" s="120">
        <v>5173</v>
      </c>
      <c r="C5176" s="123">
        <v>10741339159</v>
      </c>
      <c r="D5176" s="126" t="s">
        <v>18431</v>
      </c>
      <c r="E5176" s="126" t="s">
        <v>18432</v>
      </c>
      <c r="F5176" s="123" t="s">
        <v>30</v>
      </c>
      <c r="G5176" s="123" t="s">
        <v>30</v>
      </c>
      <c r="H5176" s="123" t="s">
        <v>50</v>
      </c>
      <c r="I5176" s="126" t="s">
        <v>1950</v>
      </c>
      <c r="J5176" s="123" t="s">
        <v>18433</v>
      </c>
      <c r="K5176" s="123" t="s">
        <v>18431</v>
      </c>
      <c r="L5176" s="131" t="s">
        <v>100</v>
      </c>
      <c r="M5176" s="135" t="s">
        <v>845</v>
      </c>
      <c r="N5176" s="123" t="s">
        <v>845</v>
      </c>
    </row>
    <row r="5177" spans="2:14" hidden="1" x14ac:dyDescent="0.25">
      <c r="B5177" s="120">
        <v>5174</v>
      </c>
      <c r="C5177" s="123">
        <v>10449163201</v>
      </c>
      <c r="D5177" s="126" t="s">
        <v>18434</v>
      </c>
      <c r="E5177" s="126" t="s">
        <v>18435</v>
      </c>
      <c r="F5177" s="123" t="s">
        <v>30</v>
      </c>
      <c r="G5177" s="123" t="s">
        <v>30</v>
      </c>
      <c r="H5177" s="123" t="s">
        <v>51</v>
      </c>
      <c r="I5177" s="126" t="s">
        <v>1952</v>
      </c>
      <c r="J5177" s="123" t="s">
        <v>18436</v>
      </c>
      <c r="K5177" s="123" t="s">
        <v>18437</v>
      </c>
      <c r="L5177" s="131" t="s">
        <v>100</v>
      </c>
      <c r="M5177" s="135" t="s">
        <v>845</v>
      </c>
      <c r="N5177" s="123" t="s">
        <v>845</v>
      </c>
    </row>
    <row r="5178" spans="2:14" hidden="1" x14ac:dyDescent="0.25">
      <c r="B5178" s="120">
        <v>5175</v>
      </c>
      <c r="C5178" s="123">
        <v>10100699716</v>
      </c>
      <c r="D5178" s="126" t="s">
        <v>18438</v>
      </c>
      <c r="E5178" s="126" t="s">
        <v>18439</v>
      </c>
      <c r="F5178" s="123" t="s">
        <v>30</v>
      </c>
      <c r="G5178" s="123" t="s">
        <v>30</v>
      </c>
      <c r="H5178" s="123" t="s">
        <v>75</v>
      </c>
      <c r="I5178" s="126" t="s">
        <v>1727</v>
      </c>
      <c r="J5178" s="123" t="s">
        <v>18440</v>
      </c>
      <c r="K5178" s="123" t="s">
        <v>18438</v>
      </c>
      <c r="L5178" s="131" t="s">
        <v>100</v>
      </c>
      <c r="M5178" s="135" t="s">
        <v>845</v>
      </c>
      <c r="N5178" s="123" t="s">
        <v>845</v>
      </c>
    </row>
    <row r="5179" spans="2:14" hidden="1" x14ac:dyDescent="0.25">
      <c r="B5179" s="120">
        <v>5176</v>
      </c>
      <c r="C5179" s="123">
        <v>10442407491</v>
      </c>
      <c r="D5179" s="126" t="s">
        <v>18441</v>
      </c>
      <c r="E5179" s="126" t="s">
        <v>18442</v>
      </c>
      <c r="F5179" s="123" t="s">
        <v>30</v>
      </c>
      <c r="G5179" s="123" t="s">
        <v>30</v>
      </c>
      <c r="H5179" s="123" t="s">
        <v>60</v>
      </c>
      <c r="I5179" s="126" t="s">
        <v>1439</v>
      </c>
      <c r="J5179" s="123" t="s">
        <v>18443</v>
      </c>
      <c r="K5179" s="123" t="s">
        <v>18444</v>
      </c>
      <c r="L5179" s="131" t="s">
        <v>100</v>
      </c>
      <c r="M5179" s="135" t="s">
        <v>845</v>
      </c>
      <c r="N5179" s="123" t="s">
        <v>845</v>
      </c>
    </row>
    <row r="5180" spans="2:14" hidden="1" x14ac:dyDescent="0.25">
      <c r="B5180" s="120">
        <v>5177</v>
      </c>
      <c r="C5180" s="123">
        <v>10153851153</v>
      </c>
      <c r="D5180" s="126" t="s">
        <v>18445</v>
      </c>
      <c r="E5180" s="126" t="s">
        <v>18446</v>
      </c>
      <c r="F5180" s="123" t="s">
        <v>30</v>
      </c>
      <c r="G5180" s="123" t="s">
        <v>30</v>
      </c>
      <c r="H5180" s="123" t="s">
        <v>60</v>
      </c>
      <c r="I5180" s="126" t="s">
        <v>1936</v>
      </c>
      <c r="J5180" s="123" t="s">
        <v>18447</v>
      </c>
      <c r="K5180" s="123" t="s">
        <v>18445</v>
      </c>
      <c r="L5180" s="131" t="s">
        <v>100</v>
      </c>
      <c r="M5180" s="135" t="s">
        <v>845</v>
      </c>
      <c r="N5180" s="123" t="s">
        <v>845</v>
      </c>
    </row>
    <row r="5181" spans="2:14" hidden="1" x14ac:dyDescent="0.25">
      <c r="B5181" s="120">
        <v>5178</v>
      </c>
      <c r="C5181" s="123">
        <v>10090768226</v>
      </c>
      <c r="D5181" s="126" t="s">
        <v>18448</v>
      </c>
      <c r="E5181" s="126" t="s">
        <v>18449</v>
      </c>
      <c r="F5181" s="123" t="s">
        <v>67</v>
      </c>
      <c r="G5181" s="123" t="s">
        <v>67</v>
      </c>
      <c r="H5181" s="123" t="s">
        <v>94</v>
      </c>
      <c r="I5181" s="126" t="s">
        <v>9445</v>
      </c>
      <c r="J5181" s="123" t="s">
        <v>18450</v>
      </c>
      <c r="K5181" s="123" t="s">
        <v>18448</v>
      </c>
      <c r="L5181" s="131" t="s">
        <v>100</v>
      </c>
      <c r="M5181" s="135" t="s">
        <v>845</v>
      </c>
      <c r="N5181" s="123" t="s">
        <v>845</v>
      </c>
    </row>
    <row r="5182" spans="2:14" hidden="1" x14ac:dyDescent="0.25">
      <c r="B5182" s="120">
        <v>5179</v>
      </c>
      <c r="C5182" s="123">
        <v>10457570088</v>
      </c>
      <c r="D5182" s="126" t="s">
        <v>18451</v>
      </c>
      <c r="E5182" s="126" t="s">
        <v>18452</v>
      </c>
      <c r="F5182" s="123" t="s">
        <v>30</v>
      </c>
      <c r="G5182" s="123" t="s">
        <v>30</v>
      </c>
      <c r="H5182" s="123" t="s">
        <v>68</v>
      </c>
      <c r="I5182" s="126" t="s">
        <v>1805</v>
      </c>
      <c r="J5182" s="123" t="s">
        <v>18453</v>
      </c>
      <c r="K5182" s="123" t="s">
        <v>18451</v>
      </c>
      <c r="L5182" s="131" t="s">
        <v>100</v>
      </c>
      <c r="M5182" s="135" t="s">
        <v>845</v>
      </c>
      <c r="N5182" s="123" t="s">
        <v>845</v>
      </c>
    </row>
    <row r="5183" spans="2:14" hidden="1" x14ac:dyDescent="0.25">
      <c r="B5183" s="120">
        <v>5180</v>
      </c>
      <c r="C5183" s="123">
        <v>10104874466</v>
      </c>
      <c r="D5183" s="126" t="s">
        <v>18454</v>
      </c>
      <c r="E5183" s="126" t="s">
        <v>18455</v>
      </c>
      <c r="F5183" s="123" t="s">
        <v>30</v>
      </c>
      <c r="G5183" s="123" t="s">
        <v>30</v>
      </c>
      <c r="H5183" s="123" t="s">
        <v>51</v>
      </c>
      <c r="I5183" s="126" t="s">
        <v>1701</v>
      </c>
      <c r="J5183" s="123" t="s">
        <v>18456</v>
      </c>
      <c r="K5183" s="123" t="s">
        <v>18454</v>
      </c>
      <c r="L5183" s="131" t="s">
        <v>100</v>
      </c>
      <c r="M5183" s="135" t="s">
        <v>845</v>
      </c>
      <c r="N5183" s="123" t="s">
        <v>845</v>
      </c>
    </row>
    <row r="5184" spans="2:14" hidden="1" x14ac:dyDescent="0.25">
      <c r="B5184" s="120">
        <v>5181</v>
      </c>
      <c r="C5184" s="123">
        <v>10431804030</v>
      </c>
      <c r="D5184" s="126" t="s">
        <v>18457</v>
      </c>
      <c r="E5184" s="126" t="s">
        <v>18458</v>
      </c>
      <c r="F5184" s="123" t="s">
        <v>30</v>
      </c>
      <c r="G5184" s="123" t="s">
        <v>30</v>
      </c>
      <c r="H5184" s="123" t="s">
        <v>58</v>
      </c>
      <c r="I5184" s="126" t="s">
        <v>1701</v>
      </c>
      <c r="J5184" s="123" t="s">
        <v>18459</v>
      </c>
      <c r="K5184" s="123" t="s">
        <v>18457</v>
      </c>
      <c r="L5184" s="131" t="s">
        <v>100</v>
      </c>
      <c r="M5184" s="135" t="s">
        <v>845</v>
      </c>
      <c r="N5184" s="123" t="s">
        <v>845</v>
      </c>
    </row>
    <row r="5185" spans="2:14" hidden="1" x14ac:dyDescent="0.25">
      <c r="B5185" s="120">
        <v>5182</v>
      </c>
      <c r="C5185" s="123">
        <v>10153583001</v>
      </c>
      <c r="D5185" s="126" t="s">
        <v>18460</v>
      </c>
      <c r="E5185" s="126" t="s">
        <v>18461</v>
      </c>
      <c r="F5185" s="123" t="s">
        <v>30</v>
      </c>
      <c r="G5185" s="123" t="s">
        <v>31</v>
      </c>
      <c r="H5185" s="123" t="s">
        <v>9381</v>
      </c>
      <c r="I5185" s="126" t="s">
        <v>13215</v>
      </c>
      <c r="J5185" s="123" t="s">
        <v>18462</v>
      </c>
      <c r="K5185" s="123" t="s">
        <v>18460</v>
      </c>
      <c r="L5185" s="131" t="s">
        <v>100</v>
      </c>
      <c r="M5185" s="135" t="s">
        <v>845</v>
      </c>
      <c r="N5185" s="123" t="s">
        <v>845</v>
      </c>
    </row>
    <row r="5186" spans="2:14" hidden="1" x14ac:dyDescent="0.25">
      <c r="B5186" s="120">
        <v>5183</v>
      </c>
      <c r="C5186" s="123">
        <v>10409914417</v>
      </c>
      <c r="D5186" s="126" t="s">
        <v>18463</v>
      </c>
      <c r="E5186" s="126" t="s">
        <v>18464</v>
      </c>
      <c r="F5186" s="123" t="s">
        <v>30</v>
      </c>
      <c r="G5186" s="123" t="s">
        <v>30</v>
      </c>
      <c r="H5186" s="123" t="s">
        <v>41</v>
      </c>
      <c r="I5186" s="126" t="s">
        <v>1980</v>
      </c>
      <c r="J5186" s="123" t="s">
        <v>18465</v>
      </c>
      <c r="K5186" s="123" t="s">
        <v>18463</v>
      </c>
      <c r="L5186" s="131" t="s">
        <v>100</v>
      </c>
      <c r="M5186" s="135" t="s">
        <v>845</v>
      </c>
      <c r="N5186" s="123" t="s">
        <v>845</v>
      </c>
    </row>
    <row r="5187" spans="2:14" hidden="1" x14ac:dyDescent="0.25">
      <c r="B5187" s="120">
        <v>5184</v>
      </c>
      <c r="C5187" s="123">
        <v>10731095847</v>
      </c>
      <c r="D5187" s="126" t="s">
        <v>18466</v>
      </c>
      <c r="E5187" s="126" t="s">
        <v>18467</v>
      </c>
      <c r="F5187" s="123" t="s">
        <v>30</v>
      </c>
      <c r="G5187" s="123" t="s">
        <v>31</v>
      </c>
      <c r="H5187" s="123" t="s">
        <v>12658</v>
      </c>
      <c r="I5187" s="126" t="s">
        <v>18468</v>
      </c>
      <c r="J5187" s="123" t="s">
        <v>18469</v>
      </c>
      <c r="K5187" s="123" t="s">
        <v>18466</v>
      </c>
      <c r="L5187" s="131" t="s">
        <v>100</v>
      </c>
      <c r="M5187" s="135" t="s">
        <v>845</v>
      </c>
      <c r="N5187" s="123" t="s">
        <v>845</v>
      </c>
    </row>
    <row r="5188" spans="2:14" hidden="1" x14ac:dyDescent="0.25">
      <c r="B5188" s="120">
        <v>5185</v>
      </c>
      <c r="C5188" s="123">
        <v>10461217660</v>
      </c>
      <c r="D5188" s="126" t="s">
        <v>18470</v>
      </c>
      <c r="E5188" s="126" t="s">
        <v>18471</v>
      </c>
      <c r="F5188" s="123" t="s">
        <v>30</v>
      </c>
      <c r="G5188" s="123" t="s">
        <v>30</v>
      </c>
      <c r="H5188" s="123" t="s">
        <v>50</v>
      </c>
      <c r="I5188" s="126" t="s">
        <v>9402</v>
      </c>
      <c r="J5188" s="123" t="s">
        <v>18472</v>
      </c>
      <c r="K5188" s="123" t="s">
        <v>18473</v>
      </c>
      <c r="L5188" s="131" t="s">
        <v>100</v>
      </c>
      <c r="M5188" s="135" t="s">
        <v>845</v>
      </c>
      <c r="N5188" s="123" t="s">
        <v>845</v>
      </c>
    </row>
    <row r="5189" spans="2:14" hidden="1" x14ac:dyDescent="0.25">
      <c r="B5189" s="120">
        <v>5186</v>
      </c>
      <c r="C5189" s="123">
        <v>10415996450</v>
      </c>
      <c r="D5189" s="126" t="s">
        <v>18474</v>
      </c>
      <c r="E5189" s="126" t="s">
        <v>18475</v>
      </c>
      <c r="F5189" s="123" t="s">
        <v>30</v>
      </c>
      <c r="G5189" s="123" t="s">
        <v>30</v>
      </c>
      <c r="H5189" s="123" t="s">
        <v>50</v>
      </c>
      <c r="I5189" s="126" t="s">
        <v>1931</v>
      </c>
      <c r="J5189" s="123" t="s">
        <v>18476</v>
      </c>
      <c r="K5189" s="123" t="s">
        <v>18474</v>
      </c>
      <c r="L5189" s="131" t="s">
        <v>100</v>
      </c>
      <c r="M5189" s="135" t="s">
        <v>845</v>
      </c>
      <c r="N5189" s="123" t="s">
        <v>845</v>
      </c>
    </row>
    <row r="5190" spans="2:14" hidden="1" x14ac:dyDescent="0.25">
      <c r="B5190" s="120">
        <v>5187</v>
      </c>
      <c r="C5190" s="123">
        <v>10457483983</v>
      </c>
      <c r="D5190" s="126" t="s">
        <v>18477</v>
      </c>
      <c r="E5190" s="126" t="s">
        <v>18478</v>
      </c>
      <c r="F5190" s="123" t="s">
        <v>30</v>
      </c>
      <c r="G5190" s="123" t="s">
        <v>30</v>
      </c>
      <c r="H5190" s="123" t="s">
        <v>72</v>
      </c>
      <c r="I5190" s="126" t="s">
        <v>1499</v>
      </c>
      <c r="J5190" s="123" t="s">
        <v>18479</v>
      </c>
      <c r="K5190" s="123" t="s">
        <v>18477</v>
      </c>
      <c r="L5190" s="131" t="s">
        <v>100</v>
      </c>
      <c r="M5190" s="135" t="s">
        <v>845</v>
      </c>
      <c r="N5190" s="123" t="s">
        <v>845</v>
      </c>
    </row>
    <row r="5191" spans="2:14" hidden="1" x14ac:dyDescent="0.25">
      <c r="B5191" s="120">
        <v>5188</v>
      </c>
      <c r="C5191" s="123">
        <v>10107559464</v>
      </c>
      <c r="D5191" s="126" t="s">
        <v>18480</v>
      </c>
      <c r="E5191" s="126" t="s">
        <v>18481</v>
      </c>
      <c r="F5191" s="123" t="s">
        <v>30</v>
      </c>
      <c r="G5191" s="123" t="s">
        <v>30</v>
      </c>
      <c r="H5191" s="123" t="s">
        <v>60</v>
      </c>
      <c r="I5191" s="126" t="s">
        <v>8743</v>
      </c>
      <c r="J5191" s="123" t="s">
        <v>18482</v>
      </c>
      <c r="K5191" s="123" t="s">
        <v>18480</v>
      </c>
      <c r="L5191" s="131" t="s">
        <v>100</v>
      </c>
      <c r="M5191" s="135" t="s">
        <v>845</v>
      </c>
      <c r="N5191" s="123" t="s">
        <v>845</v>
      </c>
    </row>
    <row r="5192" spans="2:14" hidden="1" x14ac:dyDescent="0.25">
      <c r="B5192" s="120">
        <v>5189</v>
      </c>
      <c r="C5192" s="123">
        <v>10406213256</v>
      </c>
      <c r="D5192" s="126" t="s">
        <v>18483</v>
      </c>
      <c r="E5192" s="126" t="s">
        <v>18484</v>
      </c>
      <c r="F5192" s="123" t="s">
        <v>30</v>
      </c>
      <c r="G5192" s="123" t="s">
        <v>30</v>
      </c>
      <c r="H5192" s="123" t="s">
        <v>37</v>
      </c>
      <c r="I5192" s="126" t="s">
        <v>1931</v>
      </c>
      <c r="J5192" s="123" t="s">
        <v>18485</v>
      </c>
      <c r="K5192" s="123" t="s">
        <v>18483</v>
      </c>
      <c r="L5192" s="131" t="s">
        <v>100</v>
      </c>
      <c r="M5192" s="135" t="s">
        <v>845</v>
      </c>
      <c r="N5192" s="123" t="s">
        <v>845</v>
      </c>
    </row>
    <row r="5193" spans="2:14" hidden="1" x14ac:dyDescent="0.25">
      <c r="B5193" s="120">
        <v>5190</v>
      </c>
      <c r="C5193" s="123">
        <v>10413789511</v>
      </c>
      <c r="D5193" s="126" t="s">
        <v>18486</v>
      </c>
      <c r="E5193" s="126" t="s">
        <v>18487</v>
      </c>
      <c r="F5193" s="123" t="s">
        <v>30</v>
      </c>
      <c r="G5193" s="123" t="s">
        <v>31</v>
      </c>
      <c r="H5193" s="123" t="s">
        <v>9381</v>
      </c>
      <c r="I5193" s="126" t="s">
        <v>17116</v>
      </c>
      <c r="J5193" s="123" t="s">
        <v>18488</v>
      </c>
      <c r="K5193" s="123" t="s">
        <v>18486</v>
      </c>
      <c r="L5193" s="131" t="s">
        <v>100</v>
      </c>
      <c r="M5193" s="135" t="s">
        <v>845</v>
      </c>
      <c r="N5193" s="123" t="s">
        <v>845</v>
      </c>
    </row>
    <row r="5194" spans="2:14" hidden="1" x14ac:dyDescent="0.25">
      <c r="B5194" s="120">
        <v>5191</v>
      </c>
      <c r="C5194" s="123">
        <v>10093448591</v>
      </c>
      <c r="D5194" s="126" t="s">
        <v>18489</v>
      </c>
      <c r="E5194" s="126" t="s">
        <v>18490</v>
      </c>
      <c r="F5194" s="123" t="s">
        <v>67</v>
      </c>
      <c r="G5194" s="123" t="s">
        <v>67</v>
      </c>
      <c r="H5194" s="123" t="s">
        <v>94</v>
      </c>
      <c r="I5194" s="126" t="s">
        <v>1564</v>
      </c>
      <c r="J5194" s="123" t="s">
        <v>18491</v>
      </c>
      <c r="K5194" s="123" t="s">
        <v>18489</v>
      </c>
      <c r="L5194" s="131" t="s">
        <v>100</v>
      </c>
      <c r="M5194" s="135" t="s">
        <v>845</v>
      </c>
      <c r="N5194" s="123" t="s">
        <v>845</v>
      </c>
    </row>
    <row r="5195" spans="2:14" hidden="1" x14ac:dyDescent="0.25">
      <c r="B5195" s="120">
        <v>5192</v>
      </c>
      <c r="C5195" s="123">
        <v>10175601274</v>
      </c>
      <c r="D5195" s="126" t="s">
        <v>18492</v>
      </c>
      <c r="E5195" s="126" t="s">
        <v>18493</v>
      </c>
      <c r="F5195" s="123" t="s">
        <v>30</v>
      </c>
      <c r="G5195" s="123" t="s">
        <v>30</v>
      </c>
      <c r="H5195" s="123" t="s">
        <v>52</v>
      </c>
      <c r="I5195" s="126" t="s">
        <v>1701</v>
      </c>
      <c r="J5195" s="123" t="s">
        <v>18494</v>
      </c>
      <c r="K5195" s="123" t="s">
        <v>18492</v>
      </c>
      <c r="L5195" s="131" t="s">
        <v>100</v>
      </c>
      <c r="M5195" s="135" t="s">
        <v>845</v>
      </c>
      <c r="N5195" s="123" t="s">
        <v>845</v>
      </c>
    </row>
    <row r="5196" spans="2:14" hidden="1" x14ac:dyDescent="0.25">
      <c r="B5196" s="120">
        <v>5193</v>
      </c>
      <c r="C5196" s="123">
        <v>10099063853</v>
      </c>
      <c r="D5196" s="126" t="s">
        <v>18495</v>
      </c>
      <c r="E5196" s="126" t="s">
        <v>18496</v>
      </c>
      <c r="F5196" s="123" t="s">
        <v>30</v>
      </c>
      <c r="G5196" s="123" t="s">
        <v>30</v>
      </c>
      <c r="H5196" s="123" t="s">
        <v>40</v>
      </c>
      <c r="I5196" s="126" t="s">
        <v>101</v>
      </c>
      <c r="J5196" s="123" t="s">
        <v>18497</v>
      </c>
      <c r="K5196" s="123" t="s">
        <v>18495</v>
      </c>
      <c r="L5196" s="131" t="s">
        <v>100</v>
      </c>
      <c r="M5196" s="135" t="s">
        <v>845</v>
      </c>
      <c r="N5196" s="123" t="s">
        <v>845</v>
      </c>
    </row>
    <row r="5197" spans="2:14" hidden="1" x14ac:dyDescent="0.25">
      <c r="B5197" s="120">
        <v>5194</v>
      </c>
      <c r="C5197" s="123">
        <v>10482302292</v>
      </c>
      <c r="D5197" s="126" t="s">
        <v>18498</v>
      </c>
      <c r="E5197" s="126" t="s">
        <v>18499</v>
      </c>
      <c r="F5197" s="123" t="s">
        <v>30</v>
      </c>
      <c r="G5197" s="123" t="s">
        <v>30</v>
      </c>
      <c r="H5197" s="123" t="s">
        <v>85</v>
      </c>
      <c r="I5197" s="126" t="s">
        <v>101</v>
      </c>
      <c r="J5197" s="123" t="s">
        <v>18500</v>
      </c>
      <c r="K5197" s="123" t="s">
        <v>18498</v>
      </c>
      <c r="L5197" s="131" t="s">
        <v>100</v>
      </c>
      <c r="M5197" s="135" t="s">
        <v>845</v>
      </c>
      <c r="N5197" s="123" t="s">
        <v>845</v>
      </c>
    </row>
    <row r="5198" spans="2:14" hidden="1" x14ac:dyDescent="0.25">
      <c r="B5198" s="120">
        <v>5195</v>
      </c>
      <c r="C5198" s="123">
        <v>10104261413</v>
      </c>
      <c r="D5198" s="126" t="s">
        <v>18501</v>
      </c>
      <c r="E5198" s="126" t="s">
        <v>18502</v>
      </c>
      <c r="F5198" s="123" t="s">
        <v>30</v>
      </c>
      <c r="G5198" s="123" t="s">
        <v>30</v>
      </c>
      <c r="H5198" s="123" t="s">
        <v>41</v>
      </c>
      <c r="I5198" s="126" t="s">
        <v>1949</v>
      </c>
      <c r="J5198" s="123" t="s">
        <v>18503</v>
      </c>
      <c r="K5198" s="123" t="s">
        <v>18501</v>
      </c>
      <c r="L5198" s="131" t="s">
        <v>100</v>
      </c>
      <c r="M5198" s="135" t="s">
        <v>845</v>
      </c>
      <c r="N5198" s="123" t="s">
        <v>845</v>
      </c>
    </row>
    <row r="5199" spans="2:14" hidden="1" x14ac:dyDescent="0.25">
      <c r="B5199" s="120">
        <v>5196</v>
      </c>
      <c r="C5199" s="123">
        <v>10079889453</v>
      </c>
      <c r="D5199" s="126" t="s">
        <v>18504</v>
      </c>
      <c r="E5199" s="126" t="s">
        <v>18505</v>
      </c>
      <c r="F5199" s="123" t="s">
        <v>30</v>
      </c>
      <c r="G5199" s="123" t="s">
        <v>30</v>
      </c>
      <c r="H5199" s="123" t="s">
        <v>397</v>
      </c>
      <c r="I5199" s="126" t="s">
        <v>1957</v>
      </c>
      <c r="J5199" s="123" t="s">
        <v>18506</v>
      </c>
      <c r="K5199" s="123" t="s">
        <v>18507</v>
      </c>
      <c r="L5199" s="131" t="s">
        <v>100</v>
      </c>
      <c r="M5199" s="135" t="s">
        <v>845</v>
      </c>
      <c r="N5199" s="123" t="s">
        <v>845</v>
      </c>
    </row>
    <row r="5200" spans="2:14" hidden="1" x14ac:dyDescent="0.25">
      <c r="B5200" s="120">
        <v>5197</v>
      </c>
      <c r="C5200" s="123">
        <v>10204079108</v>
      </c>
      <c r="D5200" s="126" t="s">
        <v>18508</v>
      </c>
      <c r="E5200" s="126" t="s">
        <v>18509</v>
      </c>
      <c r="F5200" s="123" t="s">
        <v>30</v>
      </c>
      <c r="G5200" s="123" t="s">
        <v>30</v>
      </c>
      <c r="H5200" s="123" t="s">
        <v>38</v>
      </c>
      <c r="I5200" s="126" t="s">
        <v>1953</v>
      </c>
      <c r="J5200" s="123" t="s">
        <v>18510</v>
      </c>
      <c r="K5200" s="123" t="s">
        <v>18508</v>
      </c>
      <c r="L5200" s="131" t="s">
        <v>100</v>
      </c>
      <c r="M5200" s="135" t="s">
        <v>845</v>
      </c>
      <c r="N5200" s="123" t="s">
        <v>845</v>
      </c>
    </row>
    <row r="5201" spans="2:14" hidden="1" x14ac:dyDescent="0.25">
      <c r="B5201" s="120">
        <v>5198</v>
      </c>
      <c r="C5201" s="123">
        <v>10153585925</v>
      </c>
      <c r="D5201" s="126" t="s">
        <v>18511</v>
      </c>
      <c r="E5201" s="126" t="s">
        <v>18512</v>
      </c>
      <c r="F5201" s="123" t="s">
        <v>30</v>
      </c>
      <c r="G5201" s="123" t="s">
        <v>31</v>
      </c>
      <c r="H5201" s="123" t="s">
        <v>9381</v>
      </c>
      <c r="I5201" s="126" t="s">
        <v>1930</v>
      </c>
      <c r="J5201" s="123" t="s">
        <v>18513</v>
      </c>
      <c r="K5201" s="123" t="s">
        <v>18511</v>
      </c>
      <c r="L5201" s="131" t="s">
        <v>100</v>
      </c>
      <c r="M5201" s="135" t="s">
        <v>845</v>
      </c>
      <c r="N5201" s="123" t="s">
        <v>845</v>
      </c>
    </row>
    <row r="5202" spans="2:14" hidden="1" x14ac:dyDescent="0.25">
      <c r="B5202" s="120">
        <v>5199</v>
      </c>
      <c r="C5202" s="123">
        <v>10429853937</v>
      </c>
      <c r="D5202" s="126" t="s">
        <v>18514</v>
      </c>
      <c r="E5202" s="126" t="s">
        <v>18515</v>
      </c>
      <c r="F5202" s="123" t="s">
        <v>30</v>
      </c>
      <c r="G5202" s="123" t="s">
        <v>30</v>
      </c>
      <c r="H5202" s="123" t="s">
        <v>38</v>
      </c>
      <c r="I5202" s="126" t="s">
        <v>1701</v>
      </c>
      <c r="J5202" s="123" t="s">
        <v>18516</v>
      </c>
      <c r="K5202" s="123" t="s">
        <v>18514</v>
      </c>
      <c r="L5202" s="131" t="s">
        <v>100</v>
      </c>
      <c r="M5202" s="135" t="s">
        <v>845</v>
      </c>
      <c r="N5202" s="123" t="s">
        <v>845</v>
      </c>
    </row>
    <row r="5203" spans="2:14" hidden="1" x14ac:dyDescent="0.25">
      <c r="B5203" s="120">
        <v>5200</v>
      </c>
      <c r="C5203" s="123">
        <v>10601978585</v>
      </c>
      <c r="D5203" s="126" t="s">
        <v>18517</v>
      </c>
      <c r="E5203" s="126" t="s">
        <v>18518</v>
      </c>
      <c r="F5203" s="123" t="s">
        <v>30</v>
      </c>
      <c r="G5203" s="123" t="s">
        <v>30</v>
      </c>
      <c r="H5203" s="123" t="s">
        <v>40</v>
      </c>
      <c r="I5203" s="126" t="s">
        <v>18519</v>
      </c>
      <c r="J5203" s="123" t="s">
        <v>18520</v>
      </c>
      <c r="K5203" s="123" t="s">
        <v>18521</v>
      </c>
      <c r="L5203" s="131" t="s">
        <v>100</v>
      </c>
      <c r="M5203" s="135" t="s">
        <v>845</v>
      </c>
      <c r="N5203" s="123" t="s">
        <v>845</v>
      </c>
    </row>
    <row r="5204" spans="2:14" hidden="1" x14ac:dyDescent="0.25">
      <c r="B5204" s="120">
        <v>5201</v>
      </c>
      <c r="C5204" s="123">
        <v>10413269593</v>
      </c>
      <c r="D5204" s="126" t="s">
        <v>18522</v>
      </c>
      <c r="E5204" s="126" t="s">
        <v>18523</v>
      </c>
      <c r="F5204" s="123" t="s">
        <v>30</v>
      </c>
      <c r="G5204" s="123" t="s">
        <v>30</v>
      </c>
      <c r="H5204" s="123" t="s">
        <v>58</v>
      </c>
      <c r="I5204" s="126" t="s">
        <v>1737</v>
      </c>
      <c r="J5204" s="123" t="s">
        <v>18524</v>
      </c>
      <c r="K5204" s="123" t="s">
        <v>18522</v>
      </c>
      <c r="L5204" s="131" t="s">
        <v>100</v>
      </c>
      <c r="M5204" s="135" t="s">
        <v>845</v>
      </c>
      <c r="N5204" s="123" t="s">
        <v>845</v>
      </c>
    </row>
    <row r="5205" spans="2:14" hidden="1" x14ac:dyDescent="0.25">
      <c r="B5205" s="120">
        <v>5202</v>
      </c>
      <c r="C5205" s="123">
        <v>10081280806</v>
      </c>
      <c r="D5205" s="126" t="s">
        <v>18525</v>
      </c>
      <c r="E5205" s="126" t="s">
        <v>18526</v>
      </c>
      <c r="F5205" s="123" t="s">
        <v>30</v>
      </c>
      <c r="G5205" s="123" t="s">
        <v>30</v>
      </c>
      <c r="H5205" s="123" t="s">
        <v>47</v>
      </c>
      <c r="I5205" s="126" t="s">
        <v>1643</v>
      </c>
      <c r="J5205" s="123" t="s">
        <v>18527</v>
      </c>
      <c r="K5205" s="123" t="s">
        <v>18528</v>
      </c>
      <c r="L5205" s="131" t="s">
        <v>100</v>
      </c>
      <c r="M5205" s="135" t="s">
        <v>845</v>
      </c>
      <c r="N5205" s="123" t="s">
        <v>845</v>
      </c>
    </row>
    <row r="5206" spans="2:14" hidden="1" x14ac:dyDescent="0.25">
      <c r="B5206" s="120">
        <v>5203</v>
      </c>
      <c r="C5206" s="123">
        <v>10258404578</v>
      </c>
      <c r="D5206" s="126" t="s">
        <v>18529</v>
      </c>
      <c r="E5206" s="126" t="s">
        <v>18530</v>
      </c>
      <c r="F5206" s="123" t="s">
        <v>30</v>
      </c>
      <c r="G5206" s="123" t="s">
        <v>30</v>
      </c>
      <c r="H5206" s="123" t="s">
        <v>72</v>
      </c>
      <c r="I5206" s="126" t="s">
        <v>1398</v>
      </c>
      <c r="J5206" s="123" t="s">
        <v>18531</v>
      </c>
      <c r="K5206" s="123" t="s">
        <v>18529</v>
      </c>
      <c r="L5206" s="131" t="s">
        <v>100</v>
      </c>
      <c r="M5206" s="135" t="s">
        <v>845</v>
      </c>
      <c r="N5206" s="123" t="s">
        <v>845</v>
      </c>
    </row>
    <row r="5207" spans="2:14" hidden="1" x14ac:dyDescent="0.25">
      <c r="B5207" s="120">
        <v>5204</v>
      </c>
      <c r="C5207" s="123">
        <v>10458393228</v>
      </c>
      <c r="D5207" s="126" t="s">
        <v>18532</v>
      </c>
      <c r="E5207" s="126" t="s">
        <v>18533</v>
      </c>
      <c r="F5207" s="123" t="s">
        <v>30</v>
      </c>
      <c r="G5207" s="123" t="s">
        <v>30</v>
      </c>
      <c r="H5207" s="123" t="s">
        <v>43</v>
      </c>
      <c r="I5207" s="126" t="s">
        <v>1701</v>
      </c>
      <c r="J5207" s="123" t="s">
        <v>18534</v>
      </c>
      <c r="K5207" s="123" t="s">
        <v>18532</v>
      </c>
      <c r="L5207" s="131" t="s">
        <v>100</v>
      </c>
      <c r="M5207" s="135" t="s">
        <v>845</v>
      </c>
      <c r="N5207" s="123" t="s">
        <v>845</v>
      </c>
    </row>
    <row r="5208" spans="2:14" hidden="1" x14ac:dyDescent="0.25">
      <c r="B5208" s="120">
        <v>5205</v>
      </c>
      <c r="C5208" s="123">
        <v>10420092771</v>
      </c>
      <c r="D5208" s="126" t="s">
        <v>18535</v>
      </c>
      <c r="E5208" s="126" t="s">
        <v>18536</v>
      </c>
      <c r="F5208" s="123" t="s">
        <v>30</v>
      </c>
      <c r="G5208" s="123" t="s">
        <v>30</v>
      </c>
      <c r="H5208" s="123" t="s">
        <v>30</v>
      </c>
      <c r="I5208" s="126" t="s">
        <v>1930</v>
      </c>
      <c r="J5208" s="123" t="s">
        <v>18537</v>
      </c>
      <c r="K5208" s="123" t="s">
        <v>18535</v>
      </c>
      <c r="L5208" s="131" t="s">
        <v>100</v>
      </c>
      <c r="M5208" s="135" t="s">
        <v>845</v>
      </c>
      <c r="N5208" s="123" t="s">
        <v>845</v>
      </c>
    </row>
    <row r="5209" spans="2:14" hidden="1" x14ac:dyDescent="0.25">
      <c r="B5209" s="120">
        <v>5206</v>
      </c>
      <c r="C5209" s="123">
        <v>10258001180</v>
      </c>
      <c r="D5209" s="126" t="s">
        <v>18538</v>
      </c>
      <c r="E5209" s="126" t="s">
        <v>18539</v>
      </c>
      <c r="F5209" s="123" t="s">
        <v>30</v>
      </c>
      <c r="G5209" s="123" t="s">
        <v>30</v>
      </c>
      <c r="H5209" s="123" t="s">
        <v>39</v>
      </c>
      <c r="I5209" s="126" t="s">
        <v>1974</v>
      </c>
      <c r="J5209" s="123" t="s">
        <v>18540</v>
      </c>
      <c r="K5209" s="123" t="s">
        <v>18538</v>
      </c>
      <c r="L5209" s="131" t="s">
        <v>100</v>
      </c>
      <c r="M5209" s="135" t="s">
        <v>845</v>
      </c>
      <c r="N5209" s="123" t="s">
        <v>845</v>
      </c>
    </row>
    <row r="5210" spans="2:14" hidden="1" x14ac:dyDescent="0.25">
      <c r="B5210" s="120">
        <v>5207</v>
      </c>
      <c r="C5210" s="123">
        <v>10464780471</v>
      </c>
      <c r="D5210" s="126" t="s">
        <v>18541</v>
      </c>
      <c r="E5210" s="126" t="s">
        <v>18542</v>
      </c>
      <c r="F5210" s="123" t="s">
        <v>30</v>
      </c>
      <c r="G5210" s="123" t="s">
        <v>30</v>
      </c>
      <c r="H5210" s="123" t="s">
        <v>58</v>
      </c>
      <c r="I5210" s="126" t="s">
        <v>1424</v>
      </c>
      <c r="J5210" s="123" t="s">
        <v>18543</v>
      </c>
      <c r="K5210" s="123" t="s">
        <v>18541</v>
      </c>
      <c r="L5210" s="131" t="s">
        <v>100</v>
      </c>
      <c r="M5210" s="135" t="s">
        <v>845</v>
      </c>
      <c r="N5210" s="123" t="s">
        <v>845</v>
      </c>
    </row>
    <row r="5211" spans="2:14" hidden="1" x14ac:dyDescent="0.25">
      <c r="B5211" s="120">
        <v>5208</v>
      </c>
      <c r="C5211" s="123">
        <v>10419359748</v>
      </c>
      <c r="D5211" s="126" t="s">
        <v>18544</v>
      </c>
      <c r="E5211" s="126" t="s">
        <v>18545</v>
      </c>
      <c r="F5211" s="123" t="s">
        <v>30</v>
      </c>
      <c r="G5211" s="123" t="s">
        <v>30</v>
      </c>
      <c r="H5211" s="123" t="s">
        <v>75</v>
      </c>
      <c r="I5211" s="126" t="s">
        <v>1507</v>
      </c>
      <c r="J5211" s="123" t="s">
        <v>18546</v>
      </c>
      <c r="K5211" s="123" t="s">
        <v>18547</v>
      </c>
      <c r="L5211" s="131" t="s">
        <v>100</v>
      </c>
      <c r="M5211" s="135" t="s">
        <v>845</v>
      </c>
      <c r="N5211" s="123" t="s">
        <v>845</v>
      </c>
    </row>
    <row r="5212" spans="2:14" hidden="1" x14ac:dyDescent="0.25">
      <c r="B5212" s="120">
        <v>5209</v>
      </c>
      <c r="C5212" s="123">
        <v>10432943068</v>
      </c>
      <c r="D5212" s="126" t="s">
        <v>18548</v>
      </c>
      <c r="E5212" s="126" t="s">
        <v>18549</v>
      </c>
      <c r="F5212" s="123" t="s">
        <v>30</v>
      </c>
      <c r="G5212" s="123" t="s">
        <v>30</v>
      </c>
      <c r="H5212" s="123" t="s">
        <v>68</v>
      </c>
      <c r="I5212" s="126" t="s">
        <v>1701</v>
      </c>
      <c r="J5212" s="123" t="s">
        <v>18550</v>
      </c>
      <c r="K5212" s="123" t="s">
        <v>18548</v>
      </c>
      <c r="L5212" s="131" t="s">
        <v>100</v>
      </c>
      <c r="M5212" s="135" t="s">
        <v>845</v>
      </c>
      <c r="N5212" s="123" t="s">
        <v>845</v>
      </c>
    </row>
    <row r="5213" spans="2:14" hidden="1" x14ac:dyDescent="0.25">
      <c r="B5213" s="120">
        <v>5210</v>
      </c>
      <c r="C5213" s="123">
        <v>10468276203</v>
      </c>
      <c r="D5213" s="126" t="s">
        <v>18551</v>
      </c>
      <c r="E5213" s="126" t="s">
        <v>18552</v>
      </c>
      <c r="F5213" s="123" t="s">
        <v>30</v>
      </c>
      <c r="G5213" s="123" t="s">
        <v>30</v>
      </c>
      <c r="H5213" s="123" t="s">
        <v>30</v>
      </c>
      <c r="I5213" s="126" t="s">
        <v>1930</v>
      </c>
      <c r="J5213" s="123" t="s">
        <v>18553</v>
      </c>
      <c r="K5213" s="123" t="s">
        <v>18551</v>
      </c>
      <c r="L5213" s="131" t="s">
        <v>100</v>
      </c>
      <c r="M5213" s="135" t="s">
        <v>845</v>
      </c>
      <c r="N5213" s="123" t="s">
        <v>845</v>
      </c>
    </row>
    <row r="5214" spans="2:14" hidden="1" x14ac:dyDescent="0.25">
      <c r="B5214" s="120">
        <v>5211</v>
      </c>
      <c r="C5214" s="123">
        <v>10422775647</v>
      </c>
      <c r="D5214" s="126" t="s">
        <v>18554</v>
      </c>
      <c r="E5214" s="126" t="s">
        <v>18555</v>
      </c>
      <c r="F5214" s="123" t="s">
        <v>30</v>
      </c>
      <c r="G5214" s="123" t="s">
        <v>30</v>
      </c>
      <c r="H5214" s="123" t="s">
        <v>30</v>
      </c>
      <c r="I5214" s="126" t="s">
        <v>1932</v>
      </c>
      <c r="J5214" s="123" t="s">
        <v>18556</v>
      </c>
      <c r="K5214" s="123" t="s">
        <v>18554</v>
      </c>
      <c r="L5214" s="131" t="s">
        <v>100</v>
      </c>
      <c r="M5214" s="135" t="s">
        <v>845</v>
      </c>
      <c r="N5214" s="123" t="s">
        <v>845</v>
      </c>
    </row>
    <row r="5215" spans="2:14" hidden="1" x14ac:dyDescent="0.25">
      <c r="B5215" s="120">
        <v>5212</v>
      </c>
      <c r="C5215" s="123">
        <v>10449150967</v>
      </c>
      <c r="D5215" s="126" t="s">
        <v>18557</v>
      </c>
      <c r="E5215" s="126" t="s">
        <v>18558</v>
      </c>
      <c r="F5215" s="123" t="s">
        <v>30</v>
      </c>
      <c r="G5215" s="123" t="s">
        <v>30</v>
      </c>
      <c r="H5215" s="123" t="s">
        <v>72</v>
      </c>
      <c r="I5215" s="126" t="s">
        <v>1701</v>
      </c>
      <c r="J5215" s="123" t="s">
        <v>18559</v>
      </c>
      <c r="K5215" s="123" t="s">
        <v>18557</v>
      </c>
      <c r="L5215" s="131" t="s">
        <v>100</v>
      </c>
      <c r="M5215" s="135" t="s">
        <v>845</v>
      </c>
      <c r="N5215" s="123" t="s">
        <v>845</v>
      </c>
    </row>
    <row r="5216" spans="2:14" hidden="1" x14ac:dyDescent="0.25">
      <c r="B5216" s="120">
        <v>5213</v>
      </c>
      <c r="C5216" s="123">
        <v>10160104339</v>
      </c>
      <c r="D5216" s="126" t="s">
        <v>18560</v>
      </c>
      <c r="E5216" s="126" t="s">
        <v>18561</v>
      </c>
      <c r="F5216" s="123" t="s">
        <v>30</v>
      </c>
      <c r="G5216" s="123" t="s">
        <v>30</v>
      </c>
      <c r="H5216" s="123" t="s">
        <v>58</v>
      </c>
      <c r="I5216" s="126" t="s">
        <v>1984</v>
      </c>
      <c r="J5216" s="123" t="s">
        <v>18562</v>
      </c>
      <c r="K5216" s="123" t="s">
        <v>18560</v>
      </c>
      <c r="L5216" s="131" t="s">
        <v>100</v>
      </c>
      <c r="M5216" s="135" t="s">
        <v>845</v>
      </c>
      <c r="N5216" s="123" t="s">
        <v>845</v>
      </c>
    </row>
    <row r="5217" spans="2:14" hidden="1" x14ac:dyDescent="0.25">
      <c r="B5217" s="120">
        <v>5214</v>
      </c>
      <c r="C5217" s="123">
        <v>10457536149</v>
      </c>
      <c r="D5217" s="126" t="s">
        <v>18563</v>
      </c>
      <c r="E5217" s="126" t="s">
        <v>18564</v>
      </c>
      <c r="F5217" s="123" t="s">
        <v>30</v>
      </c>
      <c r="G5217" s="123" t="s">
        <v>30</v>
      </c>
      <c r="H5217" s="123" t="s">
        <v>30</v>
      </c>
      <c r="I5217" s="126" t="s">
        <v>18565</v>
      </c>
      <c r="J5217" s="123" t="s">
        <v>18566</v>
      </c>
      <c r="K5217" s="123" t="s">
        <v>18567</v>
      </c>
      <c r="L5217" s="131" t="s">
        <v>100</v>
      </c>
      <c r="M5217" s="135" t="s">
        <v>845</v>
      </c>
      <c r="N5217" s="123" t="s">
        <v>845</v>
      </c>
    </row>
    <row r="5218" spans="2:14" hidden="1" x14ac:dyDescent="0.25">
      <c r="B5218" s="120">
        <v>5215</v>
      </c>
      <c r="C5218" s="123">
        <v>10218351081</v>
      </c>
      <c r="D5218" s="126" t="s">
        <v>18568</v>
      </c>
      <c r="E5218" s="126" t="s">
        <v>18569</v>
      </c>
      <c r="F5218" s="123" t="s">
        <v>61</v>
      </c>
      <c r="G5218" s="123" t="s">
        <v>62</v>
      </c>
      <c r="H5218" s="123" t="s">
        <v>18570</v>
      </c>
      <c r="I5218" s="126" t="s">
        <v>18571</v>
      </c>
      <c r="J5218" s="123" t="s">
        <v>18572</v>
      </c>
      <c r="K5218" s="123" t="s">
        <v>18573</v>
      </c>
      <c r="L5218" s="131" t="s">
        <v>100</v>
      </c>
      <c r="M5218" s="135" t="s">
        <v>845</v>
      </c>
      <c r="N5218" s="123" t="s">
        <v>845</v>
      </c>
    </row>
    <row r="5219" spans="2:14" hidden="1" x14ac:dyDescent="0.25">
      <c r="B5219" s="120">
        <v>5216</v>
      </c>
      <c r="C5219" s="123">
        <v>10400440528</v>
      </c>
      <c r="D5219" s="126" t="s">
        <v>18574</v>
      </c>
      <c r="E5219" s="126" t="s">
        <v>18575</v>
      </c>
      <c r="F5219" s="123" t="s">
        <v>30</v>
      </c>
      <c r="G5219" s="123" t="s">
        <v>30</v>
      </c>
      <c r="H5219" s="123" t="s">
        <v>58</v>
      </c>
      <c r="I5219" s="126" t="s">
        <v>1706</v>
      </c>
      <c r="J5219" s="123" t="s">
        <v>18576</v>
      </c>
      <c r="K5219" s="123" t="s">
        <v>18574</v>
      </c>
      <c r="L5219" s="131" t="s">
        <v>100</v>
      </c>
      <c r="M5219" s="135" t="s">
        <v>845</v>
      </c>
      <c r="N5219" s="123" t="s">
        <v>845</v>
      </c>
    </row>
    <row r="5220" spans="2:14" hidden="1" x14ac:dyDescent="0.25">
      <c r="B5220" s="120">
        <v>5217</v>
      </c>
      <c r="C5220" s="123">
        <v>10093349828</v>
      </c>
      <c r="D5220" s="126" t="s">
        <v>18577</v>
      </c>
      <c r="E5220" s="126" t="s">
        <v>18578</v>
      </c>
      <c r="F5220" s="123" t="s">
        <v>30</v>
      </c>
      <c r="G5220" s="123" t="s">
        <v>30</v>
      </c>
      <c r="H5220" s="123" t="s">
        <v>45</v>
      </c>
      <c r="I5220" s="126" t="s">
        <v>1952</v>
      </c>
      <c r="J5220" s="123" t="s">
        <v>18579</v>
      </c>
      <c r="K5220" s="123" t="s">
        <v>18577</v>
      </c>
      <c r="L5220" s="131" t="s">
        <v>100</v>
      </c>
      <c r="M5220" s="135" t="s">
        <v>845</v>
      </c>
      <c r="N5220" s="123" t="s">
        <v>845</v>
      </c>
    </row>
    <row r="5221" spans="2:14" hidden="1" x14ac:dyDescent="0.25">
      <c r="B5221" s="120">
        <v>5218</v>
      </c>
      <c r="C5221" s="123">
        <v>10069016761</v>
      </c>
      <c r="D5221" s="126" t="s">
        <v>18580</v>
      </c>
      <c r="E5221" s="126" t="s">
        <v>18581</v>
      </c>
      <c r="F5221" s="123" t="s">
        <v>30</v>
      </c>
      <c r="G5221" s="123" t="s">
        <v>30</v>
      </c>
      <c r="H5221" s="123" t="s">
        <v>43</v>
      </c>
      <c r="I5221" s="126" t="s">
        <v>1931</v>
      </c>
      <c r="J5221" s="123" t="s">
        <v>18582</v>
      </c>
      <c r="K5221" s="123" t="s">
        <v>18580</v>
      </c>
      <c r="L5221" s="131" t="s">
        <v>100</v>
      </c>
      <c r="M5221" s="135" t="s">
        <v>845</v>
      </c>
      <c r="N5221" s="123" t="s">
        <v>845</v>
      </c>
    </row>
    <row r="5222" spans="2:14" hidden="1" x14ac:dyDescent="0.25">
      <c r="B5222" s="120">
        <v>5219</v>
      </c>
      <c r="C5222" s="123">
        <v>10415007693</v>
      </c>
      <c r="D5222" s="126" t="s">
        <v>18583</v>
      </c>
      <c r="E5222" s="126" t="s">
        <v>18584</v>
      </c>
      <c r="F5222" s="123" t="s">
        <v>30</v>
      </c>
      <c r="G5222" s="123" t="s">
        <v>30</v>
      </c>
      <c r="H5222" s="123" t="s">
        <v>127</v>
      </c>
      <c r="I5222" s="126" t="s">
        <v>1936</v>
      </c>
      <c r="J5222" s="123" t="s">
        <v>18585</v>
      </c>
      <c r="K5222" s="123" t="s">
        <v>18583</v>
      </c>
      <c r="L5222" s="131" t="s">
        <v>100</v>
      </c>
      <c r="M5222" s="135" t="s">
        <v>845</v>
      </c>
      <c r="N5222" s="123" t="s">
        <v>845</v>
      </c>
    </row>
    <row r="5223" spans="2:14" hidden="1" x14ac:dyDescent="0.25">
      <c r="B5223" s="120">
        <v>5220</v>
      </c>
      <c r="C5223" s="123">
        <v>10096833798</v>
      </c>
      <c r="D5223" s="126" t="s">
        <v>18586</v>
      </c>
      <c r="E5223" s="126" t="s">
        <v>18587</v>
      </c>
      <c r="F5223" s="123" t="s">
        <v>30</v>
      </c>
      <c r="G5223" s="123" t="s">
        <v>30</v>
      </c>
      <c r="H5223" s="123" t="s">
        <v>60</v>
      </c>
      <c r="I5223" s="126" t="s">
        <v>1507</v>
      </c>
      <c r="J5223" s="123" t="s">
        <v>18588</v>
      </c>
      <c r="K5223" s="123" t="s">
        <v>18586</v>
      </c>
      <c r="L5223" s="131" t="s">
        <v>100</v>
      </c>
      <c r="M5223" s="135" t="s">
        <v>845</v>
      </c>
      <c r="N5223" s="123" t="s">
        <v>845</v>
      </c>
    </row>
    <row r="5224" spans="2:14" hidden="1" x14ac:dyDescent="0.25">
      <c r="B5224" s="120">
        <v>5221</v>
      </c>
      <c r="C5224" s="123">
        <v>10406755521</v>
      </c>
      <c r="D5224" s="126" t="s">
        <v>18589</v>
      </c>
      <c r="E5224" s="126" t="s">
        <v>18590</v>
      </c>
      <c r="F5224" s="123" t="s">
        <v>30</v>
      </c>
      <c r="G5224" s="123" t="s">
        <v>30</v>
      </c>
      <c r="H5224" s="123" t="s">
        <v>43</v>
      </c>
      <c r="I5224" s="126" t="s">
        <v>1984</v>
      </c>
      <c r="J5224" s="123" t="s">
        <v>18591</v>
      </c>
      <c r="K5224" s="123" t="s">
        <v>18589</v>
      </c>
      <c r="L5224" s="131" t="s">
        <v>100</v>
      </c>
      <c r="M5224" s="135" t="s">
        <v>845</v>
      </c>
      <c r="N5224" s="123" t="s">
        <v>845</v>
      </c>
    </row>
    <row r="5225" spans="2:14" hidden="1" x14ac:dyDescent="0.25">
      <c r="B5225" s="120">
        <v>5222</v>
      </c>
      <c r="C5225" s="123">
        <v>10480344290</v>
      </c>
      <c r="D5225" s="126" t="s">
        <v>18592</v>
      </c>
      <c r="E5225" s="126" t="s">
        <v>18593</v>
      </c>
      <c r="F5225" s="123" t="s">
        <v>30</v>
      </c>
      <c r="G5225" s="123" t="s">
        <v>30</v>
      </c>
      <c r="H5225" s="123" t="s">
        <v>45</v>
      </c>
      <c r="I5225" s="126" t="s">
        <v>18594</v>
      </c>
      <c r="J5225" s="123" t="s">
        <v>18595</v>
      </c>
      <c r="K5225" s="123" t="s">
        <v>18596</v>
      </c>
      <c r="L5225" s="131" t="s">
        <v>100</v>
      </c>
      <c r="M5225" s="135" t="s">
        <v>845</v>
      </c>
      <c r="N5225" s="123" t="s">
        <v>845</v>
      </c>
    </row>
    <row r="5226" spans="2:14" hidden="1" x14ac:dyDescent="0.25">
      <c r="B5226" s="120">
        <v>5223</v>
      </c>
      <c r="C5226" s="123">
        <v>10092401362</v>
      </c>
      <c r="D5226" s="126" t="s">
        <v>18597</v>
      </c>
      <c r="E5226" s="126" t="s">
        <v>18598</v>
      </c>
      <c r="F5226" s="123" t="s">
        <v>30</v>
      </c>
      <c r="G5226" s="123" t="s">
        <v>30</v>
      </c>
      <c r="H5226" s="123" t="s">
        <v>43</v>
      </c>
      <c r="I5226" s="126" t="s">
        <v>1939</v>
      </c>
      <c r="J5226" s="123" t="s">
        <v>18599</v>
      </c>
      <c r="K5226" s="123" t="s">
        <v>18597</v>
      </c>
      <c r="L5226" s="131" t="s">
        <v>100</v>
      </c>
      <c r="M5226" s="135" t="s">
        <v>845</v>
      </c>
      <c r="N5226" s="123" t="s">
        <v>845</v>
      </c>
    </row>
    <row r="5227" spans="2:14" hidden="1" x14ac:dyDescent="0.25">
      <c r="B5227" s="120">
        <v>5224</v>
      </c>
      <c r="C5227" s="123">
        <v>10406882000</v>
      </c>
      <c r="D5227" s="126" t="s">
        <v>18600</v>
      </c>
      <c r="E5227" s="126" t="s">
        <v>18601</v>
      </c>
      <c r="F5227" s="123" t="s">
        <v>67</v>
      </c>
      <c r="G5227" s="123" t="s">
        <v>67</v>
      </c>
      <c r="H5227" s="123" t="s">
        <v>94</v>
      </c>
      <c r="I5227" s="126" t="s">
        <v>6240</v>
      </c>
      <c r="J5227" s="123" t="s">
        <v>18602</v>
      </c>
      <c r="K5227" s="123" t="s">
        <v>18603</v>
      </c>
      <c r="L5227" s="131" t="s">
        <v>100</v>
      </c>
      <c r="M5227" s="135" t="s">
        <v>845</v>
      </c>
      <c r="N5227" s="123" t="s">
        <v>845</v>
      </c>
    </row>
    <row r="5228" spans="2:14" hidden="1" x14ac:dyDescent="0.25">
      <c r="B5228" s="120">
        <v>5225</v>
      </c>
      <c r="C5228" s="123">
        <v>10104841177</v>
      </c>
      <c r="D5228" s="126" t="s">
        <v>18604</v>
      </c>
      <c r="E5228" s="126" t="s">
        <v>18605</v>
      </c>
      <c r="F5228" s="123" t="s">
        <v>30</v>
      </c>
      <c r="G5228" s="123" t="s">
        <v>30</v>
      </c>
      <c r="H5228" s="123" t="s">
        <v>75</v>
      </c>
      <c r="I5228" s="126" t="s">
        <v>1931</v>
      </c>
      <c r="J5228" s="123" t="s">
        <v>18606</v>
      </c>
      <c r="K5228" s="123" t="s">
        <v>18604</v>
      </c>
      <c r="L5228" s="131" t="s">
        <v>100</v>
      </c>
      <c r="M5228" s="135" t="s">
        <v>845</v>
      </c>
      <c r="N5228" s="123" t="s">
        <v>845</v>
      </c>
    </row>
    <row r="5229" spans="2:14" hidden="1" x14ac:dyDescent="0.25">
      <c r="B5229" s="120">
        <v>5226</v>
      </c>
      <c r="C5229" s="123">
        <v>10437070534</v>
      </c>
      <c r="D5229" s="126" t="s">
        <v>18607</v>
      </c>
      <c r="E5229" s="126" t="s">
        <v>18608</v>
      </c>
      <c r="F5229" s="123" t="s">
        <v>30</v>
      </c>
      <c r="G5229" s="123" t="s">
        <v>30</v>
      </c>
      <c r="H5229" s="123" t="s">
        <v>41</v>
      </c>
      <c r="I5229" s="126" t="s">
        <v>8659</v>
      </c>
      <c r="J5229" s="123" t="s">
        <v>18609</v>
      </c>
      <c r="K5229" s="123" t="s">
        <v>18607</v>
      </c>
      <c r="L5229" s="131" t="s">
        <v>100</v>
      </c>
      <c r="M5229" s="135" t="s">
        <v>845</v>
      </c>
      <c r="N5229" s="123" t="s">
        <v>845</v>
      </c>
    </row>
    <row r="5230" spans="2:14" hidden="1" x14ac:dyDescent="0.25">
      <c r="B5230" s="120">
        <v>5227</v>
      </c>
      <c r="C5230" s="123">
        <v>10455821083</v>
      </c>
      <c r="D5230" s="126" t="s">
        <v>18610</v>
      </c>
      <c r="E5230" s="126" t="s">
        <v>18611</v>
      </c>
      <c r="F5230" s="123" t="s">
        <v>30</v>
      </c>
      <c r="G5230" s="123" t="s">
        <v>30</v>
      </c>
      <c r="H5230" s="123" t="s">
        <v>135</v>
      </c>
      <c r="I5230" s="126" t="s">
        <v>1935</v>
      </c>
      <c r="J5230" s="123" t="s">
        <v>18612</v>
      </c>
      <c r="K5230" s="123" t="s">
        <v>18610</v>
      </c>
      <c r="L5230" s="131" t="s">
        <v>100</v>
      </c>
      <c r="M5230" s="135" t="s">
        <v>845</v>
      </c>
      <c r="N5230" s="123" t="s">
        <v>845</v>
      </c>
    </row>
    <row r="5231" spans="2:14" hidden="1" x14ac:dyDescent="0.25">
      <c r="B5231" s="120">
        <v>5228</v>
      </c>
      <c r="C5231" s="123">
        <v>10159868309</v>
      </c>
      <c r="D5231" s="126" t="s">
        <v>18613</v>
      </c>
      <c r="E5231" s="126" t="s">
        <v>18614</v>
      </c>
      <c r="F5231" s="123" t="s">
        <v>30</v>
      </c>
      <c r="G5231" s="123" t="s">
        <v>54</v>
      </c>
      <c r="H5231" s="123" t="s">
        <v>55</v>
      </c>
      <c r="I5231" s="126" t="s">
        <v>1701</v>
      </c>
      <c r="J5231" s="123" t="s">
        <v>18615</v>
      </c>
      <c r="K5231" s="123" t="s">
        <v>18613</v>
      </c>
      <c r="L5231" s="131" t="s">
        <v>100</v>
      </c>
      <c r="M5231" s="135" t="s">
        <v>845</v>
      </c>
      <c r="N5231" s="123" t="s">
        <v>845</v>
      </c>
    </row>
    <row r="5232" spans="2:14" hidden="1" x14ac:dyDescent="0.25">
      <c r="B5232" s="120">
        <v>5229</v>
      </c>
      <c r="C5232" s="123">
        <v>10434318268</v>
      </c>
      <c r="D5232" s="126" t="s">
        <v>18616</v>
      </c>
      <c r="E5232" s="126" t="s">
        <v>18617</v>
      </c>
      <c r="F5232" s="123" t="s">
        <v>30</v>
      </c>
      <c r="G5232" s="123" t="s">
        <v>30</v>
      </c>
      <c r="H5232" s="123" t="s">
        <v>43</v>
      </c>
      <c r="I5232" s="126" t="s">
        <v>1701</v>
      </c>
      <c r="J5232" s="123" t="s">
        <v>18618</v>
      </c>
      <c r="K5232" s="123" t="s">
        <v>18616</v>
      </c>
      <c r="L5232" s="131" t="s">
        <v>100</v>
      </c>
      <c r="M5232" s="135" t="s">
        <v>845</v>
      </c>
      <c r="N5232" s="123" t="s">
        <v>845</v>
      </c>
    </row>
    <row r="5233" spans="2:14" hidden="1" x14ac:dyDescent="0.25">
      <c r="B5233" s="120">
        <v>5230</v>
      </c>
      <c r="C5233" s="123">
        <v>10481406167</v>
      </c>
      <c r="D5233" s="126" t="s">
        <v>18619</v>
      </c>
      <c r="E5233" s="126" t="s">
        <v>18620</v>
      </c>
      <c r="F5233" s="123" t="s">
        <v>30</v>
      </c>
      <c r="G5233" s="123" t="s">
        <v>30</v>
      </c>
      <c r="H5233" s="123" t="s">
        <v>45</v>
      </c>
      <c r="I5233" s="126" t="s">
        <v>3919</v>
      </c>
      <c r="J5233" s="123" t="s">
        <v>18621</v>
      </c>
      <c r="K5233" s="123" t="s">
        <v>18619</v>
      </c>
      <c r="L5233" s="131" t="s">
        <v>100</v>
      </c>
      <c r="M5233" s="135" t="s">
        <v>845</v>
      </c>
      <c r="N5233" s="123" t="s">
        <v>845</v>
      </c>
    </row>
    <row r="5234" spans="2:14" hidden="1" x14ac:dyDescent="0.25">
      <c r="B5234" s="120">
        <v>5231</v>
      </c>
      <c r="C5234" s="123">
        <v>10420226018</v>
      </c>
      <c r="D5234" s="126" t="s">
        <v>18622</v>
      </c>
      <c r="E5234" s="126" t="s">
        <v>18623</v>
      </c>
      <c r="F5234" s="123" t="s">
        <v>30</v>
      </c>
      <c r="G5234" s="123" t="s">
        <v>30</v>
      </c>
      <c r="H5234" s="123" t="s">
        <v>35</v>
      </c>
      <c r="I5234" s="126" t="s">
        <v>1957</v>
      </c>
      <c r="J5234" s="123" t="s">
        <v>18624</v>
      </c>
      <c r="K5234" s="123" t="s">
        <v>18622</v>
      </c>
      <c r="L5234" s="131" t="s">
        <v>100</v>
      </c>
      <c r="M5234" s="135" t="s">
        <v>845</v>
      </c>
      <c r="N5234" s="123" t="s">
        <v>845</v>
      </c>
    </row>
    <row r="5235" spans="2:14" hidden="1" x14ac:dyDescent="0.25">
      <c r="B5235" s="120">
        <v>5232</v>
      </c>
      <c r="C5235" s="123">
        <v>10763733616</v>
      </c>
      <c r="D5235" s="126" t="s">
        <v>18625</v>
      </c>
      <c r="E5235" s="126" t="s">
        <v>18626</v>
      </c>
      <c r="F5235" s="123" t="s">
        <v>30</v>
      </c>
      <c r="G5235" s="123" t="s">
        <v>168</v>
      </c>
      <c r="H5235" s="123" t="s">
        <v>168</v>
      </c>
      <c r="I5235" s="126" t="s">
        <v>18627</v>
      </c>
      <c r="J5235" s="123" t="s">
        <v>18628</v>
      </c>
      <c r="K5235" s="123" t="s">
        <v>18625</v>
      </c>
      <c r="L5235" s="131" t="s">
        <v>100</v>
      </c>
      <c r="M5235" s="135" t="s">
        <v>845</v>
      </c>
      <c r="N5235" s="123" t="s">
        <v>845</v>
      </c>
    </row>
    <row r="5236" spans="2:14" hidden="1" x14ac:dyDescent="0.25">
      <c r="B5236" s="120">
        <v>5233</v>
      </c>
      <c r="C5236" s="123">
        <v>10446869162</v>
      </c>
      <c r="D5236" s="126" t="s">
        <v>18629</v>
      </c>
      <c r="E5236" s="126" t="s">
        <v>18630</v>
      </c>
      <c r="F5236" s="123" t="s">
        <v>30</v>
      </c>
      <c r="G5236" s="123" t="s">
        <v>30</v>
      </c>
      <c r="H5236" s="123" t="s">
        <v>41</v>
      </c>
      <c r="I5236" s="126" t="s">
        <v>1960</v>
      </c>
      <c r="J5236" s="123" t="s">
        <v>18631</v>
      </c>
      <c r="K5236" s="123" t="s">
        <v>18629</v>
      </c>
      <c r="L5236" s="131" t="s">
        <v>100</v>
      </c>
      <c r="M5236" s="135" t="s">
        <v>845</v>
      </c>
      <c r="N5236" s="123" t="s">
        <v>845</v>
      </c>
    </row>
    <row r="5237" spans="2:14" hidden="1" x14ac:dyDescent="0.25">
      <c r="B5237" s="120">
        <v>5234</v>
      </c>
      <c r="C5237" s="123">
        <v>10095766973</v>
      </c>
      <c r="D5237" s="126" t="s">
        <v>18632</v>
      </c>
      <c r="E5237" s="126" t="s">
        <v>18633</v>
      </c>
      <c r="F5237" s="123" t="s">
        <v>30</v>
      </c>
      <c r="G5237" s="123" t="s">
        <v>30</v>
      </c>
      <c r="H5237" s="123" t="s">
        <v>68</v>
      </c>
      <c r="I5237" s="126" t="s">
        <v>8743</v>
      </c>
      <c r="J5237" s="123" t="s">
        <v>18634</v>
      </c>
      <c r="K5237" s="123" t="s">
        <v>18632</v>
      </c>
      <c r="L5237" s="131" t="s">
        <v>100</v>
      </c>
      <c r="M5237" s="135" t="s">
        <v>845</v>
      </c>
      <c r="N5237" s="123" t="s">
        <v>845</v>
      </c>
    </row>
    <row r="5238" spans="2:14" hidden="1" x14ac:dyDescent="0.25">
      <c r="B5238" s="120">
        <v>5235</v>
      </c>
      <c r="C5238" s="123">
        <v>10094741365</v>
      </c>
      <c r="D5238" s="126" t="s">
        <v>18635</v>
      </c>
      <c r="E5238" s="126" t="s">
        <v>18636</v>
      </c>
      <c r="F5238" s="123" t="s">
        <v>30</v>
      </c>
      <c r="G5238" s="123" t="s">
        <v>30</v>
      </c>
      <c r="H5238" s="123" t="s">
        <v>50</v>
      </c>
      <c r="I5238" s="126" t="s">
        <v>1424</v>
      </c>
      <c r="J5238" s="123" t="s">
        <v>18637</v>
      </c>
      <c r="K5238" s="123" t="s">
        <v>18638</v>
      </c>
      <c r="L5238" s="131" t="s">
        <v>100</v>
      </c>
      <c r="M5238" s="135" t="s">
        <v>845</v>
      </c>
      <c r="N5238" s="123" t="s">
        <v>845</v>
      </c>
    </row>
    <row r="5239" spans="2:14" hidden="1" x14ac:dyDescent="0.25">
      <c r="B5239" s="120">
        <v>5236</v>
      </c>
      <c r="C5239" s="123">
        <v>10028541622</v>
      </c>
      <c r="D5239" s="126" t="s">
        <v>18639</v>
      </c>
      <c r="E5239" s="126" t="s">
        <v>18640</v>
      </c>
      <c r="F5239" s="123" t="s">
        <v>30</v>
      </c>
      <c r="G5239" s="123" t="s">
        <v>30</v>
      </c>
      <c r="H5239" s="123" t="s">
        <v>44</v>
      </c>
      <c r="I5239" s="126" t="s">
        <v>1950</v>
      </c>
      <c r="J5239" s="123" t="s">
        <v>18641</v>
      </c>
      <c r="K5239" s="123" t="s">
        <v>18639</v>
      </c>
      <c r="L5239" s="131" t="s">
        <v>100</v>
      </c>
      <c r="M5239" s="135" t="s">
        <v>845</v>
      </c>
      <c r="N5239" s="123" t="s">
        <v>845</v>
      </c>
    </row>
    <row r="5240" spans="2:14" hidden="1" x14ac:dyDescent="0.25">
      <c r="B5240" s="120">
        <v>5237</v>
      </c>
      <c r="C5240" s="123">
        <v>10427905905</v>
      </c>
      <c r="D5240" s="126" t="s">
        <v>18642</v>
      </c>
      <c r="E5240" s="126" t="s">
        <v>18643</v>
      </c>
      <c r="F5240" s="123" t="s">
        <v>30</v>
      </c>
      <c r="G5240" s="123" t="s">
        <v>30</v>
      </c>
      <c r="H5240" s="123" t="s">
        <v>47</v>
      </c>
      <c r="I5240" s="126" t="s">
        <v>1935</v>
      </c>
      <c r="J5240" s="123" t="s">
        <v>18644</v>
      </c>
      <c r="K5240" s="123" t="s">
        <v>18642</v>
      </c>
      <c r="L5240" s="131" t="s">
        <v>100</v>
      </c>
      <c r="M5240" s="135" t="s">
        <v>845</v>
      </c>
      <c r="N5240" s="123" t="s">
        <v>845</v>
      </c>
    </row>
    <row r="5241" spans="2:14" hidden="1" x14ac:dyDescent="0.25">
      <c r="B5241" s="120">
        <v>5238</v>
      </c>
      <c r="C5241" s="123">
        <v>10444575803</v>
      </c>
      <c r="D5241" s="126" t="s">
        <v>18645</v>
      </c>
      <c r="E5241" s="126" t="s">
        <v>18646</v>
      </c>
      <c r="F5241" s="123" t="s">
        <v>30</v>
      </c>
      <c r="G5241" s="123" t="s">
        <v>54</v>
      </c>
      <c r="H5241" s="123" t="s">
        <v>54</v>
      </c>
      <c r="I5241" s="126" t="s">
        <v>9103</v>
      </c>
      <c r="J5241" s="123" t="s">
        <v>18647</v>
      </c>
      <c r="K5241" s="123" t="s">
        <v>18645</v>
      </c>
      <c r="L5241" s="131" t="s">
        <v>100</v>
      </c>
      <c r="M5241" s="135" t="s">
        <v>845</v>
      </c>
      <c r="N5241" s="123" t="s">
        <v>845</v>
      </c>
    </row>
    <row r="5242" spans="2:14" hidden="1" x14ac:dyDescent="0.25">
      <c r="B5242" s="120">
        <v>5239</v>
      </c>
      <c r="C5242" s="123">
        <v>10404322538</v>
      </c>
      <c r="D5242" s="126" t="s">
        <v>18648</v>
      </c>
      <c r="E5242" s="126" t="s">
        <v>18649</v>
      </c>
      <c r="F5242" s="123" t="s">
        <v>30</v>
      </c>
      <c r="G5242" s="123" t="s">
        <v>30</v>
      </c>
      <c r="H5242" s="123" t="s">
        <v>51</v>
      </c>
      <c r="I5242" s="126" t="s">
        <v>1930</v>
      </c>
      <c r="J5242" s="123" t="s">
        <v>18650</v>
      </c>
      <c r="K5242" s="123" t="s">
        <v>18651</v>
      </c>
      <c r="L5242" s="131" t="s">
        <v>100</v>
      </c>
      <c r="M5242" s="135" t="s">
        <v>845</v>
      </c>
      <c r="N5242" s="123" t="s">
        <v>845</v>
      </c>
    </row>
    <row r="5243" spans="2:14" hidden="1" x14ac:dyDescent="0.25">
      <c r="B5243" s="120">
        <v>5240</v>
      </c>
      <c r="C5243" s="123">
        <v>10753623677</v>
      </c>
      <c r="D5243" s="126" t="s">
        <v>18652</v>
      </c>
      <c r="E5243" s="126" t="s">
        <v>18653</v>
      </c>
      <c r="F5243" s="123" t="s">
        <v>30</v>
      </c>
      <c r="G5243" s="123" t="s">
        <v>30</v>
      </c>
      <c r="H5243" s="123" t="s">
        <v>45</v>
      </c>
      <c r="I5243" s="126" t="s">
        <v>1701</v>
      </c>
      <c r="J5243" s="123" t="s">
        <v>18654</v>
      </c>
      <c r="K5243" s="123" t="s">
        <v>18652</v>
      </c>
      <c r="L5243" s="131" t="s">
        <v>100</v>
      </c>
      <c r="M5243" s="135" t="s">
        <v>845</v>
      </c>
      <c r="N5243" s="123" t="s">
        <v>845</v>
      </c>
    </row>
    <row r="5244" spans="2:14" hidden="1" x14ac:dyDescent="0.25">
      <c r="B5244" s="120">
        <v>5241</v>
      </c>
      <c r="C5244" s="123">
        <v>10090892407</v>
      </c>
      <c r="D5244" s="126" t="s">
        <v>18655</v>
      </c>
      <c r="E5244" s="126" t="s">
        <v>18656</v>
      </c>
      <c r="F5244" s="123" t="s">
        <v>30</v>
      </c>
      <c r="G5244" s="123" t="s">
        <v>30</v>
      </c>
      <c r="H5244" s="123" t="s">
        <v>43</v>
      </c>
      <c r="I5244" s="126" t="s">
        <v>8743</v>
      </c>
      <c r="J5244" s="123" t="s">
        <v>18657</v>
      </c>
      <c r="K5244" s="123" t="s">
        <v>18655</v>
      </c>
      <c r="L5244" s="131" t="s">
        <v>100</v>
      </c>
      <c r="M5244" s="135" t="s">
        <v>845</v>
      </c>
      <c r="N5244" s="123" t="s">
        <v>845</v>
      </c>
    </row>
    <row r="5245" spans="2:14" hidden="1" x14ac:dyDescent="0.25">
      <c r="B5245" s="120">
        <v>5242</v>
      </c>
      <c r="C5245" s="123">
        <v>10717243493</v>
      </c>
      <c r="D5245" s="126" t="s">
        <v>18658</v>
      </c>
      <c r="E5245" s="126" t="s">
        <v>18659</v>
      </c>
      <c r="F5245" s="123" t="s">
        <v>30</v>
      </c>
      <c r="G5245" s="123" t="s">
        <v>170</v>
      </c>
      <c r="H5245" s="123" t="s">
        <v>171</v>
      </c>
      <c r="I5245" s="126" t="s">
        <v>1941</v>
      </c>
      <c r="J5245" s="123" t="s">
        <v>18660</v>
      </c>
      <c r="K5245" s="123" t="s">
        <v>18658</v>
      </c>
      <c r="L5245" s="131" t="s">
        <v>100</v>
      </c>
      <c r="M5245" s="135" t="s">
        <v>845</v>
      </c>
      <c r="N5245" s="123" t="s">
        <v>845</v>
      </c>
    </row>
    <row r="5246" spans="2:14" hidden="1" x14ac:dyDescent="0.25">
      <c r="B5246" s="120">
        <v>5243</v>
      </c>
      <c r="C5246" s="123">
        <v>10258605913</v>
      </c>
      <c r="D5246" s="126" t="s">
        <v>18661</v>
      </c>
      <c r="E5246" s="126" t="s">
        <v>18662</v>
      </c>
      <c r="F5246" s="123" t="s">
        <v>67</v>
      </c>
      <c r="G5246" s="123" t="s">
        <v>67</v>
      </c>
      <c r="H5246" s="123" t="s">
        <v>67</v>
      </c>
      <c r="I5246" s="126" t="s">
        <v>1701</v>
      </c>
      <c r="J5246" s="123" t="s">
        <v>18663</v>
      </c>
      <c r="K5246" s="123" t="s">
        <v>18664</v>
      </c>
      <c r="L5246" s="131" t="s">
        <v>100</v>
      </c>
      <c r="M5246" s="135" t="s">
        <v>845</v>
      </c>
      <c r="N5246" s="123" t="s">
        <v>845</v>
      </c>
    </row>
    <row r="5247" spans="2:14" hidden="1" x14ac:dyDescent="0.25">
      <c r="B5247" s="120">
        <v>5244</v>
      </c>
      <c r="C5247" s="123">
        <v>10413893122</v>
      </c>
      <c r="D5247" s="126" t="s">
        <v>18665</v>
      </c>
      <c r="E5247" s="126" t="s">
        <v>18666</v>
      </c>
      <c r="F5247" s="123" t="s">
        <v>30</v>
      </c>
      <c r="G5247" s="123" t="s">
        <v>30</v>
      </c>
      <c r="H5247" s="123" t="s">
        <v>41</v>
      </c>
      <c r="I5247" s="126" t="s">
        <v>1701</v>
      </c>
      <c r="J5247" s="123" t="s">
        <v>18667</v>
      </c>
      <c r="K5247" s="123" t="s">
        <v>18665</v>
      </c>
      <c r="L5247" s="131" t="s">
        <v>100</v>
      </c>
      <c r="M5247" s="135" t="s">
        <v>845</v>
      </c>
      <c r="N5247" s="123" t="s">
        <v>845</v>
      </c>
    </row>
    <row r="5248" spans="2:14" hidden="1" x14ac:dyDescent="0.25">
      <c r="B5248" s="120">
        <v>5245</v>
      </c>
      <c r="C5248" s="123">
        <v>10462600530</v>
      </c>
      <c r="D5248" s="126" t="s">
        <v>18668</v>
      </c>
      <c r="E5248" s="126" t="s">
        <v>18669</v>
      </c>
      <c r="F5248" s="123" t="s">
        <v>183</v>
      </c>
      <c r="G5248" s="123" t="s">
        <v>5020</v>
      </c>
      <c r="H5248" s="123" t="s">
        <v>5020</v>
      </c>
      <c r="I5248" s="126" t="s">
        <v>1701</v>
      </c>
      <c r="J5248" s="123" t="s">
        <v>18670</v>
      </c>
      <c r="K5248" s="123" t="s">
        <v>18671</v>
      </c>
      <c r="L5248" s="131" t="s">
        <v>100</v>
      </c>
      <c r="M5248" s="135" t="s">
        <v>845</v>
      </c>
      <c r="N5248" s="123" t="s">
        <v>845</v>
      </c>
    </row>
    <row r="5249" spans="2:14" hidden="1" x14ac:dyDescent="0.25">
      <c r="B5249" s="120">
        <v>5246</v>
      </c>
      <c r="C5249" s="123">
        <v>10152997839</v>
      </c>
      <c r="D5249" s="126" t="s">
        <v>18672</v>
      </c>
      <c r="E5249" s="126" t="s">
        <v>18673</v>
      </c>
      <c r="F5249" s="123" t="s">
        <v>30</v>
      </c>
      <c r="G5249" s="123" t="s">
        <v>168</v>
      </c>
      <c r="H5249" s="123" t="s">
        <v>168</v>
      </c>
      <c r="I5249" s="126" t="s">
        <v>1950</v>
      </c>
      <c r="J5249" s="123" t="s">
        <v>18674</v>
      </c>
      <c r="K5249" s="123" t="s">
        <v>18672</v>
      </c>
      <c r="L5249" s="131" t="s">
        <v>100</v>
      </c>
      <c r="M5249" s="135" t="s">
        <v>845</v>
      </c>
      <c r="N5249" s="123" t="s">
        <v>845</v>
      </c>
    </row>
    <row r="5250" spans="2:14" hidden="1" x14ac:dyDescent="0.25">
      <c r="B5250" s="120">
        <v>5247</v>
      </c>
      <c r="C5250" s="123">
        <v>10448902914</v>
      </c>
      <c r="D5250" s="126" t="s">
        <v>18675</v>
      </c>
      <c r="E5250" s="126" t="s">
        <v>18676</v>
      </c>
      <c r="F5250" s="123" t="s">
        <v>30</v>
      </c>
      <c r="G5250" s="123" t="s">
        <v>30</v>
      </c>
      <c r="H5250" s="123" t="s">
        <v>68</v>
      </c>
      <c r="I5250" s="126" t="s">
        <v>10291</v>
      </c>
      <c r="J5250" s="123" t="s">
        <v>18677</v>
      </c>
      <c r="K5250" s="123" t="s">
        <v>18678</v>
      </c>
      <c r="L5250" s="131" t="s">
        <v>100</v>
      </c>
      <c r="M5250" s="135" t="s">
        <v>845</v>
      </c>
      <c r="N5250" s="123" t="s">
        <v>845</v>
      </c>
    </row>
    <row r="5251" spans="2:14" hidden="1" x14ac:dyDescent="0.25">
      <c r="B5251" s="120">
        <v>5248</v>
      </c>
      <c r="C5251" s="123">
        <v>10401453445</v>
      </c>
      <c r="D5251" s="126" t="s">
        <v>18679</v>
      </c>
      <c r="E5251" s="126" t="s">
        <v>18680</v>
      </c>
      <c r="F5251" s="123" t="s">
        <v>30</v>
      </c>
      <c r="G5251" s="123" t="s">
        <v>170</v>
      </c>
      <c r="H5251" s="123" t="s">
        <v>176</v>
      </c>
      <c r="I5251" s="126" t="s">
        <v>1701</v>
      </c>
      <c r="J5251" s="123" t="s">
        <v>18681</v>
      </c>
      <c r="K5251" s="123" t="s">
        <v>18679</v>
      </c>
      <c r="L5251" s="131" t="s">
        <v>100</v>
      </c>
      <c r="M5251" s="135" t="s">
        <v>845</v>
      </c>
      <c r="N5251" s="123" t="s">
        <v>845</v>
      </c>
    </row>
    <row r="5252" spans="2:14" hidden="1" x14ac:dyDescent="0.25">
      <c r="B5252" s="120">
        <v>5249</v>
      </c>
      <c r="C5252" s="123">
        <v>10806177755</v>
      </c>
      <c r="D5252" s="126" t="s">
        <v>18682</v>
      </c>
      <c r="E5252" s="126" t="s">
        <v>18683</v>
      </c>
      <c r="F5252" s="123" t="s">
        <v>30</v>
      </c>
      <c r="G5252" s="123" t="s">
        <v>170</v>
      </c>
      <c r="H5252" s="123" t="s">
        <v>176</v>
      </c>
      <c r="I5252" s="126" t="s">
        <v>1942</v>
      </c>
      <c r="J5252" s="123" t="s">
        <v>18684</v>
      </c>
      <c r="K5252" s="123" t="s">
        <v>18682</v>
      </c>
      <c r="L5252" s="131" t="s">
        <v>100</v>
      </c>
      <c r="M5252" s="135" t="s">
        <v>845</v>
      </c>
      <c r="N5252" s="123" t="s">
        <v>845</v>
      </c>
    </row>
    <row r="5253" spans="2:14" hidden="1" x14ac:dyDescent="0.25">
      <c r="B5253" s="120">
        <v>5250</v>
      </c>
      <c r="C5253" s="123">
        <v>10712363865</v>
      </c>
      <c r="D5253" s="126" t="s">
        <v>18685</v>
      </c>
      <c r="E5253" s="126" t="s">
        <v>18686</v>
      </c>
      <c r="F5253" s="123" t="s">
        <v>30</v>
      </c>
      <c r="G5253" s="123" t="s">
        <v>30</v>
      </c>
      <c r="H5253" s="123" t="s">
        <v>52</v>
      </c>
      <c r="I5253" s="126" t="s">
        <v>9340</v>
      </c>
      <c r="J5253" s="123" t="s">
        <v>18687</v>
      </c>
      <c r="K5253" s="123" t="s">
        <v>18685</v>
      </c>
      <c r="L5253" s="131" t="s">
        <v>100</v>
      </c>
      <c r="M5253" s="135" t="s">
        <v>845</v>
      </c>
      <c r="N5253" s="123" t="s">
        <v>845</v>
      </c>
    </row>
    <row r="5254" spans="2:14" hidden="1" x14ac:dyDescent="0.25">
      <c r="B5254" s="120">
        <v>5251</v>
      </c>
      <c r="C5254" s="123">
        <v>10705877055</v>
      </c>
      <c r="D5254" s="126" t="s">
        <v>18688</v>
      </c>
      <c r="E5254" s="126" t="s">
        <v>18689</v>
      </c>
      <c r="F5254" s="123" t="s">
        <v>30</v>
      </c>
      <c r="G5254" s="123" t="s">
        <v>30</v>
      </c>
      <c r="H5254" s="123" t="s">
        <v>60</v>
      </c>
      <c r="I5254" s="126" t="s">
        <v>1949</v>
      </c>
      <c r="J5254" s="123" t="s">
        <v>18690</v>
      </c>
      <c r="K5254" s="123" t="s">
        <v>18691</v>
      </c>
      <c r="L5254" s="131" t="s">
        <v>100</v>
      </c>
      <c r="M5254" s="135" t="s">
        <v>845</v>
      </c>
      <c r="N5254" s="123" t="s">
        <v>845</v>
      </c>
    </row>
    <row r="5255" spans="2:14" hidden="1" x14ac:dyDescent="0.25">
      <c r="B5255" s="120">
        <v>5252</v>
      </c>
      <c r="C5255" s="123">
        <v>10412546054</v>
      </c>
      <c r="D5255" s="126" t="s">
        <v>18692</v>
      </c>
      <c r="E5255" s="126" t="s">
        <v>18693</v>
      </c>
      <c r="F5255" s="123" t="s">
        <v>30</v>
      </c>
      <c r="G5255" s="123" t="s">
        <v>30</v>
      </c>
      <c r="H5255" s="123" t="s">
        <v>79</v>
      </c>
      <c r="I5255" s="126" t="s">
        <v>1984</v>
      </c>
      <c r="J5255" s="123" t="s">
        <v>18694</v>
      </c>
      <c r="K5255" s="123" t="s">
        <v>18692</v>
      </c>
      <c r="L5255" s="131" t="s">
        <v>100</v>
      </c>
      <c r="M5255" s="135" t="s">
        <v>845</v>
      </c>
      <c r="N5255" s="123" t="s">
        <v>845</v>
      </c>
    </row>
    <row r="5256" spans="2:14" hidden="1" x14ac:dyDescent="0.25">
      <c r="B5256" s="120">
        <v>5253</v>
      </c>
      <c r="C5256" s="123">
        <v>10466000154</v>
      </c>
      <c r="D5256" s="126" t="s">
        <v>18695</v>
      </c>
      <c r="E5256" s="126" t="s">
        <v>18696</v>
      </c>
      <c r="F5256" s="123" t="s">
        <v>30</v>
      </c>
      <c r="G5256" s="123" t="s">
        <v>170</v>
      </c>
      <c r="H5256" s="123" t="s">
        <v>176</v>
      </c>
      <c r="I5256" s="126" t="s">
        <v>1805</v>
      </c>
      <c r="J5256" s="123" t="s">
        <v>18697</v>
      </c>
      <c r="K5256" s="123" t="s">
        <v>18695</v>
      </c>
      <c r="L5256" s="131" t="s">
        <v>100</v>
      </c>
      <c r="M5256" s="135" t="s">
        <v>845</v>
      </c>
      <c r="N5256" s="123" t="s">
        <v>845</v>
      </c>
    </row>
    <row r="5257" spans="2:14" hidden="1" x14ac:dyDescent="0.25">
      <c r="B5257" s="120">
        <v>5254</v>
      </c>
      <c r="C5257" s="123">
        <v>10454482633</v>
      </c>
      <c r="D5257" s="126" t="s">
        <v>18698</v>
      </c>
      <c r="E5257" s="126" t="s">
        <v>18699</v>
      </c>
      <c r="F5257" s="123" t="s">
        <v>30</v>
      </c>
      <c r="G5257" s="123" t="s">
        <v>170</v>
      </c>
      <c r="H5257" s="123" t="s">
        <v>176</v>
      </c>
      <c r="I5257" s="126" t="s">
        <v>1701</v>
      </c>
      <c r="J5257" s="123" t="s">
        <v>18700</v>
      </c>
      <c r="K5257" s="123" t="s">
        <v>18698</v>
      </c>
      <c r="L5257" s="131" t="s">
        <v>100</v>
      </c>
      <c r="M5257" s="135" t="s">
        <v>845</v>
      </c>
      <c r="N5257" s="123" t="s">
        <v>845</v>
      </c>
    </row>
    <row r="5258" spans="2:14" hidden="1" x14ac:dyDescent="0.25">
      <c r="B5258" s="120">
        <v>5255</v>
      </c>
      <c r="C5258" s="123">
        <v>10440287111</v>
      </c>
      <c r="D5258" s="126" t="s">
        <v>18701</v>
      </c>
      <c r="E5258" s="126" t="s">
        <v>18702</v>
      </c>
      <c r="F5258" s="123" t="s">
        <v>30</v>
      </c>
      <c r="G5258" s="123" t="s">
        <v>30</v>
      </c>
      <c r="H5258" s="123" t="s">
        <v>85</v>
      </c>
      <c r="I5258" s="126" t="s">
        <v>87</v>
      </c>
      <c r="J5258" s="123" t="s">
        <v>18703</v>
      </c>
      <c r="K5258" s="123" t="s">
        <v>18701</v>
      </c>
      <c r="L5258" s="131" t="s">
        <v>100</v>
      </c>
      <c r="M5258" s="135" t="s">
        <v>845</v>
      </c>
      <c r="N5258" s="123" t="s">
        <v>845</v>
      </c>
    </row>
    <row r="5259" spans="2:14" hidden="1" x14ac:dyDescent="0.25">
      <c r="B5259" s="120">
        <v>5256</v>
      </c>
      <c r="C5259" s="123">
        <v>10806228198</v>
      </c>
      <c r="D5259" s="126" t="s">
        <v>18704</v>
      </c>
      <c r="E5259" s="126" t="s">
        <v>18705</v>
      </c>
      <c r="F5259" s="123" t="s">
        <v>30</v>
      </c>
      <c r="G5259" s="123" t="s">
        <v>30</v>
      </c>
      <c r="H5259" s="123" t="s">
        <v>88</v>
      </c>
      <c r="I5259" s="126" t="s">
        <v>1941</v>
      </c>
      <c r="J5259" s="123" t="s">
        <v>18706</v>
      </c>
      <c r="K5259" s="123" t="s">
        <v>18704</v>
      </c>
      <c r="L5259" s="131" t="s">
        <v>100</v>
      </c>
      <c r="M5259" s="135" t="s">
        <v>845</v>
      </c>
      <c r="N5259" s="123" t="s">
        <v>845</v>
      </c>
    </row>
    <row r="5260" spans="2:14" hidden="1" x14ac:dyDescent="0.25">
      <c r="B5260" s="120">
        <v>5257</v>
      </c>
      <c r="C5260" s="123">
        <v>10438562724</v>
      </c>
      <c r="D5260" s="126" t="s">
        <v>18707</v>
      </c>
      <c r="E5260" s="126" t="s">
        <v>18708</v>
      </c>
      <c r="F5260" s="123" t="s">
        <v>30</v>
      </c>
      <c r="G5260" s="123" t="s">
        <v>30</v>
      </c>
      <c r="H5260" s="123" t="s">
        <v>75</v>
      </c>
      <c r="I5260" s="126" t="s">
        <v>8659</v>
      </c>
      <c r="J5260" s="123" t="s">
        <v>18709</v>
      </c>
      <c r="K5260" s="123" t="s">
        <v>18710</v>
      </c>
      <c r="L5260" s="131" t="s">
        <v>100</v>
      </c>
      <c r="M5260" s="135" t="s">
        <v>845</v>
      </c>
      <c r="N5260" s="123" t="s">
        <v>845</v>
      </c>
    </row>
    <row r="5261" spans="2:14" hidden="1" x14ac:dyDescent="0.25">
      <c r="B5261" s="120">
        <v>5258</v>
      </c>
      <c r="C5261" s="123">
        <v>10407090671</v>
      </c>
      <c r="D5261" s="126" t="s">
        <v>18711</v>
      </c>
      <c r="E5261" s="126" t="s">
        <v>18712</v>
      </c>
      <c r="F5261" s="123" t="s">
        <v>30</v>
      </c>
      <c r="G5261" s="123" t="s">
        <v>30</v>
      </c>
      <c r="H5261" s="123" t="s">
        <v>64</v>
      </c>
      <c r="I5261" s="126" t="s">
        <v>1949</v>
      </c>
      <c r="J5261" s="123" t="s">
        <v>18713</v>
      </c>
      <c r="K5261" s="123" t="s">
        <v>18711</v>
      </c>
      <c r="L5261" s="131" t="s">
        <v>100</v>
      </c>
      <c r="M5261" s="135" t="s">
        <v>845</v>
      </c>
      <c r="N5261" s="123" t="s">
        <v>845</v>
      </c>
    </row>
    <row r="5262" spans="2:14" hidden="1" x14ac:dyDescent="0.25">
      <c r="B5262" s="120">
        <v>5259</v>
      </c>
      <c r="C5262" s="123">
        <v>10482724651</v>
      </c>
      <c r="D5262" s="126" t="s">
        <v>18714</v>
      </c>
      <c r="E5262" s="126" t="s">
        <v>18715</v>
      </c>
      <c r="F5262" s="123" t="s">
        <v>30</v>
      </c>
      <c r="G5262" s="123" t="s">
        <v>170</v>
      </c>
      <c r="H5262" s="123" t="s">
        <v>170</v>
      </c>
      <c r="I5262" s="126" t="s">
        <v>1701</v>
      </c>
      <c r="J5262" s="123" t="s">
        <v>18716</v>
      </c>
      <c r="K5262" s="123" t="s">
        <v>18714</v>
      </c>
      <c r="L5262" s="131" t="s">
        <v>100</v>
      </c>
      <c r="M5262" s="135" t="s">
        <v>845</v>
      </c>
      <c r="N5262" s="123" t="s">
        <v>845</v>
      </c>
    </row>
    <row r="5263" spans="2:14" hidden="1" x14ac:dyDescent="0.25">
      <c r="B5263" s="120">
        <v>5260</v>
      </c>
      <c r="C5263" s="123">
        <v>10440339471</v>
      </c>
      <c r="D5263" s="126" t="s">
        <v>18717</v>
      </c>
      <c r="E5263" s="126" t="s">
        <v>18718</v>
      </c>
      <c r="F5263" s="123" t="s">
        <v>30</v>
      </c>
      <c r="G5263" s="123" t="s">
        <v>30</v>
      </c>
      <c r="H5263" s="123" t="s">
        <v>72</v>
      </c>
      <c r="I5263" s="126" t="s">
        <v>18719</v>
      </c>
      <c r="J5263" s="123" t="s">
        <v>18720</v>
      </c>
      <c r="K5263" s="123" t="s">
        <v>18717</v>
      </c>
      <c r="L5263" s="131" t="s">
        <v>100</v>
      </c>
      <c r="M5263" s="135" t="s">
        <v>845</v>
      </c>
      <c r="N5263" s="123" t="s">
        <v>845</v>
      </c>
    </row>
    <row r="5264" spans="2:14" hidden="1" x14ac:dyDescent="0.25">
      <c r="B5264" s="120">
        <v>5261</v>
      </c>
      <c r="C5264" s="123">
        <v>10467901287</v>
      </c>
      <c r="D5264" s="126" t="s">
        <v>18721</v>
      </c>
      <c r="E5264" s="126" t="s">
        <v>18722</v>
      </c>
      <c r="F5264" s="123" t="s">
        <v>30</v>
      </c>
      <c r="G5264" s="123" t="s">
        <v>30</v>
      </c>
      <c r="H5264" s="123" t="s">
        <v>30</v>
      </c>
      <c r="I5264" s="126" t="s">
        <v>9714</v>
      </c>
      <c r="J5264" s="123" t="s">
        <v>18723</v>
      </c>
      <c r="K5264" s="123" t="s">
        <v>18721</v>
      </c>
      <c r="L5264" s="131" t="s">
        <v>100</v>
      </c>
      <c r="M5264" s="135" t="s">
        <v>845</v>
      </c>
      <c r="N5264" s="123" t="s">
        <v>845</v>
      </c>
    </row>
    <row r="5265" spans="2:14" hidden="1" x14ac:dyDescent="0.25">
      <c r="B5265" s="120">
        <v>5262</v>
      </c>
      <c r="C5265" s="123">
        <v>10157400598</v>
      </c>
      <c r="D5265" s="126" t="s">
        <v>18724</v>
      </c>
      <c r="E5265" s="126" t="s">
        <v>18725</v>
      </c>
      <c r="F5265" s="123" t="s">
        <v>30</v>
      </c>
      <c r="G5265" s="123" t="s">
        <v>170</v>
      </c>
      <c r="H5265" s="123" t="s">
        <v>171</v>
      </c>
      <c r="I5265" s="126" t="s">
        <v>11846</v>
      </c>
      <c r="J5265" s="123" t="s">
        <v>18726</v>
      </c>
      <c r="K5265" s="123" t="s">
        <v>18724</v>
      </c>
      <c r="L5265" s="131" t="s">
        <v>100</v>
      </c>
      <c r="M5265" s="135" t="s">
        <v>845</v>
      </c>
      <c r="N5265" s="123" t="s">
        <v>845</v>
      </c>
    </row>
    <row r="5266" spans="2:14" hidden="1" x14ac:dyDescent="0.25">
      <c r="B5266" s="120">
        <v>5263</v>
      </c>
      <c r="C5266" s="123">
        <v>10478369013</v>
      </c>
      <c r="D5266" s="126" t="s">
        <v>18727</v>
      </c>
      <c r="E5266" s="126" t="s">
        <v>18728</v>
      </c>
      <c r="F5266" s="123" t="s">
        <v>67</v>
      </c>
      <c r="G5266" s="123" t="s">
        <v>67</v>
      </c>
      <c r="H5266" s="123" t="s">
        <v>67</v>
      </c>
      <c r="I5266" s="126" t="s">
        <v>15551</v>
      </c>
      <c r="J5266" s="123" t="s">
        <v>18729</v>
      </c>
      <c r="K5266" s="123" t="s">
        <v>18727</v>
      </c>
      <c r="L5266" s="131" t="s">
        <v>100</v>
      </c>
      <c r="M5266" s="135" t="s">
        <v>845</v>
      </c>
      <c r="N5266" s="123" t="s">
        <v>845</v>
      </c>
    </row>
    <row r="5267" spans="2:14" hidden="1" x14ac:dyDescent="0.25">
      <c r="B5267" s="120">
        <v>5264</v>
      </c>
      <c r="C5267" s="123">
        <v>10157538336</v>
      </c>
      <c r="D5267" s="126" t="s">
        <v>18730</v>
      </c>
      <c r="E5267" s="126" t="s">
        <v>18731</v>
      </c>
      <c r="F5267" s="123" t="s">
        <v>30</v>
      </c>
      <c r="G5267" s="123" t="s">
        <v>54</v>
      </c>
      <c r="H5267" s="123" t="s">
        <v>55</v>
      </c>
      <c r="I5267" s="126" t="s">
        <v>1551</v>
      </c>
      <c r="J5267" s="123" t="s">
        <v>18732</v>
      </c>
      <c r="K5267" s="123" t="s">
        <v>18730</v>
      </c>
      <c r="L5267" s="131" t="s">
        <v>100</v>
      </c>
      <c r="M5267" s="135" t="s">
        <v>845</v>
      </c>
      <c r="N5267" s="123" t="s">
        <v>845</v>
      </c>
    </row>
    <row r="5268" spans="2:14" hidden="1" x14ac:dyDescent="0.25">
      <c r="B5268" s="120">
        <v>5265</v>
      </c>
      <c r="C5268" s="123">
        <v>10227499058</v>
      </c>
      <c r="D5268" s="126" t="s">
        <v>18733</v>
      </c>
      <c r="E5268" s="126" t="s">
        <v>18734</v>
      </c>
      <c r="F5268" s="123" t="s">
        <v>30</v>
      </c>
      <c r="G5268" s="123" t="s">
        <v>30</v>
      </c>
      <c r="H5268" s="123" t="s">
        <v>68</v>
      </c>
      <c r="I5268" s="126" t="s">
        <v>11256</v>
      </c>
      <c r="J5268" s="123" t="s">
        <v>18735</v>
      </c>
      <c r="K5268" s="123" t="s">
        <v>18736</v>
      </c>
      <c r="L5268" s="131" t="s">
        <v>100</v>
      </c>
      <c r="M5268" s="135" t="s">
        <v>845</v>
      </c>
      <c r="N5268" s="123" t="s">
        <v>845</v>
      </c>
    </row>
    <row r="5269" spans="2:14" hidden="1" x14ac:dyDescent="0.25">
      <c r="B5269" s="120">
        <v>5266</v>
      </c>
      <c r="C5269" s="123">
        <v>10414405199</v>
      </c>
      <c r="D5269" s="126" t="s">
        <v>18737</v>
      </c>
      <c r="E5269" s="126" t="s">
        <v>18738</v>
      </c>
      <c r="F5269" s="123" t="s">
        <v>30</v>
      </c>
      <c r="G5269" s="123" t="s">
        <v>170</v>
      </c>
      <c r="H5269" s="123" t="s">
        <v>170</v>
      </c>
      <c r="I5269" s="126" t="s">
        <v>1962</v>
      </c>
      <c r="J5269" s="123" t="s">
        <v>18739</v>
      </c>
      <c r="K5269" s="123" t="s">
        <v>18737</v>
      </c>
      <c r="L5269" s="131" t="s">
        <v>100</v>
      </c>
      <c r="M5269" s="135" t="s">
        <v>845</v>
      </c>
      <c r="N5269" s="123" t="s">
        <v>845</v>
      </c>
    </row>
    <row r="5270" spans="2:14" hidden="1" x14ac:dyDescent="0.25">
      <c r="B5270" s="120">
        <v>5267</v>
      </c>
      <c r="C5270" s="123">
        <v>10775298397</v>
      </c>
      <c r="D5270" s="126" t="s">
        <v>18740</v>
      </c>
      <c r="E5270" s="126" t="s">
        <v>18741</v>
      </c>
      <c r="F5270" s="123" t="s">
        <v>30</v>
      </c>
      <c r="G5270" s="123" t="s">
        <v>168</v>
      </c>
      <c r="H5270" s="123" t="s">
        <v>168</v>
      </c>
      <c r="I5270" s="126" t="s">
        <v>1655</v>
      </c>
      <c r="J5270" s="123" t="s">
        <v>18742</v>
      </c>
      <c r="K5270" s="123" t="s">
        <v>18740</v>
      </c>
      <c r="L5270" s="131" t="s">
        <v>100</v>
      </c>
      <c r="M5270" s="135" t="s">
        <v>845</v>
      </c>
      <c r="N5270" s="123" t="s">
        <v>845</v>
      </c>
    </row>
    <row r="5271" spans="2:14" hidden="1" x14ac:dyDescent="0.25">
      <c r="B5271" s="120">
        <v>5268</v>
      </c>
      <c r="C5271" s="123">
        <v>10431934251</v>
      </c>
      <c r="D5271" s="126" t="s">
        <v>18743</v>
      </c>
      <c r="E5271" s="126" t="s">
        <v>18744</v>
      </c>
      <c r="F5271" s="123" t="s">
        <v>30</v>
      </c>
      <c r="G5271" s="123" t="s">
        <v>30</v>
      </c>
      <c r="H5271" s="123" t="s">
        <v>58</v>
      </c>
      <c r="I5271" s="126" t="s">
        <v>1950</v>
      </c>
      <c r="J5271" s="123" t="s">
        <v>18745</v>
      </c>
      <c r="K5271" s="123" t="s">
        <v>18743</v>
      </c>
      <c r="L5271" s="131" t="s">
        <v>100</v>
      </c>
      <c r="M5271" s="135" t="s">
        <v>845</v>
      </c>
      <c r="N5271" s="123" t="s">
        <v>845</v>
      </c>
    </row>
    <row r="5272" spans="2:14" hidden="1" x14ac:dyDescent="0.25">
      <c r="B5272" s="120">
        <v>5269</v>
      </c>
      <c r="C5272" s="123">
        <v>10157423024</v>
      </c>
      <c r="D5272" s="126" t="s">
        <v>18746</v>
      </c>
      <c r="E5272" s="126" t="s">
        <v>18747</v>
      </c>
      <c r="F5272" s="123" t="s">
        <v>30</v>
      </c>
      <c r="G5272" s="123" t="s">
        <v>170</v>
      </c>
      <c r="H5272" s="123" t="s">
        <v>175</v>
      </c>
      <c r="I5272" s="126" t="s">
        <v>1701</v>
      </c>
      <c r="J5272" s="123" t="s">
        <v>18748</v>
      </c>
      <c r="K5272" s="123" t="s">
        <v>18746</v>
      </c>
      <c r="L5272" s="131" t="s">
        <v>100</v>
      </c>
      <c r="M5272" s="135" t="s">
        <v>845</v>
      </c>
      <c r="N5272" s="123" t="s">
        <v>845</v>
      </c>
    </row>
    <row r="5273" spans="2:14" hidden="1" x14ac:dyDescent="0.25">
      <c r="B5273" s="120">
        <v>5270</v>
      </c>
      <c r="C5273" s="123">
        <v>10160176216</v>
      </c>
      <c r="D5273" s="126" t="s">
        <v>18749</v>
      </c>
      <c r="E5273" s="126" t="s">
        <v>18750</v>
      </c>
      <c r="F5273" s="123" t="s">
        <v>30</v>
      </c>
      <c r="G5273" s="123" t="s">
        <v>54</v>
      </c>
      <c r="H5273" s="123" t="s">
        <v>55</v>
      </c>
      <c r="I5273" s="126" t="s">
        <v>1387</v>
      </c>
      <c r="J5273" s="123" t="s">
        <v>18751</v>
      </c>
      <c r="K5273" s="123" t="s">
        <v>18749</v>
      </c>
      <c r="L5273" s="131" t="s">
        <v>100</v>
      </c>
      <c r="M5273" s="135" t="s">
        <v>845</v>
      </c>
      <c r="N5273" s="123" t="s">
        <v>845</v>
      </c>
    </row>
    <row r="5274" spans="2:14" hidden="1" x14ac:dyDescent="0.25">
      <c r="B5274" s="120">
        <v>5271</v>
      </c>
      <c r="C5274" s="123">
        <v>10419491221</v>
      </c>
      <c r="D5274" s="126" t="s">
        <v>18752</v>
      </c>
      <c r="E5274" s="126" t="s">
        <v>18753</v>
      </c>
      <c r="F5274" s="123" t="s">
        <v>30</v>
      </c>
      <c r="G5274" s="123" t="s">
        <v>30</v>
      </c>
      <c r="H5274" s="123" t="s">
        <v>51</v>
      </c>
      <c r="I5274" s="126" t="s">
        <v>101</v>
      </c>
      <c r="J5274" s="123" t="s">
        <v>18754</v>
      </c>
      <c r="K5274" s="123" t="s">
        <v>18752</v>
      </c>
      <c r="L5274" s="131" t="s">
        <v>100</v>
      </c>
      <c r="M5274" s="135" t="s">
        <v>845</v>
      </c>
      <c r="N5274" s="123" t="s">
        <v>845</v>
      </c>
    </row>
    <row r="5275" spans="2:14" hidden="1" x14ac:dyDescent="0.25">
      <c r="B5275" s="120">
        <v>5272</v>
      </c>
      <c r="C5275" s="123">
        <v>10164489871</v>
      </c>
      <c r="D5275" s="126" t="s">
        <v>18755</v>
      </c>
      <c r="E5275" s="126" t="s">
        <v>18756</v>
      </c>
      <c r="F5275" s="123" t="s">
        <v>30</v>
      </c>
      <c r="G5275" s="123" t="s">
        <v>30</v>
      </c>
      <c r="H5275" s="123" t="s">
        <v>35</v>
      </c>
      <c r="I5275" s="126" t="s">
        <v>1737</v>
      </c>
      <c r="J5275" s="123" t="s">
        <v>18757</v>
      </c>
      <c r="K5275" s="123" t="s">
        <v>18755</v>
      </c>
      <c r="L5275" s="131" t="s">
        <v>100</v>
      </c>
      <c r="M5275" s="135" t="s">
        <v>845</v>
      </c>
      <c r="N5275" s="123" t="s">
        <v>845</v>
      </c>
    </row>
    <row r="5276" spans="2:14" hidden="1" x14ac:dyDescent="0.25">
      <c r="B5276" s="120">
        <v>5273</v>
      </c>
      <c r="C5276" s="123">
        <v>10453481846</v>
      </c>
      <c r="D5276" s="126" t="s">
        <v>18758</v>
      </c>
      <c r="E5276" s="126" t="s">
        <v>18759</v>
      </c>
      <c r="F5276" s="123" t="s">
        <v>30</v>
      </c>
      <c r="G5276" s="123" t="s">
        <v>30</v>
      </c>
      <c r="H5276" s="123" t="s">
        <v>58</v>
      </c>
      <c r="I5276" s="126" t="s">
        <v>1942</v>
      </c>
      <c r="J5276" s="123" t="s">
        <v>18760</v>
      </c>
      <c r="K5276" s="123" t="s">
        <v>18758</v>
      </c>
      <c r="L5276" s="131" t="s">
        <v>100</v>
      </c>
      <c r="M5276" s="135" t="s">
        <v>845</v>
      </c>
      <c r="N5276" s="123" t="s">
        <v>845</v>
      </c>
    </row>
    <row r="5277" spans="2:14" hidden="1" x14ac:dyDescent="0.25">
      <c r="B5277" s="120">
        <v>5274</v>
      </c>
      <c r="C5277" s="123">
        <v>10403681232</v>
      </c>
      <c r="D5277" s="126" t="s">
        <v>18761</v>
      </c>
      <c r="E5277" s="126" t="s">
        <v>18762</v>
      </c>
      <c r="F5277" s="123" t="s">
        <v>30</v>
      </c>
      <c r="G5277" s="123" t="s">
        <v>30</v>
      </c>
      <c r="H5277" s="123" t="s">
        <v>51</v>
      </c>
      <c r="I5277" s="126" t="s">
        <v>1564</v>
      </c>
      <c r="J5277" s="123" t="s">
        <v>18763</v>
      </c>
      <c r="K5277" s="123" t="s">
        <v>18761</v>
      </c>
      <c r="L5277" s="131" t="s">
        <v>100</v>
      </c>
      <c r="M5277" s="135" t="s">
        <v>845</v>
      </c>
      <c r="N5277" s="123" t="s">
        <v>845</v>
      </c>
    </row>
    <row r="5278" spans="2:14" hidden="1" x14ac:dyDescent="0.25">
      <c r="B5278" s="120">
        <v>5275</v>
      </c>
      <c r="C5278" s="123">
        <v>10203970270</v>
      </c>
      <c r="D5278" s="126" t="s">
        <v>18764</v>
      </c>
      <c r="E5278" s="126" t="s">
        <v>18765</v>
      </c>
      <c r="F5278" s="123" t="s">
        <v>30</v>
      </c>
      <c r="G5278" s="123" t="s">
        <v>30</v>
      </c>
      <c r="H5278" s="123" t="s">
        <v>88</v>
      </c>
      <c r="I5278" s="126" t="s">
        <v>18766</v>
      </c>
      <c r="J5278" s="123" t="s">
        <v>18767</v>
      </c>
      <c r="K5278" s="123" t="s">
        <v>18768</v>
      </c>
      <c r="L5278" s="131" t="s">
        <v>100</v>
      </c>
      <c r="M5278" s="135" t="s">
        <v>845</v>
      </c>
      <c r="N5278" s="123" t="s">
        <v>845</v>
      </c>
    </row>
    <row r="5279" spans="2:14" hidden="1" x14ac:dyDescent="0.25">
      <c r="B5279" s="120">
        <v>5276</v>
      </c>
      <c r="C5279" s="123">
        <v>10094598538</v>
      </c>
      <c r="D5279" s="126" t="s">
        <v>18769</v>
      </c>
      <c r="E5279" s="126" t="s">
        <v>18770</v>
      </c>
      <c r="F5279" s="123" t="s">
        <v>30</v>
      </c>
      <c r="G5279" s="123" t="s">
        <v>30</v>
      </c>
      <c r="H5279" s="123" t="s">
        <v>58</v>
      </c>
      <c r="I5279" s="126" t="s">
        <v>9372</v>
      </c>
      <c r="J5279" s="123" t="s">
        <v>18771</v>
      </c>
      <c r="K5279" s="123" t="s">
        <v>18769</v>
      </c>
      <c r="L5279" s="131" t="s">
        <v>100</v>
      </c>
      <c r="M5279" s="135" t="s">
        <v>845</v>
      </c>
      <c r="N5279" s="123" t="s">
        <v>845</v>
      </c>
    </row>
    <row r="5280" spans="2:14" hidden="1" x14ac:dyDescent="0.25">
      <c r="B5280" s="120">
        <v>5277</v>
      </c>
      <c r="C5280" s="123">
        <v>10452203851</v>
      </c>
      <c r="D5280" s="126" t="s">
        <v>18772</v>
      </c>
      <c r="E5280" s="126" t="s">
        <v>18773</v>
      </c>
      <c r="F5280" s="123" t="s">
        <v>30</v>
      </c>
      <c r="G5280" s="123" t="s">
        <v>30</v>
      </c>
      <c r="H5280" s="123" t="s">
        <v>51</v>
      </c>
      <c r="I5280" s="126" t="s">
        <v>1701</v>
      </c>
      <c r="J5280" s="123" t="s">
        <v>18774</v>
      </c>
      <c r="K5280" s="123" t="s">
        <v>18772</v>
      </c>
      <c r="L5280" s="131" t="s">
        <v>100</v>
      </c>
      <c r="M5280" s="135" t="s">
        <v>845</v>
      </c>
      <c r="N5280" s="123" t="s">
        <v>845</v>
      </c>
    </row>
    <row r="5281" spans="2:14" hidden="1" x14ac:dyDescent="0.25">
      <c r="B5281" s="120">
        <v>5278</v>
      </c>
      <c r="C5281" s="123">
        <v>10445883013</v>
      </c>
      <c r="D5281" s="126" t="s">
        <v>18775</v>
      </c>
      <c r="E5281" s="126" t="s">
        <v>18776</v>
      </c>
      <c r="F5281" s="123" t="s">
        <v>30</v>
      </c>
      <c r="G5281" s="123" t="s">
        <v>170</v>
      </c>
      <c r="H5281" s="123" t="s">
        <v>175</v>
      </c>
      <c r="I5281" s="126" t="s">
        <v>1643</v>
      </c>
      <c r="J5281" s="123" t="s">
        <v>18777</v>
      </c>
      <c r="K5281" s="123" t="s">
        <v>18775</v>
      </c>
      <c r="L5281" s="131" t="s">
        <v>100</v>
      </c>
      <c r="M5281" s="135" t="s">
        <v>845</v>
      </c>
      <c r="N5281" s="123" t="s">
        <v>845</v>
      </c>
    </row>
    <row r="5282" spans="2:14" hidden="1" x14ac:dyDescent="0.25">
      <c r="B5282" s="120">
        <v>5279</v>
      </c>
      <c r="C5282" s="123">
        <v>10456671727</v>
      </c>
      <c r="D5282" s="126" t="s">
        <v>18778</v>
      </c>
      <c r="E5282" s="126" t="s">
        <v>18779</v>
      </c>
      <c r="F5282" s="123" t="s">
        <v>30</v>
      </c>
      <c r="G5282" s="123" t="s">
        <v>30</v>
      </c>
      <c r="H5282" s="123" t="s">
        <v>38</v>
      </c>
      <c r="I5282" s="126" t="s">
        <v>1933</v>
      </c>
      <c r="J5282" s="123" t="s">
        <v>18780</v>
      </c>
      <c r="K5282" s="123" t="s">
        <v>18781</v>
      </c>
      <c r="L5282" s="131" t="s">
        <v>100</v>
      </c>
      <c r="M5282" s="135" t="s">
        <v>845</v>
      </c>
      <c r="N5282" s="123" t="s">
        <v>845</v>
      </c>
    </row>
    <row r="5283" spans="2:14" hidden="1" x14ac:dyDescent="0.25">
      <c r="B5283" s="120">
        <v>5280</v>
      </c>
      <c r="C5283" s="123">
        <v>10448833009</v>
      </c>
      <c r="D5283" s="126" t="s">
        <v>18782</v>
      </c>
      <c r="E5283" s="126" t="s">
        <v>18783</v>
      </c>
      <c r="F5283" s="123" t="s">
        <v>30</v>
      </c>
      <c r="G5283" s="123" t="s">
        <v>30</v>
      </c>
      <c r="H5283" s="123" t="s">
        <v>50</v>
      </c>
      <c r="I5283" s="126" t="s">
        <v>1950</v>
      </c>
      <c r="J5283" s="123" t="s">
        <v>18784</v>
      </c>
      <c r="K5283" s="123" t="s">
        <v>18782</v>
      </c>
      <c r="L5283" s="131" t="s">
        <v>100</v>
      </c>
      <c r="M5283" s="135" t="s">
        <v>845</v>
      </c>
      <c r="N5283" s="123" t="s">
        <v>845</v>
      </c>
    </row>
    <row r="5284" spans="2:14" hidden="1" x14ac:dyDescent="0.25">
      <c r="B5284" s="120">
        <v>5281</v>
      </c>
      <c r="C5284" s="123">
        <v>10406675713</v>
      </c>
      <c r="D5284" s="126" t="s">
        <v>18785</v>
      </c>
      <c r="E5284" s="126" t="s">
        <v>18786</v>
      </c>
      <c r="F5284" s="123" t="s">
        <v>30</v>
      </c>
      <c r="G5284" s="123" t="s">
        <v>30</v>
      </c>
      <c r="H5284" s="123" t="s">
        <v>72</v>
      </c>
      <c r="I5284" s="126" t="s">
        <v>1935</v>
      </c>
      <c r="J5284" s="123" t="s">
        <v>18787</v>
      </c>
      <c r="K5284" s="123" t="s">
        <v>18785</v>
      </c>
      <c r="L5284" s="131" t="s">
        <v>100</v>
      </c>
      <c r="M5284" s="135" t="s">
        <v>845</v>
      </c>
      <c r="N5284" s="123" t="s">
        <v>845</v>
      </c>
    </row>
    <row r="5285" spans="2:14" hidden="1" x14ac:dyDescent="0.25">
      <c r="B5285" s="120">
        <v>5282</v>
      </c>
      <c r="C5285" s="123">
        <v>10476639234</v>
      </c>
      <c r="D5285" s="126" t="s">
        <v>18788</v>
      </c>
      <c r="E5285" s="126" t="s">
        <v>18789</v>
      </c>
      <c r="F5285" s="123" t="s">
        <v>30</v>
      </c>
      <c r="G5285" s="123" t="s">
        <v>30</v>
      </c>
      <c r="H5285" s="123" t="s">
        <v>58</v>
      </c>
      <c r="I5285" s="126" t="s">
        <v>1931</v>
      </c>
      <c r="J5285" s="123" t="s">
        <v>18790</v>
      </c>
      <c r="K5285" s="123" t="s">
        <v>18788</v>
      </c>
      <c r="L5285" s="131" t="s">
        <v>100</v>
      </c>
      <c r="M5285" s="135" t="s">
        <v>845</v>
      </c>
      <c r="N5285" s="123" t="s">
        <v>845</v>
      </c>
    </row>
    <row r="5286" spans="2:14" hidden="1" x14ac:dyDescent="0.25">
      <c r="B5286" s="120">
        <v>5283</v>
      </c>
      <c r="C5286" s="123">
        <v>10092999136</v>
      </c>
      <c r="D5286" s="126" t="s">
        <v>18791</v>
      </c>
      <c r="E5286" s="126" t="s">
        <v>18792</v>
      </c>
      <c r="F5286" s="123" t="s">
        <v>30</v>
      </c>
      <c r="G5286" s="123" t="s">
        <v>30</v>
      </c>
      <c r="H5286" s="123" t="s">
        <v>39</v>
      </c>
      <c r="I5286" s="126" t="s">
        <v>1564</v>
      </c>
      <c r="J5286" s="123" t="s">
        <v>18793</v>
      </c>
      <c r="K5286" s="123" t="s">
        <v>18791</v>
      </c>
      <c r="L5286" s="131" t="s">
        <v>100</v>
      </c>
      <c r="M5286" s="135" t="s">
        <v>845</v>
      </c>
      <c r="N5286" s="123" t="s">
        <v>845</v>
      </c>
    </row>
    <row r="5287" spans="2:14" hidden="1" x14ac:dyDescent="0.25">
      <c r="B5287" s="120">
        <v>5284</v>
      </c>
      <c r="C5287" s="123">
        <v>10080340465</v>
      </c>
      <c r="D5287" s="126" t="s">
        <v>18794</v>
      </c>
      <c r="E5287" s="126" t="s">
        <v>18795</v>
      </c>
      <c r="F5287" s="123" t="s">
        <v>30</v>
      </c>
      <c r="G5287" s="123" t="s">
        <v>30</v>
      </c>
      <c r="H5287" s="123" t="s">
        <v>50</v>
      </c>
      <c r="I5287" s="126" t="s">
        <v>8743</v>
      </c>
      <c r="J5287" s="123" t="s">
        <v>18796</v>
      </c>
      <c r="K5287" s="123" t="s">
        <v>18794</v>
      </c>
      <c r="L5287" s="131" t="s">
        <v>100</v>
      </c>
      <c r="M5287" s="135" t="s">
        <v>845</v>
      </c>
      <c r="N5287" s="123" t="s">
        <v>845</v>
      </c>
    </row>
    <row r="5288" spans="2:14" hidden="1" x14ac:dyDescent="0.25">
      <c r="B5288" s="120">
        <v>5285</v>
      </c>
      <c r="C5288" s="123">
        <v>10424428308</v>
      </c>
      <c r="D5288" s="126" t="s">
        <v>18797</v>
      </c>
      <c r="E5288" s="126" t="s">
        <v>18798</v>
      </c>
      <c r="F5288" s="123" t="s">
        <v>30</v>
      </c>
      <c r="G5288" s="123" t="s">
        <v>30</v>
      </c>
      <c r="H5288" s="123" t="s">
        <v>250</v>
      </c>
      <c r="I5288" s="126" t="s">
        <v>1701</v>
      </c>
      <c r="J5288" s="123" t="s">
        <v>18799</v>
      </c>
      <c r="K5288" s="123" t="s">
        <v>18797</v>
      </c>
      <c r="L5288" s="131" t="s">
        <v>100</v>
      </c>
      <c r="M5288" s="135" t="s">
        <v>845</v>
      </c>
      <c r="N5288" s="123" t="s">
        <v>845</v>
      </c>
    </row>
    <row r="5289" spans="2:14" hidden="1" x14ac:dyDescent="0.25">
      <c r="B5289" s="120">
        <v>5286</v>
      </c>
      <c r="C5289" s="123">
        <v>10104183145</v>
      </c>
      <c r="D5289" s="126" t="s">
        <v>18800</v>
      </c>
      <c r="E5289" s="126" t="s">
        <v>18801</v>
      </c>
      <c r="F5289" s="123" t="s">
        <v>30</v>
      </c>
      <c r="G5289" s="123" t="s">
        <v>30</v>
      </c>
      <c r="H5289" s="123" t="s">
        <v>60</v>
      </c>
      <c r="I5289" s="126" t="s">
        <v>18802</v>
      </c>
      <c r="J5289" s="123" t="s">
        <v>18803</v>
      </c>
      <c r="K5289" s="123" t="s">
        <v>18804</v>
      </c>
      <c r="L5289" s="131" t="s">
        <v>100</v>
      </c>
      <c r="M5289" s="135" t="s">
        <v>845</v>
      </c>
      <c r="N5289" s="123" t="s">
        <v>845</v>
      </c>
    </row>
    <row r="5290" spans="2:14" hidden="1" x14ac:dyDescent="0.25">
      <c r="B5290" s="120">
        <v>5287</v>
      </c>
      <c r="C5290" s="123">
        <v>10432110520</v>
      </c>
      <c r="D5290" s="126" t="s">
        <v>18805</v>
      </c>
      <c r="E5290" s="126" t="s">
        <v>18806</v>
      </c>
      <c r="F5290" s="123" t="s">
        <v>30</v>
      </c>
      <c r="G5290" s="123" t="s">
        <v>30</v>
      </c>
      <c r="H5290" s="123" t="s">
        <v>58</v>
      </c>
      <c r="I5290" s="126" t="s">
        <v>1701</v>
      </c>
      <c r="J5290" s="123" t="s">
        <v>18807</v>
      </c>
      <c r="K5290" s="123" t="s">
        <v>18808</v>
      </c>
      <c r="L5290" s="131" t="s">
        <v>100</v>
      </c>
      <c r="M5290" s="135" t="s">
        <v>845</v>
      </c>
      <c r="N5290" s="123" t="s">
        <v>845</v>
      </c>
    </row>
    <row r="5291" spans="2:14" hidden="1" x14ac:dyDescent="0.25">
      <c r="B5291" s="120">
        <v>5288</v>
      </c>
      <c r="C5291" s="123">
        <v>10426012371</v>
      </c>
      <c r="D5291" s="126" t="s">
        <v>18809</v>
      </c>
      <c r="E5291" s="126" t="s">
        <v>18810</v>
      </c>
      <c r="F5291" s="123" t="s">
        <v>30</v>
      </c>
      <c r="G5291" s="123" t="s">
        <v>30</v>
      </c>
      <c r="H5291" s="123" t="s">
        <v>75</v>
      </c>
      <c r="I5291" s="126" t="s">
        <v>9372</v>
      </c>
      <c r="J5291" s="123" t="s">
        <v>18811</v>
      </c>
      <c r="K5291" s="123" t="s">
        <v>18809</v>
      </c>
      <c r="L5291" s="131" t="s">
        <v>100</v>
      </c>
      <c r="M5291" s="135" t="s">
        <v>845</v>
      </c>
      <c r="N5291" s="123" t="s">
        <v>845</v>
      </c>
    </row>
    <row r="5292" spans="2:14" hidden="1" x14ac:dyDescent="0.25">
      <c r="B5292" s="120">
        <v>5289</v>
      </c>
      <c r="C5292" s="123">
        <v>10765787098</v>
      </c>
      <c r="D5292" s="126" t="s">
        <v>18812</v>
      </c>
      <c r="E5292" s="126" t="s">
        <v>18813</v>
      </c>
      <c r="F5292" s="123" t="s">
        <v>30</v>
      </c>
      <c r="G5292" s="123" t="s">
        <v>30</v>
      </c>
      <c r="H5292" s="123" t="s">
        <v>75</v>
      </c>
      <c r="I5292" s="126" t="s">
        <v>1941</v>
      </c>
      <c r="J5292" s="123" t="s">
        <v>18814</v>
      </c>
      <c r="K5292" s="123" t="s">
        <v>18815</v>
      </c>
      <c r="L5292" s="131" t="s">
        <v>100</v>
      </c>
      <c r="M5292" s="135" t="s">
        <v>845</v>
      </c>
      <c r="N5292" s="123" t="s">
        <v>845</v>
      </c>
    </row>
    <row r="5293" spans="2:14" hidden="1" x14ac:dyDescent="0.25">
      <c r="B5293" s="120">
        <v>5290</v>
      </c>
      <c r="C5293" s="123">
        <v>10803999355</v>
      </c>
      <c r="D5293" s="126" t="s">
        <v>18816</v>
      </c>
      <c r="E5293" s="126" t="s">
        <v>18817</v>
      </c>
      <c r="F5293" s="123" t="s">
        <v>30</v>
      </c>
      <c r="G5293" s="123" t="s">
        <v>30</v>
      </c>
      <c r="H5293" s="123" t="s">
        <v>51</v>
      </c>
      <c r="I5293" s="126" t="s">
        <v>1564</v>
      </c>
      <c r="J5293" s="123" t="s">
        <v>18818</v>
      </c>
      <c r="K5293" s="123" t="s">
        <v>18816</v>
      </c>
      <c r="L5293" s="131" t="s">
        <v>100</v>
      </c>
      <c r="M5293" s="135" t="s">
        <v>845</v>
      </c>
      <c r="N5293" s="123" t="s">
        <v>845</v>
      </c>
    </row>
    <row r="5294" spans="2:14" hidden="1" x14ac:dyDescent="0.25">
      <c r="B5294" s="120">
        <v>5291</v>
      </c>
      <c r="C5294" s="123">
        <v>10089856511</v>
      </c>
      <c r="D5294" s="126" t="s">
        <v>18819</v>
      </c>
      <c r="E5294" s="126" t="s">
        <v>18820</v>
      </c>
      <c r="F5294" s="123" t="s">
        <v>30</v>
      </c>
      <c r="G5294" s="123" t="s">
        <v>30</v>
      </c>
      <c r="H5294" s="123" t="s">
        <v>35</v>
      </c>
      <c r="I5294" s="126" t="s">
        <v>1701</v>
      </c>
      <c r="J5294" s="123" t="s">
        <v>18821</v>
      </c>
      <c r="K5294" s="123" t="s">
        <v>18819</v>
      </c>
      <c r="L5294" s="131" t="s">
        <v>100</v>
      </c>
      <c r="M5294" s="135" t="s">
        <v>845</v>
      </c>
      <c r="N5294" s="123" t="s">
        <v>845</v>
      </c>
    </row>
    <row r="5295" spans="2:14" hidden="1" x14ac:dyDescent="0.25">
      <c r="B5295" s="120">
        <v>5292</v>
      </c>
      <c r="C5295" s="123">
        <v>10160195482</v>
      </c>
      <c r="D5295" s="126" t="s">
        <v>18822</v>
      </c>
      <c r="E5295" s="126" t="s">
        <v>18823</v>
      </c>
      <c r="F5295" s="123" t="s">
        <v>30</v>
      </c>
      <c r="G5295" s="123" t="s">
        <v>54</v>
      </c>
      <c r="H5295" s="123" t="s">
        <v>54</v>
      </c>
      <c r="I5295" s="126" t="s">
        <v>1965</v>
      </c>
      <c r="J5295" s="123" t="s">
        <v>18824</v>
      </c>
      <c r="K5295" s="123" t="s">
        <v>18822</v>
      </c>
      <c r="L5295" s="131" t="s">
        <v>100</v>
      </c>
      <c r="M5295" s="135" t="s">
        <v>845</v>
      </c>
      <c r="N5295" s="123" t="s">
        <v>845</v>
      </c>
    </row>
    <row r="5296" spans="2:14" hidden="1" x14ac:dyDescent="0.25">
      <c r="B5296" s="120">
        <v>5293</v>
      </c>
      <c r="C5296" s="123">
        <v>10454611778</v>
      </c>
      <c r="D5296" s="126" t="s">
        <v>18825</v>
      </c>
      <c r="E5296" s="126" t="s">
        <v>18826</v>
      </c>
      <c r="F5296" s="123" t="s">
        <v>30</v>
      </c>
      <c r="G5296" s="123" t="s">
        <v>30</v>
      </c>
      <c r="H5296" s="123" t="s">
        <v>51</v>
      </c>
      <c r="I5296" s="126" t="s">
        <v>1564</v>
      </c>
      <c r="J5296" s="123" t="s">
        <v>18827</v>
      </c>
      <c r="K5296" s="123" t="s">
        <v>18828</v>
      </c>
      <c r="L5296" s="131" t="s">
        <v>100</v>
      </c>
      <c r="M5296" s="135" t="s">
        <v>845</v>
      </c>
      <c r="N5296" s="123" t="s">
        <v>845</v>
      </c>
    </row>
    <row r="5297" spans="2:14" hidden="1" x14ac:dyDescent="0.25">
      <c r="B5297" s="120">
        <v>5294</v>
      </c>
      <c r="C5297" s="123">
        <v>10153450914</v>
      </c>
      <c r="D5297" s="126" t="s">
        <v>18829</v>
      </c>
      <c r="E5297" s="126" t="s">
        <v>18830</v>
      </c>
      <c r="F5297" s="123" t="s">
        <v>30</v>
      </c>
      <c r="G5297" s="123" t="s">
        <v>31</v>
      </c>
      <c r="H5297" s="123" t="s">
        <v>9381</v>
      </c>
      <c r="I5297" s="126" t="s">
        <v>8674</v>
      </c>
      <c r="J5297" s="123" t="s">
        <v>18831</v>
      </c>
      <c r="K5297" s="123" t="s">
        <v>18829</v>
      </c>
      <c r="L5297" s="131" t="s">
        <v>100</v>
      </c>
      <c r="M5297" s="135" t="s">
        <v>845</v>
      </c>
      <c r="N5297" s="123" t="s">
        <v>845</v>
      </c>
    </row>
    <row r="5298" spans="2:14" hidden="1" x14ac:dyDescent="0.25">
      <c r="B5298" s="120">
        <v>5295</v>
      </c>
      <c r="C5298" s="123">
        <v>10732710812</v>
      </c>
      <c r="D5298" s="126" t="s">
        <v>18832</v>
      </c>
      <c r="E5298" s="126" t="s">
        <v>18833</v>
      </c>
      <c r="F5298" s="123" t="s">
        <v>30</v>
      </c>
      <c r="G5298" s="123" t="s">
        <v>30</v>
      </c>
      <c r="H5298" s="123" t="s">
        <v>52</v>
      </c>
      <c r="I5298" s="126" t="s">
        <v>1701</v>
      </c>
      <c r="J5298" s="123" t="s">
        <v>18834</v>
      </c>
      <c r="K5298" s="123" t="s">
        <v>18832</v>
      </c>
      <c r="L5298" s="131" t="s">
        <v>100</v>
      </c>
      <c r="M5298" s="135" t="s">
        <v>845</v>
      </c>
      <c r="N5298" s="123" t="s">
        <v>845</v>
      </c>
    </row>
    <row r="5299" spans="2:14" hidden="1" x14ac:dyDescent="0.25">
      <c r="B5299" s="120">
        <v>5296</v>
      </c>
      <c r="C5299" s="123">
        <v>10453607092</v>
      </c>
      <c r="D5299" s="126" t="s">
        <v>18835</v>
      </c>
      <c r="E5299" s="126" t="s">
        <v>18836</v>
      </c>
      <c r="F5299" s="123" t="s">
        <v>30</v>
      </c>
      <c r="G5299" s="123" t="s">
        <v>30</v>
      </c>
      <c r="H5299" s="123" t="s">
        <v>30</v>
      </c>
      <c r="I5299" s="126" t="s">
        <v>8884</v>
      </c>
      <c r="J5299" s="123" t="s">
        <v>18837</v>
      </c>
      <c r="K5299" s="123" t="s">
        <v>18835</v>
      </c>
      <c r="L5299" s="131" t="s">
        <v>100</v>
      </c>
      <c r="M5299" s="135" t="s">
        <v>845</v>
      </c>
      <c r="N5299" s="123" t="s">
        <v>845</v>
      </c>
    </row>
    <row r="5300" spans="2:14" hidden="1" x14ac:dyDescent="0.25">
      <c r="B5300" s="120">
        <v>5297</v>
      </c>
      <c r="C5300" s="123">
        <v>10428686697</v>
      </c>
      <c r="D5300" s="126" t="s">
        <v>18838</v>
      </c>
      <c r="E5300" s="126" t="s">
        <v>18839</v>
      </c>
      <c r="F5300" s="123" t="s">
        <v>30</v>
      </c>
      <c r="G5300" s="123" t="s">
        <v>30</v>
      </c>
      <c r="H5300" s="123" t="s">
        <v>68</v>
      </c>
      <c r="I5300" s="126" t="s">
        <v>1701</v>
      </c>
      <c r="J5300" s="123" t="s">
        <v>18840</v>
      </c>
      <c r="K5300" s="123" t="s">
        <v>18841</v>
      </c>
      <c r="L5300" s="131" t="s">
        <v>100</v>
      </c>
      <c r="M5300" s="135" t="s">
        <v>845</v>
      </c>
      <c r="N5300" s="123" t="s">
        <v>845</v>
      </c>
    </row>
    <row r="5301" spans="2:14" hidden="1" x14ac:dyDescent="0.25">
      <c r="B5301" s="120">
        <v>5298</v>
      </c>
      <c r="C5301" s="123">
        <v>10481973614</v>
      </c>
      <c r="D5301" s="126" t="s">
        <v>18842</v>
      </c>
      <c r="E5301" s="126" t="s">
        <v>18843</v>
      </c>
      <c r="F5301" s="123" t="s">
        <v>30</v>
      </c>
      <c r="G5301" s="123" t="s">
        <v>168</v>
      </c>
      <c r="H5301" s="123" t="s">
        <v>168</v>
      </c>
      <c r="I5301" s="126" t="s">
        <v>1931</v>
      </c>
      <c r="J5301" s="123" t="s">
        <v>18844</v>
      </c>
      <c r="K5301" s="123" t="s">
        <v>18842</v>
      </c>
      <c r="L5301" s="131" t="s">
        <v>100</v>
      </c>
      <c r="M5301" s="135" t="s">
        <v>845</v>
      </c>
      <c r="N5301" s="123" t="s">
        <v>845</v>
      </c>
    </row>
    <row r="5302" spans="2:14" hidden="1" x14ac:dyDescent="0.25">
      <c r="B5302" s="120">
        <v>5299</v>
      </c>
      <c r="C5302" s="123">
        <v>10752240766</v>
      </c>
      <c r="D5302" s="126" t="s">
        <v>18845</v>
      </c>
      <c r="E5302" s="126" t="s">
        <v>18846</v>
      </c>
      <c r="F5302" s="123" t="s">
        <v>30</v>
      </c>
      <c r="G5302" s="123" t="s">
        <v>30</v>
      </c>
      <c r="H5302" s="123" t="s">
        <v>38</v>
      </c>
      <c r="I5302" s="126" t="s">
        <v>18847</v>
      </c>
      <c r="J5302" s="123" t="s">
        <v>18848</v>
      </c>
      <c r="K5302" s="123" t="s">
        <v>18845</v>
      </c>
      <c r="L5302" s="131" t="s">
        <v>100</v>
      </c>
      <c r="M5302" s="135" t="s">
        <v>845</v>
      </c>
      <c r="N5302" s="123" t="s">
        <v>845</v>
      </c>
    </row>
    <row r="5303" spans="2:14" hidden="1" x14ac:dyDescent="0.25">
      <c r="B5303" s="120">
        <v>5300</v>
      </c>
      <c r="C5303" s="123">
        <v>10400949617</v>
      </c>
      <c r="D5303" s="126" t="s">
        <v>18849</v>
      </c>
      <c r="E5303" s="126" t="s">
        <v>18850</v>
      </c>
      <c r="F5303" s="123" t="s">
        <v>30</v>
      </c>
      <c r="G5303" s="123" t="s">
        <v>30</v>
      </c>
      <c r="H5303" s="123" t="s">
        <v>37</v>
      </c>
      <c r="I5303" s="126" t="s">
        <v>10025</v>
      </c>
      <c r="J5303" s="123" t="s">
        <v>18851</v>
      </c>
      <c r="K5303" s="123" t="s">
        <v>18849</v>
      </c>
      <c r="L5303" s="131" t="s">
        <v>100</v>
      </c>
      <c r="M5303" s="135" t="s">
        <v>845</v>
      </c>
      <c r="N5303" s="123" t="s">
        <v>845</v>
      </c>
    </row>
    <row r="5304" spans="2:14" hidden="1" x14ac:dyDescent="0.25">
      <c r="B5304" s="120">
        <v>5301</v>
      </c>
      <c r="C5304" s="123">
        <v>10105289613</v>
      </c>
      <c r="D5304" s="126" t="s">
        <v>18852</v>
      </c>
      <c r="E5304" s="126" t="s">
        <v>18853</v>
      </c>
      <c r="F5304" s="123" t="s">
        <v>30</v>
      </c>
      <c r="G5304" s="123" t="s">
        <v>30</v>
      </c>
      <c r="H5304" s="123" t="s">
        <v>34</v>
      </c>
      <c r="I5304" s="126" t="s">
        <v>1499</v>
      </c>
      <c r="J5304" s="123" t="s">
        <v>18854</v>
      </c>
      <c r="K5304" s="123" t="s">
        <v>18852</v>
      </c>
      <c r="L5304" s="131" t="s">
        <v>100</v>
      </c>
      <c r="M5304" s="135" t="s">
        <v>845</v>
      </c>
      <c r="N5304" s="123" t="s">
        <v>845</v>
      </c>
    </row>
    <row r="5305" spans="2:14" hidden="1" x14ac:dyDescent="0.25">
      <c r="B5305" s="120">
        <v>5302</v>
      </c>
      <c r="C5305" s="123">
        <v>10405168621</v>
      </c>
      <c r="D5305" s="126" t="s">
        <v>18855</v>
      </c>
      <c r="E5305" s="126" t="s">
        <v>18856</v>
      </c>
      <c r="F5305" s="123" t="s">
        <v>30</v>
      </c>
      <c r="G5305" s="123" t="s">
        <v>30</v>
      </c>
      <c r="H5305" s="123" t="s">
        <v>45</v>
      </c>
      <c r="I5305" s="126" t="s">
        <v>18857</v>
      </c>
      <c r="J5305" s="123" t="s">
        <v>18858</v>
      </c>
      <c r="K5305" s="123" t="s">
        <v>18859</v>
      </c>
      <c r="L5305" s="131" t="s">
        <v>100</v>
      </c>
      <c r="M5305" s="135" t="s">
        <v>845</v>
      </c>
      <c r="N5305" s="123" t="s">
        <v>845</v>
      </c>
    </row>
    <row r="5306" spans="2:14" hidden="1" x14ac:dyDescent="0.25">
      <c r="B5306" s="120">
        <v>5303</v>
      </c>
      <c r="C5306" s="123">
        <v>10078404073</v>
      </c>
      <c r="D5306" s="126" t="s">
        <v>18860</v>
      </c>
      <c r="E5306" s="126" t="s">
        <v>18861</v>
      </c>
      <c r="F5306" s="123" t="s">
        <v>30</v>
      </c>
      <c r="G5306" s="123" t="s">
        <v>30</v>
      </c>
      <c r="H5306" s="123" t="s">
        <v>34</v>
      </c>
      <c r="I5306" s="126" t="s">
        <v>8743</v>
      </c>
      <c r="J5306" s="123" t="s">
        <v>18862</v>
      </c>
      <c r="K5306" s="123" t="s">
        <v>18860</v>
      </c>
      <c r="L5306" s="131" t="s">
        <v>100</v>
      </c>
      <c r="M5306" s="135" t="s">
        <v>845</v>
      </c>
      <c r="N5306" s="123" t="s">
        <v>845</v>
      </c>
    </row>
    <row r="5307" spans="2:14" hidden="1" x14ac:dyDescent="0.25">
      <c r="B5307" s="120">
        <v>5304</v>
      </c>
      <c r="C5307" s="123">
        <v>10159632526</v>
      </c>
      <c r="D5307" s="126" t="s">
        <v>18863</v>
      </c>
      <c r="E5307" s="126" t="s">
        <v>18864</v>
      </c>
      <c r="F5307" s="123" t="s">
        <v>30</v>
      </c>
      <c r="G5307" s="123" t="s">
        <v>54</v>
      </c>
      <c r="H5307" s="123" t="s">
        <v>54</v>
      </c>
      <c r="I5307" s="126" t="s">
        <v>8743</v>
      </c>
      <c r="J5307" s="123" t="s">
        <v>18865</v>
      </c>
      <c r="K5307" s="123" t="s">
        <v>18863</v>
      </c>
      <c r="L5307" s="131" t="s">
        <v>100</v>
      </c>
      <c r="M5307" s="135" t="s">
        <v>845</v>
      </c>
      <c r="N5307" s="123" t="s">
        <v>845</v>
      </c>
    </row>
    <row r="5308" spans="2:14" hidden="1" x14ac:dyDescent="0.25">
      <c r="B5308" s="120">
        <v>5305</v>
      </c>
      <c r="C5308" s="123">
        <v>10446864101</v>
      </c>
      <c r="D5308" s="126" t="s">
        <v>18866</v>
      </c>
      <c r="E5308" s="126" t="s">
        <v>18867</v>
      </c>
      <c r="F5308" s="123" t="s">
        <v>30</v>
      </c>
      <c r="G5308" s="123" t="s">
        <v>30</v>
      </c>
      <c r="H5308" s="123" t="s">
        <v>60</v>
      </c>
      <c r="I5308" s="126" t="s">
        <v>10993</v>
      </c>
      <c r="J5308" s="123" t="s">
        <v>18868</v>
      </c>
      <c r="K5308" s="123" t="s">
        <v>18866</v>
      </c>
      <c r="L5308" s="131" t="s">
        <v>100</v>
      </c>
      <c r="M5308" s="135" t="s">
        <v>845</v>
      </c>
      <c r="N5308" s="123" t="s">
        <v>845</v>
      </c>
    </row>
    <row r="5309" spans="2:14" hidden="1" x14ac:dyDescent="0.25">
      <c r="B5309" s="120">
        <v>5306</v>
      </c>
      <c r="C5309" s="123">
        <v>10437043219</v>
      </c>
      <c r="D5309" s="126" t="s">
        <v>18869</v>
      </c>
      <c r="E5309" s="126" t="s">
        <v>18870</v>
      </c>
      <c r="F5309" s="123" t="s">
        <v>30</v>
      </c>
      <c r="G5309" s="123" t="s">
        <v>31</v>
      </c>
      <c r="H5309" s="123" t="s">
        <v>9381</v>
      </c>
      <c r="I5309" s="126" t="s">
        <v>18871</v>
      </c>
      <c r="J5309" s="123" t="s">
        <v>18872</v>
      </c>
      <c r="K5309" s="123" t="s">
        <v>18869</v>
      </c>
      <c r="L5309" s="131" t="s">
        <v>100</v>
      </c>
      <c r="M5309" s="135" t="s">
        <v>845</v>
      </c>
      <c r="N5309" s="123" t="s">
        <v>845</v>
      </c>
    </row>
    <row r="5310" spans="2:14" hidden="1" x14ac:dyDescent="0.25">
      <c r="B5310" s="120">
        <v>5307</v>
      </c>
      <c r="C5310" s="123">
        <v>10727058767</v>
      </c>
      <c r="D5310" s="126" t="s">
        <v>18873</v>
      </c>
      <c r="E5310" s="126" t="s">
        <v>18874</v>
      </c>
      <c r="F5310" s="123" t="s">
        <v>30</v>
      </c>
      <c r="G5310" s="123" t="s">
        <v>170</v>
      </c>
      <c r="H5310" s="123" t="s">
        <v>174</v>
      </c>
      <c r="I5310" s="126" t="s">
        <v>1701</v>
      </c>
      <c r="J5310" s="123" t="s">
        <v>18875</v>
      </c>
      <c r="K5310" s="123" t="s">
        <v>18873</v>
      </c>
      <c r="L5310" s="131" t="s">
        <v>100</v>
      </c>
      <c r="M5310" s="135" t="s">
        <v>845</v>
      </c>
      <c r="N5310" s="123" t="s">
        <v>845</v>
      </c>
    </row>
    <row r="5311" spans="2:14" hidden="1" x14ac:dyDescent="0.25">
      <c r="B5311" s="120">
        <v>5308</v>
      </c>
      <c r="C5311" s="123">
        <v>10701889709</v>
      </c>
      <c r="D5311" s="126" t="s">
        <v>18876</v>
      </c>
      <c r="E5311" s="126" t="s">
        <v>18877</v>
      </c>
      <c r="F5311" s="123" t="s">
        <v>30</v>
      </c>
      <c r="G5311" s="123" t="s">
        <v>30</v>
      </c>
      <c r="H5311" s="123" t="s">
        <v>110</v>
      </c>
      <c r="I5311" s="126" t="s">
        <v>1930</v>
      </c>
      <c r="J5311" s="123" t="s">
        <v>18878</v>
      </c>
      <c r="K5311" s="123" t="s">
        <v>18879</v>
      </c>
      <c r="L5311" s="131" t="s">
        <v>100</v>
      </c>
      <c r="M5311" s="135" t="s">
        <v>845</v>
      </c>
      <c r="N5311" s="123" t="s">
        <v>845</v>
      </c>
    </row>
    <row r="5312" spans="2:14" hidden="1" x14ac:dyDescent="0.25">
      <c r="B5312" s="120">
        <v>5309</v>
      </c>
      <c r="C5312" s="123">
        <v>10085612072</v>
      </c>
      <c r="D5312" s="126" t="s">
        <v>18880</v>
      </c>
      <c r="E5312" s="126" t="s">
        <v>18881</v>
      </c>
      <c r="F5312" s="123" t="s">
        <v>30</v>
      </c>
      <c r="G5312" s="123" t="s">
        <v>30</v>
      </c>
      <c r="H5312" s="123" t="s">
        <v>41</v>
      </c>
      <c r="I5312" s="126" t="s">
        <v>17471</v>
      </c>
      <c r="J5312" s="123" t="s">
        <v>18882</v>
      </c>
      <c r="K5312" s="123" t="s">
        <v>18883</v>
      </c>
      <c r="L5312" s="131" t="s">
        <v>100</v>
      </c>
      <c r="M5312" s="135" t="s">
        <v>845</v>
      </c>
      <c r="N5312" s="123" t="s">
        <v>845</v>
      </c>
    </row>
    <row r="5313" spans="2:14" hidden="1" x14ac:dyDescent="0.25">
      <c r="B5313" s="120">
        <v>5310</v>
      </c>
      <c r="C5313" s="123">
        <v>10474754931</v>
      </c>
      <c r="D5313" s="126" t="s">
        <v>18884</v>
      </c>
      <c r="E5313" s="126" t="s">
        <v>18885</v>
      </c>
      <c r="F5313" s="123" t="s">
        <v>30</v>
      </c>
      <c r="G5313" s="123" t="s">
        <v>30</v>
      </c>
      <c r="H5313" s="123" t="s">
        <v>35</v>
      </c>
      <c r="I5313" s="126" t="s">
        <v>101</v>
      </c>
      <c r="J5313" s="123" t="s">
        <v>18886</v>
      </c>
      <c r="K5313" s="123" t="s">
        <v>18884</v>
      </c>
      <c r="L5313" s="131" t="s">
        <v>100</v>
      </c>
      <c r="M5313" s="135" t="s">
        <v>845</v>
      </c>
      <c r="N5313" s="123" t="s">
        <v>845</v>
      </c>
    </row>
    <row r="5314" spans="2:14" hidden="1" x14ac:dyDescent="0.25">
      <c r="B5314" s="120">
        <v>5311</v>
      </c>
      <c r="C5314" s="123">
        <v>10434740253</v>
      </c>
      <c r="D5314" s="126" t="s">
        <v>18887</v>
      </c>
      <c r="E5314" s="126" t="s">
        <v>18888</v>
      </c>
      <c r="F5314" s="123" t="s">
        <v>67</v>
      </c>
      <c r="G5314" s="123" t="s">
        <v>67</v>
      </c>
      <c r="H5314" s="123" t="s">
        <v>67</v>
      </c>
      <c r="I5314" s="126" t="s">
        <v>1701</v>
      </c>
      <c r="J5314" s="123" t="s">
        <v>18889</v>
      </c>
      <c r="K5314" s="123" t="s">
        <v>18887</v>
      </c>
      <c r="L5314" s="131" t="s">
        <v>100</v>
      </c>
      <c r="M5314" s="135" t="s">
        <v>845</v>
      </c>
      <c r="N5314" s="123" t="s">
        <v>845</v>
      </c>
    </row>
    <row r="5315" spans="2:14" hidden="1" x14ac:dyDescent="0.25">
      <c r="B5315" s="120">
        <v>5312</v>
      </c>
      <c r="C5315" s="123">
        <v>10459066727</v>
      </c>
      <c r="D5315" s="126" t="s">
        <v>18890</v>
      </c>
      <c r="E5315" s="126" t="s">
        <v>18891</v>
      </c>
      <c r="F5315" s="123" t="s">
        <v>30</v>
      </c>
      <c r="G5315" s="123" t="s">
        <v>30</v>
      </c>
      <c r="H5315" s="123" t="s">
        <v>41</v>
      </c>
      <c r="I5315" s="126" t="s">
        <v>1499</v>
      </c>
      <c r="J5315" s="123" t="s">
        <v>18892</v>
      </c>
      <c r="K5315" s="123" t="s">
        <v>18890</v>
      </c>
      <c r="L5315" s="131" t="s">
        <v>100</v>
      </c>
      <c r="M5315" s="135" t="s">
        <v>845</v>
      </c>
      <c r="N5315" s="123" t="s">
        <v>845</v>
      </c>
    </row>
    <row r="5316" spans="2:14" hidden="1" x14ac:dyDescent="0.25">
      <c r="B5316" s="120">
        <v>5313</v>
      </c>
      <c r="C5316" s="123">
        <v>10153879376</v>
      </c>
      <c r="D5316" s="126" t="s">
        <v>18893</v>
      </c>
      <c r="E5316" s="126" t="s">
        <v>18894</v>
      </c>
      <c r="F5316" s="123" t="s">
        <v>30</v>
      </c>
      <c r="G5316" s="123" t="s">
        <v>31</v>
      </c>
      <c r="H5316" s="123" t="s">
        <v>32</v>
      </c>
      <c r="I5316" s="126" t="s">
        <v>8743</v>
      </c>
      <c r="J5316" s="123" t="s">
        <v>18895</v>
      </c>
      <c r="K5316" s="123" t="s">
        <v>18893</v>
      </c>
      <c r="L5316" s="131" t="s">
        <v>100</v>
      </c>
      <c r="M5316" s="135" t="s">
        <v>845</v>
      </c>
      <c r="N5316" s="123" t="s">
        <v>845</v>
      </c>
    </row>
    <row r="5317" spans="2:14" hidden="1" x14ac:dyDescent="0.25">
      <c r="B5317" s="120">
        <v>5314</v>
      </c>
      <c r="C5317" s="123">
        <v>10157356238</v>
      </c>
      <c r="D5317" s="126" t="s">
        <v>18896</v>
      </c>
      <c r="E5317" s="126" t="s">
        <v>18897</v>
      </c>
      <c r="F5317" s="123" t="s">
        <v>30</v>
      </c>
      <c r="G5317" s="123" t="s">
        <v>168</v>
      </c>
      <c r="H5317" s="123" t="s">
        <v>168</v>
      </c>
      <c r="I5317" s="126" t="s">
        <v>1499</v>
      </c>
      <c r="J5317" s="123" t="s">
        <v>18898</v>
      </c>
      <c r="K5317" s="123" t="s">
        <v>18899</v>
      </c>
      <c r="L5317" s="131" t="s">
        <v>100</v>
      </c>
      <c r="M5317" s="135" t="s">
        <v>845</v>
      </c>
      <c r="N5317" s="123" t="s">
        <v>845</v>
      </c>
    </row>
    <row r="5318" spans="2:14" hidden="1" x14ac:dyDescent="0.25">
      <c r="B5318" s="120">
        <v>5315</v>
      </c>
      <c r="C5318" s="123">
        <v>10101217928</v>
      </c>
      <c r="D5318" s="126" t="s">
        <v>18900</v>
      </c>
      <c r="E5318" s="126" t="s">
        <v>18901</v>
      </c>
      <c r="F5318" s="123" t="s">
        <v>30</v>
      </c>
      <c r="G5318" s="123" t="s">
        <v>30</v>
      </c>
      <c r="H5318" s="123" t="s">
        <v>43</v>
      </c>
      <c r="I5318" s="126" t="s">
        <v>8743</v>
      </c>
      <c r="J5318" s="123" t="s">
        <v>18902</v>
      </c>
      <c r="K5318" s="123" t="s">
        <v>18900</v>
      </c>
      <c r="L5318" s="131" t="s">
        <v>100</v>
      </c>
      <c r="M5318" s="135" t="s">
        <v>845</v>
      </c>
      <c r="N5318" s="123" t="s">
        <v>845</v>
      </c>
    </row>
    <row r="5319" spans="2:14" hidden="1" x14ac:dyDescent="0.25">
      <c r="B5319" s="120">
        <v>5316</v>
      </c>
      <c r="C5319" s="123">
        <v>10419076053</v>
      </c>
      <c r="D5319" s="126" t="s">
        <v>18903</v>
      </c>
      <c r="E5319" s="126" t="s">
        <v>18904</v>
      </c>
      <c r="F5319" s="123" t="s">
        <v>30</v>
      </c>
      <c r="G5319" s="123" t="s">
        <v>30</v>
      </c>
      <c r="H5319" s="123" t="s">
        <v>86</v>
      </c>
      <c r="I5319" s="126" t="s">
        <v>1949</v>
      </c>
      <c r="J5319" s="123" t="s">
        <v>18905</v>
      </c>
      <c r="K5319" s="123" t="s">
        <v>18903</v>
      </c>
      <c r="L5319" s="131" t="s">
        <v>100</v>
      </c>
      <c r="M5319" s="135" t="s">
        <v>845</v>
      </c>
      <c r="N5319" s="123" t="s">
        <v>845</v>
      </c>
    </row>
    <row r="5320" spans="2:14" hidden="1" x14ac:dyDescent="0.25">
      <c r="B5320" s="120">
        <v>5317</v>
      </c>
      <c r="C5320" s="123">
        <v>10257254904</v>
      </c>
      <c r="D5320" s="126" t="s">
        <v>18906</v>
      </c>
      <c r="E5320" s="126" t="s">
        <v>18907</v>
      </c>
      <c r="F5320" s="123" t="s">
        <v>67</v>
      </c>
      <c r="G5320" s="123" t="s">
        <v>67</v>
      </c>
      <c r="H5320" s="123" t="s">
        <v>94</v>
      </c>
      <c r="I5320" s="126" t="s">
        <v>9714</v>
      </c>
      <c r="J5320" s="123" t="s">
        <v>18908</v>
      </c>
      <c r="K5320" s="123" t="s">
        <v>18906</v>
      </c>
      <c r="L5320" s="131" t="s">
        <v>100</v>
      </c>
      <c r="M5320" s="135" t="s">
        <v>845</v>
      </c>
      <c r="N5320" s="123" t="s">
        <v>845</v>
      </c>
    </row>
    <row r="5321" spans="2:14" hidden="1" x14ac:dyDescent="0.25">
      <c r="B5321" s="120">
        <v>5318</v>
      </c>
      <c r="C5321" s="123">
        <v>10100475389</v>
      </c>
      <c r="D5321" s="126" t="s">
        <v>18909</v>
      </c>
      <c r="E5321" s="126" t="s">
        <v>18910</v>
      </c>
      <c r="F5321" s="123" t="s">
        <v>67</v>
      </c>
      <c r="G5321" s="123" t="s">
        <v>67</v>
      </c>
      <c r="H5321" s="123" t="s">
        <v>94</v>
      </c>
      <c r="I5321" s="126" t="s">
        <v>8659</v>
      </c>
      <c r="J5321" s="123" t="s">
        <v>18911</v>
      </c>
      <c r="K5321" s="123" t="s">
        <v>18912</v>
      </c>
      <c r="L5321" s="131" t="s">
        <v>100</v>
      </c>
      <c r="M5321" s="135" t="s">
        <v>845</v>
      </c>
      <c r="N5321" s="123" t="s">
        <v>845</v>
      </c>
    </row>
    <row r="5322" spans="2:14" hidden="1" x14ac:dyDescent="0.25">
      <c r="B5322" s="120">
        <v>5319</v>
      </c>
      <c r="C5322" s="123">
        <v>10731248643</v>
      </c>
      <c r="D5322" s="126" t="s">
        <v>18913</v>
      </c>
      <c r="E5322" s="126" t="s">
        <v>18914</v>
      </c>
      <c r="F5322" s="123" t="s">
        <v>30</v>
      </c>
      <c r="G5322" s="123" t="s">
        <v>30</v>
      </c>
      <c r="H5322" s="123" t="s">
        <v>41</v>
      </c>
      <c r="I5322" s="126" t="s">
        <v>9769</v>
      </c>
      <c r="J5322" s="123" t="s">
        <v>18915</v>
      </c>
      <c r="K5322" s="123" t="s">
        <v>18913</v>
      </c>
      <c r="L5322" s="131" t="s">
        <v>100</v>
      </c>
      <c r="M5322" s="135" t="s">
        <v>845</v>
      </c>
      <c r="N5322" s="123" t="s">
        <v>845</v>
      </c>
    </row>
    <row r="5323" spans="2:14" hidden="1" x14ac:dyDescent="0.25">
      <c r="B5323" s="120">
        <v>5320</v>
      </c>
      <c r="C5323" s="123">
        <v>10462944905</v>
      </c>
      <c r="D5323" s="126" t="s">
        <v>18916</v>
      </c>
      <c r="E5323" s="126" t="s">
        <v>18917</v>
      </c>
      <c r="F5323" s="123" t="s">
        <v>30</v>
      </c>
      <c r="G5323" s="123" t="s">
        <v>30</v>
      </c>
      <c r="H5323" s="123" t="s">
        <v>43</v>
      </c>
      <c r="I5323" s="126" t="s">
        <v>1701</v>
      </c>
      <c r="J5323" s="123" t="s">
        <v>18918</v>
      </c>
      <c r="K5323" s="123" t="s">
        <v>18916</v>
      </c>
      <c r="L5323" s="131" t="s">
        <v>100</v>
      </c>
      <c r="M5323" s="135" t="s">
        <v>845</v>
      </c>
      <c r="N5323" s="123" t="s">
        <v>845</v>
      </c>
    </row>
    <row r="5324" spans="2:14" hidden="1" x14ac:dyDescent="0.25">
      <c r="B5324" s="120">
        <v>5321</v>
      </c>
      <c r="C5324" s="123">
        <v>10400264231</v>
      </c>
      <c r="D5324" s="126" t="s">
        <v>18919</v>
      </c>
      <c r="E5324" s="126" t="s">
        <v>18920</v>
      </c>
      <c r="F5324" s="123" t="s">
        <v>30</v>
      </c>
      <c r="G5324" s="123" t="s">
        <v>30</v>
      </c>
      <c r="H5324" s="123" t="s">
        <v>45</v>
      </c>
      <c r="I5324" s="126" t="s">
        <v>18921</v>
      </c>
      <c r="J5324" s="123" t="s">
        <v>18922</v>
      </c>
      <c r="K5324" s="123" t="s">
        <v>18919</v>
      </c>
      <c r="L5324" s="131" t="s">
        <v>100</v>
      </c>
      <c r="M5324" s="135" t="s">
        <v>845</v>
      </c>
      <c r="N5324" s="123" t="s">
        <v>845</v>
      </c>
    </row>
    <row r="5325" spans="2:14" hidden="1" x14ac:dyDescent="0.25">
      <c r="B5325" s="120">
        <v>5322</v>
      </c>
      <c r="C5325" s="123">
        <v>10160058604</v>
      </c>
      <c r="D5325" s="126" t="s">
        <v>18923</v>
      </c>
      <c r="E5325" s="126" t="s">
        <v>18924</v>
      </c>
      <c r="F5325" s="123" t="s">
        <v>30</v>
      </c>
      <c r="G5325" s="123" t="s">
        <v>54</v>
      </c>
      <c r="H5325" s="123" t="s">
        <v>54</v>
      </c>
      <c r="I5325" s="126" t="s">
        <v>1965</v>
      </c>
      <c r="J5325" s="123" t="s">
        <v>18925</v>
      </c>
      <c r="K5325" s="123" t="s">
        <v>18926</v>
      </c>
      <c r="L5325" s="131" t="s">
        <v>100</v>
      </c>
      <c r="M5325" s="135" t="s">
        <v>845</v>
      </c>
      <c r="N5325" s="123" t="s">
        <v>845</v>
      </c>
    </row>
    <row r="5326" spans="2:14" hidden="1" x14ac:dyDescent="0.25">
      <c r="B5326" s="120">
        <v>5323</v>
      </c>
      <c r="C5326" s="123">
        <v>10073564943</v>
      </c>
      <c r="D5326" s="126" t="s">
        <v>18927</v>
      </c>
      <c r="E5326" s="126" t="s">
        <v>18928</v>
      </c>
      <c r="F5326" s="123" t="s">
        <v>30</v>
      </c>
      <c r="G5326" s="123" t="s">
        <v>30</v>
      </c>
      <c r="H5326" s="123" t="s">
        <v>72</v>
      </c>
      <c r="I5326" s="126" t="s">
        <v>1931</v>
      </c>
      <c r="J5326" s="123" t="s">
        <v>18929</v>
      </c>
      <c r="K5326" s="123" t="s">
        <v>18927</v>
      </c>
      <c r="L5326" s="131" t="s">
        <v>100</v>
      </c>
      <c r="M5326" s="135" t="s">
        <v>845</v>
      </c>
      <c r="N5326" s="123" t="s">
        <v>845</v>
      </c>
    </row>
    <row r="5327" spans="2:14" hidden="1" x14ac:dyDescent="0.25">
      <c r="B5327" s="120">
        <v>5324</v>
      </c>
      <c r="C5327" s="123">
        <v>10074517540</v>
      </c>
      <c r="D5327" s="126" t="s">
        <v>18930</v>
      </c>
      <c r="E5327" s="126" t="s">
        <v>18931</v>
      </c>
      <c r="F5327" s="123" t="s">
        <v>30</v>
      </c>
      <c r="G5327" s="123" t="s">
        <v>30</v>
      </c>
      <c r="H5327" s="123" t="s">
        <v>135</v>
      </c>
      <c r="I5327" s="126" t="s">
        <v>1484</v>
      </c>
      <c r="J5327" s="123" t="s">
        <v>18932</v>
      </c>
      <c r="K5327" s="123" t="s">
        <v>18930</v>
      </c>
      <c r="L5327" s="131" t="s">
        <v>100</v>
      </c>
      <c r="M5327" s="135" t="s">
        <v>845</v>
      </c>
      <c r="N5327" s="123" t="s">
        <v>845</v>
      </c>
    </row>
    <row r="5328" spans="2:14" hidden="1" x14ac:dyDescent="0.25">
      <c r="B5328" s="120">
        <v>5325</v>
      </c>
      <c r="C5328" s="123">
        <v>10447328432</v>
      </c>
      <c r="D5328" s="126" t="s">
        <v>18933</v>
      </c>
      <c r="E5328" s="126" t="s">
        <v>18934</v>
      </c>
      <c r="F5328" s="123" t="s">
        <v>30</v>
      </c>
      <c r="G5328" s="123" t="s">
        <v>170</v>
      </c>
      <c r="H5328" s="123" t="s">
        <v>179</v>
      </c>
      <c r="I5328" s="126" t="s">
        <v>1441</v>
      </c>
      <c r="J5328" s="123" t="s">
        <v>18935</v>
      </c>
      <c r="K5328" s="123" t="s">
        <v>18933</v>
      </c>
      <c r="L5328" s="131" t="s">
        <v>100</v>
      </c>
      <c r="M5328" s="135" t="s">
        <v>845</v>
      </c>
      <c r="N5328" s="123" t="s">
        <v>845</v>
      </c>
    </row>
    <row r="5329" spans="2:14" hidden="1" x14ac:dyDescent="0.25">
      <c r="B5329" s="120">
        <v>5326</v>
      </c>
      <c r="C5329" s="123">
        <v>10102377431</v>
      </c>
      <c r="D5329" s="126" t="s">
        <v>18936</v>
      </c>
      <c r="E5329" s="126" t="s">
        <v>18937</v>
      </c>
      <c r="F5329" s="123" t="s">
        <v>30</v>
      </c>
      <c r="G5329" s="123" t="s">
        <v>30</v>
      </c>
      <c r="H5329" s="123" t="s">
        <v>60</v>
      </c>
      <c r="I5329" s="126" t="s">
        <v>18938</v>
      </c>
      <c r="J5329" s="123" t="s">
        <v>18939</v>
      </c>
      <c r="K5329" s="123" t="s">
        <v>18936</v>
      </c>
      <c r="L5329" s="131" t="s">
        <v>100</v>
      </c>
      <c r="M5329" s="135" t="s">
        <v>845</v>
      </c>
      <c r="N5329" s="123" t="s">
        <v>845</v>
      </c>
    </row>
    <row r="5330" spans="2:14" hidden="1" x14ac:dyDescent="0.25">
      <c r="B5330" s="120">
        <v>5327</v>
      </c>
      <c r="C5330" s="123">
        <v>10420612244</v>
      </c>
      <c r="D5330" s="126" t="s">
        <v>18940</v>
      </c>
      <c r="E5330" s="126" t="s">
        <v>18941</v>
      </c>
      <c r="F5330" s="123" t="s">
        <v>30</v>
      </c>
      <c r="G5330" s="123" t="s">
        <v>30</v>
      </c>
      <c r="H5330" s="123" t="s">
        <v>30</v>
      </c>
      <c r="I5330" s="126" t="s">
        <v>1973</v>
      </c>
      <c r="J5330" s="123" t="s">
        <v>18942</v>
      </c>
      <c r="K5330" s="123" t="s">
        <v>18940</v>
      </c>
      <c r="L5330" s="131" t="s">
        <v>100</v>
      </c>
      <c r="M5330" s="135" t="s">
        <v>845</v>
      </c>
      <c r="N5330" s="123" t="s">
        <v>845</v>
      </c>
    </row>
    <row r="5331" spans="2:14" hidden="1" x14ac:dyDescent="0.25">
      <c r="B5331" s="120">
        <v>5328</v>
      </c>
      <c r="C5331" s="123">
        <v>10086790748</v>
      </c>
      <c r="D5331" s="126" t="s">
        <v>18943</v>
      </c>
      <c r="E5331" s="126" t="s">
        <v>18944</v>
      </c>
      <c r="F5331" s="123" t="s">
        <v>30</v>
      </c>
      <c r="G5331" s="123" t="s">
        <v>30</v>
      </c>
      <c r="H5331" s="123" t="s">
        <v>72</v>
      </c>
      <c r="I5331" s="126" t="s">
        <v>1701</v>
      </c>
      <c r="J5331" s="123" t="s">
        <v>18945</v>
      </c>
      <c r="K5331" s="123" t="s">
        <v>18943</v>
      </c>
      <c r="L5331" s="131" t="s">
        <v>100</v>
      </c>
      <c r="M5331" s="135" t="s">
        <v>845</v>
      </c>
      <c r="N5331" s="123" t="s">
        <v>845</v>
      </c>
    </row>
    <row r="5332" spans="2:14" hidden="1" x14ac:dyDescent="0.25">
      <c r="B5332" s="120">
        <v>5329</v>
      </c>
      <c r="C5332" s="123">
        <v>10408090330</v>
      </c>
      <c r="D5332" s="126" t="s">
        <v>18946</v>
      </c>
      <c r="E5332" s="126" t="s">
        <v>18947</v>
      </c>
      <c r="F5332" s="123" t="s">
        <v>30</v>
      </c>
      <c r="G5332" s="123" t="s">
        <v>30</v>
      </c>
      <c r="H5332" s="123" t="s">
        <v>40</v>
      </c>
      <c r="I5332" s="126" t="s">
        <v>1737</v>
      </c>
      <c r="J5332" s="123" t="s">
        <v>18948</v>
      </c>
      <c r="K5332" s="123" t="s">
        <v>18946</v>
      </c>
      <c r="L5332" s="131" t="s">
        <v>100</v>
      </c>
      <c r="M5332" s="135" t="s">
        <v>845</v>
      </c>
      <c r="N5332" s="123" t="s">
        <v>845</v>
      </c>
    </row>
    <row r="5333" spans="2:14" hidden="1" x14ac:dyDescent="0.25">
      <c r="B5333" s="120">
        <v>5330</v>
      </c>
      <c r="C5333" s="123">
        <v>10100886419</v>
      </c>
      <c r="D5333" s="126" t="s">
        <v>18949</v>
      </c>
      <c r="E5333" s="126" t="s">
        <v>18950</v>
      </c>
      <c r="F5333" s="123" t="s">
        <v>30</v>
      </c>
      <c r="G5333" s="123" t="s">
        <v>30</v>
      </c>
      <c r="H5333" s="123" t="s">
        <v>68</v>
      </c>
      <c r="I5333" s="126" t="s">
        <v>101</v>
      </c>
      <c r="J5333" s="123" t="s">
        <v>18951</v>
      </c>
      <c r="K5333" s="123" t="s">
        <v>18952</v>
      </c>
      <c r="L5333" s="131" t="s">
        <v>100</v>
      </c>
      <c r="M5333" s="135" t="s">
        <v>845</v>
      </c>
      <c r="N5333" s="123" t="s">
        <v>845</v>
      </c>
    </row>
    <row r="5334" spans="2:14" hidden="1" x14ac:dyDescent="0.25">
      <c r="B5334" s="120">
        <v>5331</v>
      </c>
      <c r="C5334" s="123">
        <v>10800907077</v>
      </c>
      <c r="D5334" s="126" t="s">
        <v>18953</v>
      </c>
      <c r="E5334" s="126" t="s">
        <v>18954</v>
      </c>
      <c r="F5334" s="123" t="s">
        <v>67</v>
      </c>
      <c r="G5334" s="123" t="s">
        <v>67</v>
      </c>
      <c r="H5334" s="123" t="s">
        <v>134</v>
      </c>
      <c r="I5334" s="126" t="s">
        <v>1424</v>
      </c>
      <c r="J5334" s="123" t="s">
        <v>18955</v>
      </c>
      <c r="K5334" s="123" t="s">
        <v>18953</v>
      </c>
      <c r="L5334" s="131" t="s">
        <v>100</v>
      </c>
      <c r="M5334" s="135" t="s">
        <v>845</v>
      </c>
      <c r="N5334" s="123" t="s">
        <v>845</v>
      </c>
    </row>
    <row r="5335" spans="2:14" hidden="1" x14ac:dyDescent="0.25">
      <c r="B5335" s="120">
        <v>5332</v>
      </c>
      <c r="C5335" s="123">
        <v>10424453965</v>
      </c>
      <c r="D5335" s="126" t="s">
        <v>18956</v>
      </c>
      <c r="E5335" s="126" t="s">
        <v>18957</v>
      </c>
      <c r="F5335" s="123" t="s">
        <v>30</v>
      </c>
      <c r="G5335" s="123" t="s">
        <v>30</v>
      </c>
      <c r="H5335" s="123" t="s">
        <v>51</v>
      </c>
      <c r="I5335" s="126" t="s">
        <v>1950</v>
      </c>
      <c r="J5335" s="123" t="s">
        <v>18958</v>
      </c>
      <c r="K5335" s="123" t="s">
        <v>18956</v>
      </c>
      <c r="L5335" s="131" t="s">
        <v>100</v>
      </c>
      <c r="M5335" s="135" t="s">
        <v>845</v>
      </c>
      <c r="N5335" s="123" t="s">
        <v>845</v>
      </c>
    </row>
    <row r="5336" spans="2:14" hidden="1" x14ac:dyDescent="0.25">
      <c r="B5336" s="120">
        <v>5333</v>
      </c>
      <c r="C5336" s="123">
        <v>10457245896</v>
      </c>
      <c r="D5336" s="126" t="s">
        <v>18959</v>
      </c>
      <c r="E5336" s="126" t="s">
        <v>18960</v>
      </c>
      <c r="F5336" s="123" t="s">
        <v>30</v>
      </c>
      <c r="G5336" s="123" t="s">
        <v>30</v>
      </c>
      <c r="H5336" s="123" t="s">
        <v>34</v>
      </c>
      <c r="I5336" s="126" t="s">
        <v>14002</v>
      </c>
      <c r="J5336" s="123" t="s">
        <v>18961</v>
      </c>
      <c r="K5336" s="123" t="s">
        <v>18959</v>
      </c>
      <c r="L5336" s="131" t="s">
        <v>100</v>
      </c>
      <c r="M5336" s="135" t="s">
        <v>845</v>
      </c>
      <c r="N5336" s="123" t="s">
        <v>845</v>
      </c>
    </row>
    <row r="5337" spans="2:14" hidden="1" x14ac:dyDescent="0.25">
      <c r="B5337" s="120">
        <v>5334</v>
      </c>
      <c r="C5337" s="123">
        <v>10717477630</v>
      </c>
      <c r="D5337" s="126" t="s">
        <v>18962</v>
      </c>
      <c r="E5337" s="126" t="s">
        <v>18963</v>
      </c>
      <c r="F5337" s="123" t="s">
        <v>30</v>
      </c>
      <c r="G5337" s="123" t="s">
        <v>30</v>
      </c>
      <c r="H5337" s="123" t="s">
        <v>58</v>
      </c>
      <c r="I5337" s="126" t="s">
        <v>1424</v>
      </c>
      <c r="J5337" s="123" t="s">
        <v>18964</v>
      </c>
      <c r="K5337" s="123" t="s">
        <v>18962</v>
      </c>
      <c r="L5337" s="131" t="s">
        <v>100</v>
      </c>
      <c r="M5337" s="135" t="s">
        <v>845</v>
      </c>
      <c r="N5337" s="123" t="s">
        <v>845</v>
      </c>
    </row>
    <row r="5338" spans="2:14" hidden="1" x14ac:dyDescent="0.25">
      <c r="B5338" s="120">
        <v>5335</v>
      </c>
      <c r="C5338" s="123">
        <v>10464425603</v>
      </c>
      <c r="D5338" s="126" t="s">
        <v>18965</v>
      </c>
      <c r="E5338" s="126" t="s">
        <v>18966</v>
      </c>
      <c r="F5338" s="123" t="s">
        <v>30</v>
      </c>
      <c r="G5338" s="123" t="s">
        <v>30</v>
      </c>
      <c r="H5338" s="123" t="s">
        <v>51</v>
      </c>
      <c r="I5338" s="126" t="s">
        <v>1701</v>
      </c>
      <c r="J5338" s="123" t="s">
        <v>18967</v>
      </c>
      <c r="K5338" s="123" t="s">
        <v>18965</v>
      </c>
      <c r="L5338" s="131" t="s">
        <v>100</v>
      </c>
      <c r="M5338" s="135" t="s">
        <v>845</v>
      </c>
      <c r="N5338" s="123" t="s">
        <v>845</v>
      </c>
    </row>
    <row r="5339" spans="2:14" hidden="1" x14ac:dyDescent="0.25">
      <c r="B5339" s="120">
        <v>5336</v>
      </c>
      <c r="C5339" s="123">
        <v>10157484767</v>
      </c>
      <c r="D5339" s="126" t="s">
        <v>18968</v>
      </c>
      <c r="E5339" s="126" t="s">
        <v>18969</v>
      </c>
      <c r="F5339" s="123" t="s">
        <v>30</v>
      </c>
      <c r="G5339" s="123" t="s">
        <v>54</v>
      </c>
      <c r="H5339" s="123" t="s">
        <v>54</v>
      </c>
      <c r="I5339" s="126" t="s">
        <v>1701</v>
      </c>
      <c r="J5339" s="123" t="s">
        <v>18970</v>
      </c>
      <c r="K5339" s="123" t="s">
        <v>18968</v>
      </c>
      <c r="L5339" s="131" t="s">
        <v>100</v>
      </c>
      <c r="M5339" s="135" t="s">
        <v>845</v>
      </c>
      <c r="N5339" s="123" t="s">
        <v>845</v>
      </c>
    </row>
    <row r="5340" spans="2:14" hidden="1" x14ac:dyDescent="0.25">
      <c r="B5340" s="120">
        <v>5337</v>
      </c>
      <c r="C5340" s="123">
        <v>10097918223</v>
      </c>
      <c r="D5340" s="126" t="s">
        <v>18971</v>
      </c>
      <c r="E5340" s="126" t="s">
        <v>18972</v>
      </c>
      <c r="F5340" s="123" t="s">
        <v>30</v>
      </c>
      <c r="G5340" s="123" t="s">
        <v>30</v>
      </c>
      <c r="H5340" s="123" t="s">
        <v>72</v>
      </c>
      <c r="I5340" s="126" t="s">
        <v>1737</v>
      </c>
      <c r="J5340" s="123" t="s">
        <v>18973</v>
      </c>
      <c r="K5340" s="123" t="s">
        <v>18974</v>
      </c>
      <c r="L5340" s="131" t="s">
        <v>100</v>
      </c>
      <c r="M5340" s="135" t="s">
        <v>845</v>
      </c>
      <c r="N5340" s="123" t="s">
        <v>845</v>
      </c>
    </row>
    <row r="5341" spans="2:14" hidden="1" x14ac:dyDescent="0.25">
      <c r="B5341" s="120">
        <v>5338</v>
      </c>
      <c r="C5341" s="123">
        <v>10455097075</v>
      </c>
      <c r="D5341" s="126" t="s">
        <v>18975</v>
      </c>
      <c r="E5341" s="126" t="s">
        <v>18976</v>
      </c>
      <c r="F5341" s="123" t="s">
        <v>30</v>
      </c>
      <c r="G5341" s="123" t="s">
        <v>30</v>
      </c>
      <c r="H5341" s="123" t="s">
        <v>40</v>
      </c>
      <c r="I5341" s="126" t="s">
        <v>1564</v>
      </c>
      <c r="J5341" s="123" t="s">
        <v>18977</v>
      </c>
      <c r="K5341" s="123" t="s">
        <v>18978</v>
      </c>
      <c r="L5341" s="131" t="s">
        <v>100</v>
      </c>
      <c r="M5341" s="135" t="s">
        <v>845</v>
      </c>
      <c r="N5341" s="123" t="s">
        <v>845</v>
      </c>
    </row>
    <row r="5342" spans="2:14" hidden="1" x14ac:dyDescent="0.25">
      <c r="B5342" s="120">
        <v>5339</v>
      </c>
      <c r="C5342" s="123">
        <v>10426400940</v>
      </c>
      <c r="D5342" s="126" t="s">
        <v>18979</v>
      </c>
      <c r="E5342" s="126" t="s">
        <v>18980</v>
      </c>
      <c r="F5342" s="123" t="s">
        <v>67</v>
      </c>
      <c r="G5342" s="123" t="s">
        <v>67</v>
      </c>
      <c r="H5342" s="123" t="s">
        <v>94</v>
      </c>
      <c r="I5342" s="126" t="s">
        <v>1945</v>
      </c>
      <c r="J5342" s="123" t="s">
        <v>18981</v>
      </c>
      <c r="K5342" s="123" t="s">
        <v>18979</v>
      </c>
      <c r="L5342" s="131" t="s">
        <v>100</v>
      </c>
      <c r="M5342" s="135" t="s">
        <v>845</v>
      </c>
      <c r="N5342" s="123" t="s">
        <v>845</v>
      </c>
    </row>
    <row r="5343" spans="2:14" hidden="1" x14ac:dyDescent="0.25">
      <c r="B5343" s="120">
        <v>5340</v>
      </c>
      <c r="C5343" s="123">
        <v>10724064448</v>
      </c>
      <c r="D5343" s="126" t="s">
        <v>18982</v>
      </c>
      <c r="E5343" s="126" t="s">
        <v>18983</v>
      </c>
      <c r="F5343" s="123" t="s">
        <v>30</v>
      </c>
      <c r="G5343" s="123" t="s">
        <v>30</v>
      </c>
      <c r="H5343" s="123" t="s">
        <v>50</v>
      </c>
      <c r="I5343" s="126" t="s">
        <v>1377</v>
      </c>
      <c r="J5343" s="123" t="s">
        <v>18984</v>
      </c>
      <c r="K5343" s="123" t="s">
        <v>18982</v>
      </c>
      <c r="L5343" s="131" t="s">
        <v>100</v>
      </c>
      <c r="M5343" s="135" t="s">
        <v>845</v>
      </c>
      <c r="N5343" s="123" t="s">
        <v>845</v>
      </c>
    </row>
    <row r="5344" spans="2:14" hidden="1" x14ac:dyDescent="0.25">
      <c r="B5344" s="120">
        <v>5341</v>
      </c>
      <c r="C5344" s="123">
        <v>10154132932</v>
      </c>
      <c r="D5344" s="126" t="s">
        <v>18985</v>
      </c>
      <c r="E5344" s="126" t="s">
        <v>18986</v>
      </c>
      <c r="F5344" s="123" t="s">
        <v>30</v>
      </c>
      <c r="G5344" s="123" t="s">
        <v>31</v>
      </c>
      <c r="H5344" s="123" t="s">
        <v>32</v>
      </c>
      <c r="I5344" s="126" t="s">
        <v>1941</v>
      </c>
      <c r="J5344" s="123" t="s">
        <v>18987</v>
      </c>
      <c r="K5344" s="123" t="s">
        <v>18988</v>
      </c>
      <c r="L5344" s="131" t="s">
        <v>100</v>
      </c>
      <c r="M5344" s="135" t="s">
        <v>845</v>
      </c>
      <c r="N5344" s="123" t="s">
        <v>845</v>
      </c>
    </row>
    <row r="5345" spans="2:14" hidden="1" x14ac:dyDescent="0.25">
      <c r="B5345" s="120">
        <v>5342</v>
      </c>
      <c r="C5345" s="123">
        <v>10467262462</v>
      </c>
      <c r="D5345" s="126" t="s">
        <v>18989</v>
      </c>
      <c r="E5345" s="126" t="s">
        <v>18990</v>
      </c>
      <c r="F5345" s="123" t="s">
        <v>30</v>
      </c>
      <c r="G5345" s="123" t="s">
        <v>30</v>
      </c>
      <c r="H5345" s="123" t="s">
        <v>52</v>
      </c>
      <c r="I5345" s="126" t="s">
        <v>1701</v>
      </c>
      <c r="J5345" s="123" t="s">
        <v>18991</v>
      </c>
      <c r="K5345" s="123" t="s">
        <v>18989</v>
      </c>
      <c r="L5345" s="131" t="s">
        <v>100</v>
      </c>
      <c r="M5345" s="135" t="s">
        <v>845</v>
      </c>
      <c r="N5345" s="123" t="s">
        <v>845</v>
      </c>
    </row>
    <row r="5346" spans="2:14" hidden="1" x14ac:dyDescent="0.25">
      <c r="B5346" s="120">
        <v>5343</v>
      </c>
      <c r="C5346" s="123">
        <v>10481941828</v>
      </c>
      <c r="D5346" s="126" t="s">
        <v>18992</v>
      </c>
      <c r="E5346" s="126" t="s">
        <v>18993</v>
      </c>
      <c r="F5346" s="123" t="s">
        <v>30</v>
      </c>
      <c r="G5346" s="123" t="s">
        <v>30</v>
      </c>
      <c r="H5346" s="123" t="s">
        <v>85</v>
      </c>
      <c r="I5346" s="126" t="s">
        <v>1564</v>
      </c>
      <c r="J5346" s="123" t="s">
        <v>18994</v>
      </c>
      <c r="K5346" s="123" t="s">
        <v>18992</v>
      </c>
      <c r="L5346" s="131" t="s">
        <v>100</v>
      </c>
      <c r="M5346" s="135" t="s">
        <v>845</v>
      </c>
      <c r="N5346" s="123" t="s">
        <v>845</v>
      </c>
    </row>
    <row r="5347" spans="2:14" hidden="1" x14ac:dyDescent="0.25">
      <c r="B5347" s="120">
        <v>5344</v>
      </c>
      <c r="C5347" s="123">
        <v>10160206883</v>
      </c>
      <c r="D5347" s="126" t="s">
        <v>18995</v>
      </c>
      <c r="E5347" s="126" t="s">
        <v>18996</v>
      </c>
      <c r="F5347" s="123" t="s">
        <v>30</v>
      </c>
      <c r="G5347" s="123" t="s">
        <v>54</v>
      </c>
      <c r="H5347" s="123" t="s">
        <v>55</v>
      </c>
      <c r="I5347" s="126" t="s">
        <v>1809</v>
      </c>
      <c r="J5347" s="123" t="s">
        <v>18997</v>
      </c>
      <c r="K5347" s="123" t="s">
        <v>18995</v>
      </c>
      <c r="L5347" s="131" t="s">
        <v>100</v>
      </c>
      <c r="M5347" s="135" t="s">
        <v>845</v>
      </c>
      <c r="N5347" s="123" t="s">
        <v>845</v>
      </c>
    </row>
    <row r="5348" spans="2:14" hidden="1" x14ac:dyDescent="0.25">
      <c r="B5348" s="120">
        <v>5345</v>
      </c>
      <c r="C5348" s="123">
        <v>10101927020</v>
      </c>
      <c r="D5348" s="126" t="s">
        <v>18998</v>
      </c>
      <c r="E5348" s="126" t="s">
        <v>18999</v>
      </c>
      <c r="F5348" s="123" t="s">
        <v>30</v>
      </c>
      <c r="G5348" s="123" t="s">
        <v>30</v>
      </c>
      <c r="H5348" s="123" t="s">
        <v>51</v>
      </c>
      <c r="I5348" s="126" t="s">
        <v>1931</v>
      </c>
      <c r="J5348" s="123" t="s">
        <v>19000</v>
      </c>
      <c r="K5348" s="123" t="s">
        <v>18998</v>
      </c>
      <c r="L5348" s="131" t="s">
        <v>100</v>
      </c>
      <c r="M5348" s="135" t="s">
        <v>845</v>
      </c>
      <c r="N5348" s="123" t="s">
        <v>845</v>
      </c>
    </row>
    <row r="5349" spans="2:14" hidden="1" x14ac:dyDescent="0.25">
      <c r="B5349" s="120">
        <v>5346</v>
      </c>
      <c r="C5349" s="123">
        <v>10421476425</v>
      </c>
      <c r="D5349" s="126" t="s">
        <v>19001</v>
      </c>
      <c r="E5349" s="126" t="s">
        <v>19002</v>
      </c>
      <c r="F5349" s="123" t="s">
        <v>30</v>
      </c>
      <c r="G5349" s="123" t="s">
        <v>30</v>
      </c>
      <c r="H5349" s="123" t="s">
        <v>35</v>
      </c>
      <c r="I5349" s="126" t="s">
        <v>19003</v>
      </c>
      <c r="J5349" s="123" t="s">
        <v>19004</v>
      </c>
      <c r="K5349" s="123" t="s">
        <v>19001</v>
      </c>
      <c r="L5349" s="131" t="s">
        <v>100</v>
      </c>
      <c r="M5349" s="135" t="s">
        <v>845</v>
      </c>
      <c r="N5349" s="123" t="s">
        <v>845</v>
      </c>
    </row>
    <row r="5350" spans="2:14" hidden="1" x14ac:dyDescent="0.25">
      <c r="B5350" s="120">
        <v>5347</v>
      </c>
      <c r="C5350" s="123">
        <v>10472128405</v>
      </c>
      <c r="D5350" s="126" t="s">
        <v>19005</v>
      </c>
      <c r="E5350" s="126" t="s">
        <v>19006</v>
      </c>
      <c r="F5350" s="123" t="s">
        <v>30</v>
      </c>
      <c r="G5350" s="123" t="s">
        <v>30</v>
      </c>
      <c r="H5350" s="123" t="s">
        <v>85</v>
      </c>
      <c r="I5350" s="126" t="s">
        <v>1931</v>
      </c>
      <c r="J5350" s="123" t="s">
        <v>19007</v>
      </c>
      <c r="K5350" s="123" t="s">
        <v>19005</v>
      </c>
      <c r="L5350" s="131" t="s">
        <v>100</v>
      </c>
      <c r="M5350" s="135" t="s">
        <v>845</v>
      </c>
      <c r="N5350" s="123" t="s">
        <v>845</v>
      </c>
    </row>
    <row r="5351" spans="2:14" hidden="1" x14ac:dyDescent="0.25">
      <c r="B5351" s="120">
        <v>5348</v>
      </c>
      <c r="C5351" s="123">
        <v>10463040678</v>
      </c>
      <c r="D5351" s="126" t="s">
        <v>19008</v>
      </c>
      <c r="E5351" s="126" t="s">
        <v>19009</v>
      </c>
      <c r="F5351" s="123" t="s">
        <v>30</v>
      </c>
      <c r="G5351" s="123" t="s">
        <v>30</v>
      </c>
      <c r="H5351" s="123" t="s">
        <v>147</v>
      </c>
      <c r="I5351" s="126" t="s">
        <v>1950</v>
      </c>
      <c r="J5351" s="123" t="s">
        <v>19010</v>
      </c>
      <c r="K5351" s="123" t="s">
        <v>19008</v>
      </c>
      <c r="L5351" s="131" t="s">
        <v>100</v>
      </c>
      <c r="M5351" s="135" t="s">
        <v>845</v>
      </c>
      <c r="N5351" s="123" t="s">
        <v>845</v>
      </c>
    </row>
    <row r="5352" spans="2:14" hidden="1" x14ac:dyDescent="0.25">
      <c r="B5352" s="120">
        <v>5349</v>
      </c>
      <c r="C5352" s="123">
        <v>10468099077</v>
      </c>
      <c r="D5352" s="126" t="s">
        <v>19011</v>
      </c>
      <c r="E5352" s="126" t="s">
        <v>19012</v>
      </c>
      <c r="F5352" s="123" t="s">
        <v>30</v>
      </c>
      <c r="G5352" s="123" t="s">
        <v>30</v>
      </c>
      <c r="H5352" s="123" t="s">
        <v>51</v>
      </c>
      <c r="I5352" s="126" t="s">
        <v>1655</v>
      </c>
      <c r="J5352" s="123" t="s">
        <v>19013</v>
      </c>
      <c r="K5352" s="123" t="s">
        <v>19011</v>
      </c>
      <c r="L5352" s="131" t="s">
        <v>100</v>
      </c>
      <c r="M5352" s="135" t="s">
        <v>845</v>
      </c>
      <c r="N5352" s="123" t="s">
        <v>845</v>
      </c>
    </row>
    <row r="5353" spans="2:14" hidden="1" x14ac:dyDescent="0.25">
      <c r="B5353" s="120">
        <v>5350</v>
      </c>
      <c r="C5353" s="123">
        <v>10710910508</v>
      </c>
      <c r="D5353" s="126" t="s">
        <v>19014</v>
      </c>
      <c r="E5353" s="126" t="s">
        <v>19015</v>
      </c>
      <c r="F5353" s="123" t="s">
        <v>30</v>
      </c>
      <c r="G5353" s="123" t="s">
        <v>30</v>
      </c>
      <c r="H5353" s="123" t="s">
        <v>45</v>
      </c>
      <c r="I5353" s="126" t="s">
        <v>1950</v>
      </c>
      <c r="J5353" s="123" t="s">
        <v>19016</v>
      </c>
      <c r="K5353" s="123" t="s">
        <v>19017</v>
      </c>
      <c r="L5353" s="131" t="s">
        <v>100</v>
      </c>
      <c r="M5353" s="135" t="s">
        <v>845</v>
      </c>
      <c r="N5353" s="123" t="s">
        <v>845</v>
      </c>
    </row>
    <row r="5354" spans="2:14" hidden="1" x14ac:dyDescent="0.25">
      <c r="B5354" s="120">
        <v>5351</v>
      </c>
      <c r="C5354" s="123">
        <v>10103614908</v>
      </c>
      <c r="D5354" s="126" t="s">
        <v>19018</v>
      </c>
      <c r="E5354" s="126" t="s">
        <v>19019</v>
      </c>
      <c r="F5354" s="123" t="s">
        <v>19020</v>
      </c>
      <c r="G5354" s="123" t="s">
        <v>19021</v>
      </c>
      <c r="H5354" s="123" t="s">
        <v>19022</v>
      </c>
      <c r="I5354" s="126" t="s">
        <v>1950</v>
      </c>
      <c r="J5354" s="123" t="s">
        <v>19023</v>
      </c>
      <c r="K5354" s="123" t="s">
        <v>19018</v>
      </c>
      <c r="L5354" s="131" t="s">
        <v>100</v>
      </c>
      <c r="M5354" s="135" t="s">
        <v>845</v>
      </c>
      <c r="N5354" s="123" t="s">
        <v>845</v>
      </c>
    </row>
    <row r="5355" spans="2:14" hidden="1" x14ac:dyDescent="0.25">
      <c r="B5355" s="120">
        <v>5352</v>
      </c>
      <c r="C5355" s="123">
        <v>10447848924</v>
      </c>
      <c r="D5355" s="126" t="s">
        <v>19024</v>
      </c>
      <c r="E5355" s="126" t="s">
        <v>19025</v>
      </c>
      <c r="F5355" s="123" t="s">
        <v>30</v>
      </c>
      <c r="G5355" s="123" t="s">
        <v>30</v>
      </c>
      <c r="H5355" s="123" t="s">
        <v>88</v>
      </c>
      <c r="I5355" s="126" t="s">
        <v>1931</v>
      </c>
      <c r="J5355" s="123" t="s">
        <v>19026</v>
      </c>
      <c r="K5355" s="123" t="s">
        <v>19024</v>
      </c>
      <c r="L5355" s="131" t="s">
        <v>100</v>
      </c>
      <c r="M5355" s="135" t="s">
        <v>845</v>
      </c>
      <c r="N5355" s="123" t="s">
        <v>845</v>
      </c>
    </row>
    <row r="5356" spans="2:14" hidden="1" x14ac:dyDescent="0.25">
      <c r="B5356" s="120">
        <v>5353</v>
      </c>
      <c r="C5356" s="123">
        <v>10157389713</v>
      </c>
      <c r="D5356" s="126" t="s">
        <v>19027</v>
      </c>
      <c r="E5356" s="126" t="s">
        <v>19028</v>
      </c>
      <c r="F5356" s="123" t="s">
        <v>30</v>
      </c>
      <c r="G5356" s="123" t="s">
        <v>170</v>
      </c>
      <c r="H5356" s="123" t="s">
        <v>174</v>
      </c>
      <c r="I5356" s="126" t="s">
        <v>8743</v>
      </c>
      <c r="J5356" s="123" t="s">
        <v>19029</v>
      </c>
      <c r="K5356" s="123" t="s">
        <v>19027</v>
      </c>
      <c r="L5356" s="131" t="s">
        <v>100</v>
      </c>
      <c r="M5356" s="135" t="s">
        <v>845</v>
      </c>
      <c r="N5356" s="123" t="s">
        <v>845</v>
      </c>
    </row>
    <row r="5357" spans="2:14" hidden="1" x14ac:dyDescent="0.25">
      <c r="B5357" s="120">
        <v>5354</v>
      </c>
      <c r="C5357" s="123">
        <v>10404370125</v>
      </c>
      <c r="D5357" s="126" t="s">
        <v>19030</v>
      </c>
      <c r="E5357" s="126" t="s">
        <v>19031</v>
      </c>
      <c r="F5357" s="123" t="s">
        <v>30</v>
      </c>
      <c r="G5357" s="123" t="s">
        <v>30</v>
      </c>
      <c r="H5357" s="123" t="s">
        <v>88</v>
      </c>
      <c r="I5357" s="126" t="s">
        <v>1561</v>
      </c>
      <c r="J5357" s="123" t="s">
        <v>19032</v>
      </c>
      <c r="K5357" s="123" t="s">
        <v>19030</v>
      </c>
      <c r="L5357" s="131" t="s">
        <v>100</v>
      </c>
      <c r="M5357" s="135" t="s">
        <v>845</v>
      </c>
      <c r="N5357" s="123" t="s">
        <v>845</v>
      </c>
    </row>
    <row r="5358" spans="2:14" hidden="1" x14ac:dyDescent="0.25">
      <c r="B5358" s="120">
        <v>5355</v>
      </c>
      <c r="C5358" s="123">
        <v>10700295104</v>
      </c>
      <c r="D5358" s="126" t="s">
        <v>19033</v>
      </c>
      <c r="E5358" s="126" t="s">
        <v>19034</v>
      </c>
      <c r="F5358" s="123" t="s">
        <v>30</v>
      </c>
      <c r="G5358" s="123" t="s">
        <v>30</v>
      </c>
      <c r="H5358" s="123" t="s">
        <v>43</v>
      </c>
      <c r="I5358" s="126" t="s">
        <v>1701</v>
      </c>
      <c r="J5358" s="123" t="s">
        <v>19035</v>
      </c>
      <c r="K5358" s="123" t="s">
        <v>19033</v>
      </c>
      <c r="L5358" s="131" t="s">
        <v>100</v>
      </c>
      <c r="M5358" s="135" t="s">
        <v>845</v>
      </c>
      <c r="N5358" s="123" t="s">
        <v>845</v>
      </c>
    </row>
    <row r="5359" spans="2:14" hidden="1" x14ac:dyDescent="0.25">
      <c r="B5359" s="120">
        <v>5356</v>
      </c>
      <c r="C5359" s="123">
        <v>10074072866</v>
      </c>
      <c r="D5359" s="126" t="s">
        <v>19036</v>
      </c>
      <c r="E5359" s="126" t="s">
        <v>19037</v>
      </c>
      <c r="F5359" s="123" t="s">
        <v>30</v>
      </c>
      <c r="G5359" s="123" t="s">
        <v>30</v>
      </c>
      <c r="H5359" s="123" t="s">
        <v>152</v>
      </c>
      <c r="I5359" s="126" t="s">
        <v>8825</v>
      </c>
      <c r="J5359" s="123" t="s">
        <v>19038</v>
      </c>
      <c r="K5359" s="123" t="s">
        <v>19036</v>
      </c>
      <c r="L5359" s="131" t="s">
        <v>100</v>
      </c>
      <c r="M5359" s="135" t="s">
        <v>845</v>
      </c>
      <c r="N5359" s="123" t="s">
        <v>845</v>
      </c>
    </row>
    <row r="5360" spans="2:14" hidden="1" x14ac:dyDescent="0.25">
      <c r="B5360" s="120">
        <v>5357</v>
      </c>
      <c r="C5360" s="123">
        <v>10484908112</v>
      </c>
      <c r="D5360" s="126" t="s">
        <v>19039</v>
      </c>
      <c r="E5360" s="126" t="s">
        <v>19040</v>
      </c>
      <c r="F5360" s="123" t="s">
        <v>30</v>
      </c>
      <c r="G5360" s="123" t="s">
        <v>30</v>
      </c>
      <c r="H5360" s="123" t="s">
        <v>50</v>
      </c>
      <c r="I5360" s="126" t="s">
        <v>1424</v>
      </c>
      <c r="J5360" s="123" t="s">
        <v>19041</v>
      </c>
      <c r="K5360" s="123" t="s">
        <v>19039</v>
      </c>
      <c r="L5360" s="131" t="s">
        <v>100</v>
      </c>
      <c r="M5360" s="135" t="s">
        <v>845</v>
      </c>
      <c r="N5360" s="123" t="s">
        <v>845</v>
      </c>
    </row>
    <row r="5361" spans="2:14" hidden="1" x14ac:dyDescent="0.25">
      <c r="B5361" s="120">
        <v>5358</v>
      </c>
      <c r="C5361" s="123">
        <v>10774258774</v>
      </c>
      <c r="D5361" s="126" t="s">
        <v>19042</v>
      </c>
      <c r="E5361" s="126" t="s">
        <v>19043</v>
      </c>
      <c r="F5361" s="123" t="s">
        <v>30</v>
      </c>
      <c r="G5361" s="123" t="s">
        <v>30</v>
      </c>
      <c r="H5361" s="123" t="s">
        <v>113</v>
      </c>
      <c r="I5361" s="126" t="s">
        <v>1209</v>
      </c>
      <c r="J5361" s="123" t="s">
        <v>19044</v>
      </c>
      <c r="K5361" s="123" t="s">
        <v>19045</v>
      </c>
      <c r="L5361" s="131" t="s">
        <v>100</v>
      </c>
      <c r="M5361" s="135" t="s">
        <v>845</v>
      </c>
      <c r="N5361" s="123" t="s">
        <v>845</v>
      </c>
    </row>
    <row r="5362" spans="2:14" hidden="1" x14ac:dyDescent="0.25">
      <c r="B5362" s="120">
        <v>5359</v>
      </c>
      <c r="C5362" s="123">
        <v>10310377185</v>
      </c>
      <c r="D5362" s="126" t="s">
        <v>19046</v>
      </c>
      <c r="E5362" s="126" t="s">
        <v>19047</v>
      </c>
      <c r="F5362" s="123" t="s">
        <v>67</v>
      </c>
      <c r="G5362" s="123" t="s">
        <v>67</v>
      </c>
      <c r="H5362" s="123" t="s">
        <v>67</v>
      </c>
      <c r="I5362" s="126" t="s">
        <v>1441</v>
      </c>
      <c r="J5362" s="123" t="s">
        <v>19048</v>
      </c>
      <c r="K5362" s="123" t="s">
        <v>19046</v>
      </c>
      <c r="L5362" s="131" t="s">
        <v>100</v>
      </c>
      <c r="M5362" s="135" t="s">
        <v>845</v>
      </c>
      <c r="N5362" s="123" t="s">
        <v>845</v>
      </c>
    </row>
    <row r="5363" spans="2:14" hidden="1" x14ac:dyDescent="0.25">
      <c r="B5363" s="120">
        <v>5360</v>
      </c>
      <c r="C5363" s="123">
        <v>10089637274</v>
      </c>
      <c r="D5363" s="126" t="s">
        <v>19049</v>
      </c>
      <c r="E5363" s="126" t="s">
        <v>19050</v>
      </c>
      <c r="F5363" s="123" t="s">
        <v>30</v>
      </c>
      <c r="G5363" s="123" t="s">
        <v>30</v>
      </c>
      <c r="H5363" s="123" t="s">
        <v>38</v>
      </c>
      <c r="I5363" s="126" t="s">
        <v>9561</v>
      </c>
      <c r="J5363" s="123" t="s">
        <v>19051</v>
      </c>
      <c r="K5363" s="123" t="s">
        <v>19052</v>
      </c>
      <c r="L5363" s="131" t="s">
        <v>100</v>
      </c>
      <c r="M5363" s="135" t="s">
        <v>845</v>
      </c>
      <c r="N5363" s="123" t="s">
        <v>845</v>
      </c>
    </row>
    <row r="5364" spans="2:14" hidden="1" x14ac:dyDescent="0.25">
      <c r="B5364" s="120">
        <v>5361</v>
      </c>
      <c r="C5364" s="123">
        <v>10449785792</v>
      </c>
      <c r="D5364" s="126" t="s">
        <v>19053</v>
      </c>
      <c r="E5364" s="126" t="s">
        <v>19054</v>
      </c>
      <c r="F5364" s="123" t="s">
        <v>30</v>
      </c>
      <c r="G5364" s="123" t="s">
        <v>30</v>
      </c>
      <c r="H5364" s="123" t="s">
        <v>50</v>
      </c>
      <c r="I5364" s="126" t="s">
        <v>1564</v>
      </c>
      <c r="J5364" s="123" t="s">
        <v>19055</v>
      </c>
      <c r="K5364" s="123" t="s">
        <v>19053</v>
      </c>
      <c r="L5364" s="131" t="s">
        <v>100</v>
      </c>
      <c r="M5364" s="135" t="s">
        <v>845</v>
      </c>
      <c r="N5364" s="123" t="s">
        <v>845</v>
      </c>
    </row>
    <row r="5365" spans="2:14" hidden="1" x14ac:dyDescent="0.25">
      <c r="B5365" s="120">
        <v>5362</v>
      </c>
      <c r="C5365" s="123">
        <v>10434564111</v>
      </c>
      <c r="D5365" s="126" t="s">
        <v>19056</v>
      </c>
      <c r="E5365" s="126" t="s">
        <v>19057</v>
      </c>
      <c r="F5365" s="123" t="s">
        <v>30</v>
      </c>
      <c r="G5365" s="123" t="s">
        <v>30</v>
      </c>
      <c r="H5365" s="123" t="s">
        <v>50</v>
      </c>
      <c r="I5365" s="126" t="s">
        <v>1424</v>
      </c>
      <c r="J5365" s="123" t="s">
        <v>19058</v>
      </c>
      <c r="K5365" s="123" t="s">
        <v>19056</v>
      </c>
      <c r="L5365" s="131" t="s">
        <v>100</v>
      </c>
      <c r="M5365" s="135" t="s">
        <v>845</v>
      </c>
      <c r="N5365" s="123" t="s">
        <v>845</v>
      </c>
    </row>
    <row r="5366" spans="2:14" hidden="1" x14ac:dyDescent="0.25">
      <c r="B5366" s="120">
        <v>5363</v>
      </c>
      <c r="C5366" s="123">
        <v>10700226986</v>
      </c>
      <c r="D5366" s="126" t="s">
        <v>19059</v>
      </c>
      <c r="E5366" s="126" t="s">
        <v>19060</v>
      </c>
      <c r="F5366" s="123" t="s">
        <v>30</v>
      </c>
      <c r="G5366" s="123" t="s">
        <v>30</v>
      </c>
      <c r="H5366" s="123" t="s">
        <v>58</v>
      </c>
      <c r="I5366" s="126" t="s">
        <v>1564</v>
      </c>
      <c r="J5366" s="123" t="s">
        <v>19061</v>
      </c>
      <c r="K5366" s="123" t="s">
        <v>19059</v>
      </c>
      <c r="L5366" s="131" t="s">
        <v>100</v>
      </c>
      <c r="M5366" s="135" t="s">
        <v>845</v>
      </c>
      <c r="N5366" s="123" t="s">
        <v>845</v>
      </c>
    </row>
    <row r="5367" spans="2:14" hidden="1" x14ac:dyDescent="0.25">
      <c r="B5367" s="120">
        <v>5364</v>
      </c>
      <c r="C5367" s="123">
        <v>10407484334</v>
      </c>
      <c r="D5367" s="126" t="s">
        <v>19062</v>
      </c>
      <c r="E5367" s="126" t="s">
        <v>19063</v>
      </c>
      <c r="F5367" s="123" t="s">
        <v>30</v>
      </c>
      <c r="G5367" s="123" t="s">
        <v>30</v>
      </c>
      <c r="H5367" s="123" t="s">
        <v>37</v>
      </c>
      <c r="I5367" s="126" t="s">
        <v>101</v>
      </c>
      <c r="J5367" s="123" t="s">
        <v>19064</v>
      </c>
      <c r="K5367" s="123" t="s">
        <v>19062</v>
      </c>
      <c r="L5367" s="131" t="s">
        <v>100</v>
      </c>
      <c r="M5367" s="135" t="s">
        <v>845</v>
      </c>
      <c r="N5367" s="123" t="s">
        <v>845</v>
      </c>
    </row>
    <row r="5368" spans="2:14" hidden="1" x14ac:dyDescent="0.25">
      <c r="B5368" s="120">
        <v>5365</v>
      </c>
      <c r="C5368" s="123">
        <v>10418195393</v>
      </c>
      <c r="D5368" s="126" t="s">
        <v>19065</v>
      </c>
      <c r="E5368" s="126" t="s">
        <v>19066</v>
      </c>
      <c r="F5368" s="123" t="s">
        <v>30</v>
      </c>
      <c r="G5368" s="123" t="s">
        <v>54</v>
      </c>
      <c r="H5368" s="123" t="s">
        <v>54</v>
      </c>
      <c r="I5368" s="126" t="s">
        <v>1701</v>
      </c>
      <c r="J5368" s="123" t="s">
        <v>19067</v>
      </c>
      <c r="K5368" s="123" t="s">
        <v>19065</v>
      </c>
      <c r="L5368" s="131" t="s">
        <v>100</v>
      </c>
      <c r="M5368" s="135" t="s">
        <v>845</v>
      </c>
      <c r="N5368" s="123" t="s">
        <v>845</v>
      </c>
    </row>
    <row r="5369" spans="2:14" hidden="1" x14ac:dyDescent="0.25">
      <c r="B5369" s="120">
        <v>5366</v>
      </c>
      <c r="C5369" s="123">
        <v>10405515275</v>
      </c>
      <c r="D5369" s="126" t="s">
        <v>19068</v>
      </c>
      <c r="E5369" s="126" t="s">
        <v>19069</v>
      </c>
      <c r="F5369" s="123" t="s">
        <v>30</v>
      </c>
      <c r="G5369" s="123" t="s">
        <v>170</v>
      </c>
      <c r="H5369" s="123" t="s">
        <v>174</v>
      </c>
      <c r="I5369" s="126" t="s">
        <v>1931</v>
      </c>
      <c r="J5369" s="123" t="s">
        <v>19070</v>
      </c>
      <c r="K5369" s="123" t="s">
        <v>19068</v>
      </c>
      <c r="L5369" s="131" t="s">
        <v>100</v>
      </c>
      <c r="M5369" s="135" t="s">
        <v>845</v>
      </c>
      <c r="N5369" s="123" t="s">
        <v>845</v>
      </c>
    </row>
    <row r="5370" spans="2:14" hidden="1" x14ac:dyDescent="0.25">
      <c r="B5370" s="120">
        <v>5367</v>
      </c>
      <c r="C5370" s="123">
        <v>10440845784</v>
      </c>
      <c r="D5370" s="126" t="s">
        <v>19071</v>
      </c>
      <c r="E5370" s="126" t="s">
        <v>19072</v>
      </c>
      <c r="F5370" s="123" t="s">
        <v>30</v>
      </c>
      <c r="G5370" s="123" t="s">
        <v>30</v>
      </c>
      <c r="H5370" s="123" t="s">
        <v>58</v>
      </c>
      <c r="I5370" s="126" t="s">
        <v>1936</v>
      </c>
      <c r="J5370" s="123" t="s">
        <v>19073</v>
      </c>
      <c r="K5370" s="123" t="s">
        <v>19071</v>
      </c>
      <c r="L5370" s="131" t="s">
        <v>100</v>
      </c>
      <c r="M5370" s="135" t="s">
        <v>845</v>
      </c>
      <c r="N5370" s="123" t="s">
        <v>845</v>
      </c>
    </row>
    <row r="5371" spans="2:14" hidden="1" x14ac:dyDescent="0.25">
      <c r="B5371" s="120">
        <v>5368</v>
      </c>
      <c r="C5371" s="123">
        <v>10445028971</v>
      </c>
      <c r="D5371" s="126" t="s">
        <v>19074</v>
      </c>
      <c r="E5371" s="126" t="s">
        <v>19075</v>
      </c>
      <c r="F5371" s="123" t="s">
        <v>30</v>
      </c>
      <c r="G5371" s="123" t="s">
        <v>30</v>
      </c>
      <c r="H5371" s="123" t="s">
        <v>30</v>
      </c>
      <c r="I5371" s="126" t="s">
        <v>1499</v>
      </c>
      <c r="J5371" s="123" t="s">
        <v>19076</v>
      </c>
      <c r="K5371" s="123" t="s">
        <v>19077</v>
      </c>
      <c r="L5371" s="131" t="s">
        <v>100</v>
      </c>
      <c r="M5371" s="135" t="s">
        <v>845</v>
      </c>
      <c r="N5371" s="123" t="s">
        <v>845</v>
      </c>
    </row>
    <row r="5372" spans="2:14" hidden="1" x14ac:dyDescent="0.25">
      <c r="B5372" s="120">
        <v>5369</v>
      </c>
      <c r="C5372" s="123">
        <v>10801163667</v>
      </c>
      <c r="D5372" s="126" t="s">
        <v>19078</v>
      </c>
      <c r="E5372" s="126" t="s">
        <v>19079</v>
      </c>
      <c r="F5372" s="123" t="s">
        <v>67</v>
      </c>
      <c r="G5372" s="123" t="s">
        <v>67</v>
      </c>
      <c r="H5372" s="123" t="s">
        <v>67</v>
      </c>
      <c r="I5372" s="126" t="s">
        <v>1551</v>
      </c>
      <c r="J5372" s="123" t="s">
        <v>19080</v>
      </c>
      <c r="K5372" s="123" t="s">
        <v>19078</v>
      </c>
      <c r="L5372" s="131" t="s">
        <v>100</v>
      </c>
      <c r="M5372" s="135" t="s">
        <v>845</v>
      </c>
      <c r="N5372" s="123" t="s">
        <v>845</v>
      </c>
    </row>
    <row r="5373" spans="2:14" hidden="1" x14ac:dyDescent="0.25">
      <c r="B5373" s="120">
        <v>5370</v>
      </c>
      <c r="C5373" s="123">
        <v>10482690683</v>
      </c>
      <c r="D5373" s="126" t="s">
        <v>19081</v>
      </c>
      <c r="E5373" s="126" t="s">
        <v>19082</v>
      </c>
      <c r="F5373" s="123" t="s">
        <v>30</v>
      </c>
      <c r="G5373" s="123" t="s">
        <v>30</v>
      </c>
      <c r="H5373" s="123" t="s">
        <v>75</v>
      </c>
      <c r="I5373" s="126" t="s">
        <v>1595</v>
      </c>
      <c r="J5373" s="123" t="s">
        <v>19083</v>
      </c>
      <c r="K5373" s="123" t="s">
        <v>19081</v>
      </c>
      <c r="L5373" s="131" t="s">
        <v>100</v>
      </c>
      <c r="M5373" s="135" t="s">
        <v>845</v>
      </c>
      <c r="N5373" s="123" t="s">
        <v>845</v>
      </c>
    </row>
    <row r="5374" spans="2:14" hidden="1" x14ac:dyDescent="0.25">
      <c r="B5374" s="120">
        <v>5371</v>
      </c>
      <c r="C5374" s="123">
        <v>10442209281</v>
      </c>
      <c r="D5374" s="126" t="s">
        <v>19084</v>
      </c>
      <c r="E5374" s="126" t="s">
        <v>19085</v>
      </c>
      <c r="F5374" s="123" t="s">
        <v>30</v>
      </c>
      <c r="G5374" s="123" t="s">
        <v>30</v>
      </c>
      <c r="H5374" s="123" t="s">
        <v>34</v>
      </c>
      <c r="I5374" s="126" t="s">
        <v>101</v>
      </c>
      <c r="J5374" s="123" t="s">
        <v>19086</v>
      </c>
      <c r="K5374" s="123" t="s">
        <v>19084</v>
      </c>
      <c r="L5374" s="131" t="s">
        <v>100</v>
      </c>
      <c r="M5374" s="135" t="s">
        <v>845</v>
      </c>
      <c r="N5374" s="123" t="s">
        <v>845</v>
      </c>
    </row>
    <row r="5375" spans="2:14" hidden="1" x14ac:dyDescent="0.25">
      <c r="B5375" s="120">
        <v>5372</v>
      </c>
      <c r="C5375" s="123">
        <v>10107249228</v>
      </c>
      <c r="D5375" s="126" t="s">
        <v>19087</v>
      </c>
      <c r="E5375" s="126" t="s">
        <v>19088</v>
      </c>
      <c r="F5375" s="123" t="s">
        <v>67</v>
      </c>
      <c r="G5375" s="123" t="s">
        <v>67</v>
      </c>
      <c r="H5375" s="123" t="s">
        <v>94</v>
      </c>
      <c r="I5375" s="126" t="s">
        <v>1701</v>
      </c>
      <c r="J5375" s="123" t="s">
        <v>19089</v>
      </c>
      <c r="K5375" s="123" t="s">
        <v>19087</v>
      </c>
      <c r="L5375" s="131" t="s">
        <v>100</v>
      </c>
      <c r="M5375" s="135" t="s">
        <v>845</v>
      </c>
      <c r="N5375" s="123" t="s">
        <v>845</v>
      </c>
    </row>
    <row r="5376" spans="2:14" hidden="1" x14ac:dyDescent="0.25">
      <c r="B5376" s="120">
        <v>5373</v>
      </c>
      <c r="C5376" s="123">
        <v>10079853238</v>
      </c>
      <c r="D5376" s="126" t="s">
        <v>19090</v>
      </c>
      <c r="E5376" s="126" t="s">
        <v>19091</v>
      </c>
      <c r="F5376" s="123" t="s">
        <v>67</v>
      </c>
      <c r="G5376" s="123" t="s">
        <v>67</v>
      </c>
      <c r="H5376" s="123" t="s">
        <v>67</v>
      </c>
      <c r="I5376" s="126" t="s">
        <v>11346</v>
      </c>
      <c r="J5376" s="123" t="s">
        <v>19092</v>
      </c>
      <c r="K5376" s="123" t="s">
        <v>19093</v>
      </c>
      <c r="L5376" s="131" t="s">
        <v>100</v>
      </c>
      <c r="M5376" s="135" t="s">
        <v>845</v>
      </c>
      <c r="N5376" s="123" t="s">
        <v>845</v>
      </c>
    </row>
    <row r="5377" spans="2:14" hidden="1" x14ac:dyDescent="0.25">
      <c r="B5377" s="120">
        <v>5374</v>
      </c>
      <c r="C5377" s="123">
        <v>10462644359</v>
      </c>
      <c r="D5377" s="126" t="s">
        <v>19094</v>
      </c>
      <c r="E5377" s="126" t="s">
        <v>19095</v>
      </c>
      <c r="F5377" s="123" t="s">
        <v>30</v>
      </c>
      <c r="G5377" s="123" t="s">
        <v>31</v>
      </c>
      <c r="H5377" s="123" t="s">
        <v>9381</v>
      </c>
      <c r="I5377" s="126" t="s">
        <v>1809</v>
      </c>
      <c r="J5377" s="123" t="s">
        <v>19096</v>
      </c>
      <c r="K5377" s="123" t="s">
        <v>19094</v>
      </c>
      <c r="L5377" s="131" t="s">
        <v>100</v>
      </c>
      <c r="M5377" s="135" t="s">
        <v>845</v>
      </c>
      <c r="N5377" s="123" t="s">
        <v>845</v>
      </c>
    </row>
    <row r="5378" spans="2:14" hidden="1" x14ac:dyDescent="0.25">
      <c r="B5378" s="120">
        <v>5375</v>
      </c>
      <c r="C5378" s="123">
        <v>10093926469</v>
      </c>
      <c r="D5378" s="126" t="s">
        <v>19097</v>
      </c>
      <c r="E5378" s="126" t="s">
        <v>19098</v>
      </c>
      <c r="F5378" s="123" t="s">
        <v>30</v>
      </c>
      <c r="G5378" s="123" t="s">
        <v>30</v>
      </c>
      <c r="H5378" s="123" t="s">
        <v>75</v>
      </c>
      <c r="I5378" s="126" t="s">
        <v>8743</v>
      </c>
      <c r="J5378" s="123" t="s">
        <v>19099</v>
      </c>
      <c r="K5378" s="123" t="s">
        <v>19097</v>
      </c>
      <c r="L5378" s="131" t="s">
        <v>100</v>
      </c>
      <c r="M5378" s="135" t="s">
        <v>845</v>
      </c>
      <c r="N5378" s="123" t="s">
        <v>845</v>
      </c>
    </row>
    <row r="5379" spans="2:14" hidden="1" x14ac:dyDescent="0.25">
      <c r="B5379" s="120">
        <v>5376</v>
      </c>
      <c r="C5379" s="123">
        <v>10437482042</v>
      </c>
      <c r="D5379" s="126" t="s">
        <v>19100</v>
      </c>
      <c r="E5379" s="126" t="s">
        <v>19101</v>
      </c>
      <c r="F5379" s="123" t="s">
        <v>30</v>
      </c>
      <c r="G5379" s="123" t="s">
        <v>54</v>
      </c>
      <c r="H5379" s="123" t="s">
        <v>54</v>
      </c>
      <c r="I5379" s="126" t="s">
        <v>1564</v>
      </c>
      <c r="J5379" s="123" t="s">
        <v>19102</v>
      </c>
      <c r="K5379" s="123" t="s">
        <v>19103</v>
      </c>
      <c r="L5379" s="131" t="s">
        <v>100</v>
      </c>
      <c r="M5379" s="135" t="s">
        <v>845</v>
      </c>
      <c r="N5379" s="123" t="s">
        <v>845</v>
      </c>
    </row>
    <row r="5380" spans="2:14" hidden="1" x14ac:dyDescent="0.25">
      <c r="B5380" s="120">
        <v>5377</v>
      </c>
      <c r="C5380" s="123">
        <v>10400244061</v>
      </c>
      <c r="D5380" s="126" t="s">
        <v>19104</v>
      </c>
      <c r="E5380" s="126" t="s">
        <v>19105</v>
      </c>
      <c r="F5380" s="123" t="s">
        <v>30</v>
      </c>
      <c r="G5380" s="123" t="s">
        <v>31</v>
      </c>
      <c r="H5380" s="123" t="s">
        <v>139</v>
      </c>
      <c r="I5380" s="126" t="s">
        <v>1551</v>
      </c>
      <c r="J5380" s="123" t="s">
        <v>19106</v>
      </c>
      <c r="K5380" s="123" t="s">
        <v>19104</v>
      </c>
      <c r="L5380" s="131" t="s">
        <v>100</v>
      </c>
      <c r="M5380" s="135" t="s">
        <v>845</v>
      </c>
      <c r="N5380" s="123" t="s">
        <v>845</v>
      </c>
    </row>
    <row r="5381" spans="2:14" hidden="1" x14ac:dyDescent="0.25">
      <c r="B5381" s="120">
        <v>5378</v>
      </c>
      <c r="C5381" s="123">
        <v>10469679671</v>
      </c>
      <c r="D5381" s="126" t="s">
        <v>19107</v>
      </c>
      <c r="E5381" s="126" t="s">
        <v>19108</v>
      </c>
      <c r="F5381" s="123" t="s">
        <v>30</v>
      </c>
      <c r="G5381" s="123" t="s">
        <v>30</v>
      </c>
      <c r="H5381" s="123" t="s">
        <v>60</v>
      </c>
      <c r="I5381" s="126" t="s">
        <v>1942</v>
      </c>
      <c r="J5381" s="123" t="s">
        <v>19109</v>
      </c>
      <c r="K5381" s="123" t="s">
        <v>19107</v>
      </c>
      <c r="L5381" s="131" t="s">
        <v>100</v>
      </c>
      <c r="M5381" s="135" t="s">
        <v>845</v>
      </c>
      <c r="N5381" s="123" t="s">
        <v>845</v>
      </c>
    </row>
    <row r="5382" spans="2:14" hidden="1" x14ac:dyDescent="0.25">
      <c r="B5382" s="120">
        <v>5379</v>
      </c>
      <c r="C5382" s="123">
        <v>10405509011</v>
      </c>
      <c r="D5382" s="126" t="s">
        <v>19110</v>
      </c>
      <c r="E5382" s="126" t="s">
        <v>19111</v>
      </c>
      <c r="F5382" s="123" t="s">
        <v>30</v>
      </c>
      <c r="G5382" s="123" t="s">
        <v>30</v>
      </c>
      <c r="H5382" s="123" t="s">
        <v>58</v>
      </c>
      <c r="I5382" s="126" t="s">
        <v>1981</v>
      </c>
      <c r="J5382" s="123" t="s">
        <v>19112</v>
      </c>
      <c r="K5382" s="123" t="s">
        <v>19110</v>
      </c>
      <c r="L5382" s="131" t="s">
        <v>100</v>
      </c>
      <c r="M5382" s="135" t="s">
        <v>845</v>
      </c>
      <c r="N5382" s="123" t="s">
        <v>845</v>
      </c>
    </row>
    <row r="5383" spans="2:14" hidden="1" x14ac:dyDescent="0.25">
      <c r="B5383" s="120">
        <v>5380</v>
      </c>
      <c r="C5383" s="123">
        <v>10230178718</v>
      </c>
      <c r="D5383" s="126" t="s">
        <v>19113</v>
      </c>
      <c r="E5383" s="126" t="s">
        <v>19114</v>
      </c>
      <c r="F5383" s="123" t="s">
        <v>67</v>
      </c>
      <c r="G5383" s="123" t="s">
        <v>67</v>
      </c>
      <c r="H5383" s="123" t="s">
        <v>94</v>
      </c>
      <c r="I5383" s="126" t="s">
        <v>1737</v>
      </c>
      <c r="J5383" s="123" t="s">
        <v>19115</v>
      </c>
      <c r="K5383" s="123" t="s">
        <v>19113</v>
      </c>
      <c r="L5383" s="131" t="s">
        <v>100</v>
      </c>
      <c r="M5383" s="135" t="s">
        <v>845</v>
      </c>
      <c r="N5383" s="123" t="s">
        <v>845</v>
      </c>
    </row>
    <row r="5384" spans="2:14" hidden="1" x14ac:dyDescent="0.25">
      <c r="B5384" s="120">
        <v>5381</v>
      </c>
      <c r="C5384" s="123">
        <v>10091422684</v>
      </c>
      <c r="D5384" s="126" t="s">
        <v>19116</v>
      </c>
      <c r="E5384" s="126" t="s">
        <v>19117</v>
      </c>
      <c r="F5384" s="123" t="s">
        <v>30</v>
      </c>
      <c r="G5384" s="123" t="s">
        <v>30</v>
      </c>
      <c r="H5384" s="123" t="s">
        <v>68</v>
      </c>
      <c r="I5384" s="126" t="s">
        <v>9385</v>
      </c>
      <c r="J5384" s="123" t="s">
        <v>19118</v>
      </c>
      <c r="K5384" s="123" t="s">
        <v>19119</v>
      </c>
      <c r="L5384" s="131" t="s">
        <v>100</v>
      </c>
      <c r="M5384" s="135" t="s">
        <v>845</v>
      </c>
      <c r="N5384" s="123" t="s">
        <v>845</v>
      </c>
    </row>
    <row r="5385" spans="2:14" hidden="1" x14ac:dyDescent="0.25">
      <c r="B5385" s="120">
        <v>5382</v>
      </c>
      <c r="C5385" s="123">
        <v>10478392996</v>
      </c>
      <c r="D5385" s="126" t="s">
        <v>19120</v>
      </c>
      <c r="E5385" s="126" t="s">
        <v>19121</v>
      </c>
      <c r="F5385" s="123" t="s">
        <v>30</v>
      </c>
      <c r="G5385" s="123" t="s">
        <v>48</v>
      </c>
      <c r="H5385" s="123" t="s">
        <v>155</v>
      </c>
      <c r="I5385" s="126" t="s">
        <v>9769</v>
      </c>
      <c r="J5385" s="123" t="s">
        <v>19122</v>
      </c>
      <c r="K5385" s="123" t="s">
        <v>19120</v>
      </c>
      <c r="L5385" s="131" t="s">
        <v>100</v>
      </c>
      <c r="M5385" s="135" t="s">
        <v>845</v>
      </c>
      <c r="N5385" s="123" t="s">
        <v>845</v>
      </c>
    </row>
    <row r="5386" spans="2:14" hidden="1" x14ac:dyDescent="0.25">
      <c r="B5386" s="120">
        <v>5383</v>
      </c>
      <c r="C5386" s="123">
        <v>10193264013</v>
      </c>
      <c r="D5386" s="126" t="s">
        <v>19123</v>
      </c>
      <c r="E5386" s="126" t="s">
        <v>19124</v>
      </c>
      <c r="F5386" s="123" t="s">
        <v>30</v>
      </c>
      <c r="G5386" s="123" t="s">
        <v>30</v>
      </c>
      <c r="H5386" s="123" t="s">
        <v>30</v>
      </c>
      <c r="I5386" s="126" t="s">
        <v>1365</v>
      </c>
      <c r="J5386" s="123" t="s">
        <v>19125</v>
      </c>
      <c r="K5386" s="123" t="s">
        <v>19123</v>
      </c>
      <c r="L5386" s="131" t="s">
        <v>100</v>
      </c>
      <c r="M5386" s="135" t="s">
        <v>845</v>
      </c>
      <c r="N5386" s="123" t="s">
        <v>845</v>
      </c>
    </row>
    <row r="5387" spans="2:14" hidden="1" x14ac:dyDescent="0.25">
      <c r="B5387" s="120">
        <v>5384</v>
      </c>
      <c r="C5387" s="123">
        <v>10097445911</v>
      </c>
      <c r="D5387" s="126" t="s">
        <v>19126</v>
      </c>
      <c r="E5387" s="126" t="s">
        <v>19127</v>
      </c>
      <c r="F5387" s="123" t="s">
        <v>30</v>
      </c>
      <c r="G5387" s="123" t="s">
        <v>30</v>
      </c>
      <c r="H5387" s="123" t="s">
        <v>50</v>
      </c>
      <c r="I5387" s="126" t="s">
        <v>1737</v>
      </c>
      <c r="J5387" s="123" t="s">
        <v>19128</v>
      </c>
      <c r="K5387" s="123" t="s">
        <v>19126</v>
      </c>
      <c r="L5387" s="131" t="s">
        <v>100</v>
      </c>
      <c r="M5387" s="135" t="s">
        <v>845</v>
      </c>
      <c r="N5387" s="123" t="s">
        <v>845</v>
      </c>
    </row>
    <row r="5388" spans="2:14" hidden="1" x14ac:dyDescent="0.25">
      <c r="B5388" s="120">
        <v>5385</v>
      </c>
      <c r="C5388" s="123">
        <v>10436755827</v>
      </c>
      <c r="D5388" s="126" t="s">
        <v>19129</v>
      </c>
      <c r="E5388" s="126" t="s">
        <v>19130</v>
      </c>
      <c r="F5388" s="123" t="s">
        <v>30</v>
      </c>
      <c r="G5388" s="123" t="s">
        <v>30</v>
      </c>
      <c r="H5388" s="123" t="s">
        <v>51</v>
      </c>
      <c r="I5388" s="126" t="s">
        <v>1694</v>
      </c>
      <c r="J5388" s="123" t="s">
        <v>19131</v>
      </c>
      <c r="K5388" s="123" t="s">
        <v>19132</v>
      </c>
      <c r="L5388" s="131" t="s">
        <v>100</v>
      </c>
      <c r="M5388" s="135" t="s">
        <v>845</v>
      </c>
      <c r="N5388" s="123" t="s">
        <v>845</v>
      </c>
    </row>
    <row r="5389" spans="2:14" hidden="1" x14ac:dyDescent="0.25">
      <c r="B5389" s="120">
        <v>5386</v>
      </c>
      <c r="C5389" s="123">
        <v>10106162692</v>
      </c>
      <c r="D5389" s="126" t="s">
        <v>19133</v>
      </c>
      <c r="E5389" s="126" t="s">
        <v>19134</v>
      </c>
      <c r="F5389" s="123" t="s">
        <v>30</v>
      </c>
      <c r="G5389" s="123" t="s">
        <v>30</v>
      </c>
      <c r="H5389" s="123" t="s">
        <v>88</v>
      </c>
      <c r="I5389" s="126" t="s">
        <v>1931</v>
      </c>
      <c r="J5389" s="123" t="s">
        <v>19135</v>
      </c>
      <c r="K5389" s="123" t="s">
        <v>19133</v>
      </c>
      <c r="L5389" s="131" t="s">
        <v>100</v>
      </c>
      <c r="M5389" s="135" t="s">
        <v>845</v>
      </c>
      <c r="N5389" s="123" t="s">
        <v>845</v>
      </c>
    </row>
    <row r="5390" spans="2:14" hidden="1" x14ac:dyDescent="0.25">
      <c r="B5390" s="120">
        <v>5387</v>
      </c>
      <c r="C5390" s="123">
        <v>10099769438</v>
      </c>
      <c r="D5390" s="126" t="s">
        <v>19136</v>
      </c>
      <c r="E5390" s="126" t="s">
        <v>19137</v>
      </c>
      <c r="F5390" s="123" t="s">
        <v>30</v>
      </c>
      <c r="G5390" s="123" t="s">
        <v>30</v>
      </c>
      <c r="H5390" s="123" t="s">
        <v>75</v>
      </c>
      <c r="I5390" s="126" t="s">
        <v>1952</v>
      </c>
      <c r="J5390" s="123" t="s">
        <v>19138</v>
      </c>
      <c r="K5390" s="123" t="s">
        <v>19139</v>
      </c>
      <c r="L5390" s="131" t="s">
        <v>100</v>
      </c>
      <c r="M5390" s="135" t="s">
        <v>845</v>
      </c>
      <c r="N5390" s="123" t="s">
        <v>845</v>
      </c>
    </row>
    <row r="5391" spans="2:14" hidden="1" x14ac:dyDescent="0.25">
      <c r="B5391" s="120">
        <v>5388</v>
      </c>
      <c r="C5391" s="123">
        <v>10724408929</v>
      </c>
      <c r="D5391" s="126" t="s">
        <v>19140</v>
      </c>
      <c r="E5391" s="126" t="s">
        <v>19141</v>
      </c>
      <c r="F5391" s="123" t="s">
        <v>30</v>
      </c>
      <c r="G5391" s="123" t="s">
        <v>170</v>
      </c>
      <c r="H5391" s="123" t="s">
        <v>171</v>
      </c>
      <c r="I5391" s="126" t="s">
        <v>1968</v>
      </c>
      <c r="J5391" s="123" t="s">
        <v>19142</v>
      </c>
      <c r="K5391" s="123" t="s">
        <v>19140</v>
      </c>
      <c r="L5391" s="131" t="s">
        <v>100</v>
      </c>
      <c r="M5391" s="135" t="s">
        <v>845</v>
      </c>
      <c r="N5391" s="123" t="s">
        <v>845</v>
      </c>
    </row>
    <row r="5392" spans="2:14" hidden="1" x14ac:dyDescent="0.25">
      <c r="B5392" s="120">
        <v>5389</v>
      </c>
      <c r="C5392" s="123">
        <v>10445202253</v>
      </c>
      <c r="D5392" s="126" t="s">
        <v>19143</v>
      </c>
      <c r="E5392" s="126" t="s">
        <v>19144</v>
      </c>
      <c r="F5392" s="123" t="s">
        <v>30</v>
      </c>
      <c r="G5392" s="123" t="s">
        <v>30</v>
      </c>
      <c r="H5392" s="123" t="s">
        <v>51</v>
      </c>
      <c r="I5392" s="126" t="s">
        <v>1478</v>
      </c>
      <c r="J5392" s="123" t="s">
        <v>19145</v>
      </c>
      <c r="K5392" s="123" t="s">
        <v>19146</v>
      </c>
      <c r="L5392" s="131" t="s">
        <v>100</v>
      </c>
      <c r="M5392" s="135" t="s">
        <v>845</v>
      </c>
      <c r="N5392" s="123" t="s">
        <v>845</v>
      </c>
    </row>
    <row r="5393" spans="2:14" hidden="1" x14ac:dyDescent="0.25">
      <c r="B5393" s="120">
        <v>5390</v>
      </c>
      <c r="C5393" s="123">
        <v>10432485922</v>
      </c>
      <c r="D5393" s="126" t="s">
        <v>19147</v>
      </c>
      <c r="E5393" s="126" t="s">
        <v>19148</v>
      </c>
      <c r="F5393" s="123" t="s">
        <v>30</v>
      </c>
      <c r="G5393" s="123" t="s">
        <v>170</v>
      </c>
      <c r="H5393" s="123" t="s">
        <v>171</v>
      </c>
      <c r="I5393" s="126" t="s">
        <v>1701</v>
      </c>
      <c r="J5393" s="123" t="s">
        <v>19149</v>
      </c>
      <c r="K5393" s="123" t="s">
        <v>19147</v>
      </c>
      <c r="L5393" s="131" t="s">
        <v>100</v>
      </c>
      <c r="M5393" s="135" t="s">
        <v>845</v>
      </c>
      <c r="N5393" s="123" t="s">
        <v>845</v>
      </c>
    </row>
    <row r="5394" spans="2:14" hidden="1" x14ac:dyDescent="0.25">
      <c r="B5394" s="120">
        <v>5391</v>
      </c>
      <c r="C5394" s="123">
        <v>10727225639</v>
      </c>
      <c r="D5394" s="126" t="s">
        <v>19150</v>
      </c>
      <c r="E5394" s="126" t="s">
        <v>19151</v>
      </c>
      <c r="F5394" s="123" t="s">
        <v>30</v>
      </c>
      <c r="G5394" s="123" t="s">
        <v>30</v>
      </c>
      <c r="H5394" s="123" t="s">
        <v>40</v>
      </c>
      <c r="I5394" s="126" t="s">
        <v>1551</v>
      </c>
      <c r="J5394" s="123" t="s">
        <v>19152</v>
      </c>
      <c r="K5394" s="123" t="s">
        <v>19150</v>
      </c>
      <c r="L5394" s="131" t="s">
        <v>100</v>
      </c>
      <c r="M5394" s="135" t="s">
        <v>845</v>
      </c>
      <c r="N5394" s="123" t="s">
        <v>845</v>
      </c>
    </row>
    <row r="5395" spans="2:14" hidden="1" x14ac:dyDescent="0.25">
      <c r="B5395" s="120">
        <v>5392</v>
      </c>
      <c r="C5395" s="123">
        <v>10100556265</v>
      </c>
      <c r="D5395" s="126" t="s">
        <v>19153</v>
      </c>
      <c r="E5395" s="126" t="s">
        <v>19154</v>
      </c>
      <c r="F5395" s="123" t="s">
        <v>30</v>
      </c>
      <c r="G5395" s="123" t="s">
        <v>30</v>
      </c>
      <c r="H5395" s="123" t="s">
        <v>51</v>
      </c>
      <c r="I5395" s="126" t="s">
        <v>1655</v>
      </c>
      <c r="J5395" s="123" t="s">
        <v>19155</v>
      </c>
      <c r="K5395" s="123" t="s">
        <v>19153</v>
      </c>
      <c r="L5395" s="131" t="s">
        <v>100</v>
      </c>
      <c r="M5395" s="135" t="s">
        <v>845</v>
      </c>
      <c r="N5395" s="123" t="s">
        <v>845</v>
      </c>
    </row>
    <row r="5396" spans="2:14" hidden="1" x14ac:dyDescent="0.25">
      <c r="B5396" s="120">
        <v>5393</v>
      </c>
      <c r="C5396" s="123">
        <v>10414608545</v>
      </c>
      <c r="D5396" s="126" t="s">
        <v>19156</v>
      </c>
      <c r="E5396" s="126" t="s">
        <v>19157</v>
      </c>
      <c r="F5396" s="123" t="s">
        <v>30</v>
      </c>
      <c r="G5396" s="123" t="s">
        <v>30</v>
      </c>
      <c r="H5396" s="123" t="s">
        <v>50</v>
      </c>
      <c r="I5396" s="126" t="s">
        <v>19158</v>
      </c>
      <c r="J5396" s="123" t="s">
        <v>19159</v>
      </c>
      <c r="K5396" s="123" t="s">
        <v>19156</v>
      </c>
      <c r="L5396" s="131" t="s">
        <v>100</v>
      </c>
      <c r="M5396" s="135" t="s">
        <v>845</v>
      </c>
      <c r="N5396" s="123" t="s">
        <v>845</v>
      </c>
    </row>
    <row r="5397" spans="2:14" hidden="1" x14ac:dyDescent="0.25">
      <c r="B5397" s="120">
        <v>5394</v>
      </c>
      <c r="C5397" s="123">
        <v>10702284665</v>
      </c>
      <c r="D5397" s="126" t="s">
        <v>19160</v>
      </c>
      <c r="E5397" s="126" t="s">
        <v>19161</v>
      </c>
      <c r="F5397" s="123" t="s">
        <v>30</v>
      </c>
      <c r="G5397" s="123" t="s">
        <v>30</v>
      </c>
      <c r="H5397" s="123" t="s">
        <v>43</v>
      </c>
      <c r="I5397" s="126" t="s">
        <v>1931</v>
      </c>
      <c r="J5397" s="123" t="s">
        <v>19162</v>
      </c>
      <c r="K5397" s="123" t="s">
        <v>19160</v>
      </c>
      <c r="L5397" s="131" t="s">
        <v>100</v>
      </c>
      <c r="M5397" s="135" t="s">
        <v>845</v>
      </c>
      <c r="N5397" s="123" t="s">
        <v>845</v>
      </c>
    </row>
    <row r="5398" spans="2:14" hidden="1" x14ac:dyDescent="0.25">
      <c r="B5398" s="120">
        <v>5395</v>
      </c>
      <c r="C5398" s="123">
        <v>10018509950</v>
      </c>
      <c r="D5398" s="126" t="s">
        <v>19163</v>
      </c>
      <c r="E5398" s="126" t="s">
        <v>19164</v>
      </c>
      <c r="F5398" s="123" t="s">
        <v>30</v>
      </c>
      <c r="G5398" s="123" t="s">
        <v>30</v>
      </c>
      <c r="H5398" s="123" t="s">
        <v>30</v>
      </c>
      <c r="I5398" s="126" t="s">
        <v>8659</v>
      </c>
      <c r="J5398" s="123" t="s">
        <v>19165</v>
      </c>
      <c r="K5398" s="123" t="s">
        <v>19163</v>
      </c>
      <c r="L5398" s="131" t="s">
        <v>100</v>
      </c>
      <c r="M5398" s="135" t="s">
        <v>845</v>
      </c>
      <c r="N5398" s="123" t="s">
        <v>845</v>
      </c>
    </row>
    <row r="5399" spans="2:14" hidden="1" x14ac:dyDescent="0.25">
      <c r="B5399" s="120">
        <v>5396</v>
      </c>
      <c r="C5399" s="123">
        <v>10729114001</v>
      </c>
      <c r="D5399" s="126" t="s">
        <v>19166</v>
      </c>
      <c r="E5399" s="126" t="s">
        <v>19167</v>
      </c>
      <c r="F5399" s="123" t="s">
        <v>30</v>
      </c>
      <c r="G5399" s="123" t="s">
        <v>30</v>
      </c>
      <c r="H5399" s="123" t="s">
        <v>50</v>
      </c>
      <c r="I5399" s="126" t="s">
        <v>1424</v>
      </c>
      <c r="J5399" s="123" t="s">
        <v>19168</v>
      </c>
      <c r="K5399" s="123" t="s">
        <v>19166</v>
      </c>
      <c r="L5399" s="131" t="s">
        <v>100</v>
      </c>
      <c r="M5399" s="135" t="s">
        <v>845</v>
      </c>
      <c r="N5399" s="123" t="s">
        <v>845</v>
      </c>
    </row>
    <row r="5400" spans="2:14" hidden="1" x14ac:dyDescent="0.25">
      <c r="B5400" s="120">
        <v>5397</v>
      </c>
      <c r="C5400" s="123">
        <v>10729114559</v>
      </c>
      <c r="D5400" s="126" t="s">
        <v>19169</v>
      </c>
      <c r="E5400" s="126" t="s">
        <v>19170</v>
      </c>
      <c r="F5400" s="123" t="s">
        <v>30</v>
      </c>
      <c r="G5400" s="123" t="s">
        <v>30</v>
      </c>
      <c r="H5400" s="123" t="s">
        <v>50</v>
      </c>
      <c r="I5400" s="126" t="s">
        <v>1930</v>
      </c>
      <c r="J5400" s="123" t="s">
        <v>19171</v>
      </c>
      <c r="K5400" s="123" t="s">
        <v>19172</v>
      </c>
      <c r="L5400" s="131" t="s">
        <v>100</v>
      </c>
      <c r="M5400" s="135" t="s">
        <v>845</v>
      </c>
      <c r="N5400" s="123" t="s">
        <v>845</v>
      </c>
    </row>
    <row r="5401" spans="2:14" hidden="1" x14ac:dyDescent="0.25">
      <c r="B5401" s="120">
        <v>5398</v>
      </c>
      <c r="C5401" s="123">
        <v>10096894622</v>
      </c>
      <c r="D5401" s="126" t="s">
        <v>19173</v>
      </c>
      <c r="E5401" s="126" t="s">
        <v>19174</v>
      </c>
      <c r="F5401" s="123" t="s">
        <v>30</v>
      </c>
      <c r="G5401" s="123" t="s">
        <v>30</v>
      </c>
      <c r="H5401" s="123" t="s">
        <v>30</v>
      </c>
      <c r="I5401" s="126" t="s">
        <v>1930</v>
      </c>
      <c r="J5401" s="123" t="s">
        <v>19175</v>
      </c>
      <c r="K5401" s="123" t="s">
        <v>19176</v>
      </c>
      <c r="L5401" s="131" t="s">
        <v>100</v>
      </c>
      <c r="M5401" s="135" t="s">
        <v>845</v>
      </c>
      <c r="N5401" s="123" t="s">
        <v>845</v>
      </c>
    </row>
    <row r="5402" spans="2:14" hidden="1" x14ac:dyDescent="0.25">
      <c r="B5402" s="120">
        <v>5399</v>
      </c>
      <c r="C5402" s="123">
        <v>10708062109</v>
      </c>
      <c r="D5402" s="126" t="s">
        <v>19177</v>
      </c>
      <c r="E5402" s="126" t="s">
        <v>19178</v>
      </c>
      <c r="F5402" s="123" t="s">
        <v>8921</v>
      </c>
      <c r="G5402" s="123" t="s">
        <v>15421</v>
      </c>
      <c r="H5402" s="123" t="s">
        <v>15421</v>
      </c>
      <c r="I5402" s="126" t="s">
        <v>1931</v>
      </c>
      <c r="J5402" s="123" t="s">
        <v>19179</v>
      </c>
      <c r="K5402" s="123" t="s">
        <v>19177</v>
      </c>
      <c r="L5402" s="131" t="s">
        <v>100</v>
      </c>
      <c r="M5402" s="135" t="s">
        <v>845</v>
      </c>
      <c r="N5402" s="123" t="s">
        <v>845</v>
      </c>
    </row>
    <row r="5403" spans="2:14" hidden="1" x14ac:dyDescent="0.25">
      <c r="B5403" s="120">
        <v>5400</v>
      </c>
      <c r="C5403" s="123">
        <v>10100548041</v>
      </c>
      <c r="D5403" s="126" t="s">
        <v>19180</v>
      </c>
      <c r="E5403" s="126" t="s">
        <v>19181</v>
      </c>
      <c r="F5403" s="123" t="s">
        <v>30</v>
      </c>
      <c r="G5403" s="123" t="s">
        <v>30</v>
      </c>
      <c r="H5403" s="123" t="s">
        <v>51</v>
      </c>
      <c r="I5403" s="126" t="s">
        <v>1551</v>
      </c>
      <c r="J5403" s="123" t="s">
        <v>19182</v>
      </c>
      <c r="K5403" s="123" t="s">
        <v>19180</v>
      </c>
      <c r="L5403" s="131" t="s">
        <v>100</v>
      </c>
      <c r="M5403" s="135" t="s">
        <v>845</v>
      </c>
      <c r="N5403" s="123" t="s">
        <v>845</v>
      </c>
    </row>
    <row r="5404" spans="2:14" hidden="1" x14ac:dyDescent="0.25">
      <c r="B5404" s="120">
        <v>5401</v>
      </c>
      <c r="C5404" s="123">
        <v>10458014626</v>
      </c>
      <c r="D5404" s="126" t="s">
        <v>19183</v>
      </c>
      <c r="E5404" s="126" t="s">
        <v>19184</v>
      </c>
      <c r="F5404" s="123" t="s">
        <v>30</v>
      </c>
      <c r="G5404" s="123" t="s">
        <v>30</v>
      </c>
      <c r="H5404" s="123" t="s">
        <v>52</v>
      </c>
      <c r="I5404" s="126" t="s">
        <v>1701</v>
      </c>
      <c r="J5404" s="123" t="s">
        <v>19185</v>
      </c>
      <c r="K5404" s="123" t="s">
        <v>19183</v>
      </c>
      <c r="L5404" s="131" t="s">
        <v>100</v>
      </c>
      <c r="M5404" s="135" t="s">
        <v>845</v>
      </c>
      <c r="N5404" s="123" t="s">
        <v>845</v>
      </c>
    </row>
    <row r="5405" spans="2:14" hidden="1" x14ac:dyDescent="0.25">
      <c r="B5405" s="120">
        <v>5402</v>
      </c>
      <c r="C5405" s="123">
        <v>10156412304</v>
      </c>
      <c r="D5405" s="126" t="s">
        <v>19186</v>
      </c>
      <c r="E5405" s="126" t="s">
        <v>19187</v>
      </c>
      <c r="F5405" s="123" t="s">
        <v>30</v>
      </c>
      <c r="G5405" s="123" t="s">
        <v>170</v>
      </c>
      <c r="H5405" s="123" t="s">
        <v>174</v>
      </c>
      <c r="I5405" s="126" t="s">
        <v>1398</v>
      </c>
      <c r="J5405" s="123" t="s">
        <v>19188</v>
      </c>
      <c r="K5405" s="123" t="s">
        <v>19186</v>
      </c>
      <c r="L5405" s="131" t="s">
        <v>100</v>
      </c>
      <c r="M5405" s="135" t="s">
        <v>845</v>
      </c>
      <c r="N5405" s="123" t="s">
        <v>845</v>
      </c>
    </row>
    <row r="5406" spans="2:14" hidden="1" x14ac:dyDescent="0.25">
      <c r="B5406" s="120">
        <v>5403</v>
      </c>
      <c r="C5406" s="123">
        <v>10801410982</v>
      </c>
      <c r="D5406" s="126" t="s">
        <v>19189</v>
      </c>
      <c r="E5406" s="126" t="s">
        <v>19190</v>
      </c>
      <c r="F5406" s="123" t="s">
        <v>30</v>
      </c>
      <c r="G5406" s="123" t="s">
        <v>30</v>
      </c>
      <c r="H5406" s="123" t="s">
        <v>30</v>
      </c>
      <c r="I5406" s="126" t="s">
        <v>1930</v>
      </c>
      <c r="J5406" s="123" t="s">
        <v>19191</v>
      </c>
      <c r="K5406" s="123" t="s">
        <v>19192</v>
      </c>
      <c r="L5406" s="131" t="s">
        <v>100</v>
      </c>
      <c r="M5406" s="135" t="s">
        <v>845</v>
      </c>
      <c r="N5406" s="123" t="s">
        <v>845</v>
      </c>
    </row>
    <row r="5407" spans="2:14" hidden="1" x14ac:dyDescent="0.25">
      <c r="B5407" s="120">
        <v>5404</v>
      </c>
      <c r="C5407" s="123">
        <v>10100808388</v>
      </c>
      <c r="D5407" s="126" t="s">
        <v>19193</v>
      </c>
      <c r="E5407" s="126" t="s">
        <v>19194</v>
      </c>
      <c r="F5407" s="123" t="s">
        <v>30</v>
      </c>
      <c r="G5407" s="123" t="s">
        <v>30</v>
      </c>
      <c r="H5407" s="123" t="s">
        <v>60</v>
      </c>
      <c r="I5407" s="126" t="s">
        <v>8743</v>
      </c>
      <c r="J5407" s="123" t="s">
        <v>19195</v>
      </c>
      <c r="K5407" s="123" t="s">
        <v>19193</v>
      </c>
      <c r="L5407" s="131" t="s">
        <v>100</v>
      </c>
      <c r="M5407" s="135" t="s">
        <v>845</v>
      </c>
      <c r="N5407" s="123" t="s">
        <v>845</v>
      </c>
    </row>
    <row r="5408" spans="2:14" hidden="1" x14ac:dyDescent="0.25">
      <c r="B5408" s="120">
        <v>5405</v>
      </c>
      <c r="C5408" s="123">
        <v>10095431611</v>
      </c>
      <c r="D5408" s="126" t="s">
        <v>19196</v>
      </c>
      <c r="E5408" s="126" t="s">
        <v>19197</v>
      </c>
      <c r="F5408" s="123" t="s">
        <v>30</v>
      </c>
      <c r="G5408" s="123" t="s">
        <v>30</v>
      </c>
      <c r="H5408" s="123" t="s">
        <v>58</v>
      </c>
      <c r="I5408" s="126" t="s">
        <v>9625</v>
      </c>
      <c r="J5408" s="123" t="s">
        <v>19198</v>
      </c>
      <c r="K5408" s="123" t="s">
        <v>19196</v>
      </c>
      <c r="L5408" s="131" t="s">
        <v>100</v>
      </c>
      <c r="M5408" s="135" t="s">
        <v>845</v>
      </c>
      <c r="N5408" s="123" t="s">
        <v>845</v>
      </c>
    </row>
    <row r="5409" spans="2:14" hidden="1" x14ac:dyDescent="0.25">
      <c r="B5409" s="120">
        <v>5406</v>
      </c>
      <c r="C5409" s="123">
        <v>10736784047</v>
      </c>
      <c r="D5409" s="126" t="s">
        <v>19199</v>
      </c>
      <c r="E5409" s="126" t="s">
        <v>19200</v>
      </c>
      <c r="F5409" s="123" t="s">
        <v>30</v>
      </c>
      <c r="G5409" s="123" t="s">
        <v>54</v>
      </c>
      <c r="H5409" s="123" t="s">
        <v>55</v>
      </c>
      <c r="I5409" s="126" t="s">
        <v>1961</v>
      </c>
      <c r="J5409" s="123" t="s">
        <v>19201</v>
      </c>
      <c r="K5409" s="123" t="s">
        <v>19199</v>
      </c>
      <c r="L5409" s="131" t="s">
        <v>100</v>
      </c>
      <c r="M5409" s="135" t="s">
        <v>845</v>
      </c>
      <c r="N5409" s="123" t="s">
        <v>845</v>
      </c>
    </row>
    <row r="5410" spans="2:14" hidden="1" x14ac:dyDescent="0.25">
      <c r="B5410" s="120">
        <v>5407</v>
      </c>
      <c r="C5410" s="123">
        <v>10732522595</v>
      </c>
      <c r="D5410" s="126" t="s">
        <v>19202</v>
      </c>
      <c r="E5410" s="126" t="s">
        <v>19203</v>
      </c>
      <c r="F5410" s="123" t="s">
        <v>30</v>
      </c>
      <c r="G5410" s="123" t="s">
        <v>170</v>
      </c>
      <c r="H5410" s="123" t="s">
        <v>175</v>
      </c>
      <c r="I5410" s="126" t="s">
        <v>1561</v>
      </c>
      <c r="J5410" s="123" t="s">
        <v>19204</v>
      </c>
      <c r="K5410" s="123" t="s">
        <v>19205</v>
      </c>
      <c r="L5410" s="131" t="s">
        <v>100</v>
      </c>
      <c r="M5410" s="135" t="s">
        <v>845</v>
      </c>
      <c r="N5410" s="123" t="s">
        <v>845</v>
      </c>
    </row>
    <row r="5411" spans="2:14" hidden="1" x14ac:dyDescent="0.25">
      <c r="B5411" s="120">
        <v>5408</v>
      </c>
      <c r="C5411" s="123">
        <v>10403483007</v>
      </c>
      <c r="D5411" s="126" t="s">
        <v>19206</v>
      </c>
      <c r="E5411" s="126" t="s">
        <v>19207</v>
      </c>
      <c r="F5411" s="123" t="s">
        <v>30</v>
      </c>
      <c r="G5411" s="123" t="s">
        <v>168</v>
      </c>
      <c r="H5411" s="123" t="s">
        <v>168</v>
      </c>
      <c r="I5411" s="126" t="s">
        <v>1424</v>
      </c>
      <c r="J5411" s="123" t="s">
        <v>19208</v>
      </c>
      <c r="K5411" s="123" t="s">
        <v>19206</v>
      </c>
      <c r="L5411" s="131" t="s">
        <v>100</v>
      </c>
      <c r="M5411" s="135" t="s">
        <v>845</v>
      </c>
      <c r="N5411" s="123" t="s">
        <v>845</v>
      </c>
    </row>
    <row r="5412" spans="2:14" hidden="1" x14ac:dyDescent="0.25">
      <c r="B5412" s="120">
        <v>5409</v>
      </c>
      <c r="C5412" s="123">
        <v>10433723398</v>
      </c>
      <c r="D5412" s="126" t="s">
        <v>19209</v>
      </c>
      <c r="E5412" s="126" t="s">
        <v>19210</v>
      </c>
      <c r="F5412" s="123" t="s">
        <v>30</v>
      </c>
      <c r="G5412" s="123" t="s">
        <v>30</v>
      </c>
      <c r="H5412" s="123" t="s">
        <v>127</v>
      </c>
      <c r="I5412" s="126" t="s">
        <v>1941</v>
      </c>
      <c r="J5412" s="123" t="s">
        <v>19211</v>
      </c>
      <c r="K5412" s="123" t="s">
        <v>19209</v>
      </c>
      <c r="L5412" s="131" t="s">
        <v>100</v>
      </c>
      <c r="M5412" s="135" t="s">
        <v>845</v>
      </c>
      <c r="N5412" s="123" t="s">
        <v>845</v>
      </c>
    </row>
    <row r="5413" spans="2:14" hidden="1" x14ac:dyDescent="0.25">
      <c r="B5413" s="120">
        <v>5410</v>
      </c>
      <c r="C5413" s="123">
        <v>10101940778</v>
      </c>
      <c r="D5413" s="126" t="s">
        <v>19212</v>
      </c>
      <c r="E5413" s="126" t="s">
        <v>19213</v>
      </c>
      <c r="F5413" s="123" t="s">
        <v>30</v>
      </c>
      <c r="G5413" s="123" t="s">
        <v>30</v>
      </c>
      <c r="H5413" s="123" t="s">
        <v>58</v>
      </c>
      <c r="I5413" s="126" t="s">
        <v>1939</v>
      </c>
      <c r="J5413" s="123" t="s">
        <v>19214</v>
      </c>
      <c r="K5413" s="123" t="s">
        <v>19212</v>
      </c>
      <c r="L5413" s="131" t="s">
        <v>100</v>
      </c>
      <c r="M5413" s="135" t="s">
        <v>845</v>
      </c>
      <c r="N5413" s="123" t="s">
        <v>845</v>
      </c>
    </row>
    <row r="5414" spans="2:14" hidden="1" x14ac:dyDescent="0.25">
      <c r="B5414" s="120">
        <v>5411</v>
      </c>
      <c r="C5414" s="123">
        <v>10430337250</v>
      </c>
      <c r="D5414" s="126" t="s">
        <v>19215</v>
      </c>
      <c r="E5414" s="126" t="s">
        <v>19216</v>
      </c>
      <c r="F5414" s="123" t="s">
        <v>30</v>
      </c>
      <c r="G5414" s="123" t="s">
        <v>30</v>
      </c>
      <c r="H5414" s="123" t="s">
        <v>51</v>
      </c>
      <c r="I5414" s="126" t="s">
        <v>1805</v>
      </c>
      <c r="J5414" s="123" t="s">
        <v>19217</v>
      </c>
      <c r="K5414" s="123" t="s">
        <v>19218</v>
      </c>
      <c r="L5414" s="131" t="s">
        <v>100</v>
      </c>
      <c r="M5414" s="135" t="s">
        <v>845</v>
      </c>
      <c r="N5414" s="123" t="s">
        <v>845</v>
      </c>
    </row>
    <row r="5415" spans="2:14" hidden="1" x14ac:dyDescent="0.25">
      <c r="B5415" s="120">
        <v>5412</v>
      </c>
      <c r="C5415" s="123">
        <v>10096299091</v>
      </c>
      <c r="D5415" s="126" t="s">
        <v>19219</v>
      </c>
      <c r="E5415" s="126" t="s">
        <v>19220</v>
      </c>
      <c r="F5415" s="123" t="s">
        <v>30</v>
      </c>
      <c r="G5415" s="123" t="s">
        <v>30</v>
      </c>
      <c r="H5415" s="123" t="s">
        <v>75</v>
      </c>
      <c r="I5415" s="126" t="s">
        <v>19221</v>
      </c>
      <c r="J5415" s="123" t="s">
        <v>19222</v>
      </c>
      <c r="K5415" s="123" t="s">
        <v>19219</v>
      </c>
      <c r="L5415" s="131" t="s">
        <v>100</v>
      </c>
      <c r="M5415" s="135" t="s">
        <v>845</v>
      </c>
      <c r="N5415" s="123" t="s">
        <v>845</v>
      </c>
    </row>
    <row r="5416" spans="2:14" hidden="1" x14ac:dyDescent="0.25">
      <c r="B5416" s="120">
        <v>5413</v>
      </c>
      <c r="C5416" s="123">
        <v>10414617676</v>
      </c>
      <c r="D5416" s="126" t="s">
        <v>19223</v>
      </c>
      <c r="E5416" s="126" t="s">
        <v>19224</v>
      </c>
      <c r="F5416" s="123" t="s">
        <v>30</v>
      </c>
      <c r="G5416" s="123" t="s">
        <v>30</v>
      </c>
      <c r="H5416" s="123" t="s">
        <v>51</v>
      </c>
      <c r="I5416" s="126" t="s">
        <v>1424</v>
      </c>
      <c r="J5416" s="123" t="s">
        <v>19225</v>
      </c>
      <c r="K5416" s="123" t="s">
        <v>19223</v>
      </c>
      <c r="L5416" s="131" t="s">
        <v>100</v>
      </c>
      <c r="M5416" s="135" t="s">
        <v>845</v>
      </c>
      <c r="N5416" s="123" t="s">
        <v>845</v>
      </c>
    </row>
    <row r="5417" spans="2:14" hidden="1" x14ac:dyDescent="0.25">
      <c r="B5417" s="120">
        <v>5414</v>
      </c>
      <c r="C5417" s="123">
        <v>10097867840</v>
      </c>
      <c r="D5417" s="126" t="s">
        <v>19226</v>
      </c>
      <c r="E5417" s="126" t="s">
        <v>19227</v>
      </c>
      <c r="F5417" s="123" t="s">
        <v>30</v>
      </c>
      <c r="G5417" s="123" t="s">
        <v>30</v>
      </c>
      <c r="H5417" s="123" t="s">
        <v>45</v>
      </c>
      <c r="I5417" s="126" t="s">
        <v>1701</v>
      </c>
      <c r="J5417" s="123" t="s">
        <v>19228</v>
      </c>
      <c r="K5417" s="123" t="s">
        <v>19226</v>
      </c>
      <c r="L5417" s="131" t="s">
        <v>100</v>
      </c>
      <c r="M5417" s="135" t="s">
        <v>845</v>
      </c>
      <c r="N5417" s="123" t="s">
        <v>845</v>
      </c>
    </row>
    <row r="5418" spans="2:14" hidden="1" x14ac:dyDescent="0.25">
      <c r="B5418" s="120">
        <v>5415</v>
      </c>
      <c r="C5418" s="123">
        <v>10404651370</v>
      </c>
      <c r="D5418" s="126" t="s">
        <v>19229</v>
      </c>
      <c r="E5418" s="126" t="s">
        <v>19230</v>
      </c>
      <c r="F5418" s="123" t="s">
        <v>30</v>
      </c>
      <c r="G5418" s="123" t="s">
        <v>30</v>
      </c>
      <c r="H5418" s="123" t="s">
        <v>30</v>
      </c>
      <c r="I5418" s="126" t="s">
        <v>1950</v>
      </c>
      <c r="J5418" s="123" t="s">
        <v>19231</v>
      </c>
      <c r="K5418" s="123" t="s">
        <v>19229</v>
      </c>
      <c r="L5418" s="131" t="s">
        <v>100</v>
      </c>
      <c r="M5418" s="135" t="s">
        <v>845</v>
      </c>
      <c r="N5418" s="123" t="s">
        <v>845</v>
      </c>
    </row>
    <row r="5419" spans="2:14" hidden="1" x14ac:dyDescent="0.25">
      <c r="B5419" s="120">
        <v>5416</v>
      </c>
      <c r="C5419" s="123">
        <v>10480535494</v>
      </c>
      <c r="D5419" s="126" t="s">
        <v>19232</v>
      </c>
      <c r="E5419" s="126" t="s">
        <v>19233</v>
      </c>
      <c r="F5419" s="123" t="s">
        <v>30</v>
      </c>
      <c r="G5419" s="123" t="s">
        <v>30</v>
      </c>
      <c r="H5419" s="123" t="s">
        <v>43</v>
      </c>
      <c r="I5419" s="126" t="s">
        <v>11346</v>
      </c>
      <c r="J5419" s="123" t="s">
        <v>19234</v>
      </c>
      <c r="K5419" s="123" t="s">
        <v>19232</v>
      </c>
      <c r="L5419" s="131" t="s">
        <v>100</v>
      </c>
      <c r="M5419" s="135" t="s">
        <v>845</v>
      </c>
      <c r="N5419" s="123" t="s">
        <v>845</v>
      </c>
    </row>
    <row r="5420" spans="2:14" hidden="1" x14ac:dyDescent="0.25">
      <c r="B5420" s="120">
        <v>5417</v>
      </c>
      <c r="C5420" s="123">
        <v>10777043876</v>
      </c>
      <c r="D5420" s="126" t="s">
        <v>19235</v>
      </c>
      <c r="E5420" s="126" t="s">
        <v>19236</v>
      </c>
      <c r="F5420" s="123" t="s">
        <v>30</v>
      </c>
      <c r="G5420" s="123" t="s">
        <v>30</v>
      </c>
      <c r="H5420" s="123" t="s">
        <v>88</v>
      </c>
      <c r="I5420" s="126" t="s">
        <v>1439</v>
      </c>
      <c r="J5420" s="123" t="s">
        <v>19237</v>
      </c>
      <c r="K5420" s="123" t="s">
        <v>19238</v>
      </c>
      <c r="L5420" s="131" t="s">
        <v>100</v>
      </c>
      <c r="M5420" s="135" t="s">
        <v>845</v>
      </c>
      <c r="N5420" s="123" t="s">
        <v>845</v>
      </c>
    </row>
    <row r="5421" spans="2:14" hidden="1" x14ac:dyDescent="0.25">
      <c r="B5421" s="120">
        <v>5418</v>
      </c>
      <c r="C5421" s="123">
        <v>10225008448</v>
      </c>
      <c r="D5421" s="126" t="s">
        <v>19239</v>
      </c>
      <c r="E5421" s="126" t="s">
        <v>19240</v>
      </c>
      <c r="F5421" s="123" t="s">
        <v>30</v>
      </c>
      <c r="G5421" s="123" t="s">
        <v>30</v>
      </c>
      <c r="H5421" s="123" t="s">
        <v>72</v>
      </c>
      <c r="I5421" s="126" t="s">
        <v>1643</v>
      </c>
      <c r="J5421" s="123" t="s">
        <v>19241</v>
      </c>
      <c r="K5421" s="123" t="s">
        <v>19239</v>
      </c>
      <c r="L5421" s="131" t="s">
        <v>100</v>
      </c>
      <c r="M5421" s="135" t="s">
        <v>845</v>
      </c>
      <c r="N5421" s="123" t="s">
        <v>845</v>
      </c>
    </row>
    <row r="5422" spans="2:14" hidden="1" x14ac:dyDescent="0.25">
      <c r="B5422" s="120">
        <v>5419</v>
      </c>
      <c r="C5422" s="123">
        <v>10700754401</v>
      </c>
      <c r="D5422" s="126" t="s">
        <v>19242</v>
      </c>
      <c r="E5422" s="126" t="s">
        <v>19243</v>
      </c>
      <c r="F5422" s="123" t="s">
        <v>30</v>
      </c>
      <c r="G5422" s="123" t="s">
        <v>31</v>
      </c>
      <c r="H5422" s="123" t="s">
        <v>148</v>
      </c>
      <c r="I5422" s="126" t="s">
        <v>1439</v>
      </c>
      <c r="J5422" s="123" t="s">
        <v>19244</v>
      </c>
      <c r="K5422" s="123" t="s">
        <v>19242</v>
      </c>
      <c r="L5422" s="131" t="s">
        <v>100</v>
      </c>
      <c r="M5422" s="135" t="s">
        <v>845</v>
      </c>
      <c r="N5422" s="123" t="s">
        <v>845</v>
      </c>
    </row>
    <row r="5423" spans="2:14" hidden="1" x14ac:dyDescent="0.25">
      <c r="B5423" s="120">
        <v>5420</v>
      </c>
      <c r="C5423" s="123">
        <v>10738830445</v>
      </c>
      <c r="D5423" s="126" t="s">
        <v>19245</v>
      </c>
      <c r="E5423" s="126" t="s">
        <v>19246</v>
      </c>
      <c r="F5423" s="123" t="s">
        <v>30</v>
      </c>
      <c r="G5423" s="123" t="s">
        <v>30</v>
      </c>
      <c r="H5423" s="123" t="s">
        <v>45</v>
      </c>
      <c r="I5423" s="126" t="s">
        <v>1701</v>
      </c>
      <c r="J5423" s="123" t="s">
        <v>19247</v>
      </c>
      <c r="K5423" s="123" t="s">
        <v>19245</v>
      </c>
      <c r="L5423" s="131" t="s">
        <v>100</v>
      </c>
      <c r="M5423" s="135" t="s">
        <v>845</v>
      </c>
      <c r="N5423" s="123" t="s">
        <v>845</v>
      </c>
    </row>
    <row r="5424" spans="2:14" hidden="1" x14ac:dyDescent="0.25">
      <c r="B5424" s="120">
        <v>5421</v>
      </c>
      <c r="C5424" s="123">
        <v>10097436032</v>
      </c>
      <c r="D5424" s="126" t="s">
        <v>19248</v>
      </c>
      <c r="E5424" s="126" t="s">
        <v>19249</v>
      </c>
      <c r="F5424" s="123" t="s">
        <v>30</v>
      </c>
      <c r="G5424" s="123" t="s">
        <v>30</v>
      </c>
      <c r="H5424" s="123" t="s">
        <v>75</v>
      </c>
      <c r="I5424" s="126" t="s">
        <v>1936</v>
      </c>
      <c r="J5424" s="123" t="s">
        <v>19250</v>
      </c>
      <c r="K5424" s="123" t="s">
        <v>19251</v>
      </c>
      <c r="L5424" s="131" t="s">
        <v>100</v>
      </c>
      <c r="M5424" s="135" t="s">
        <v>845</v>
      </c>
      <c r="N5424" s="123" t="s">
        <v>845</v>
      </c>
    </row>
    <row r="5425" spans="2:14" hidden="1" x14ac:dyDescent="0.25">
      <c r="B5425" s="120">
        <v>5422</v>
      </c>
      <c r="C5425" s="123">
        <v>10426018093</v>
      </c>
      <c r="D5425" s="126" t="s">
        <v>19252</v>
      </c>
      <c r="E5425" s="126" t="s">
        <v>19253</v>
      </c>
      <c r="F5425" s="123" t="s">
        <v>30</v>
      </c>
      <c r="G5425" s="123" t="s">
        <v>30</v>
      </c>
      <c r="H5425" s="123" t="s">
        <v>50</v>
      </c>
      <c r="I5425" s="126" t="s">
        <v>1706</v>
      </c>
      <c r="J5425" s="123" t="s">
        <v>19254</v>
      </c>
      <c r="K5425" s="123" t="s">
        <v>19252</v>
      </c>
      <c r="L5425" s="131" t="s">
        <v>100</v>
      </c>
      <c r="M5425" s="135" t="s">
        <v>845</v>
      </c>
      <c r="N5425" s="123" t="s">
        <v>845</v>
      </c>
    </row>
    <row r="5426" spans="2:14" hidden="1" x14ac:dyDescent="0.25">
      <c r="B5426" s="120">
        <v>5423</v>
      </c>
      <c r="C5426" s="123">
        <v>10417004161</v>
      </c>
      <c r="D5426" s="126" t="s">
        <v>19255</v>
      </c>
      <c r="E5426" s="126" t="s">
        <v>19256</v>
      </c>
      <c r="F5426" s="123" t="s">
        <v>30</v>
      </c>
      <c r="G5426" s="123" t="s">
        <v>30</v>
      </c>
      <c r="H5426" s="123" t="s">
        <v>58</v>
      </c>
      <c r="I5426" s="126" t="s">
        <v>11346</v>
      </c>
      <c r="J5426" s="123" t="s">
        <v>19257</v>
      </c>
      <c r="K5426" s="123" t="s">
        <v>19258</v>
      </c>
      <c r="L5426" s="131" t="s">
        <v>100</v>
      </c>
      <c r="M5426" s="135" t="s">
        <v>845</v>
      </c>
      <c r="N5426" s="123" t="s">
        <v>845</v>
      </c>
    </row>
    <row r="5427" spans="2:14" hidden="1" x14ac:dyDescent="0.25">
      <c r="B5427" s="120">
        <v>5424</v>
      </c>
      <c r="C5427" s="123">
        <v>10092426063</v>
      </c>
      <c r="D5427" s="126" t="s">
        <v>19259</v>
      </c>
      <c r="E5427" s="126" t="s">
        <v>19260</v>
      </c>
      <c r="F5427" s="123" t="s">
        <v>30</v>
      </c>
      <c r="G5427" s="123" t="s">
        <v>30</v>
      </c>
      <c r="H5427" s="123" t="s">
        <v>88</v>
      </c>
      <c r="I5427" s="126" t="s">
        <v>1484</v>
      </c>
      <c r="J5427" s="123" t="s">
        <v>19261</v>
      </c>
      <c r="K5427" s="123" t="s">
        <v>19259</v>
      </c>
      <c r="L5427" s="131" t="s">
        <v>100</v>
      </c>
      <c r="M5427" s="135" t="s">
        <v>845</v>
      </c>
      <c r="N5427" s="123" t="s">
        <v>845</v>
      </c>
    </row>
    <row r="5428" spans="2:14" hidden="1" x14ac:dyDescent="0.25">
      <c r="B5428" s="120">
        <v>5425</v>
      </c>
      <c r="C5428" s="123">
        <v>10405279423</v>
      </c>
      <c r="D5428" s="126" t="s">
        <v>19262</v>
      </c>
      <c r="E5428" s="126" t="s">
        <v>19263</v>
      </c>
      <c r="F5428" s="123" t="s">
        <v>30</v>
      </c>
      <c r="G5428" s="123" t="s">
        <v>30</v>
      </c>
      <c r="H5428" s="123" t="s">
        <v>45</v>
      </c>
      <c r="I5428" s="126" t="s">
        <v>1365</v>
      </c>
      <c r="J5428" s="123" t="s">
        <v>19264</v>
      </c>
      <c r="K5428" s="123" t="s">
        <v>19262</v>
      </c>
      <c r="L5428" s="131" t="s">
        <v>100</v>
      </c>
      <c r="M5428" s="135" t="s">
        <v>845</v>
      </c>
      <c r="N5428" s="123" t="s">
        <v>845</v>
      </c>
    </row>
    <row r="5429" spans="2:14" hidden="1" x14ac:dyDescent="0.25">
      <c r="B5429" s="120">
        <v>5426</v>
      </c>
      <c r="C5429" s="123">
        <v>10449357057</v>
      </c>
      <c r="D5429" s="126" t="s">
        <v>19265</v>
      </c>
      <c r="E5429" s="126" t="s">
        <v>19266</v>
      </c>
      <c r="F5429" s="123" t="s">
        <v>30</v>
      </c>
      <c r="G5429" s="123" t="s">
        <v>30</v>
      </c>
      <c r="H5429" s="123" t="s">
        <v>41</v>
      </c>
      <c r="I5429" s="126" t="s">
        <v>1424</v>
      </c>
      <c r="J5429" s="123" t="s">
        <v>19267</v>
      </c>
      <c r="K5429" s="123" t="s">
        <v>19265</v>
      </c>
      <c r="L5429" s="131" t="s">
        <v>100</v>
      </c>
      <c r="M5429" s="135" t="s">
        <v>845</v>
      </c>
      <c r="N5429" s="123" t="s">
        <v>845</v>
      </c>
    </row>
    <row r="5430" spans="2:14" hidden="1" x14ac:dyDescent="0.25">
      <c r="B5430" s="120">
        <v>5427</v>
      </c>
      <c r="C5430" s="123">
        <v>10100712747</v>
      </c>
      <c r="D5430" s="126" t="s">
        <v>19268</v>
      </c>
      <c r="E5430" s="126" t="s">
        <v>19269</v>
      </c>
      <c r="F5430" s="123" t="s">
        <v>67</v>
      </c>
      <c r="G5430" s="123" t="s">
        <v>67</v>
      </c>
      <c r="H5430" s="123" t="s">
        <v>94</v>
      </c>
      <c r="I5430" s="126" t="s">
        <v>1701</v>
      </c>
      <c r="J5430" s="123" t="s">
        <v>19270</v>
      </c>
      <c r="K5430" s="123" t="s">
        <v>19268</v>
      </c>
      <c r="L5430" s="131" t="s">
        <v>100</v>
      </c>
      <c r="M5430" s="135" t="s">
        <v>845</v>
      </c>
      <c r="N5430" s="123" t="s">
        <v>845</v>
      </c>
    </row>
    <row r="5431" spans="2:14" hidden="1" x14ac:dyDescent="0.25">
      <c r="B5431" s="120">
        <v>5428</v>
      </c>
      <c r="C5431" s="123">
        <v>10158497218</v>
      </c>
      <c r="D5431" s="126" t="s">
        <v>19271</v>
      </c>
      <c r="E5431" s="126" t="s">
        <v>19272</v>
      </c>
      <c r="F5431" s="123" t="s">
        <v>30</v>
      </c>
      <c r="G5431" s="123" t="s">
        <v>168</v>
      </c>
      <c r="H5431" s="123" t="s">
        <v>180</v>
      </c>
      <c r="I5431" s="126" t="s">
        <v>1701</v>
      </c>
      <c r="J5431" s="123" t="s">
        <v>19273</v>
      </c>
      <c r="K5431" s="123" t="s">
        <v>19271</v>
      </c>
      <c r="L5431" s="131" t="s">
        <v>100</v>
      </c>
      <c r="M5431" s="135" t="s">
        <v>845</v>
      </c>
      <c r="N5431" s="123" t="s">
        <v>845</v>
      </c>
    </row>
    <row r="5432" spans="2:14" hidden="1" x14ac:dyDescent="0.25">
      <c r="B5432" s="120">
        <v>5429</v>
      </c>
      <c r="C5432" s="123">
        <v>10154499283</v>
      </c>
      <c r="D5432" s="126" t="s">
        <v>19274</v>
      </c>
      <c r="E5432" s="126" t="s">
        <v>19275</v>
      </c>
      <c r="F5432" s="123" t="s">
        <v>30</v>
      </c>
      <c r="G5432" s="123" t="s">
        <v>168</v>
      </c>
      <c r="H5432" s="123" t="s">
        <v>187</v>
      </c>
      <c r="I5432" s="126" t="s">
        <v>1936</v>
      </c>
      <c r="J5432" s="123" t="s">
        <v>19276</v>
      </c>
      <c r="K5432" s="123" t="s">
        <v>19274</v>
      </c>
      <c r="L5432" s="131" t="s">
        <v>100</v>
      </c>
      <c r="M5432" s="135" t="s">
        <v>845</v>
      </c>
      <c r="N5432" s="123" t="s">
        <v>845</v>
      </c>
    </row>
    <row r="5433" spans="2:14" hidden="1" x14ac:dyDescent="0.25">
      <c r="B5433" s="120">
        <v>5430</v>
      </c>
      <c r="C5433" s="123">
        <v>10435417774</v>
      </c>
      <c r="D5433" s="126" t="s">
        <v>19277</v>
      </c>
      <c r="E5433" s="126" t="s">
        <v>19278</v>
      </c>
      <c r="F5433" s="123" t="s">
        <v>30</v>
      </c>
      <c r="G5433" s="123" t="s">
        <v>30</v>
      </c>
      <c r="H5433" s="123" t="s">
        <v>88</v>
      </c>
      <c r="I5433" s="126" t="s">
        <v>1706</v>
      </c>
      <c r="J5433" s="123" t="s">
        <v>19279</v>
      </c>
      <c r="K5433" s="123" t="s">
        <v>19277</v>
      </c>
      <c r="L5433" s="131" t="s">
        <v>100</v>
      </c>
      <c r="M5433" s="135" t="s">
        <v>845</v>
      </c>
      <c r="N5433" s="123" t="s">
        <v>845</v>
      </c>
    </row>
    <row r="5434" spans="2:14" hidden="1" x14ac:dyDescent="0.25">
      <c r="B5434" s="120">
        <v>5431</v>
      </c>
      <c r="C5434" s="123">
        <v>10102702846</v>
      </c>
      <c r="D5434" s="126" t="s">
        <v>19280</v>
      </c>
      <c r="E5434" s="126" t="s">
        <v>19281</v>
      </c>
      <c r="F5434" s="123" t="s">
        <v>30</v>
      </c>
      <c r="G5434" s="123" t="s">
        <v>30</v>
      </c>
      <c r="H5434" s="123" t="s">
        <v>30</v>
      </c>
      <c r="I5434" s="126" t="s">
        <v>19282</v>
      </c>
      <c r="J5434" s="123" t="s">
        <v>19283</v>
      </c>
      <c r="K5434" s="123" t="s">
        <v>19284</v>
      </c>
      <c r="L5434" s="131" t="s">
        <v>100</v>
      </c>
      <c r="M5434" s="135" t="s">
        <v>845</v>
      </c>
      <c r="N5434" s="123" t="s">
        <v>845</v>
      </c>
    </row>
    <row r="5435" spans="2:14" hidden="1" x14ac:dyDescent="0.25">
      <c r="B5435" s="120">
        <v>5432</v>
      </c>
      <c r="C5435" s="123">
        <v>10108825249</v>
      </c>
      <c r="D5435" s="126" t="s">
        <v>19285</v>
      </c>
      <c r="E5435" s="126" t="s">
        <v>19286</v>
      </c>
      <c r="F5435" s="123" t="s">
        <v>30</v>
      </c>
      <c r="G5435" s="123" t="s">
        <v>30</v>
      </c>
      <c r="H5435" s="123" t="s">
        <v>51</v>
      </c>
      <c r="I5435" s="126" t="s">
        <v>1931</v>
      </c>
      <c r="J5435" s="123" t="s">
        <v>19287</v>
      </c>
      <c r="K5435" s="123" t="s">
        <v>19285</v>
      </c>
      <c r="L5435" s="131" t="s">
        <v>100</v>
      </c>
      <c r="M5435" s="135" t="s">
        <v>845</v>
      </c>
      <c r="N5435" s="123" t="s">
        <v>845</v>
      </c>
    </row>
    <row r="5436" spans="2:14" hidden="1" x14ac:dyDescent="0.25">
      <c r="B5436" s="120">
        <v>5433</v>
      </c>
      <c r="C5436" s="123">
        <v>10420695034</v>
      </c>
      <c r="D5436" s="126" t="s">
        <v>19288</v>
      </c>
      <c r="E5436" s="126" t="s">
        <v>19289</v>
      </c>
      <c r="F5436" s="123" t="s">
        <v>30</v>
      </c>
      <c r="G5436" s="123" t="s">
        <v>30</v>
      </c>
      <c r="H5436" s="123" t="s">
        <v>80</v>
      </c>
      <c r="I5436" s="126" t="s">
        <v>1949</v>
      </c>
      <c r="J5436" s="123" t="s">
        <v>19290</v>
      </c>
      <c r="K5436" s="123" t="s">
        <v>19288</v>
      </c>
      <c r="L5436" s="131" t="s">
        <v>100</v>
      </c>
      <c r="M5436" s="135" t="s">
        <v>845</v>
      </c>
      <c r="N5436" s="123" t="s">
        <v>845</v>
      </c>
    </row>
    <row r="5437" spans="2:14" hidden="1" x14ac:dyDescent="0.25">
      <c r="B5437" s="120">
        <v>5434</v>
      </c>
      <c r="C5437" s="123">
        <v>10484746635</v>
      </c>
      <c r="D5437" s="126" t="s">
        <v>19291</v>
      </c>
      <c r="E5437" s="126" t="s">
        <v>19292</v>
      </c>
      <c r="F5437" s="123" t="s">
        <v>30</v>
      </c>
      <c r="G5437" s="123" t="s">
        <v>170</v>
      </c>
      <c r="H5437" s="123" t="s">
        <v>174</v>
      </c>
      <c r="I5437" s="126" t="s">
        <v>1701</v>
      </c>
      <c r="J5437" s="123" t="s">
        <v>19293</v>
      </c>
      <c r="K5437" s="123" t="s">
        <v>19291</v>
      </c>
      <c r="L5437" s="131" t="s">
        <v>100</v>
      </c>
      <c r="M5437" s="135" t="s">
        <v>845</v>
      </c>
      <c r="N5437" s="123" t="s">
        <v>845</v>
      </c>
    </row>
    <row r="5438" spans="2:14" hidden="1" x14ac:dyDescent="0.25">
      <c r="B5438" s="120">
        <v>5435</v>
      </c>
      <c r="C5438" s="123">
        <v>10107862582</v>
      </c>
      <c r="D5438" s="126" t="s">
        <v>19294</v>
      </c>
      <c r="E5438" s="126" t="s">
        <v>19295</v>
      </c>
      <c r="F5438" s="123" t="s">
        <v>30</v>
      </c>
      <c r="G5438" s="123" t="s">
        <v>30</v>
      </c>
      <c r="H5438" s="123" t="s">
        <v>30</v>
      </c>
      <c r="I5438" s="126" t="s">
        <v>1551</v>
      </c>
      <c r="J5438" s="123" t="s">
        <v>19296</v>
      </c>
      <c r="K5438" s="123" t="s">
        <v>19294</v>
      </c>
      <c r="L5438" s="131" t="s">
        <v>100</v>
      </c>
      <c r="M5438" s="135" t="s">
        <v>845</v>
      </c>
      <c r="N5438" s="123" t="s">
        <v>845</v>
      </c>
    </row>
    <row r="5439" spans="2:14" hidden="1" x14ac:dyDescent="0.25">
      <c r="B5439" s="120">
        <v>5436</v>
      </c>
      <c r="C5439" s="123">
        <v>10421831748</v>
      </c>
      <c r="D5439" s="126" t="s">
        <v>19297</v>
      </c>
      <c r="E5439" s="126" t="s">
        <v>19298</v>
      </c>
      <c r="F5439" s="123" t="s">
        <v>30</v>
      </c>
      <c r="G5439" s="123" t="s">
        <v>30</v>
      </c>
      <c r="H5439" s="123" t="s">
        <v>37</v>
      </c>
      <c r="I5439" s="126" t="s">
        <v>1931</v>
      </c>
      <c r="J5439" s="123" t="s">
        <v>19299</v>
      </c>
      <c r="K5439" s="123" t="s">
        <v>19297</v>
      </c>
      <c r="L5439" s="131" t="s">
        <v>100</v>
      </c>
      <c r="M5439" s="135" t="s">
        <v>845</v>
      </c>
      <c r="N5439" s="123" t="s">
        <v>845</v>
      </c>
    </row>
    <row r="5440" spans="2:14" hidden="1" x14ac:dyDescent="0.25">
      <c r="B5440" s="120">
        <v>5437</v>
      </c>
      <c r="C5440" s="123">
        <v>10099477691</v>
      </c>
      <c r="D5440" s="126" t="s">
        <v>19300</v>
      </c>
      <c r="E5440" s="126" t="s">
        <v>19301</v>
      </c>
      <c r="F5440" s="123" t="s">
        <v>30</v>
      </c>
      <c r="G5440" s="123" t="s">
        <v>30</v>
      </c>
      <c r="H5440" s="123" t="s">
        <v>43</v>
      </c>
      <c r="I5440" s="126" t="s">
        <v>1953</v>
      </c>
      <c r="J5440" s="123" t="s">
        <v>19302</v>
      </c>
      <c r="K5440" s="123" t="s">
        <v>19300</v>
      </c>
      <c r="L5440" s="131" t="s">
        <v>100</v>
      </c>
      <c r="M5440" s="135" t="s">
        <v>845</v>
      </c>
      <c r="N5440" s="123" t="s">
        <v>845</v>
      </c>
    </row>
    <row r="5441" spans="2:14" hidden="1" x14ac:dyDescent="0.25">
      <c r="B5441" s="120">
        <v>5438</v>
      </c>
      <c r="C5441" s="123">
        <v>10463703227</v>
      </c>
      <c r="D5441" s="126" t="s">
        <v>19303</v>
      </c>
      <c r="E5441" s="126" t="s">
        <v>19304</v>
      </c>
      <c r="F5441" s="123" t="s">
        <v>30</v>
      </c>
      <c r="G5441" s="123" t="s">
        <v>30</v>
      </c>
      <c r="H5441" s="123" t="s">
        <v>40</v>
      </c>
      <c r="I5441" s="126" t="s">
        <v>1655</v>
      </c>
      <c r="J5441" s="123" t="s">
        <v>19305</v>
      </c>
      <c r="K5441" s="123" t="s">
        <v>19303</v>
      </c>
      <c r="L5441" s="131" t="s">
        <v>100</v>
      </c>
      <c r="M5441" s="135" t="s">
        <v>845</v>
      </c>
      <c r="N5441" s="123" t="s">
        <v>845</v>
      </c>
    </row>
    <row r="5442" spans="2:14" hidden="1" x14ac:dyDescent="0.25">
      <c r="B5442" s="120">
        <v>5439</v>
      </c>
      <c r="C5442" s="123">
        <v>10408796801</v>
      </c>
      <c r="D5442" s="126" t="s">
        <v>19306</v>
      </c>
      <c r="E5442" s="126" t="s">
        <v>19307</v>
      </c>
      <c r="F5442" s="123" t="s">
        <v>30</v>
      </c>
      <c r="G5442" s="123" t="s">
        <v>30</v>
      </c>
      <c r="H5442" s="123" t="s">
        <v>51</v>
      </c>
      <c r="I5442" s="126" t="s">
        <v>1564</v>
      </c>
      <c r="J5442" s="123" t="s">
        <v>19308</v>
      </c>
      <c r="K5442" s="123" t="s">
        <v>19309</v>
      </c>
      <c r="L5442" s="131" t="s">
        <v>100</v>
      </c>
      <c r="M5442" s="135" t="s">
        <v>845</v>
      </c>
      <c r="N5442" s="123" t="s">
        <v>845</v>
      </c>
    </row>
    <row r="5443" spans="2:14" hidden="1" x14ac:dyDescent="0.25">
      <c r="B5443" s="120">
        <v>5440</v>
      </c>
      <c r="C5443" s="123">
        <v>10763130342</v>
      </c>
      <c r="D5443" s="126" t="s">
        <v>19310</v>
      </c>
      <c r="E5443" s="126" t="s">
        <v>19311</v>
      </c>
      <c r="F5443" s="123" t="s">
        <v>30</v>
      </c>
      <c r="G5443" s="123" t="s">
        <v>170</v>
      </c>
      <c r="H5443" s="123" t="s">
        <v>174</v>
      </c>
      <c r="I5443" s="126" t="s">
        <v>1809</v>
      </c>
      <c r="J5443" s="123" t="s">
        <v>19312</v>
      </c>
      <c r="K5443" s="123" t="s">
        <v>19310</v>
      </c>
      <c r="L5443" s="131" t="s">
        <v>100</v>
      </c>
      <c r="M5443" s="135" t="s">
        <v>845</v>
      </c>
      <c r="N5443" s="123" t="s">
        <v>845</v>
      </c>
    </row>
    <row r="5444" spans="2:14" hidden="1" x14ac:dyDescent="0.25">
      <c r="B5444" s="120">
        <v>5441</v>
      </c>
      <c r="C5444" s="123">
        <v>10101906197</v>
      </c>
      <c r="D5444" s="126" t="s">
        <v>19313</v>
      </c>
      <c r="E5444" s="126" t="s">
        <v>19314</v>
      </c>
      <c r="F5444" s="123" t="s">
        <v>30</v>
      </c>
      <c r="G5444" s="123" t="s">
        <v>30</v>
      </c>
      <c r="H5444" s="123" t="s">
        <v>45</v>
      </c>
      <c r="I5444" s="126" t="s">
        <v>1962</v>
      </c>
      <c r="J5444" s="123" t="s">
        <v>19315</v>
      </c>
      <c r="K5444" s="123" t="s">
        <v>19316</v>
      </c>
      <c r="L5444" s="131" t="s">
        <v>100</v>
      </c>
      <c r="M5444" s="135" t="s">
        <v>845</v>
      </c>
      <c r="N5444" s="123" t="s">
        <v>845</v>
      </c>
    </row>
    <row r="5445" spans="2:14" hidden="1" x14ac:dyDescent="0.25">
      <c r="B5445" s="120">
        <v>5442</v>
      </c>
      <c r="C5445" s="123">
        <v>10096115101</v>
      </c>
      <c r="D5445" s="126" t="s">
        <v>19317</v>
      </c>
      <c r="E5445" s="126" t="s">
        <v>19318</v>
      </c>
      <c r="F5445" s="123" t="s">
        <v>30</v>
      </c>
      <c r="G5445" s="123" t="s">
        <v>30</v>
      </c>
      <c r="H5445" s="123" t="s">
        <v>50</v>
      </c>
      <c r="I5445" s="126" t="s">
        <v>1701</v>
      </c>
      <c r="J5445" s="123" t="s">
        <v>19319</v>
      </c>
      <c r="K5445" s="123" t="s">
        <v>19317</v>
      </c>
      <c r="L5445" s="131" t="s">
        <v>100</v>
      </c>
      <c r="M5445" s="135" t="s">
        <v>845</v>
      </c>
      <c r="N5445" s="123" t="s">
        <v>845</v>
      </c>
    </row>
    <row r="5446" spans="2:14" hidden="1" x14ac:dyDescent="0.25">
      <c r="B5446" s="120">
        <v>5443</v>
      </c>
      <c r="C5446" s="123">
        <v>10480955973</v>
      </c>
      <c r="D5446" s="126" t="s">
        <v>19320</v>
      </c>
      <c r="E5446" s="126" t="s">
        <v>19321</v>
      </c>
      <c r="F5446" s="123" t="s">
        <v>30</v>
      </c>
      <c r="G5446" s="123" t="s">
        <v>170</v>
      </c>
      <c r="H5446" s="123" t="s">
        <v>171</v>
      </c>
      <c r="I5446" s="126" t="s">
        <v>1935</v>
      </c>
      <c r="J5446" s="123" t="s">
        <v>19322</v>
      </c>
      <c r="K5446" s="123" t="s">
        <v>19320</v>
      </c>
      <c r="L5446" s="131" t="s">
        <v>100</v>
      </c>
      <c r="M5446" s="135" t="s">
        <v>845</v>
      </c>
      <c r="N5446" s="123" t="s">
        <v>845</v>
      </c>
    </row>
    <row r="5447" spans="2:14" hidden="1" x14ac:dyDescent="0.25">
      <c r="B5447" s="120">
        <v>5444</v>
      </c>
      <c r="C5447" s="123">
        <v>10423196535</v>
      </c>
      <c r="D5447" s="126" t="s">
        <v>19323</v>
      </c>
      <c r="E5447" s="126" t="s">
        <v>19324</v>
      </c>
      <c r="F5447" s="123" t="s">
        <v>30</v>
      </c>
      <c r="G5447" s="123" t="s">
        <v>30</v>
      </c>
      <c r="H5447" s="123" t="s">
        <v>52</v>
      </c>
      <c r="I5447" s="126" t="s">
        <v>1701</v>
      </c>
      <c r="J5447" s="123" t="s">
        <v>19325</v>
      </c>
      <c r="K5447" s="123" t="s">
        <v>19323</v>
      </c>
      <c r="L5447" s="131" t="s">
        <v>100</v>
      </c>
      <c r="M5447" s="135" t="s">
        <v>845</v>
      </c>
      <c r="N5447" s="123" t="s">
        <v>845</v>
      </c>
    </row>
    <row r="5448" spans="2:14" hidden="1" x14ac:dyDescent="0.25">
      <c r="B5448" s="120">
        <v>5445</v>
      </c>
      <c r="C5448" s="123">
        <v>10157003424</v>
      </c>
      <c r="D5448" s="126" t="s">
        <v>19326</v>
      </c>
      <c r="E5448" s="126" t="s">
        <v>19327</v>
      </c>
      <c r="F5448" s="123" t="s">
        <v>30</v>
      </c>
      <c r="G5448" s="123" t="s">
        <v>30</v>
      </c>
      <c r="H5448" s="123" t="s">
        <v>75</v>
      </c>
      <c r="I5448" s="126" t="s">
        <v>10025</v>
      </c>
      <c r="J5448" s="123" t="s">
        <v>19328</v>
      </c>
      <c r="K5448" s="123" t="s">
        <v>19326</v>
      </c>
      <c r="L5448" s="131" t="s">
        <v>100</v>
      </c>
      <c r="M5448" s="135" t="s">
        <v>845</v>
      </c>
      <c r="N5448" s="123" t="s">
        <v>845</v>
      </c>
    </row>
    <row r="5449" spans="2:14" hidden="1" x14ac:dyDescent="0.25">
      <c r="B5449" s="120">
        <v>5446</v>
      </c>
      <c r="C5449" s="123">
        <v>10451489203</v>
      </c>
      <c r="D5449" s="126" t="s">
        <v>19329</v>
      </c>
      <c r="E5449" s="126" t="s">
        <v>19330</v>
      </c>
      <c r="F5449" s="123" t="s">
        <v>30</v>
      </c>
      <c r="G5449" s="123" t="s">
        <v>30</v>
      </c>
      <c r="H5449" s="123" t="s">
        <v>30</v>
      </c>
      <c r="I5449" s="126" t="s">
        <v>1424</v>
      </c>
      <c r="J5449" s="123" t="s">
        <v>19331</v>
      </c>
      <c r="K5449" s="123" t="s">
        <v>19332</v>
      </c>
      <c r="L5449" s="131" t="s">
        <v>100</v>
      </c>
      <c r="M5449" s="135" t="s">
        <v>845</v>
      </c>
      <c r="N5449" s="123" t="s">
        <v>845</v>
      </c>
    </row>
    <row r="5450" spans="2:14" hidden="1" x14ac:dyDescent="0.25">
      <c r="B5450" s="120">
        <v>5447</v>
      </c>
      <c r="C5450" s="123">
        <v>10402751661</v>
      </c>
      <c r="D5450" s="126" t="s">
        <v>19333</v>
      </c>
      <c r="E5450" s="126" t="s">
        <v>19334</v>
      </c>
      <c r="F5450" s="123" t="s">
        <v>30</v>
      </c>
      <c r="G5450" s="123" t="s">
        <v>170</v>
      </c>
      <c r="H5450" s="123" t="s">
        <v>171</v>
      </c>
      <c r="I5450" s="126" t="s">
        <v>12353</v>
      </c>
      <c r="J5450" s="123" t="s">
        <v>19335</v>
      </c>
      <c r="K5450" s="123" t="s">
        <v>19333</v>
      </c>
      <c r="L5450" s="131" t="s">
        <v>100</v>
      </c>
      <c r="M5450" s="135" t="s">
        <v>845</v>
      </c>
      <c r="N5450" s="123" t="s">
        <v>845</v>
      </c>
    </row>
    <row r="5451" spans="2:14" hidden="1" x14ac:dyDescent="0.25">
      <c r="B5451" s="120">
        <v>5448</v>
      </c>
      <c r="C5451" s="123">
        <v>10473582738</v>
      </c>
      <c r="D5451" s="126" t="s">
        <v>19336</v>
      </c>
      <c r="E5451" s="126" t="s">
        <v>19337</v>
      </c>
      <c r="F5451" s="123" t="s">
        <v>30</v>
      </c>
      <c r="G5451" s="123" t="s">
        <v>30</v>
      </c>
      <c r="H5451" s="123" t="s">
        <v>43</v>
      </c>
      <c r="I5451" s="126" t="s">
        <v>12735</v>
      </c>
      <c r="J5451" s="123" t="s">
        <v>19338</v>
      </c>
      <c r="K5451" s="123" t="s">
        <v>19336</v>
      </c>
      <c r="L5451" s="131" t="s">
        <v>100</v>
      </c>
      <c r="M5451" s="135" t="s">
        <v>845</v>
      </c>
      <c r="N5451" s="123" t="s">
        <v>845</v>
      </c>
    </row>
    <row r="5452" spans="2:14" hidden="1" x14ac:dyDescent="0.25">
      <c r="B5452" s="120">
        <v>5449</v>
      </c>
      <c r="C5452" s="123">
        <v>10453406143</v>
      </c>
      <c r="D5452" s="126" t="s">
        <v>19339</v>
      </c>
      <c r="E5452" s="126" t="s">
        <v>19340</v>
      </c>
      <c r="F5452" s="123" t="s">
        <v>30</v>
      </c>
      <c r="G5452" s="123" t="s">
        <v>30</v>
      </c>
      <c r="H5452" s="123" t="s">
        <v>60</v>
      </c>
      <c r="I5452" s="126" t="s">
        <v>16997</v>
      </c>
      <c r="J5452" s="123" t="s">
        <v>19341</v>
      </c>
      <c r="K5452" s="123" t="s">
        <v>19342</v>
      </c>
      <c r="L5452" s="131" t="s">
        <v>100</v>
      </c>
      <c r="M5452" s="135" t="s">
        <v>845</v>
      </c>
      <c r="N5452" s="123" t="s">
        <v>845</v>
      </c>
    </row>
    <row r="5453" spans="2:14" hidden="1" x14ac:dyDescent="0.25">
      <c r="B5453" s="120">
        <v>5450</v>
      </c>
      <c r="C5453" s="123">
        <v>10154281610</v>
      </c>
      <c r="D5453" s="126" t="s">
        <v>19343</v>
      </c>
      <c r="E5453" s="126" t="s">
        <v>19344</v>
      </c>
      <c r="F5453" s="123" t="s">
        <v>30</v>
      </c>
      <c r="G5453" s="123" t="s">
        <v>31</v>
      </c>
      <c r="H5453" s="123" t="s">
        <v>9381</v>
      </c>
      <c r="I5453" s="126" t="s">
        <v>11509</v>
      </c>
      <c r="J5453" s="123" t="s">
        <v>19345</v>
      </c>
      <c r="K5453" s="123" t="s">
        <v>19343</v>
      </c>
      <c r="L5453" s="131" t="s">
        <v>100</v>
      </c>
      <c r="M5453" s="135" t="s">
        <v>845</v>
      </c>
      <c r="N5453" s="123" t="s">
        <v>845</v>
      </c>
    </row>
    <row r="5454" spans="2:14" hidden="1" x14ac:dyDescent="0.25">
      <c r="B5454" s="120">
        <v>5451</v>
      </c>
      <c r="C5454" s="123">
        <v>10448500506</v>
      </c>
      <c r="D5454" s="126" t="s">
        <v>19346</v>
      </c>
      <c r="E5454" s="126" t="s">
        <v>19347</v>
      </c>
      <c r="F5454" s="123" t="s">
        <v>67</v>
      </c>
      <c r="G5454" s="123" t="s">
        <v>67</v>
      </c>
      <c r="H5454" s="123" t="s">
        <v>94</v>
      </c>
      <c r="I5454" s="126" t="s">
        <v>1701</v>
      </c>
      <c r="J5454" s="123" t="s">
        <v>19348</v>
      </c>
      <c r="K5454" s="123" t="s">
        <v>19346</v>
      </c>
      <c r="L5454" s="131" t="s">
        <v>100</v>
      </c>
      <c r="M5454" s="135" t="s">
        <v>845</v>
      </c>
      <c r="N5454" s="123" t="s">
        <v>845</v>
      </c>
    </row>
    <row r="5455" spans="2:14" hidden="1" x14ac:dyDescent="0.25">
      <c r="B5455" s="120">
        <v>5452</v>
      </c>
      <c r="C5455" s="123">
        <v>10447672591</v>
      </c>
      <c r="D5455" s="126" t="s">
        <v>19349</v>
      </c>
      <c r="E5455" s="126" t="s">
        <v>19350</v>
      </c>
      <c r="F5455" s="123" t="s">
        <v>30</v>
      </c>
      <c r="G5455" s="123" t="s">
        <v>30</v>
      </c>
      <c r="H5455" s="123" t="s">
        <v>75</v>
      </c>
      <c r="I5455" s="126" t="s">
        <v>1930</v>
      </c>
      <c r="J5455" s="123" t="s">
        <v>19351</v>
      </c>
      <c r="K5455" s="123" t="s">
        <v>19352</v>
      </c>
      <c r="L5455" s="131" t="s">
        <v>100</v>
      </c>
      <c r="M5455" s="135" t="s">
        <v>845</v>
      </c>
      <c r="N5455" s="123" t="s">
        <v>845</v>
      </c>
    </row>
    <row r="5456" spans="2:14" hidden="1" x14ac:dyDescent="0.25">
      <c r="B5456" s="120">
        <v>5453</v>
      </c>
      <c r="C5456" s="123">
        <v>10445321732</v>
      </c>
      <c r="D5456" s="126" t="s">
        <v>19353</v>
      </c>
      <c r="E5456" s="126" t="s">
        <v>19354</v>
      </c>
      <c r="F5456" s="123" t="s">
        <v>30</v>
      </c>
      <c r="G5456" s="123" t="s">
        <v>30</v>
      </c>
      <c r="H5456" s="123" t="s">
        <v>40</v>
      </c>
      <c r="I5456" s="126" t="s">
        <v>1947</v>
      </c>
      <c r="J5456" s="123" t="s">
        <v>19355</v>
      </c>
      <c r="K5456" s="123" t="s">
        <v>19353</v>
      </c>
      <c r="L5456" s="131" t="s">
        <v>100</v>
      </c>
      <c r="M5456" s="135" t="s">
        <v>845</v>
      </c>
      <c r="N5456" s="123" t="s">
        <v>845</v>
      </c>
    </row>
    <row r="5457" spans="2:14" hidden="1" x14ac:dyDescent="0.25">
      <c r="B5457" s="120">
        <v>5454</v>
      </c>
      <c r="C5457" s="123">
        <v>10410463101</v>
      </c>
      <c r="D5457" s="126" t="s">
        <v>19356</v>
      </c>
      <c r="E5457" s="126" t="s">
        <v>19357</v>
      </c>
      <c r="F5457" s="123" t="s">
        <v>67</v>
      </c>
      <c r="G5457" s="123" t="s">
        <v>67</v>
      </c>
      <c r="H5457" s="123" t="s">
        <v>94</v>
      </c>
      <c r="I5457" s="126" t="s">
        <v>1805</v>
      </c>
      <c r="J5457" s="123" t="s">
        <v>19358</v>
      </c>
      <c r="K5457" s="123" t="s">
        <v>19359</v>
      </c>
      <c r="L5457" s="131" t="s">
        <v>100</v>
      </c>
      <c r="M5457" s="135" t="s">
        <v>845</v>
      </c>
      <c r="N5457" s="123" t="s">
        <v>845</v>
      </c>
    </row>
    <row r="5458" spans="2:14" hidden="1" x14ac:dyDescent="0.25">
      <c r="B5458" s="120">
        <v>5455</v>
      </c>
      <c r="C5458" s="123">
        <v>10412958506</v>
      </c>
      <c r="D5458" s="126" t="s">
        <v>19360</v>
      </c>
      <c r="E5458" s="126" t="s">
        <v>19361</v>
      </c>
      <c r="F5458" s="123" t="s">
        <v>30</v>
      </c>
      <c r="G5458" s="123" t="s">
        <v>170</v>
      </c>
      <c r="H5458" s="123" t="s">
        <v>170</v>
      </c>
      <c r="I5458" s="126" t="s">
        <v>1387</v>
      </c>
      <c r="J5458" s="123" t="s">
        <v>19362</v>
      </c>
      <c r="K5458" s="123" t="s">
        <v>19360</v>
      </c>
      <c r="L5458" s="131" t="s">
        <v>100</v>
      </c>
      <c r="M5458" s="135" t="s">
        <v>845</v>
      </c>
      <c r="N5458" s="123" t="s">
        <v>845</v>
      </c>
    </row>
    <row r="5459" spans="2:14" hidden="1" x14ac:dyDescent="0.25">
      <c r="B5459" s="120">
        <v>5456</v>
      </c>
      <c r="C5459" s="123">
        <v>10457191907</v>
      </c>
      <c r="D5459" s="126" t="s">
        <v>19363</v>
      </c>
      <c r="E5459" s="126" t="s">
        <v>19364</v>
      </c>
      <c r="F5459" s="123" t="s">
        <v>30</v>
      </c>
      <c r="G5459" s="123" t="s">
        <v>30</v>
      </c>
      <c r="H5459" s="123" t="s">
        <v>72</v>
      </c>
      <c r="I5459" s="126" t="s">
        <v>1931</v>
      </c>
      <c r="J5459" s="123" t="s">
        <v>19365</v>
      </c>
      <c r="K5459" s="123" t="s">
        <v>19363</v>
      </c>
      <c r="L5459" s="131" t="s">
        <v>100</v>
      </c>
      <c r="M5459" s="135" t="s">
        <v>845</v>
      </c>
      <c r="N5459" s="123" t="s">
        <v>845</v>
      </c>
    </row>
    <row r="5460" spans="2:14" hidden="1" x14ac:dyDescent="0.25">
      <c r="B5460" s="120">
        <v>5457</v>
      </c>
      <c r="C5460" s="123">
        <v>10409393590</v>
      </c>
      <c r="D5460" s="126" t="s">
        <v>19366</v>
      </c>
      <c r="E5460" s="126" t="s">
        <v>19367</v>
      </c>
      <c r="F5460" s="123" t="s">
        <v>30</v>
      </c>
      <c r="G5460" s="123" t="s">
        <v>30</v>
      </c>
      <c r="H5460" s="123" t="s">
        <v>75</v>
      </c>
      <c r="I5460" s="126" t="s">
        <v>1969</v>
      </c>
      <c r="J5460" s="123" t="s">
        <v>19368</v>
      </c>
      <c r="K5460" s="123" t="s">
        <v>19366</v>
      </c>
      <c r="L5460" s="131" t="s">
        <v>100</v>
      </c>
      <c r="M5460" s="135" t="s">
        <v>845</v>
      </c>
      <c r="N5460" s="123" t="s">
        <v>845</v>
      </c>
    </row>
    <row r="5461" spans="2:14" hidden="1" x14ac:dyDescent="0.25">
      <c r="B5461" s="120">
        <v>5458</v>
      </c>
      <c r="C5461" s="123">
        <v>10100370285</v>
      </c>
      <c r="D5461" s="126" t="s">
        <v>19369</v>
      </c>
      <c r="E5461" s="126" t="s">
        <v>19370</v>
      </c>
      <c r="F5461" s="123" t="s">
        <v>30</v>
      </c>
      <c r="G5461" s="123" t="s">
        <v>30</v>
      </c>
      <c r="H5461" s="123" t="s">
        <v>38</v>
      </c>
      <c r="I5461" s="126" t="s">
        <v>1701</v>
      </c>
      <c r="J5461" s="123" t="s">
        <v>19371</v>
      </c>
      <c r="K5461" s="123" t="s">
        <v>19369</v>
      </c>
      <c r="L5461" s="131" t="s">
        <v>100</v>
      </c>
      <c r="M5461" s="135" t="s">
        <v>845</v>
      </c>
      <c r="N5461" s="123" t="s">
        <v>845</v>
      </c>
    </row>
    <row r="5462" spans="2:14" hidden="1" x14ac:dyDescent="0.25">
      <c r="B5462" s="120">
        <v>5459</v>
      </c>
      <c r="C5462" s="123">
        <v>10042098707</v>
      </c>
      <c r="D5462" s="126" t="s">
        <v>19372</v>
      </c>
      <c r="E5462" s="126" t="s">
        <v>19373</v>
      </c>
      <c r="F5462" s="123" t="s">
        <v>30</v>
      </c>
      <c r="G5462" s="123" t="s">
        <v>30</v>
      </c>
      <c r="H5462" s="123" t="s">
        <v>43</v>
      </c>
      <c r="I5462" s="126" t="s">
        <v>1701</v>
      </c>
      <c r="J5462" s="123" t="s">
        <v>19374</v>
      </c>
      <c r="K5462" s="123" t="s">
        <v>19372</v>
      </c>
      <c r="L5462" s="131" t="s">
        <v>100</v>
      </c>
      <c r="M5462" s="135" t="s">
        <v>845</v>
      </c>
      <c r="N5462" s="123" t="s">
        <v>845</v>
      </c>
    </row>
    <row r="5463" spans="2:14" hidden="1" x14ac:dyDescent="0.25">
      <c r="B5463" s="120">
        <v>5460</v>
      </c>
      <c r="C5463" s="123">
        <v>10728800106</v>
      </c>
      <c r="D5463" s="126" t="s">
        <v>19375</v>
      </c>
      <c r="E5463" s="126" t="s">
        <v>19376</v>
      </c>
      <c r="F5463" s="123" t="s">
        <v>30</v>
      </c>
      <c r="G5463" s="123" t="s">
        <v>170</v>
      </c>
      <c r="H5463" s="123" t="s">
        <v>170</v>
      </c>
      <c r="I5463" s="126" t="s">
        <v>1441</v>
      </c>
      <c r="J5463" s="123" t="s">
        <v>19377</v>
      </c>
      <c r="K5463" s="123" t="s">
        <v>19375</v>
      </c>
      <c r="L5463" s="131" t="s">
        <v>100</v>
      </c>
      <c r="M5463" s="135" t="s">
        <v>845</v>
      </c>
      <c r="N5463" s="123" t="s">
        <v>845</v>
      </c>
    </row>
    <row r="5464" spans="2:14" hidden="1" x14ac:dyDescent="0.25">
      <c r="B5464" s="120">
        <v>5461</v>
      </c>
      <c r="C5464" s="123">
        <v>10486445659</v>
      </c>
      <c r="D5464" s="126" t="s">
        <v>19378</v>
      </c>
      <c r="E5464" s="126" t="s">
        <v>19379</v>
      </c>
      <c r="F5464" s="123" t="s">
        <v>30</v>
      </c>
      <c r="G5464" s="123" t="s">
        <v>30</v>
      </c>
      <c r="H5464" s="123" t="s">
        <v>51</v>
      </c>
      <c r="I5464" s="126" t="s">
        <v>1931</v>
      </c>
      <c r="J5464" s="123" t="s">
        <v>19380</v>
      </c>
      <c r="K5464" s="123" t="s">
        <v>19378</v>
      </c>
      <c r="L5464" s="131" t="s">
        <v>100</v>
      </c>
      <c r="M5464" s="135" t="s">
        <v>845</v>
      </c>
      <c r="N5464" s="123" t="s">
        <v>845</v>
      </c>
    </row>
    <row r="5465" spans="2:14" hidden="1" x14ac:dyDescent="0.25">
      <c r="B5465" s="120">
        <v>5462</v>
      </c>
      <c r="C5465" s="123">
        <v>10093568171</v>
      </c>
      <c r="D5465" s="126" t="s">
        <v>19381</v>
      </c>
      <c r="E5465" s="126" t="s">
        <v>19382</v>
      </c>
      <c r="F5465" s="123" t="s">
        <v>30</v>
      </c>
      <c r="G5465" s="123" t="s">
        <v>30</v>
      </c>
      <c r="H5465" s="123" t="s">
        <v>75</v>
      </c>
      <c r="I5465" s="126" t="s">
        <v>1551</v>
      </c>
      <c r="J5465" s="123" t="s">
        <v>19383</v>
      </c>
      <c r="K5465" s="123" t="s">
        <v>19384</v>
      </c>
      <c r="L5465" s="131" t="s">
        <v>100</v>
      </c>
      <c r="M5465" s="135" t="s">
        <v>845</v>
      </c>
      <c r="N5465" s="123" t="s">
        <v>845</v>
      </c>
    </row>
    <row r="5466" spans="2:14" hidden="1" x14ac:dyDescent="0.25">
      <c r="B5466" s="120">
        <v>5463</v>
      </c>
      <c r="C5466" s="123">
        <v>17272158220</v>
      </c>
      <c r="D5466" s="126" t="s">
        <v>19385</v>
      </c>
      <c r="E5466" s="126" t="s">
        <v>19386</v>
      </c>
      <c r="F5466" s="123" t="s">
        <v>30</v>
      </c>
      <c r="G5466" s="123" t="s">
        <v>30</v>
      </c>
      <c r="H5466" s="123" t="s">
        <v>88</v>
      </c>
      <c r="I5466" s="126" t="s">
        <v>19387</v>
      </c>
      <c r="J5466" s="123" t="s">
        <v>19388</v>
      </c>
      <c r="K5466" s="123" t="s">
        <v>19385</v>
      </c>
      <c r="L5466" s="131" t="s">
        <v>100</v>
      </c>
      <c r="M5466" s="135" t="s">
        <v>845</v>
      </c>
      <c r="N5466" s="123" t="s">
        <v>845</v>
      </c>
    </row>
    <row r="5467" spans="2:14" hidden="1" x14ac:dyDescent="0.25">
      <c r="B5467" s="120">
        <v>5464</v>
      </c>
      <c r="C5467" s="123">
        <v>10438980364</v>
      </c>
      <c r="D5467" s="126" t="s">
        <v>19389</v>
      </c>
      <c r="E5467" s="126" t="s">
        <v>19390</v>
      </c>
      <c r="F5467" s="123" t="s">
        <v>30</v>
      </c>
      <c r="G5467" s="123" t="s">
        <v>30</v>
      </c>
      <c r="H5467" s="123" t="s">
        <v>72</v>
      </c>
      <c r="I5467" s="126" t="s">
        <v>1424</v>
      </c>
      <c r="J5467" s="123" t="s">
        <v>19391</v>
      </c>
      <c r="K5467" s="123" t="s">
        <v>19392</v>
      </c>
      <c r="L5467" s="131" t="s">
        <v>100</v>
      </c>
      <c r="M5467" s="135" t="s">
        <v>845</v>
      </c>
      <c r="N5467" s="123" t="s">
        <v>845</v>
      </c>
    </row>
    <row r="5468" spans="2:14" hidden="1" x14ac:dyDescent="0.25">
      <c r="B5468" s="120">
        <v>5465</v>
      </c>
      <c r="C5468" s="123">
        <v>10458758404</v>
      </c>
      <c r="D5468" s="126" t="s">
        <v>19393</v>
      </c>
      <c r="E5468" s="126" t="s">
        <v>19394</v>
      </c>
      <c r="F5468" s="123" t="s">
        <v>30</v>
      </c>
      <c r="G5468" s="123" t="s">
        <v>48</v>
      </c>
      <c r="H5468" s="123" t="s">
        <v>705</v>
      </c>
      <c r="I5468" s="126" t="s">
        <v>1701</v>
      </c>
      <c r="J5468" s="123" t="s">
        <v>19395</v>
      </c>
      <c r="K5468" s="123" t="s">
        <v>19393</v>
      </c>
      <c r="L5468" s="131" t="s">
        <v>100</v>
      </c>
      <c r="M5468" s="135" t="s">
        <v>845</v>
      </c>
      <c r="N5468" s="123" t="s">
        <v>845</v>
      </c>
    </row>
    <row r="5469" spans="2:14" hidden="1" x14ac:dyDescent="0.25">
      <c r="B5469" s="120">
        <v>5466</v>
      </c>
      <c r="C5469" s="123">
        <v>10156534086</v>
      </c>
      <c r="D5469" s="126" t="s">
        <v>19396</v>
      </c>
      <c r="E5469" s="126" t="s">
        <v>19397</v>
      </c>
      <c r="F5469" s="123" t="s">
        <v>30</v>
      </c>
      <c r="G5469" s="123" t="s">
        <v>170</v>
      </c>
      <c r="H5469" s="123" t="s">
        <v>174</v>
      </c>
      <c r="I5469" s="126" t="s">
        <v>1950</v>
      </c>
      <c r="J5469" s="123" t="s">
        <v>19398</v>
      </c>
      <c r="K5469" s="123" t="s">
        <v>19396</v>
      </c>
      <c r="L5469" s="131" t="s">
        <v>100</v>
      </c>
      <c r="M5469" s="135" t="s">
        <v>845</v>
      </c>
      <c r="N5469" s="123" t="s">
        <v>845</v>
      </c>
    </row>
    <row r="5470" spans="2:14" hidden="1" x14ac:dyDescent="0.25">
      <c r="B5470" s="120">
        <v>5467</v>
      </c>
      <c r="C5470" s="123">
        <v>10416292359</v>
      </c>
      <c r="D5470" s="126" t="s">
        <v>19399</v>
      </c>
      <c r="E5470" s="126" t="s">
        <v>19400</v>
      </c>
      <c r="F5470" s="123" t="s">
        <v>30</v>
      </c>
      <c r="G5470" s="123" t="s">
        <v>30</v>
      </c>
      <c r="H5470" s="123" t="s">
        <v>60</v>
      </c>
      <c r="I5470" s="126" t="s">
        <v>1701</v>
      </c>
      <c r="J5470" s="123" t="s">
        <v>19401</v>
      </c>
      <c r="K5470" s="123" t="s">
        <v>19399</v>
      </c>
      <c r="L5470" s="131" t="s">
        <v>100</v>
      </c>
      <c r="M5470" s="135" t="s">
        <v>845</v>
      </c>
      <c r="N5470" s="123" t="s">
        <v>845</v>
      </c>
    </row>
    <row r="5471" spans="2:14" hidden="1" x14ac:dyDescent="0.25">
      <c r="B5471" s="120">
        <v>5468</v>
      </c>
      <c r="C5471" s="123">
        <v>10450725027</v>
      </c>
      <c r="D5471" s="126" t="s">
        <v>19402</v>
      </c>
      <c r="E5471" s="126" t="s">
        <v>19403</v>
      </c>
      <c r="F5471" s="123" t="s">
        <v>30</v>
      </c>
      <c r="G5471" s="123" t="s">
        <v>30</v>
      </c>
      <c r="H5471" s="123" t="s">
        <v>72</v>
      </c>
      <c r="I5471" s="126" t="s">
        <v>1619</v>
      </c>
      <c r="J5471" s="123" t="s">
        <v>19404</v>
      </c>
      <c r="K5471" s="123" t="s">
        <v>19402</v>
      </c>
      <c r="L5471" s="131" t="s">
        <v>100</v>
      </c>
      <c r="M5471" s="135" t="s">
        <v>845</v>
      </c>
      <c r="N5471" s="123" t="s">
        <v>845</v>
      </c>
    </row>
    <row r="5472" spans="2:14" hidden="1" x14ac:dyDescent="0.25">
      <c r="B5472" s="120">
        <v>5469</v>
      </c>
      <c r="C5472" s="123">
        <v>10412460516</v>
      </c>
      <c r="D5472" s="126" t="s">
        <v>19405</v>
      </c>
      <c r="E5472" s="126" t="s">
        <v>19406</v>
      </c>
      <c r="F5472" s="123" t="s">
        <v>30</v>
      </c>
      <c r="G5472" s="123" t="s">
        <v>30</v>
      </c>
      <c r="H5472" s="123" t="s">
        <v>52</v>
      </c>
      <c r="I5472" s="126" t="s">
        <v>1931</v>
      </c>
      <c r="J5472" s="123" t="s">
        <v>19407</v>
      </c>
      <c r="K5472" s="123" t="s">
        <v>19405</v>
      </c>
      <c r="L5472" s="131" t="s">
        <v>100</v>
      </c>
      <c r="M5472" s="135" t="s">
        <v>845</v>
      </c>
      <c r="N5472" s="123" t="s">
        <v>845</v>
      </c>
    </row>
    <row r="5473" spans="2:14" hidden="1" x14ac:dyDescent="0.25">
      <c r="B5473" s="120">
        <v>5470</v>
      </c>
      <c r="C5473" s="123">
        <v>10802209199</v>
      </c>
      <c r="D5473" s="126" t="s">
        <v>19408</v>
      </c>
      <c r="E5473" s="126" t="s">
        <v>19409</v>
      </c>
      <c r="F5473" s="123" t="s">
        <v>30</v>
      </c>
      <c r="G5473" s="123" t="s">
        <v>30</v>
      </c>
      <c r="H5473" s="123" t="s">
        <v>72</v>
      </c>
      <c r="I5473" s="126" t="s">
        <v>1398</v>
      </c>
      <c r="J5473" s="123" t="s">
        <v>19410</v>
      </c>
      <c r="K5473" s="123" t="s">
        <v>19411</v>
      </c>
      <c r="L5473" s="131" t="s">
        <v>100</v>
      </c>
      <c r="M5473" s="135" t="s">
        <v>845</v>
      </c>
      <c r="N5473" s="123" t="s">
        <v>845</v>
      </c>
    </row>
    <row r="5474" spans="2:14" hidden="1" x14ac:dyDescent="0.25">
      <c r="B5474" s="120">
        <v>5471</v>
      </c>
      <c r="C5474" s="123">
        <v>10700167033</v>
      </c>
      <c r="D5474" s="126" t="s">
        <v>19412</v>
      </c>
      <c r="E5474" s="126" t="s">
        <v>19413</v>
      </c>
      <c r="F5474" s="123" t="s">
        <v>30</v>
      </c>
      <c r="G5474" s="123" t="s">
        <v>30</v>
      </c>
      <c r="H5474" s="123" t="s">
        <v>60</v>
      </c>
      <c r="I5474" s="126" t="s">
        <v>14253</v>
      </c>
      <c r="J5474" s="123" t="s">
        <v>19414</v>
      </c>
      <c r="K5474" s="123" t="s">
        <v>19412</v>
      </c>
      <c r="L5474" s="131" t="s">
        <v>100</v>
      </c>
      <c r="M5474" s="135" t="s">
        <v>845</v>
      </c>
      <c r="N5474" s="123" t="s">
        <v>845</v>
      </c>
    </row>
    <row r="5475" spans="2:14" hidden="1" x14ac:dyDescent="0.25">
      <c r="B5475" s="120">
        <v>5472</v>
      </c>
      <c r="C5475" s="123">
        <v>10449251976</v>
      </c>
      <c r="D5475" s="126" t="s">
        <v>19415</v>
      </c>
      <c r="E5475" s="126" t="s">
        <v>19416</v>
      </c>
      <c r="F5475" s="123" t="s">
        <v>30</v>
      </c>
      <c r="G5475" s="123" t="s">
        <v>30</v>
      </c>
      <c r="H5475" s="123" t="s">
        <v>58</v>
      </c>
      <c r="I5475" s="126" t="s">
        <v>1564</v>
      </c>
      <c r="J5475" s="123" t="s">
        <v>19417</v>
      </c>
      <c r="K5475" s="123" t="s">
        <v>19415</v>
      </c>
      <c r="L5475" s="131" t="s">
        <v>100</v>
      </c>
      <c r="M5475" s="135" t="s">
        <v>845</v>
      </c>
      <c r="N5475" s="123" t="s">
        <v>845</v>
      </c>
    </row>
    <row r="5476" spans="2:14" hidden="1" x14ac:dyDescent="0.25">
      <c r="B5476" s="120">
        <v>5473</v>
      </c>
      <c r="C5476" s="123">
        <v>10086350527</v>
      </c>
      <c r="D5476" s="126" t="s">
        <v>19418</v>
      </c>
      <c r="E5476" s="126" t="s">
        <v>19419</v>
      </c>
      <c r="F5476" s="123" t="s">
        <v>30</v>
      </c>
      <c r="G5476" s="123" t="s">
        <v>30</v>
      </c>
      <c r="H5476" s="123" t="s">
        <v>75</v>
      </c>
      <c r="I5476" s="126" t="s">
        <v>1701</v>
      </c>
      <c r="J5476" s="123" t="s">
        <v>19420</v>
      </c>
      <c r="K5476" s="123" t="s">
        <v>19418</v>
      </c>
      <c r="L5476" s="131" t="s">
        <v>100</v>
      </c>
      <c r="M5476" s="135" t="s">
        <v>845</v>
      </c>
      <c r="N5476" s="123" t="s">
        <v>845</v>
      </c>
    </row>
    <row r="5477" spans="2:14" hidden="1" x14ac:dyDescent="0.25">
      <c r="B5477" s="120">
        <v>5474</v>
      </c>
      <c r="C5477" s="123">
        <v>10160106315</v>
      </c>
      <c r="D5477" s="126" t="s">
        <v>19421</v>
      </c>
      <c r="E5477" s="126" t="s">
        <v>19422</v>
      </c>
      <c r="F5477" s="123" t="s">
        <v>30</v>
      </c>
      <c r="G5477" s="123" t="s">
        <v>54</v>
      </c>
      <c r="H5477" s="123" t="s">
        <v>55</v>
      </c>
      <c r="I5477" s="126" t="s">
        <v>1701</v>
      </c>
      <c r="J5477" s="123" t="s">
        <v>19423</v>
      </c>
      <c r="K5477" s="123" t="s">
        <v>19424</v>
      </c>
      <c r="L5477" s="131" t="s">
        <v>100</v>
      </c>
      <c r="M5477" s="135" t="s">
        <v>845</v>
      </c>
      <c r="N5477" s="123" t="s">
        <v>845</v>
      </c>
    </row>
    <row r="5478" spans="2:14" hidden="1" x14ac:dyDescent="0.25">
      <c r="B5478" s="120">
        <v>5475</v>
      </c>
      <c r="C5478" s="123">
        <v>10751640540</v>
      </c>
      <c r="D5478" s="126" t="s">
        <v>19425</v>
      </c>
      <c r="E5478" s="126" t="s">
        <v>19426</v>
      </c>
      <c r="F5478" s="123" t="s">
        <v>30</v>
      </c>
      <c r="G5478" s="123" t="s">
        <v>30</v>
      </c>
      <c r="H5478" s="123" t="s">
        <v>50</v>
      </c>
      <c r="I5478" s="126" t="s">
        <v>1950</v>
      </c>
      <c r="J5478" s="123" t="s">
        <v>19427</v>
      </c>
      <c r="K5478" s="123" t="s">
        <v>19428</v>
      </c>
      <c r="L5478" s="131" t="s">
        <v>100</v>
      </c>
      <c r="M5478" s="135" t="s">
        <v>845</v>
      </c>
      <c r="N5478" s="123" t="s">
        <v>845</v>
      </c>
    </row>
    <row r="5479" spans="2:14" hidden="1" x14ac:dyDescent="0.25">
      <c r="B5479" s="120">
        <v>5476</v>
      </c>
      <c r="C5479" s="123">
        <v>10755720238</v>
      </c>
      <c r="D5479" s="126" t="s">
        <v>19429</v>
      </c>
      <c r="E5479" s="126" t="s">
        <v>19430</v>
      </c>
      <c r="F5479" s="123" t="s">
        <v>30</v>
      </c>
      <c r="G5479" s="123" t="s">
        <v>31</v>
      </c>
      <c r="H5479" s="123" t="s">
        <v>150</v>
      </c>
      <c r="I5479" s="126" t="s">
        <v>19431</v>
      </c>
      <c r="J5479" s="123" t="s">
        <v>19432</v>
      </c>
      <c r="K5479" s="123" t="s">
        <v>19429</v>
      </c>
      <c r="L5479" s="131" t="s">
        <v>100</v>
      </c>
      <c r="M5479" s="135" t="s">
        <v>845</v>
      </c>
      <c r="N5479" s="123" t="s">
        <v>845</v>
      </c>
    </row>
    <row r="5480" spans="2:14" hidden="1" x14ac:dyDescent="0.25">
      <c r="B5480" s="120">
        <v>5477</v>
      </c>
      <c r="C5480" s="123">
        <v>10772842479</v>
      </c>
      <c r="D5480" s="126" t="s">
        <v>19433</v>
      </c>
      <c r="E5480" s="126" t="s">
        <v>19434</v>
      </c>
      <c r="F5480" s="123" t="s">
        <v>30</v>
      </c>
      <c r="G5480" s="123" t="s">
        <v>170</v>
      </c>
      <c r="H5480" s="123" t="s">
        <v>175</v>
      </c>
      <c r="I5480" s="126" t="s">
        <v>1957</v>
      </c>
      <c r="J5480" s="123" t="s">
        <v>19435</v>
      </c>
      <c r="K5480" s="123" t="s">
        <v>19433</v>
      </c>
      <c r="L5480" s="131" t="s">
        <v>100</v>
      </c>
      <c r="M5480" s="135" t="s">
        <v>845</v>
      </c>
      <c r="N5480" s="123" t="s">
        <v>845</v>
      </c>
    </row>
    <row r="5481" spans="2:14" hidden="1" x14ac:dyDescent="0.25">
      <c r="B5481" s="120">
        <v>5478</v>
      </c>
      <c r="C5481" s="123">
        <v>10745694093</v>
      </c>
      <c r="D5481" s="126" t="s">
        <v>19436</v>
      </c>
      <c r="E5481" s="126" t="s">
        <v>19437</v>
      </c>
      <c r="F5481" s="123" t="s">
        <v>30</v>
      </c>
      <c r="G5481" s="123" t="s">
        <v>170</v>
      </c>
      <c r="H5481" s="123" t="s">
        <v>175</v>
      </c>
      <c r="I5481" s="126" t="s">
        <v>3919</v>
      </c>
      <c r="J5481" s="123" t="s">
        <v>19438</v>
      </c>
      <c r="K5481" s="123" t="s">
        <v>19436</v>
      </c>
      <c r="L5481" s="131" t="s">
        <v>100</v>
      </c>
      <c r="M5481" s="135" t="s">
        <v>845</v>
      </c>
      <c r="N5481" s="123" t="s">
        <v>845</v>
      </c>
    </row>
    <row r="5482" spans="2:14" hidden="1" x14ac:dyDescent="0.25">
      <c r="B5482" s="120">
        <v>5479</v>
      </c>
      <c r="C5482" s="123">
        <v>10449337501</v>
      </c>
      <c r="D5482" s="126" t="s">
        <v>19439</v>
      </c>
      <c r="E5482" s="126" t="s">
        <v>19440</v>
      </c>
      <c r="F5482" s="123" t="s">
        <v>30</v>
      </c>
      <c r="G5482" s="123" t="s">
        <v>181</v>
      </c>
      <c r="H5482" s="123" t="s">
        <v>181</v>
      </c>
      <c r="I5482" s="126" t="s">
        <v>1424</v>
      </c>
      <c r="J5482" s="123" t="s">
        <v>19441</v>
      </c>
      <c r="K5482" s="123" t="s">
        <v>19439</v>
      </c>
      <c r="L5482" s="131" t="s">
        <v>100</v>
      </c>
      <c r="M5482" s="135" t="s">
        <v>845</v>
      </c>
      <c r="N5482" s="123" t="s">
        <v>845</v>
      </c>
    </row>
    <row r="5483" spans="2:14" hidden="1" x14ac:dyDescent="0.25">
      <c r="B5483" s="120">
        <v>5480</v>
      </c>
      <c r="C5483" s="123">
        <v>10779108096</v>
      </c>
      <c r="D5483" s="126" t="s">
        <v>19442</v>
      </c>
      <c r="E5483" s="126" t="s">
        <v>19443</v>
      </c>
      <c r="F5483" s="123" t="s">
        <v>30</v>
      </c>
      <c r="G5483" s="123" t="s">
        <v>30</v>
      </c>
      <c r="H5483" s="123" t="s">
        <v>58</v>
      </c>
      <c r="I5483" s="126" t="s">
        <v>1478</v>
      </c>
      <c r="J5483" s="123" t="s">
        <v>19444</v>
      </c>
      <c r="K5483" s="123" t="s">
        <v>19442</v>
      </c>
      <c r="L5483" s="131" t="s">
        <v>100</v>
      </c>
      <c r="M5483" s="135" t="s">
        <v>845</v>
      </c>
      <c r="N5483" s="123" t="s">
        <v>845</v>
      </c>
    </row>
    <row r="5484" spans="2:14" hidden="1" x14ac:dyDescent="0.25">
      <c r="B5484" s="120">
        <v>5481</v>
      </c>
      <c r="C5484" s="123">
        <v>10416093968</v>
      </c>
      <c r="D5484" s="126" t="s">
        <v>19445</v>
      </c>
      <c r="E5484" s="126" t="s">
        <v>19446</v>
      </c>
      <c r="F5484" s="123" t="s">
        <v>30</v>
      </c>
      <c r="G5484" s="123" t="s">
        <v>30</v>
      </c>
      <c r="H5484" s="123" t="s">
        <v>72</v>
      </c>
      <c r="I5484" s="126" t="s">
        <v>1424</v>
      </c>
      <c r="J5484" s="123" t="s">
        <v>19447</v>
      </c>
      <c r="K5484" s="123" t="s">
        <v>19445</v>
      </c>
      <c r="L5484" s="131" t="s">
        <v>100</v>
      </c>
      <c r="M5484" s="135" t="s">
        <v>845</v>
      </c>
      <c r="N5484" s="123" t="s">
        <v>845</v>
      </c>
    </row>
    <row r="5485" spans="2:14" hidden="1" x14ac:dyDescent="0.25">
      <c r="B5485" s="120">
        <v>5482</v>
      </c>
      <c r="C5485" s="123">
        <v>10427339241</v>
      </c>
      <c r="D5485" s="126" t="s">
        <v>19448</v>
      </c>
      <c r="E5485" s="126" t="s">
        <v>19449</v>
      </c>
      <c r="F5485" s="123" t="s">
        <v>30</v>
      </c>
      <c r="G5485" s="123" t="s">
        <v>168</v>
      </c>
      <c r="H5485" s="123" t="s">
        <v>168</v>
      </c>
      <c r="I5485" s="126" t="s">
        <v>1950</v>
      </c>
      <c r="J5485" s="123" t="s">
        <v>19450</v>
      </c>
      <c r="K5485" s="123" t="s">
        <v>19448</v>
      </c>
      <c r="L5485" s="131" t="s">
        <v>100</v>
      </c>
      <c r="M5485" s="135" t="s">
        <v>845</v>
      </c>
      <c r="N5485" s="123" t="s">
        <v>845</v>
      </c>
    </row>
    <row r="5486" spans="2:14" hidden="1" x14ac:dyDescent="0.25">
      <c r="B5486" s="120">
        <v>5483</v>
      </c>
      <c r="C5486" s="123">
        <v>10078626998</v>
      </c>
      <c r="D5486" s="126" t="s">
        <v>19451</v>
      </c>
      <c r="E5486" s="126" t="s">
        <v>19452</v>
      </c>
      <c r="F5486" s="123" t="s">
        <v>30</v>
      </c>
      <c r="G5486" s="123" t="s">
        <v>30</v>
      </c>
      <c r="H5486" s="123" t="s">
        <v>39</v>
      </c>
      <c r="I5486" s="126" t="s">
        <v>1701</v>
      </c>
      <c r="J5486" s="123" t="s">
        <v>19453</v>
      </c>
      <c r="K5486" s="123" t="s">
        <v>19451</v>
      </c>
      <c r="L5486" s="131" t="s">
        <v>100</v>
      </c>
      <c r="M5486" s="135" t="s">
        <v>845</v>
      </c>
      <c r="N5486" s="123" t="s">
        <v>845</v>
      </c>
    </row>
    <row r="5487" spans="2:14" hidden="1" x14ac:dyDescent="0.25">
      <c r="B5487" s="120">
        <v>5484</v>
      </c>
      <c r="C5487" s="123">
        <v>11442125400</v>
      </c>
      <c r="D5487" s="126" t="s">
        <v>19454</v>
      </c>
      <c r="E5487" s="126" t="s">
        <v>19455</v>
      </c>
      <c r="F5487" s="123" t="s">
        <v>30</v>
      </c>
      <c r="G5487" s="123" t="s">
        <v>30</v>
      </c>
      <c r="H5487" s="123" t="s">
        <v>88</v>
      </c>
      <c r="I5487" s="126" t="s">
        <v>19456</v>
      </c>
      <c r="J5487" s="123" t="s">
        <v>19457</v>
      </c>
      <c r="K5487" s="123" t="s">
        <v>19458</v>
      </c>
      <c r="L5487" s="131" t="s">
        <v>100</v>
      </c>
      <c r="M5487" s="135" t="s">
        <v>845</v>
      </c>
      <c r="N5487" s="123" t="s">
        <v>845</v>
      </c>
    </row>
    <row r="5488" spans="2:14" hidden="1" x14ac:dyDescent="0.25">
      <c r="B5488" s="120">
        <v>5485</v>
      </c>
      <c r="C5488" s="123">
        <v>10449939765</v>
      </c>
      <c r="D5488" s="126" t="s">
        <v>19459</v>
      </c>
      <c r="E5488" s="126" t="s">
        <v>19460</v>
      </c>
      <c r="F5488" s="123" t="s">
        <v>30</v>
      </c>
      <c r="G5488" s="123" t="s">
        <v>30</v>
      </c>
      <c r="H5488" s="123" t="s">
        <v>45</v>
      </c>
      <c r="I5488" s="126" t="s">
        <v>1969</v>
      </c>
      <c r="J5488" s="123" t="s">
        <v>19461</v>
      </c>
      <c r="K5488" s="123" t="s">
        <v>19459</v>
      </c>
      <c r="L5488" s="131" t="s">
        <v>100</v>
      </c>
      <c r="M5488" s="135" t="s">
        <v>845</v>
      </c>
      <c r="N5488" s="123" t="s">
        <v>845</v>
      </c>
    </row>
    <row r="5489" spans="2:14" hidden="1" x14ac:dyDescent="0.25">
      <c r="B5489" s="120">
        <v>5486</v>
      </c>
      <c r="C5489" s="123">
        <v>10461560399</v>
      </c>
      <c r="D5489" s="126" t="s">
        <v>19462</v>
      </c>
      <c r="E5489" s="126" t="s">
        <v>19463</v>
      </c>
      <c r="F5489" s="123" t="s">
        <v>30</v>
      </c>
      <c r="G5489" s="123" t="s">
        <v>30</v>
      </c>
      <c r="H5489" s="123" t="s">
        <v>41</v>
      </c>
      <c r="I5489" s="126" t="s">
        <v>1424</v>
      </c>
      <c r="J5489" s="123" t="s">
        <v>19464</v>
      </c>
      <c r="K5489" s="123" t="s">
        <v>19462</v>
      </c>
      <c r="L5489" s="131" t="s">
        <v>100</v>
      </c>
      <c r="M5489" s="135" t="s">
        <v>845</v>
      </c>
      <c r="N5489" s="123" t="s">
        <v>845</v>
      </c>
    </row>
    <row r="5490" spans="2:14" hidden="1" x14ac:dyDescent="0.25">
      <c r="B5490" s="120">
        <v>5487</v>
      </c>
      <c r="C5490" s="123">
        <v>10096731782</v>
      </c>
      <c r="D5490" s="126" t="s">
        <v>19465</v>
      </c>
      <c r="E5490" s="126" t="s">
        <v>19466</v>
      </c>
      <c r="F5490" s="123" t="s">
        <v>30</v>
      </c>
      <c r="G5490" s="123" t="s">
        <v>30</v>
      </c>
      <c r="H5490" s="123" t="s">
        <v>44</v>
      </c>
      <c r="I5490" s="126" t="s">
        <v>1954</v>
      </c>
      <c r="J5490" s="123" t="s">
        <v>19467</v>
      </c>
      <c r="K5490" s="123" t="s">
        <v>19468</v>
      </c>
      <c r="L5490" s="131" t="s">
        <v>100</v>
      </c>
      <c r="M5490" s="135" t="s">
        <v>845</v>
      </c>
      <c r="N5490" s="123" t="s">
        <v>845</v>
      </c>
    </row>
    <row r="5491" spans="2:14" hidden="1" x14ac:dyDescent="0.25">
      <c r="B5491" s="120">
        <v>5488</v>
      </c>
      <c r="C5491" s="123">
        <v>10108636721</v>
      </c>
      <c r="D5491" s="126" t="s">
        <v>19469</v>
      </c>
      <c r="E5491" s="126" t="s">
        <v>19470</v>
      </c>
      <c r="F5491" s="123" t="s">
        <v>30</v>
      </c>
      <c r="G5491" s="123" t="s">
        <v>30</v>
      </c>
      <c r="H5491" s="123" t="s">
        <v>72</v>
      </c>
      <c r="I5491" s="126" t="s">
        <v>1564</v>
      </c>
      <c r="J5491" s="123" t="s">
        <v>19471</v>
      </c>
      <c r="K5491" s="123" t="s">
        <v>19469</v>
      </c>
      <c r="L5491" s="131" t="s">
        <v>100</v>
      </c>
      <c r="M5491" s="135" t="s">
        <v>845</v>
      </c>
      <c r="N5491" s="123" t="s">
        <v>845</v>
      </c>
    </row>
    <row r="5492" spans="2:14" hidden="1" x14ac:dyDescent="0.25">
      <c r="B5492" s="120">
        <v>5489</v>
      </c>
      <c r="C5492" s="123">
        <v>10446392153</v>
      </c>
      <c r="D5492" s="126" t="s">
        <v>19472</v>
      </c>
      <c r="E5492" s="126" t="s">
        <v>19473</v>
      </c>
      <c r="F5492" s="123" t="s">
        <v>30</v>
      </c>
      <c r="G5492" s="123" t="s">
        <v>30</v>
      </c>
      <c r="H5492" s="123" t="s">
        <v>40</v>
      </c>
      <c r="I5492" s="126" t="s">
        <v>1701</v>
      </c>
      <c r="J5492" s="123" t="s">
        <v>19474</v>
      </c>
      <c r="K5492" s="123" t="s">
        <v>19472</v>
      </c>
      <c r="L5492" s="131" t="s">
        <v>100</v>
      </c>
      <c r="M5492" s="135" t="s">
        <v>845</v>
      </c>
      <c r="N5492" s="123" t="s">
        <v>845</v>
      </c>
    </row>
    <row r="5493" spans="2:14" hidden="1" x14ac:dyDescent="0.25">
      <c r="B5493" s="120">
        <v>5490</v>
      </c>
      <c r="C5493" s="123">
        <v>10105483894</v>
      </c>
      <c r="D5493" s="126" t="s">
        <v>19475</v>
      </c>
      <c r="E5493" s="126" t="s">
        <v>19476</v>
      </c>
      <c r="F5493" s="123" t="s">
        <v>30</v>
      </c>
      <c r="G5493" s="123" t="s">
        <v>30</v>
      </c>
      <c r="H5493" s="123" t="s">
        <v>30</v>
      </c>
      <c r="I5493" s="126" t="s">
        <v>12555</v>
      </c>
      <c r="J5493" s="123" t="s">
        <v>19477</v>
      </c>
      <c r="K5493" s="123" t="s">
        <v>19475</v>
      </c>
      <c r="L5493" s="131" t="s">
        <v>100</v>
      </c>
      <c r="M5493" s="135" t="s">
        <v>845</v>
      </c>
      <c r="N5493" s="123" t="s">
        <v>845</v>
      </c>
    </row>
    <row r="5494" spans="2:14" hidden="1" x14ac:dyDescent="0.25">
      <c r="B5494" s="120">
        <v>5491</v>
      </c>
      <c r="C5494" s="123">
        <v>10104963361</v>
      </c>
      <c r="D5494" s="126" t="s">
        <v>19478</v>
      </c>
      <c r="E5494" s="126" t="s">
        <v>19479</v>
      </c>
      <c r="F5494" s="123" t="s">
        <v>30</v>
      </c>
      <c r="G5494" s="123" t="s">
        <v>30</v>
      </c>
      <c r="H5494" s="123" t="s">
        <v>113</v>
      </c>
      <c r="I5494" s="126" t="s">
        <v>101</v>
      </c>
      <c r="J5494" s="123" t="s">
        <v>19480</v>
      </c>
      <c r="K5494" s="123" t="s">
        <v>19478</v>
      </c>
      <c r="L5494" s="131" t="s">
        <v>100</v>
      </c>
      <c r="M5494" s="135" t="s">
        <v>845</v>
      </c>
      <c r="N5494" s="123" t="s">
        <v>845</v>
      </c>
    </row>
    <row r="5495" spans="2:14" hidden="1" x14ac:dyDescent="0.25">
      <c r="B5495" s="120">
        <v>5492</v>
      </c>
      <c r="C5495" s="123">
        <v>10768652355</v>
      </c>
      <c r="D5495" s="126" t="s">
        <v>19481</v>
      </c>
      <c r="E5495" s="126" t="s">
        <v>19482</v>
      </c>
      <c r="F5495" s="123" t="s">
        <v>30</v>
      </c>
      <c r="G5495" s="123" t="s">
        <v>30</v>
      </c>
      <c r="H5495" s="123" t="s">
        <v>75</v>
      </c>
      <c r="I5495" s="126" t="s">
        <v>1930</v>
      </c>
      <c r="J5495" s="123" t="s">
        <v>19483</v>
      </c>
      <c r="K5495" s="123" t="s">
        <v>19484</v>
      </c>
      <c r="L5495" s="131" t="s">
        <v>100</v>
      </c>
      <c r="M5495" s="135" t="s">
        <v>845</v>
      </c>
      <c r="N5495" s="123" t="s">
        <v>845</v>
      </c>
    </row>
    <row r="5496" spans="2:14" hidden="1" x14ac:dyDescent="0.25">
      <c r="B5496" s="120">
        <v>5493</v>
      </c>
      <c r="C5496" s="123">
        <v>10100777482</v>
      </c>
      <c r="D5496" s="126" t="s">
        <v>19485</v>
      </c>
      <c r="E5496" s="126" t="s">
        <v>19486</v>
      </c>
      <c r="F5496" s="123" t="s">
        <v>30</v>
      </c>
      <c r="G5496" s="123" t="s">
        <v>30</v>
      </c>
      <c r="H5496" s="123" t="s">
        <v>60</v>
      </c>
      <c r="I5496" s="126" t="s">
        <v>1962</v>
      </c>
      <c r="J5496" s="123" t="s">
        <v>19487</v>
      </c>
      <c r="K5496" s="123" t="s">
        <v>19488</v>
      </c>
      <c r="L5496" s="131" t="s">
        <v>100</v>
      </c>
      <c r="M5496" s="135" t="s">
        <v>845</v>
      </c>
      <c r="N5496" s="123" t="s">
        <v>845</v>
      </c>
    </row>
    <row r="5497" spans="2:14" hidden="1" x14ac:dyDescent="0.25">
      <c r="B5497" s="120">
        <v>5494</v>
      </c>
      <c r="C5497" s="123">
        <v>10098786347</v>
      </c>
      <c r="D5497" s="126" t="s">
        <v>19489</v>
      </c>
      <c r="E5497" s="126" t="s">
        <v>19490</v>
      </c>
      <c r="F5497" s="123" t="s">
        <v>30</v>
      </c>
      <c r="G5497" s="123" t="s">
        <v>30</v>
      </c>
      <c r="H5497" s="123" t="s">
        <v>80</v>
      </c>
      <c r="I5497" s="126" t="s">
        <v>10025</v>
      </c>
      <c r="J5497" s="123" t="s">
        <v>19491</v>
      </c>
      <c r="K5497" s="123" t="s">
        <v>19489</v>
      </c>
      <c r="L5497" s="131" t="s">
        <v>100</v>
      </c>
      <c r="M5497" s="135" t="s">
        <v>845</v>
      </c>
      <c r="N5497" s="123" t="s">
        <v>845</v>
      </c>
    </row>
    <row r="5498" spans="2:14" hidden="1" x14ac:dyDescent="0.25">
      <c r="B5498" s="120">
        <v>5495</v>
      </c>
      <c r="C5498" s="123">
        <v>10066693754</v>
      </c>
      <c r="D5498" s="126" t="s">
        <v>19492</v>
      </c>
      <c r="E5498" s="126" t="s">
        <v>19493</v>
      </c>
      <c r="F5498" s="123" t="s">
        <v>30</v>
      </c>
      <c r="G5498" s="123" t="s">
        <v>30</v>
      </c>
      <c r="H5498" s="123" t="s">
        <v>135</v>
      </c>
      <c r="I5498" s="126" t="s">
        <v>83</v>
      </c>
      <c r="J5498" s="123" t="s">
        <v>19494</v>
      </c>
      <c r="K5498" s="123" t="s">
        <v>19492</v>
      </c>
      <c r="L5498" s="131" t="s">
        <v>100</v>
      </c>
      <c r="M5498" s="135" t="s">
        <v>845</v>
      </c>
      <c r="N5498" s="123" t="s">
        <v>845</v>
      </c>
    </row>
    <row r="5499" spans="2:14" hidden="1" x14ac:dyDescent="0.25">
      <c r="B5499" s="120">
        <v>5496</v>
      </c>
      <c r="C5499" s="123">
        <v>10440985837</v>
      </c>
      <c r="D5499" s="126" t="s">
        <v>19495</v>
      </c>
      <c r="E5499" s="126" t="s">
        <v>19496</v>
      </c>
      <c r="F5499" s="123" t="s">
        <v>30</v>
      </c>
      <c r="G5499" s="123" t="s">
        <v>30</v>
      </c>
      <c r="H5499" s="123" t="s">
        <v>68</v>
      </c>
      <c r="I5499" s="126" t="s">
        <v>19497</v>
      </c>
      <c r="J5499" s="123" t="s">
        <v>19498</v>
      </c>
      <c r="K5499" s="123" t="s">
        <v>19495</v>
      </c>
      <c r="L5499" s="131" t="s">
        <v>100</v>
      </c>
      <c r="M5499" s="135" t="s">
        <v>845</v>
      </c>
      <c r="N5499" s="123" t="s">
        <v>845</v>
      </c>
    </row>
    <row r="5500" spans="2:14" hidden="1" x14ac:dyDescent="0.25">
      <c r="B5500" s="120">
        <v>5497</v>
      </c>
      <c r="C5500" s="123">
        <v>10409315769</v>
      </c>
      <c r="D5500" s="126" t="s">
        <v>19499</v>
      </c>
      <c r="E5500" s="126" t="s">
        <v>19500</v>
      </c>
      <c r="F5500" s="123" t="s">
        <v>30</v>
      </c>
      <c r="G5500" s="123" t="s">
        <v>30</v>
      </c>
      <c r="H5500" s="123" t="s">
        <v>30</v>
      </c>
      <c r="I5500" s="126" t="s">
        <v>1701</v>
      </c>
      <c r="J5500" s="123" t="s">
        <v>19501</v>
      </c>
      <c r="K5500" s="123" t="s">
        <v>19499</v>
      </c>
      <c r="L5500" s="131" t="s">
        <v>100</v>
      </c>
      <c r="M5500" s="135" t="s">
        <v>845</v>
      </c>
      <c r="N5500" s="123" t="s">
        <v>845</v>
      </c>
    </row>
    <row r="5501" spans="2:14" hidden="1" x14ac:dyDescent="0.25">
      <c r="B5501" s="120">
        <v>5498</v>
      </c>
      <c r="C5501" s="123">
        <v>10107961254</v>
      </c>
      <c r="D5501" s="126" t="s">
        <v>19502</v>
      </c>
      <c r="E5501" s="126" t="s">
        <v>19503</v>
      </c>
      <c r="F5501" s="123" t="s">
        <v>30</v>
      </c>
      <c r="G5501" s="123" t="s">
        <v>30</v>
      </c>
      <c r="H5501" s="123" t="s">
        <v>58</v>
      </c>
      <c r="I5501" s="126" t="s">
        <v>1950</v>
      </c>
      <c r="J5501" s="123" t="s">
        <v>19504</v>
      </c>
      <c r="K5501" s="123" t="s">
        <v>19502</v>
      </c>
      <c r="L5501" s="131" t="s">
        <v>100</v>
      </c>
      <c r="M5501" s="135" t="s">
        <v>845</v>
      </c>
      <c r="N5501" s="123" t="s">
        <v>845</v>
      </c>
    </row>
    <row r="5502" spans="2:14" hidden="1" x14ac:dyDescent="0.25">
      <c r="B5502" s="120">
        <v>5499</v>
      </c>
      <c r="C5502" s="123">
        <v>10486428959</v>
      </c>
      <c r="D5502" s="126" t="s">
        <v>19505</v>
      </c>
      <c r="E5502" s="126" t="s">
        <v>19506</v>
      </c>
      <c r="F5502" s="123" t="s">
        <v>30</v>
      </c>
      <c r="G5502" s="123" t="s">
        <v>30</v>
      </c>
      <c r="H5502" s="123" t="s">
        <v>50</v>
      </c>
      <c r="I5502" s="126" t="s">
        <v>1701</v>
      </c>
      <c r="J5502" s="123" t="s">
        <v>19507</v>
      </c>
      <c r="K5502" s="123" t="s">
        <v>19505</v>
      </c>
      <c r="L5502" s="131" t="s">
        <v>100</v>
      </c>
      <c r="M5502" s="135" t="s">
        <v>845</v>
      </c>
      <c r="N5502" s="123" t="s">
        <v>845</v>
      </c>
    </row>
    <row r="5503" spans="2:14" hidden="1" x14ac:dyDescent="0.25">
      <c r="B5503" s="120">
        <v>5500</v>
      </c>
      <c r="C5503" s="123">
        <v>10061453976</v>
      </c>
      <c r="D5503" s="126" t="s">
        <v>19508</v>
      </c>
      <c r="E5503" s="126" t="s">
        <v>19509</v>
      </c>
      <c r="F5503" s="123" t="s">
        <v>30</v>
      </c>
      <c r="G5503" s="123" t="s">
        <v>30</v>
      </c>
      <c r="H5503" s="123" t="s">
        <v>30</v>
      </c>
      <c r="I5503" s="126" t="s">
        <v>1564</v>
      </c>
      <c r="J5503" s="123" t="s">
        <v>19510</v>
      </c>
      <c r="K5503" s="123" t="s">
        <v>19508</v>
      </c>
      <c r="L5503" s="131" t="s">
        <v>100</v>
      </c>
      <c r="M5503" s="135" t="s">
        <v>845</v>
      </c>
      <c r="N5503" s="123" t="s">
        <v>845</v>
      </c>
    </row>
    <row r="5504" spans="2:14" hidden="1" x14ac:dyDescent="0.25">
      <c r="B5504" s="120">
        <v>5501</v>
      </c>
      <c r="C5504" s="123">
        <v>10440944201</v>
      </c>
      <c r="D5504" s="126" t="s">
        <v>19511</v>
      </c>
      <c r="E5504" s="126" t="s">
        <v>19512</v>
      </c>
      <c r="F5504" s="123" t="s">
        <v>30</v>
      </c>
      <c r="G5504" s="123" t="s">
        <v>30</v>
      </c>
      <c r="H5504" s="123" t="s">
        <v>113</v>
      </c>
      <c r="I5504" s="126" t="s">
        <v>1701</v>
      </c>
      <c r="J5504" s="123" t="s">
        <v>19513</v>
      </c>
      <c r="K5504" s="123" t="s">
        <v>19511</v>
      </c>
      <c r="L5504" s="131" t="s">
        <v>100</v>
      </c>
      <c r="M5504" s="135" t="s">
        <v>845</v>
      </c>
      <c r="N5504" s="123" t="s">
        <v>845</v>
      </c>
    </row>
    <row r="5505" spans="2:14" hidden="1" x14ac:dyDescent="0.25">
      <c r="B5505" s="120">
        <v>5502</v>
      </c>
      <c r="C5505" s="123">
        <v>10034941781</v>
      </c>
      <c r="D5505" s="126" t="s">
        <v>19514</v>
      </c>
      <c r="E5505" s="126" t="s">
        <v>19515</v>
      </c>
      <c r="F5505" s="123" t="s">
        <v>30</v>
      </c>
      <c r="G5505" s="123" t="s">
        <v>30</v>
      </c>
      <c r="H5505" s="123" t="s">
        <v>68</v>
      </c>
      <c r="I5505" s="126" t="s">
        <v>1701</v>
      </c>
      <c r="J5505" s="123" t="s">
        <v>19516</v>
      </c>
      <c r="K5505" s="123" t="s">
        <v>19514</v>
      </c>
      <c r="L5505" s="131" t="s">
        <v>100</v>
      </c>
      <c r="M5505" s="135" t="s">
        <v>845</v>
      </c>
      <c r="N5505" s="123" t="s">
        <v>845</v>
      </c>
    </row>
    <row r="5506" spans="2:14" hidden="1" x14ac:dyDescent="0.25">
      <c r="B5506" s="120">
        <v>5503</v>
      </c>
      <c r="C5506" s="123">
        <v>10481847805</v>
      </c>
      <c r="D5506" s="126" t="s">
        <v>19517</v>
      </c>
      <c r="E5506" s="126" t="s">
        <v>19518</v>
      </c>
      <c r="F5506" s="123" t="s">
        <v>30</v>
      </c>
      <c r="G5506" s="123" t="s">
        <v>30</v>
      </c>
      <c r="H5506" s="123" t="s">
        <v>88</v>
      </c>
      <c r="I5506" s="126" t="s">
        <v>1694</v>
      </c>
      <c r="J5506" s="123" t="s">
        <v>19519</v>
      </c>
      <c r="K5506" s="123" t="s">
        <v>19520</v>
      </c>
      <c r="L5506" s="131" t="s">
        <v>100</v>
      </c>
      <c r="M5506" s="135" t="s">
        <v>845</v>
      </c>
      <c r="N5506" s="123" t="s">
        <v>845</v>
      </c>
    </row>
    <row r="5507" spans="2:14" hidden="1" x14ac:dyDescent="0.25">
      <c r="B5507" s="120">
        <v>5504</v>
      </c>
      <c r="C5507" s="123">
        <v>10106386351</v>
      </c>
      <c r="D5507" s="126" t="s">
        <v>19521</v>
      </c>
      <c r="E5507" s="126" t="s">
        <v>19522</v>
      </c>
      <c r="F5507" s="123" t="s">
        <v>30</v>
      </c>
      <c r="G5507" s="123" t="s">
        <v>30</v>
      </c>
      <c r="H5507" s="123" t="s">
        <v>37</v>
      </c>
      <c r="I5507" s="126" t="s">
        <v>101</v>
      </c>
      <c r="J5507" s="123" t="s">
        <v>19523</v>
      </c>
      <c r="K5507" s="123" t="s">
        <v>19521</v>
      </c>
      <c r="L5507" s="131" t="s">
        <v>100</v>
      </c>
      <c r="M5507" s="135" t="s">
        <v>845</v>
      </c>
      <c r="N5507" s="123" t="s">
        <v>845</v>
      </c>
    </row>
    <row r="5508" spans="2:14" hidden="1" x14ac:dyDescent="0.25">
      <c r="B5508" s="120">
        <v>5505</v>
      </c>
      <c r="C5508" s="123">
        <v>10411171189</v>
      </c>
      <c r="D5508" s="126" t="s">
        <v>19524</v>
      </c>
      <c r="E5508" s="126" t="s">
        <v>19525</v>
      </c>
      <c r="F5508" s="123" t="s">
        <v>30</v>
      </c>
      <c r="G5508" s="123" t="s">
        <v>30</v>
      </c>
      <c r="H5508" s="123" t="s">
        <v>30</v>
      </c>
      <c r="I5508" s="126" t="s">
        <v>19526</v>
      </c>
      <c r="J5508" s="123" t="s">
        <v>19527</v>
      </c>
      <c r="K5508" s="123" t="s">
        <v>19524</v>
      </c>
      <c r="L5508" s="131" t="s">
        <v>100</v>
      </c>
      <c r="M5508" s="135" t="s">
        <v>845</v>
      </c>
      <c r="N5508" s="123" t="s">
        <v>845</v>
      </c>
    </row>
    <row r="5509" spans="2:14" hidden="1" x14ac:dyDescent="0.25">
      <c r="B5509" s="120">
        <v>5506</v>
      </c>
      <c r="C5509" s="123">
        <v>10401856981</v>
      </c>
      <c r="D5509" s="126" t="s">
        <v>19528</v>
      </c>
      <c r="E5509" s="126" t="s">
        <v>19529</v>
      </c>
      <c r="F5509" s="123" t="s">
        <v>30</v>
      </c>
      <c r="G5509" s="123" t="s">
        <v>30</v>
      </c>
      <c r="H5509" s="123" t="s">
        <v>50</v>
      </c>
      <c r="I5509" s="126" t="s">
        <v>12735</v>
      </c>
      <c r="J5509" s="123" t="s">
        <v>19530</v>
      </c>
      <c r="K5509" s="123" t="s">
        <v>19528</v>
      </c>
      <c r="L5509" s="131" t="s">
        <v>100</v>
      </c>
      <c r="M5509" s="135" t="s">
        <v>845</v>
      </c>
      <c r="N5509" s="123" t="s">
        <v>845</v>
      </c>
    </row>
    <row r="5510" spans="2:14" hidden="1" x14ac:dyDescent="0.25">
      <c r="B5510" s="120">
        <v>5507</v>
      </c>
      <c r="C5510" s="123">
        <v>10107610389</v>
      </c>
      <c r="D5510" s="126" t="s">
        <v>19531</v>
      </c>
      <c r="E5510" s="126" t="s">
        <v>19532</v>
      </c>
      <c r="F5510" s="123" t="s">
        <v>30</v>
      </c>
      <c r="G5510" s="123" t="s">
        <v>30</v>
      </c>
      <c r="H5510" s="123" t="s">
        <v>72</v>
      </c>
      <c r="I5510" s="126" t="s">
        <v>1564</v>
      </c>
      <c r="J5510" s="123" t="s">
        <v>19533</v>
      </c>
      <c r="K5510" s="123" t="s">
        <v>19534</v>
      </c>
      <c r="L5510" s="131" t="s">
        <v>100</v>
      </c>
      <c r="M5510" s="135" t="s">
        <v>845</v>
      </c>
      <c r="N5510" s="123" t="s">
        <v>845</v>
      </c>
    </row>
    <row r="5511" spans="2:14" hidden="1" x14ac:dyDescent="0.25">
      <c r="B5511" s="120">
        <v>5508</v>
      </c>
      <c r="C5511" s="123">
        <v>10478775411</v>
      </c>
      <c r="D5511" s="126" t="s">
        <v>19535</v>
      </c>
      <c r="E5511" s="126" t="s">
        <v>19536</v>
      </c>
      <c r="F5511" s="123" t="s">
        <v>30</v>
      </c>
      <c r="G5511" s="123" t="s">
        <v>30</v>
      </c>
      <c r="H5511" s="123" t="s">
        <v>75</v>
      </c>
      <c r="I5511" s="126" t="s">
        <v>1701</v>
      </c>
      <c r="J5511" s="123" t="s">
        <v>19537</v>
      </c>
      <c r="K5511" s="123" t="s">
        <v>19535</v>
      </c>
      <c r="L5511" s="131" t="s">
        <v>100</v>
      </c>
      <c r="M5511" s="135" t="s">
        <v>845</v>
      </c>
      <c r="N5511" s="123" t="s">
        <v>845</v>
      </c>
    </row>
    <row r="5512" spans="2:14" hidden="1" x14ac:dyDescent="0.25">
      <c r="B5512" s="120">
        <v>5509</v>
      </c>
      <c r="C5512" s="123">
        <v>10471127359</v>
      </c>
      <c r="D5512" s="126" t="s">
        <v>19538</v>
      </c>
      <c r="E5512" s="126" t="s">
        <v>19539</v>
      </c>
      <c r="F5512" s="123" t="s">
        <v>30</v>
      </c>
      <c r="G5512" s="123" t="s">
        <v>30</v>
      </c>
      <c r="H5512" s="123" t="s">
        <v>88</v>
      </c>
      <c r="I5512" s="126" t="s">
        <v>1424</v>
      </c>
      <c r="J5512" s="123" t="s">
        <v>19540</v>
      </c>
      <c r="K5512" s="123" t="s">
        <v>19541</v>
      </c>
      <c r="L5512" s="131" t="s">
        <v>100</v>
      </c>
      <c r="M5512" s="135" t="s">
        <v>845</v>
      </c>
      <c r="N5512" s="123" t="s">
        <v>845</v>
      </c>
    </row>
    <row r="5513" spans="2:14" hidden="1" x14ac:dyDescent="0.25">
      <c r="B5513" s="120">
        <v>5510</v>
      </c>
      <c r="C5513" s="123">
        <v>10402350992</v>
      </c>
      <c r="D5513" s="126" t="s">
        <v>19542</v>
      </c>
      <c r="E5513" s="126" t="s">
        <v>19543</v>
      </c>
      <c r="F5513" s="123" t="s">
        <v>30</v>
      </c>
      <c r="G5513" s="123" t="s">
        <v>30</v>
      </c>
      <c r="H5513" s="123" t="s">
        <v>72</v>
      </c>
      <c r="I5513" s="126" t="s">
        <v>1564</v>
      </c>
      <c r="J5513" s="123" t="s">
        <v>19544</v>
      </c>
      <c r="K5513" s="123" t="s">
        <v>19542</v>
      </c>
      <c r="L5513" s="131" t="s">
        <v>100</v>
      </c>
      <c r="M5513" s="135" t="s">
        <v>845</v>
      </c>
      <c r="N5513" s="123" t="s">
        <v>845</v>
      </c>
    </row>
    <row r="5514" spans="2:14" hidden="1" x14ac:dyDescent="0.25">
      <c r="B5514" s="120">
        <v>5511</v>
      </c>
      <c r="C5514" s="123">
        <v>10254005679</v>
      </c>
      <c r="D5514" s="126" t="s">
        <v>19545</v>
      </c>
      <c r="E5514" s="126" t="s">
        <v>19546</v>
      </c>
      <c r="F5514" s="123" t="s">
        <v>30</v>
      </c>
      <c r="G5514" s="123" t="s">
        <v>30</v>
      </c>
      <c r="H5514" s="123" t="s">
        <v>52</v>
      </c>
      <c r="I5514" s="126" t="s">
        <v>9561</v>
      </c>
      <c r="J5514" s="123" t="s">
        <v>19547</v>
      </c>
      <c r="K5514" s="123" t="s">
        <v>19545</v>
      </c>
      <c r="L5514" s="131" t="s">
        <v>100</v>
      </c>
      <c r="M5514" s="135" t="s">
        <v>845</v>
      </c>
      <c r="N5514" s="123" t="s">
        <v>845</v>
      </c>
    </row>
    <row r="5515" spans="2:14" hidden="1" x14ac:dyDescent="0.25">
      <c r="B5515" s="120">
        <v>5512</v>
      </c>
      <c r="C5515" s="123">
        <v>10432180714</v>
      </c>
      <c r="D5515" s="126" t="s">
        <v>19548</v>
      </c>
      <c r="E5515" s="126" t="s">
        <v>19549</v>
      </c>
      <c r="F5515" s="123" t="s">
        <v>30</v>
      </c>
      <c r="G5515" s="123" t="s">
        <v>30</v>
      </c>
      <c r="H5515" s="123" t="s">
        <v>88</v>
      </c>
      <c r="I5515" s="126" t="s">
        <v>19550</v>
      </c>
      <c r="J5515" s="123" t="s">
        <v>19551</v>
      </c>
      <c r="K5515" s="123" t="s">
        <v>19552</v>
      </c>
      <c r="L5515" s="131" t="s">
        <v>100</v>
      </c>
      <c r="M5515" s="135" t="s">
        <v>845</v>
      </c>
      <c r="N5515" s="123" t="s">
        <v>845</v>
      </c>
    </row>
    <row r="5516" spans="2:14" hidden="1" x14ac:dyDescent="0.25">
      <c r="B5516" s="120">
        <v>5513</v>
      </c>
      <c r="C5516" s="123">
        <v>10434611356</v>
      </c>
      <c r="D5516" s="126" t="s">
        <v>19553</v>
      </c>
      <c r="E5516" s="126" t="s">
        <v>19554</v>
      </c>
      <c r="F5516" s="123" t="s">
        <v>30</v>
      </c>
      <c r="G5516" s="123" t="s">
        <v>30</v>
      </c>
      <c r="H5516" s="123" t="s">
        <v>75</v>
      </c>
      <c r="I5516" s="126" t="s">
        <v>1424</v>
      </c>
      <c r="J5516" s="123" t="s">
        <v>19555</v>
      </c>
      <c r="K5516" s="123" t="s">
        <v>19553</v>
      </c>
      <c r="L5516" s="131" t="s">
        <v>100</v>
      </c>
      <c r="M5516" s="135" t="s">
        <v>845</v>
      </c>
      <c r="N5516" s="123" t="s">
        <v>845</v>
      </c>
    </row>
    <row r="5517" spans="2:14" hidden="1" x14ac:dyDescent="0.25">
      <c r="B5517" s="120">
        <v>5514</v>
      </c>
      <c r="C5517" s="123">
        <v>10449597937</v>
      </c>
      <c r="D5517" s="126" t="s">
        <v>19556</v>
      </c>
      <c r="E5517" s="126" t="s">
        <v>19557</v>
      </c>
      <c r="F5517" s="123" t="s">
        <v>30</v>
      </c>
      <c r="G5517" s="123" t="s">
        <v>30</v>
      </c>
      <c r="H5517" s="123" t="s">
        <v>45</v>
      </c>
      <c r="I5517" s="126" t="s">
        <v>1564</v>
      </c>
      <c r="J5517" s="123" t="s">
        <v>19558</v>
      </c>
      <c r="K5517" s="123" t="s">
        <v>19556</v>
      </c>
      <c r="L5517" s="131" t="s">
        <v>100</v>
      </c>
      <c r="M5517" s="135" t="s">
        <v>845</v>
      </c>
      <c r="N5517" s="123" t="s">
        <v>845</v>
      </c>
    </row>
    <row r="5518" spans="2:14" hidden="1" x14ac:dyDescent="0.25">
      <c r="B5518" s="120">
        <v>5515</v>
      </c>
      <c r="C5518" s="123">
        <v>10404956162</v>
      </c>
      <c r="D5518" s="126" t="s">
        <v>19559</v>
      </c>
      <c r="E5518" s="126" t="s">
        <v>19560</v>
      </c>
      <c r="F5518" s="123" t="s">
        <v>30</v>
      </c>
      <c r="G5518" s="123" t="s">
        <v>30</v>
      </c>
      <c r="H5518" s="123" t="s">
        <v>72</v>
      </c>
      <c r="I5518" s="126" t="s">
        <v>1930</v>
      </c>
      <c r="J5518" s="123" t="s">
        <v>19561</v>
      </c>
      <c r="K5518" s="123" t="s">
        <v>19562</v>
      </c>
      <c r="L5518" s="131" t="s">
        <v>100</v>
      </c>
      <c r="M5518" s="135" t="s">
        <v>845</v>
      </c>
      <c r="N5518" s="123" t="s">
        <v>845</v>
      </c>
    </row>
    <row r="5519" spans="2:14" hidden="1" x14ac:dyDescent="0.25">
      <c r="B5519" s="120">
        <v>5516</v>
      </c>
      <c r="C5519" s="123">
        <v>10702641140</v>
      </c>
      <c r="D5519" s="126" t="s">
        <v>19563</v>
      </c>
      <c r="E5519" s="126" t="s">
        <v>19564</v>
      </c>
      <c r="F5519" s="123" t="s">
        <v>30</v>
      </c>
      <c r="G5519" s="123" t="s">
        <v>31</v>
      </c>
      <c r="H5519" s="123" t="s">
        <v>9381</v>
      </c>
      <c r="I5519" s="126" t="s">
        <v>1931</v>
      </c>
      <c r="J5519" s="123" t="s">
        <v>19565</v>
      </c>
      <c r="K5519" s="123" t="s">
        <v>19563</v>
      </c>
      <c r="L5519" s="131" t="s">
        <v>100</v>
      </c>
      <c r="M5519" s="135" t="s">
        <v>845</v>
      </c>
      <c r="N5519" s="123" t="s">
        <v>845</v>
      </c>
    </row>
    <row r="5520" spans="2:14" hidden="1" x14ac:dyDescent="0.25">
      <c r="B5520" s="120">
        <v>5517</v>
      </c>
      <c r="C5520" s="123">
        <v>10095993023</v>
      </c>
      <c r="D5520" s="126" t="s">
        <v>19566</v>
      </c>
      <c r="E5520" s="126" t="s">
        <v>19567</v>
      </c>
      <c r="F5520" s="123" t="s">
        <v>30</v>
      </c>
      <c r="G5520" s="123" t="s">
        <v>30</v>
      </c>
      <c r="H5520" s="123" t="s">
        <v>40</v>
      </c>
      <c r="I5520" s="126" t="s">
        <v>1805</v>
      </c>
      <c r="J5520" s="123" t="s">
        <v>19568</v>
      </c>
      <c r="K5520" s="123" t="s">
        <v>19566</v>
      </c>
      <c r="L5520" s="131" t="s">
        <v>100</v>
      </c>
      <c r="M5520" s="135" t="s">
        <v>845</v>
      </c>
      <c r="N5520" s="123" t="s">
        <v>845</v>
      </c>
    </row>
    <row r="5521" spans="2:14" hidden="1" x14ac:dyDescent="0.25">
      <c r="B5521" s="120">
        <v>5518</v>
      </c>
      <c r="C5521" s="123">
        <v>15255114252</v>
      </c>
      <c r="D5521" s="126" t="s">
        <v>19569</v>
      </c>
      <c r="E5521" s="126" t="s">
        <v>19570</v>
      </c>
      <c r="F5521" s="123" t="s">
        <v>30</v>
      </c>
      <c r="G5521" s="123" t="s">
        <v>30</v>
      </c>
      <c r="H5521" s="123" t="s">
        <v>38</v>
      </c>
      <c r="I5521" s="126" t="s">
        <v>19571</v>
      </c>
      <c r="J5521" s="123" t="s">
        <v>19572</v>
      </c>
      <c r="K5521" s="123" t="s">
        <v>19573</v>
      </c>
      <c r="L5521" s="131" t="s">
        <v>100</v>
      </c>
      <c r="M5521" s="135" t="s">
        <v>845</v>
      </c>
      <c r="N5521" s="123" t="s">
        <v>845</v>
      </c>
    </row>
    <row r="5522" spans="2:14" hidden="1" x14ac:dyDescent="0.25">
      <c r="B5522" s="120">
        <v>5519</v>
      </c>
      <c r="C5522" s="123">
        <v>15605533296</v>
      </c>
      <c r="D5522" s="126" t="s">
        <v>19574</v>
      </c>
      <c r="E5522" s="126" t="s">
        <v>19575</v>
      </c>
      <c r="F5522" s="123" t="s">
        <v>30</v>
      </c>
      <c r="G5522" s="123" t="s">
        <v>30</v>
      </c>
      <c r="H5522" s="123" t="s">
        <v>110</v>
      </c>
      <c r="I5522" s="126" t="s">
        <v>1931</v>
      </c>
      <c r="J5522" s="123" t="s">
        <v>19576</v>
      </c>
      <c r="K5522" s="123" t="s">
        <v>19574</v>
      </c>
      <c r="L5522" s="131" t="s">
        <v>100</v>
      </c>
      <c r="M5522" s="135" t="s">
        <v>845</v>
      </c>
      <c r="N5522" s="123" t="s">
        <v>845</v>
      </c>
    </row>
    <row r="5523" spans="2:14" hidden="1" x14ac:dyDescent="0.25">
      <c r="B5523" s="120">
        <v>5520</v>
      </c>
      <c r="C5523" s="123">
        <v>10102858005</v>
      </c>
      <c r="D5523" s="126" t="s">
        <v>19577</v>
      </c>
      <c r="E5523" s="126" t="s">
        <v>19578</v>
      </c>
      <c r="F5523" s="123" t="s">
        <v>30</v>
      </c>
      <c r="G5523" s="123" t="s">
        <v>30</v>
      </c>
      <c r="H5523" s="123" t="s">
        <v>75</v>
      </c>
      <c r="I5523" s="126" t="s">
        <v>10025</v>
      </c>
      <c r="J5523" s="123" t="s">
        <v>19579</v>
      </c>
      <c r="K5523" s="123" t="s">
        <v>19577</v>
      </c>
      <c r="L5523" s="131" t="s">
        <v>100</v>
      </c>
      <c r="M5523" s="135" t="s">
        <v>845</v>
      </c>
      <c r="N5523" s="123" t="s">
        <v>845</v>
      </c>
    </row>
    <row r="5524" spans="2:14" hidden="1" x14ac:dyDescent="0.25">
      <c r="B5524" s="120">
        <v>5521</v>
      </c>
      <c r="C5524" s="123">
        <v>10419891482</v>
      </c>
      <c r="D5524" s="126" t="s">
        <v>19580</v>
      </c>
      <c r="E5524" s="126" t="s">
        <v>19581</v>
      </c>
      <c r="F5524" s="123" t="s">
        <v>30</v>
      </c>
      <c r="G5524" s="123" t="s">
        <v>30</v>
      </c>
      <c r="H5524" s="123" t="s">
        <v>45</v>
      </c>
      <c r="I5524" s="126" t="s">
        <v>1701</v>
      </c>
      <c r="J5524" s="123" t="s">
        <v>19582</v>
      </c>
      <c r="K5524" s="123" t="s">
        <v>19580</v>
      </c>
      <c r="L5524" s="131" t="s">
        <v>100</v>
      </c>
      <c r="M5524" s="135" t="s">
        <v>845</v>
      </c>
      <c r="N5524" s="123" t="s">
        <v>845</v>
      </c>
    </row>
    <row r="5525" spans="2:14" hidden="1" x14ac:dyDescent="0.25">
      <c r="B5525" s="120">
        <v>5522</v>
      </c>
      <c r="C5525" s="123">
        <v>10089734296</v>
      </c>
      <c r="D5525" s="126" t="s">
        <v>19583</v>
      </c>
      <c r="E5525" s="126" t="s">
        <v>19584</v>
      </c>
      <c r="F5525" s="123" t="s">
        <v>30</v>
      </c>
      <c r="G5525" s="123" t="s">
        <v>30</v>
      </c>
      <c r="H5525" s="123" t="s">
        <v>34</v>
      </c>
      <c r="I5525" s="126" t="s">
        <v>1564</v>
      </c>
      <c r="J5525" s="123" t="s">
        <v>19585</v>
      </c>
      <c r="K5525" s="123" t="s">
        <v>19586</v>
      </c>
      <c r="L5525" s="131" t="s">
        <v>100</v>
      </c>
      <c r="M5525" s="135" t="s">
        <v>845</v>
      </c>
      <c r="N5525" s="123" t="s">
        <v>845</v>
      </c>
    </row>
    <row r="5526" spans="2:14" hidden="1" x14ac:dyDescent="0.25">
      <c r="B5526" s="120">
        <v>5523</v>
      </c>
      <c r="C5526" s="123">
        <v>10422687942</v>
      </c>
      <c r="D5526" s="126" t="s">
        <v>19587</v>
      </c>
      <c r="E5526" s="126" t="s">
        <v>19588</v>
      </c>
      <c r="F5526" s="123" t="s">
        <v>30</v>
      </c>
      <c r="G5526" s="123" t="s">
        <v>30</v>
      </c>
      <c r="H5526" s="123" t="s">
        <v>40</v>
      </c>
      <c r="I5526" s="126" t="s">
        <v>9625</v>
      </c>
      <c r="J5526" s="123" t="s">
        <v>19589</v>
      </c>
      <c r="K5526" s="123" t="s">
        <v>19587</v>
      </c>
      <c r="L5526" s="131" t="s">
        <v>100</v>
      </c>
      <c r="M5526" s="135" t="s">
        <v>845</v>
      </c>
      <c r="N5526" s="123" t="s">
        <v>845</v>
      </c>
    </row>
    <row r="5527" spans="2:14" hidden="1" x14ac:dyDescent="0.25">
      <c r="B5527" s="120">
        <v>5524</v>
      </c>
      <c r="C5527" s="123">
        <v>10097336275</v>
      </c>
      <c r="D5527" s="126" t="s">
        <v>19590</v>
      </c>
      <c r="E5527" s="126" t="s">
        <v>19591</v>
      </c>
      <c r="F5527" s="123" t="s">
        <v>30</v>
      </c>
      <c r="G5527" s="123" t="s">
        <v>30</v>
      </c>
      <c r="H5527" s="123" t="s">
        <v>50</v>
      </c>
      <c r="I5527" s="126" t="s">
        <v>1950</v>
      </c>
      <c r="J5527" s="123" t="s">
        <v>19592</v>
      </c>
      <c r="K5527" s="123" t="s">
        <v>19590</v>
      </c>
      <c r="L5527" s="131" t="s">
        <v>100</v>
      </c>
      <c r="M5527" s="135" t="s">
        <v>845</v>
      </c>
      <c r="N5527" s="123" t="s">
        <v>845</v>
      </c>
    </row>
    <row r="5528" spans="2:14" hidden="1" x14ac:dyDescent="0.25">
      <c r="B5528" s="120">
        <v>5525</v>
      </c>
      <c r="C5528" s="123">
        <v>10106840101</v>
      </c>
      <c r="D5528" s="126" t="s">
        <v>19593</v>
      </c>
      <c r="E5528" s="126" t="s">
        <v>19594</v>
      </c>
      <c r="F5528" s="123" t="s">
        <v>30</v>
      </c>
      <c r="G5528" s="123" t="s">
        <v>30</v>
      </c>
      <c r="H5528" s="123" t="s">
        <v>50</v>
      </c>
      <c r="I5528" s="126" t="s">
        <v>1946</v>
      </c>
      <c r="J5528" s="123" t="s">
        <v>19595</v>
      </c>
      <c r="K5528" s="123" t="s">
        <v>19593</v>
      </c>
      <c r="L5528" s="131" t="s">
        <v>100</v>
      </c>
      <c r="M5528" s="135" t="s">
        <v>845</v>
      </c>
      <c r="N5528" s="123" t="s">
        <v>845</v>
      </c>
    </row>
    <row r="5529" spans="2:14" hidden="1" x14ac:dyDescent="0.25">
      <c r="B5529" s="120">
        <v>5526</v>
      </c>
      <c r="C5529" s="123">
        <v>10459091241</v>
      </c>
      <c r="D5529" s="126" t="s">
        <v>19596</v>
      </c>
      <c r="E5529" s="126" t="s">
        <v>19597</v>
      </c>
      <c r="F5529" s="123" t="s">
        <v>30</v>
      </c>
      <c r="G5529" s="123" t="s">
        <v>30</v>
      </c>
      <c r="H5529" s="123" t="s">
        <v>30</v>
      </c>
      <c r="I5529" s="126" t="s">
        <v>1499</v>
      </c>
      <c r="J5529" s="123" t="s">
        <v>19598</v>
      </c>
      <c r="K5529" s="123" t="s">
        <v>19599</v>
      </c>
      <c r="L5529" s="131" t="s">
        <v>100</v>
      </c>
      <c r="M5529" s="135" t="s">
        <v>845</v>
      </c>
      <c r="N5529" s="123" t="s">
        <v>845</v>
      </c>
    </row>
    <row r="5530" spans="2:14" hidden="1" x14ac:dyDescent="0.25">
      <c r="B5530" s="120">
        <v>5527</v>
      </c>
      <c r="C5530" s="123">
        <v>10438285321</v>
      </c>
      <c r="D5530" s="126" t="s">
        <v>19600</v>
      </c>
      <c r="E5530" s="126" t="s">
        <v>19601</v>
      </c>
      <c r="F5530" s="123" t="s">
        <v>30</v>
      </c>
      <c r="G5530" s="123" t="s">
        <v>30</v>
      </c>
      <c r="H5530" s="123" t="s">
        <v>52</v>
      </c>
      <c r="I5530" s="126" t="s">
        <v>1931</v>
      </c>
      <c r="J5530" s="123" t="s">
        <v>19602</v>
      </c>
      <c r="K5530" s="123" t="s">
        <v>19600</v>
      </c>
      <c r="L5530" s="131" t="s">
        <v>100</v>
      </c>
      <c r="M5530" s="135" t="s">
        <v>845</v>
      </c>
      <c r="N5530" s="123" t="s">
        <v>845</v>
      </c>
    </row>
    <row r="5531" spans="2:14" hidden="1" x14ac:dyDescent="0.25">
      <c r="B5531" s="120">
        <v>5528</v>
      </c>
      <c r="C5531" s="123">
        <v>10011178842</v>
      </c>
      <c r="D5531" s="126" t="s">
        <v>19603</v>
      </c>
      <c r="E5531" s="126" t="s">
        <v>19604</v>
      </c>
      <c r="F5531" s="123" t="s">
        <v>30</v>
      </c>
      <c r="G5531" s="123" t="s">
        <v>30</v>
      </c>
      <c r="H5531" s="123" t="s">
        <v>110</v>
      </c>
      <c r="I5531" s="126" t="s">
        <v>1394</v>
      </c>
      <c r="J5531" s="123" t="s">
        <v>19605</v>
      </c>
      <c r="K5531" s="123" t="s">
        <v>19603</v>
      </c>
      <c r="L5531" s="131" t="s">
        <v>100</v>
      </c>
      <c r="M5531" s="135" t="s">
        <v>845</v>
      </c>
      <c r="N5531" s="123" t="s">
        <v>845</v>
      </c>
    </row>
    <row r="5532" spans="2:14" hidden="1" x14ac:dyDescent="0.25">
      <c r="B5532" s="120">
        <v>5529</v>
      </c>
      <c r="C5532" s="123">
        <v>10455272071</v>
      </c>
      <c r="D5532" s="126" t="s">
        <v>19606</v>
      </c>
      <c r="E5532" s="126" t="s">
        <v>19607</v>
      </c>
      <c r="F5532" s="123" t="s">
        <v>67</v>
      </c>
      <c r="G5532" s="123" t="s">
        <v>67</v>
      </c>
      <c r="H5532" s="123" t="s">
        <v>67</v>
      </c>
      <c r="I5532" s="126" t="s">
        <v>1931</v>
      </c>
      <c r="J5532" s="123" t="s">
        <v>19608</v>
      </c>
      <c r="K5532" s="123" t="s">
        <v>19606</v>
      </c>
      <c r="L5532" s="131" t="s">
        <v>100</v>
      </c>
      <c r="M5532" s="135" t="s">
        <v>845</v>
      </c>
      <c r="N5532" s="123" t="s">
        <v>845</v>
      </c>
    </row>
    <row r="5533" spans="2:14" hidden="1" x14ac:dyDescent="0.25">
      <c r="B5533" s="120">
        <v>5530</v>
      </c>
      <c r="C5533" s="123">
        <v>10443607655</v>
      </c>
      <c r="D5533" s="126" t="s">
        <v>19609</v>
      </c>
      <c r="E5533" s="126" t="s">
        <v>19610</v>
      </c>
      <c r="F5533" s="123" t="s">
        <v>30</v>
      </c>
      <c r="G5533" s="123" t="s">
        <v>30</v>
      </c>
      <c r="H5533" s="123" t="s">
        <v>75</v>
      </c>
      <c r="I5533" s="126" t="s">
        <v>1941</v>
      </c>
      <c r="J5533" s="123" t="s">
        <v>19611</v>
      </c>
      <c r="K5533" s="123" t="s">
        <v>19609</v>
      </c>
      <c r="L5533" s="131" t="s">
        <v>100</v>
      </c>
      <c r="M5533" s="135" t="s">
        <v>845</v>
      </c>
      <c r="N5533" s="123" t="s">
        <v>845</v>
      </c>
    </row>
    <row r="5534" spans="2:14" hidden="1" x14ac:dyDescent="0.25">
      <c r="B5534" s="120">
        <v>5531</v>
      </c>
      <c r="C5534" s="123">
        <v>10744952463</v>
      </c>
      <c r="D5534" s="126" t="s">
        <v>19612</v>
      </c>
      <c r="E5534" s="126" t="s">
        <v>19613</v>
      </c>
      <c r="F5534" s="123" t="s">
        <v>30</v>
      </c>
      <c r="G5534" s="123" t="s">
        <v>30</v>
      </c>
      <c r="H5534" s="123" t="s">
        <v>127</v>
      </c>
      <c r="I5534" s="126" t="s">
        <v>1930</v>
      </c>
      <c r="J5534" s="123" t="s">
        <v>19614</v>
      </c>
      <c r="K5534" s="123" t="s">
        <v>19615</v>
      </c>
      <c r="L5534" s="131" t="s">
        <v>100</v>
      </c>
      <c r="M5534" s="135" t="s">
        <v>845</v>
      </c>
      <c r="N5534" s="123" t="s">
        <v>845</v>
      </c>
    </row>
    <row r="5535" spans="2:14" hidden="1" x14ac:dyDescent="0.25">
      <c r="B5535" s="120">
        <v>5532</v>
      </c>
      <c r="C5535" s="123">
        <v>10458392035</v>
      </c>
      <c r="D5535" s="126" t="s">
        <v>19616</v>
      </c>
      <c r="E5535" s="126" t="s">
        <v>19617</v>
      </c>
      <c r="F5535" s="123" t="s">
        <v>30</v>
      </c>
      <c r="G5535" s="123" t="s">
        <v>30</v>
      </c>
      <c r="H5535" s="123" t="s">
        <v>79</v>
      </c>
      <c r="I5535" s="126" t="s">
        <v>1424</v>
      </c>
      <c r="J5535" s="123" t="s">
        <v>19618</v>
      </c>
      <c r="K5535" s="123" t="s">
        <v>19616</v>
      </c>
      <c r="L5535" s="131" t="s">
        <v>100</v>
      </c>
      <c r="M5535" s="135" t="s">
        <v>845</v>
      </c>
      <c r="N5535" s="123" t="s">
        <v>845</v>
      </c>
    </row>
    <row r="5536" spans="2:14" hidden="1" x14ac:dyDescent="0.25">
      <c r="B5536" s="120">
        <v>5533</v>
      </c>
      <c r="C5536" s="123">
        <v>10467186472</v>
      </c>
      <c r="D5536" s="126" t="s">
        <v>19619</v>
      </c>
      <c r="E5536" s="126" t="s">
        <v>19620</v>
      </c>
      <c r="F5536" s="123" t="s">
        <v>30</v>
      </c>
      <c r="G5536" s="123" t="s">
        <v>30</v>
      </c>
      <c r="H5536" s="123" t="s">
        <v>75</v>
      </c>
      <c r="I5536" s="126" t="s">
        <v>19621</v>
      </c>
      <c r="J5536" s="123" t="s">
        <v>19622</v>
      </c>
      <c r="K5536" s="123" t="s">
        <v>19619</v>
      </c>
      <c r="L5536" s="131" t="s">
        <v>100</v>
      </c>
      <c r="M5536" s="135" t="s">
        <v>845</v>
      </c>
      <c r="N5536" s="123" t="s">
        <v>845</v>
      </c>
    </row>
    <row r="5537" spans="2:14" hidden="1" x14ac:dyDescent="0.25">
      <c r="B5537" s="120">
        <v>5534</v>
      </c>
      <c r="C5537" s="123">
        <v>10463001729</v>
      </c>
      <c r="D5537" s="126" t="s">
        <v>19623</v>
      </c>
      <c r="E5537" s="126" t="s">
        <v>19624</v>
      </c>
      <c r="F5537" s="123" t="s">
        <v>67</v>
      </c>
      <c r="G5537" s="123" t="s">
        <v>67</v>
      </c>
      <c r="H5537" s="123" t="s">
        <v>67</v>
      </c>
      <c r="I5537" s="126" t="s">
        <v>1701</v>
      </c>
      <c r="J5537" s="123" t="s">
        <v>19625</v>
      </c>
      <c r="K5537" s="123" t="s">
        <v>19623</v>
      </c>
      <c r="L5537" s="131" t="s">
        <v>100</v>
      </c>
      <c r="M5537" s="135" t="s">
        <v>845</v>
      </c>
      <c r="N5537" s="123" t="s">
        <v>845</v>
      </c>
    </row>
    <row r="5538" spans="2:14" hidden="1" x14ac:dyDescent="0.25">
      <c r="B5538" s="120">
        <v>5535</v>
      </c>
      <c r="C5538" s="123">
        <v>10723137751</v>
      </c>
      <c r="D5538" s="126" t="s">
        <v>19626</v>
      </c>
      <c r="E5538" s="126" t="s">
        <v>19627</v>
      </c>
      <c r="F5538" s="123" t="s">
        <v>30</v>
      </c>
      <c r="G5538" s="123" t="s">
        <v>168</v>
      </c>
      <c r="H5538" s="123" t="s">
        <v>168</v>
      </c>
      <c r="I5538" s="126" t="s">
        <v>1701</v>
      </c>
      <c r="J5538" s="123" t="s">
        <v>19628</v>
      </c>
      <c r="K5538" s="123" t="s">
        <v>19626</v>
      </c>
      <c r="L5538" s="131" t="s">
        <v>100</v>
      </c>
      <c r="M5538" s="135" t="s">
        <v>845</v>
      </c>
      <c r="N5538" s="123" t="s">
        <v>845</v>
      </c>
    </row>
    <row r="5539" spans="2:14" hidden="1" x14ac:dyDescent="0.25">
      <c r="B5539" s="120">
        <v>5536</v>
      </c>
      <c r="C5539" s="123">
        <v>10455586122</v>
      </c>
      <c r="D5539" s="126" t="s">
        <v>19629</v>
      </c>
      <c r="E5539" s="126" t="s">
        <v>19630</v>
      </c>
      <c r="F5539" s="123" t="s">
        <v>30</v>
      </c>
      <c r="G5539" s="123" t="s">
        <v>30</v>
      </c>
      <c r="H5539" s="123" t="s">
        <v>45</v>
      </c>
      <c r="I5539" s="126" t="s">
        <v>1950</v>
      </c>
      <c r="J5539" s="123" t="s">
        <v>19631</v>
      </c>
      <c r="K5539" s="123" t="s">
        <v>19629</v>
      </c>
      <c r="L5539" s="131" t="s">
        <v>100</v>
      </c>
      <c r="M5539" s="135" t="s">
        <v>845</v>
      </c>
      <c r="N5539" s="123" t="s">
        <v>845</v>
      </c>
    </row>
    <row r="5540" spans="2:14" hidden="1" x14ac:dyDescent="0.25">
      <c r="B5540" s="120">
        <v>5537</v>
      </c>
      <c r="C5540" s="123">
        <v>10229728151</v>
      </c>
      <c r="D5540" s="126" t="s">
        <v>19632</v>
      </c>
      <c r="E5540" s="126" t="s">
        <v>19633</v>
      </c>
      <c r="F5540" s="123" t="s">
        <v>30</v>
      </c>
      <c r="G5540" s="123" t="s">
        <v>30</v>
      </c>
      <c r="H5540" s="123" t="s">
        <v>127</v>
      </c>
      <c r="I5540" s="126" t="s">
        <v>1424</v>
      </c>
      <c r="J5540" s="123" t="s">
        <v>19634</v>
      </c>
      <c r="K5540" s="123" t="s">
        <v>19635</v>
      </c>
      <c r="L5540" s="131" t="s">
        <v>100</v>
      </c>
      <c r="M5540" s="135" t="s">
        <v>845</v>
      </c>
      <c r="N5540" s="123" t="s">
        <v>845</v>
      </c>
    </row>
    <row r="5541" spans="2:14" hidden="1" x14ac:dyDescent="0.25">
      <c r="B5541" s="120">
        <v>5538</v>
      </c>
      <c r="C5541" s="123">
        <v>10076002873</v>
      </c>
      <c r="D5541" s="126" t="s">
        <v>19636</v>
      </c>
      <c r="E5541" s="126" t="s">
        <v>19637</v>
      </c>
      <c r="F5541" s="123" t="s">
        <v>30</v>
      </c>
      <c r="G5541" s="123" t="s">
        <v>30</v>
      </c>
      <c r="H5541" s="123" t="s">
        <v>34</v>
      </c>
      <c r="I5541" s="126" t="s">
        <v>1564</v>
      </c>
      <c r="J5541" s="123" t="s">
        <v>19638</v>
      </c>
      <c r="K5541" s="123" t="s">
        <v>19639</v>
      </c>
      <c r="L5541" s="131" t="s">
        <v>100</v>
      </c>
      <c r="M5541" s="135" t="s">
        <v>845</v>
      </c>
      <c r="N5541" s="123" t="s">
        <v>845</v>
      </c>
    </row>
    <row r="5542" spans="2:14" hidden="1" x14ac:dyDescent="0.25">
      <c r="B5542" s="120">
        <v>5539</v>
      </c>
      <c r="C5542" s="123">
        <v>10470636004</v>
      </c>
      <c r="D5542" s="126" t="s">
        <v>19640</v>
      </c>
      <c r="E5542" s="126" t="s">
        <v>19641</v>
      </c>
      <c r="F5542" s="123" t="s">
        <v>201</v>
      </c>
      <c r="G5542" s="123" t="s">
        <v>19642</v>
      </c>
      <c r="H5542" s="123" t="s">
        <v>19643</v>
      </c>
      <c r="I5542" s="126" t="s">
        <v>1957</v>
      </c>
      <c r="J5542" s="123" t="s">
        <v>19644</v>
      </c>
      <c r="K5542" s="123" t="s">
        <v>19640</v>
      </c>
      <c r="L5542" s="131" t="s">
        <v>100</v>
      </c>
      <c r="M5542" s="135" t="s">
        <v>845</v>
      </c>
      <c r="N5542" s="123" t="s">
        <v>845</v>
      </c>
    </row>
    <row r="5543" spans="2:14" hidden="1" x14ac:dyDescent="0.25">
      <c r="B5543" s="120">
        <v>5540</v>
      </c>
      <c r="C5543" s="123">
        <v>10719233533</v>
      </c>
      <c r="D5543" s="126" t="s">
        <v>19645</v>
      </c>
      <c r="E5543" s="126" t="s">
        <v>19646</v>
      </c>
      <c r="F5543" s="123" t="s">
        <v>30</v>
      </c>
      <c r="G5543" s="123" t="s">
        <v>30</v>
      </c>
      <c r="H5543" s="123" t="s">
        <v>52</v>
      </c>
      <c r="I5543" s="126" t="s">
        <v>1478</v>
      </c>
      <c r="J5543" s="123" t="s">
        <v>19647</v>
      </c>
      <c r="K5543" s="123" t="s">
        <v>19645</v>
      </c>
      <c r="L5543" s="131" t="s">
        <v>100</v>
      </c>
      <c r="M5543" s="135" t="s">
        <v>845</v>
      </c>
      <c r="N5543" s="123" t="s">
        <v>845</v>
      </c>
    </row>
    <row r="5544" spans="2:14" hidden="1" x14ac:dyDescent="0.25">
      <c r="B5544" s="120">
        <v>5541</v>
      </c>
      <c r="C5544" s="123">
        <v>10090015741</v>
      </c>
      <c r="D5544" s="126" t="s">
        <v>19648</v>
      </c>
      <c r="E5544" s="126" t="s">
        <v>19649</v>
      </c>
      <c r="F5544" s="123" t="s">
        <v>30</v>
      </c>
      <c r="G5544" s="123" t="s">
        <v>30</v>
      </c>
      <c r="H5544" s="123" t="s">
        <v>38</v>
      </c>
      <c r="I5544" s="126" t="s">
        <v>1931</v>
      </c>
      <c r="J5544" s="123" t="s">
        <v>19650</v>
      </c>
      <c r="K5544" s="123" t="s">
        <v>19648</v>
      </c>
      <c r="L5544" s="131" t="s">
        <v>100</v>
      </c>
      <c r="M5544" s="135" t="s">
        <v>845</v>
      </c>
      <c r="N5544" s="123" t="s">
        <v>845</v>
      </c>
    </row>
    <row r="5545" spans="2:14" hidden="1" x14ac:dyDescent="0.25">
      <c r="B5545" s="120">
        <v>5542</v>
      </c>
      <c r="C5545" s="123">
        <v>10069357852</v>
      </c>
      <c r="D5545" s="126" t="s">
        <v>19651</v>
      </c>
      <c r="E5545" s="126" t="s">
        <v>19652</v>
      </c>
      <c r="F5545" s="123" t="s">
        <v>30</v>
      </c>
      <c r="G5545" s="123" t="s">
        <v>30</v>
      </c>
      <c r="H5545" s="123" t="s">
        <v>58</v>
      </c>
      <c r="I5545" s="126" t="s">
        <v>1963</v>
      </c>
      <c r="J5545" s="123" t="s">
        <v>19653</v>
      </c>
      <c r="K5545" s="123" t="s">
        <v>19651</v>
      </c>
      <c r="L5545" s="131" t="s">
        <v>100</v>
      </c>
      <c r="M5545" s="135" t="s">
        <v>845</v>
      </c>
      <c r="N5545" s="123" t="s">
        <v>845</v>
      </c>
    </row>
    <row r="5546" spans="2:14" hidden="1" x14ac:dyDescent="0.25">
      <c r="B5546" s="120">
        <v>5543</v>
      </c>
      <c r="C5546" s="123">
        <v>10092771381</v>
      </c>
      <c r="D5546" s="126" t="s">
        <v>19654</v>
      </c>
      <c r="E5546" s="126" t="s">
        <v>19655</v>
      </c>
      <c r="F5546" s="123" t="s">
        <v>67</v>
      </c>
      <c r="G5546" s="123" t="s">
        <v>67</v>
      </c>
      <c r="H5546" s="123" t="s">
        <v>67</v>
      </c>
      <c r="I5546" s="126" t="s">
        <v>1701</v>
      </c>
      <c r="J5546" s="123" t="s">
        <v>19656</v>
      </c>
      <c r="K5546" s="123" t="s">
        <v>19654</v>
      </c>
      <c r="L5546" s="131" t="s">
        <v>100</v>
      </c>
      <c r="M5546" s="135" t="s">
        <v>845</v>
      </c>
      <c r="N5546" s="123" t="s">
        <v>845</v>
      </c>
    </row>
    <row r="5547" spans="2:14" hidden="1" x14ac:dyDescent="0.25">
      <c r="B5547" s="120">
        <v>5544</v>
      </c>
      <c r="C5547" s="123">
        <v>10743066281</v>
      </c>
      <c r="D5547" s="126" t="s">
        <v>19657</v>
      </c>
      <c r="E5547" s="126" t="s">
        <v>19658</v>
      </c>
      <c r="F5547" s="123" t="s">
        <v>30</v>
      </c>
      <c r="G5547" s="123" t="s">
        <v>30</v>
      </c>
      <c r="H5547" s="123" t="s">
        <v>72</v>
      </c>
      <c r="I5547" s="126" t="s">
        <v>1499</v>
      </c>
      <c r="J5547" s="123" t="s">
        <v>19659</v>
      </c>
      <c r="K5547" s="123" t="s">
        <v>19657</v>
      </c>
      <c r="L5547" s="131" t="s">
        <v>100</v>
      </c>
      <c r="M5547" s="135" t="s">
        <v>845</v>
      </c>
      <c r="N5547" s="123" t="s">
        <v>845</v>
      </c>
    </row>
    <row r="5548" spans="2:14" hidden="1" x14ac:dyDescent="0.25">
      <c r="B5548" s="120">
        <v>5545</v>
      </c>
      <c r="C5548" s="123">
        <v>10468501193</v>
      </c>
      <c r="D5548" s="126" t="s">
        <v>19660</v>
      </c>
      <c r="E5548" s="126" t="s">
        <v>19661</v>
      </c>
      <c r="F5548" s="123" t="s">
        <v>30</v>
      </c>
      <c r="G5548" s="123" t="s">
        <v>30</v>
      </c>
      <c r="H5548" s="123" t="s">
        <v>51</v>
      </c>
      <c r="I5548" s="126" t="s">
        <v>1561</v>
      </c>
      <c r="J5548" s="123" t="s">
        <v>19662</v>
      </c>
      <c r="K5548" s="123" t="s">
        <v>19660</v>
      </c>
      <c r="L5548" s="131" t="s">
        <v>100</v>
      </c>
      <c r="M5548" s="135" t="s">
        <v>845</v>
      </c>
      <c r="N5548" s="123" t="s">
        <v>845</v>
      </c>
    </row>
    <row r="5549" spans="2:14" hidden="1" x14ac:dyDescent="0.25">
      <c r="B5549" s="120">
        <v>5546</v>
      </c>
      <c r="C5549" s="123">
        <v>10093417831</v>
      </c>
      <c r="D5549" s="126" t="s">
        <v>19663</v>
      </c>
      <c r="E5549" s="126" t="s">
        <v>19664</v>
      </c>
      <c r="F5549" s="123" t="s">
        <v>30</v>
      </c>
      <c r="G5549" s="123" t="s">
        <v>30</v>
      </c>
      <c r="H5549" s="123" t="s">
        <v>58</v>
      </c>
      <c r="I5549" s="126" t="s">
        <v>8897</v>
      </c>
      <c r="J5549" s="123" t="s">
        <v>19665</v>
      </c>
      <c r="K5549" s="123" t="s">
        <v>19663</v>
      </c>
      <c r="L5549" s="131" t="s">
        <v>100</v>
      </c>
      <c r="M5549" s="135" t="s">
        <v>845</v>
      </c>
      <c r="N5549" s="123" t="s">
        <v>845</v>
      </c>
    </row>
    <row r="5550" spans="2:14" hidden="1" x14ac:dyDescent="0.25">
      <c r="B5550" s="120">
        <v>5547</v>
      </c>
      <c r="C5550" s="123">
        <v>10440653150</v>
      </c>
      <c r="D5550" s="126" t="s">
        <v>19666</v>
      </c>
      <c r="E5550" s="126" t="s">
        <v>19667</v>
      </c>
      <c r="F5550" s="123" t="s">
        <v>30</v>
      </c>
      <c r="G5550" s="123" t="s">
        <v>30</v>
      </c>
      <c r="H5550" s="123" t="s">
        <v>72</v>
      </c>
      <c r="I5550" s="126" t="s">
        <v>1805</v>
      </c>
      <c r="J5550" s="123" t="s">
        <v>19668</v>
      </c>
      <c r="K5550" s="123" t="s">
        <v>19666</v>
      </c>
      <c r="L5550" s="131" t="s">
        <v>100</v>
      </c>
      <c r="M5550" s="135" t="s">
        <v>845</v>
      </c>
      <c r="N5550" s="123" t="s">
        <v>845</v>
      </c>
    </row>
    <row r="5551" spans="2:14" hidden="1" x14ac:dyDescent="0.25">
      <c r="B5551" s="120">
        <v>5548</v>
      </c>
      <c r="C5551" s="123">
        <v>10440781255</v>
      </c>
      <c r="D5551" s="126" t="s">
        <v>19669</v>
      </c>
      <c r="E5551" s="126" t="s">
        <v>19670</v>
      </c>
      <c r="F5551" s="123" t="s">
        <v>30</v>
      </c>
      <c r="G5551" s="123" t="s">
        <v>30</v>
      </c>
      <c r="H5551" s="123" t="s">
        <v>51</v>
      </c>
      <c r="I5551" s="126" t="s">
        <v>1952</v>
      </c>
      <c r="J5551" s="123" t="s">
        <v>19671</v>
      </c>
      <c r="K5551" s="123" t="s">
        <v>19669</v>
      </c>
      <c r="L5551" s="131" t="s">
        <v>100</v>
      </c>
      <c r="M5551" s="135" t="s">
        <v>845</v>
      </c>
      <c r="N5551" s="123" t="s">
        <v>845</v>
      </c>
    </row>
    <row r="5552" spans="2:14" hidden="1" x14ac:dyDescent="0.25">
      <c r="B5552" s="120">
        <v>5549</v>
      </c>
      <c r="C5552" s="123">
        <v>10406178035</v>
      </c>
      <c r="D5552" s="126" t="s">
        <v>19672</v>
      </c>
      <c r="E5552" s="126" t="s">
        <v>19673</v>
      </c>
      <c r="F5552" s="123" t="s">
        <v>67</v>
      </c>
      <c r="G5552" s="123" t="s">
        <v>67</v>
      </c>
      <c r="H5552" s="123" t="s">
        <v>67</v>
      </c>
      <c r="I5552" s="126" t="s">
        <v>9625</v>
      </c>
      <c r="J5552" s="123" t="s">
        <v>19674</v>
      </c>
      <c r="K5552" s="123" t="s">
        <v>19672</v>
      </c>
      <c r="L5552" s="131" t="s">
        <v>100</v>
      </c>
      <c r="M5552" s="135" t="s">
        <v>845</v>
      </c>
      <c r="N5552" s="123" t="s">
        <v>845</v>
      </c>
    </row>
    <row r="5553" spans="2:14" hidden="1" x14ac:dyDescent="0.25">
      <c r="B5553" s="120">
        <v>5550</v>
      </c>
      <c r="C5553" s="123">
        <v>10714207097</v>
      </c>
      <c r="D5553" s="126" t="s">
        <v>19675</v>
      </c>
      <c r="E5553" s="126" t="s">
        <v>19676</v>
      </c>
      <c r="F5553" s="123" t="s">
        <v>30</v>
      </c>
      <c r="G5553" s="123" t="s">
        <v>30</v>
      </c>
      <c r="H5553" s="123" t="s">
        <v>45</v>
      </c>
      <c r="I5553" s="126" t="s">
        <v>1706</v>
      </c>
      <c r="J5553" s="123" t="s">
        <v>19677</v>
      </c>
      <c r="K5553" s="123" t="s">
        <v>19675</v>
      </c>
      <c r="L5553" s="131" t="s">
        <v>100</v>
      </c>
      <c r="M5553" s="135" t="s">
        <v>845</v>
      </c>
      <c r="N5553" s="123" t="s">
        <v>845</v>
      </c>
    </row>
    <row r="5554" spans="2:14" hidden="1" x14ac:dyDescent="0.25">
      <c r="B5554" s="120">
        <v>5551</v>
      </c>
      <c r="C5554" s="123">
        <v>10256669248</v>
      </c>
      <c r="D5554" s="126" t="s">
        <v>19678</v>
      </c>
      <c r="E5554" s="126" t="s">
        <v>19679</v>
      </c>
      <c r="F5554" s="123" t="s">
        <v>30</v>
      </c>
      <c r="G5554" s="123" t="s">
        <v>168</v>
      </c>
      <c r="H5554" s="123" t="s">
        <v>169</v>
      </c>
      <c r="I5554" s="126" t="s">
        <v>1936</v>
      </c>
      <c r="J5554" s="123" t="s">
        <v>5615</v>
      </c>
      <c r="K5554" s="123" t="s">
        <v>19680</v>
      </c>
      <c r="L5554" s="131" t="s">
        <v>100</v>
      </c>
      <c r="M5554" s="135" t="s">
        <v>845</v>
      </c>
      <c r="N5554" s="123" t="s">
        <v>845</v>
      </c>
    </row>
    <row r="5555" spans="2:14" hidden="1" x14ac:dyDescent="0.25">
      <c r="B5555" s="120">
        <v>5552</v>
      </c>
      <c r="C5555" s="123">
        <v>10434942468</v>
      </c>
      <c r="D5555" s="126" t="s">
        <v>19681</v>
      </c>
      <c r="E5555" s="126" t="s">
        <v>19682</v>
      </c>
      <c r="F5555" s="123" t="s">
        <v>30</v>
      </c>
      <c r="G5555" s="123" t="s">
        <v>30</v>
      </c>
      <c r="H5555" s="123" t="s">
        <v>30</v>
      </c>
      <c r="I5555" s="126" t="s">
        <v>1930</v>
      </c>
      <c r="J5555" s="123" t="s">
        <v>19683</v>
      </c>
      <c r="K5555" s="123" t="s">
        <v>19684</v>
      </c>
      <c r="L5555" s="131" t="s">
        <v>100</v>
      </c>
      <c r="M5555" s="135" t="s">
        <v>845</v>
      </c>
      <c r="N5555" s="123" t="s">
        <v>845</v>
      </c>
    </row>
    <row r="5556" spans="2:14" hidden="1" x14ac:dyDescent="0.25">
      <c r="B5556" s="120">
        <v>5553</v>
      </c>
      <c r="C5556" s="123">
        <v>10467990018</v>
      </c>
      <c r="D5556" s="126" t="s">
        <v>19685</v>
      </c>
      <c r="E5556" s="126" t="s">
        <v>19686</v>
      </c>
      <c r="F5556" s="123" t="s">
        <v>30</v>
      </c>
      <c r="G5556" s="123" t="s">
        <v>170</v>
      </c>
      <c r="H5556" s="123" t="s">
        <v>171</v>
      </c>
      <c r="I5556" s="126" t="s">
        <v>1428</v>
      </c>
      <c r="J5556" s="123" t="s">
        <v>19687</v>
      </c>
      <c r="K5556" s="123" t="s">
        <v>19685</v>
      </c>
      <c r="L5556" s="131" t="s">
        <v>100</v>
      </c>
      <c r="M5556" s="135" t="s">
        <v>845</v>
      </c>
      <c r="N5556" s="123" t="s">
        <v>845</v>
      </c>
    </row>
    <row r="5557" spans="2:14" hidden="1" x14ac:dyDescent="0.25">
      <c r="B5557" s="120">
        <v>5554</v>
      </c>
      <c r="C5557" s="123">
        <v>10725822486</v>
      </c>
      <c r="D5557" s="126" t="s">
        <v>19688</v>
      </c>
      <c r="E5557" s="126" t="s">
        <v>19689</v>
      </c>
      <c r="F5557" s="123" t="s">
        <v>201</v>
      </c>
      <c r="G5557" s="123" t="s">
        <v>201</v>
      </c>
      <c r="H5557" s="123" t="s">
        <v>201</v>
      </c>
      <c r="I5557" s="126" t="s">
        <v>1701</v>
      </c>
      <c r="J5557" s="123" t="s">
        <v>19690</v>
      </c>
      <c r="K5557" s="123" t="s">
        <v>19688</v>
      </c>
      <c r="L5557" s="131" t="s">
        <v>100</v>
      </c>
      <c r="M5557" s="135" t="s">
        <v>845</v>
      </c>
      <c r="N5557" s="123" t="s">
        <v>845</v>
      </c>
    </row>
    <row r="5558" spans="2:14" hidden="1" x14ac:dyDescent="0.25">
      <c r="B5558" s="120">
        <v>5555</v>
      </c>
      <c r="C5558" s="123">
        <v>10433938157</v>
      </c>
      <c r="D5558" s="126" t="s">
        <v>19691</v>
      </c>
      <c r="E5558" s="126" t="s">
        <v>19692</v>
      </c>
      <c r="F5558" s="123" t="s">
        <v>30</v>
      </c>
      <c r="G5558" s="123" t="s">
        <v>30</v>
      </c>
      <c r="H5558" s="123" t="s">
        <v>45</v>
      </c>
      <c r="I5558" s="126" t="s">
        <v>1941</v>
      </c>
      <c r="J5558" s="123" t="s">
        <v>19693</v>
      </c>
      <c r="K5558" s="123" t="s">
        <v>19691</v>
      </c>
      <c r="L5558" s="131" t="s">
        <v>100</v>
      </c>
      <c r="M5558" s="135" t="s">
        <v>845</v>
      </c>
      <c r="N5558" s="123" t="s">
        <v>845</v>
      </c>
    </row>
    <row r="5559" spans="2:14" hidden="1" x14ac:dyDescent="0.25">
      <c r="B5559" s="120">
        <v>5556</v>
      </c>
      <c r="C5559" s="123">
        <v>10419416121</v>
      </c>
      <c r="D5559" s="126" t="s">
        <v>19694</v>
      </c>
      <c r="E5559" s="126" t="s">
        <v>19695</v>
      </c>
      <c r="F5559" s="123" t="s">
        <v>30</v>
      </c>
      <c r="G5559" s="123" t="s">
        <v>48</v>
      </c>
      <c r="H5559" s="123" t="s">
        <v>159</v>
      </c>
      <c r="I5559" s="126" t="s">
        <v>1701</v>
      </c>
      <c r="J5559" s="123" t="s">
        <v>19696</v>
      </c>
      <c r="K5559" s="123" t="s">
        <v>19694</v>
      </c>
      <c r="L5559" s="131" t="s">
        <v>100</v>
      </c>
      <c r="M5559" s="135" t="s">
        <v>845</v>
      </c>
      <c r="N5559" s="123" t="s">
        <v>845</v>
      </c>
    </row>
    <row r="5560" spans="2:14" hidden="1" x14ac:dyDescent="0.25">
      <c r="B5560" s="120">
        <v>5557</v>
      </c>
      <c r="C5560" s="123">
        <v>10419920237</v>
      </c>
      <c r="D5560" s="126" t="s">
        <v>19697</v>
      </c>
      <c r="E5560" s="126" t="s">
        <v>19698</v>
      </c>
      <c r="F5560" s="123" t="s">
        <v>30</v>
      </c>
      <c r="G5560" s="123" t="s">
        <v>31</v>
      </c>
      <c r="H5560" s="123" t="s">
        <v>150</v>
      </c>
      <c r="I5560" s="126" t="s">
        <v>1931</v>
      </c>
      <c r="J5560" s="123" t="s">
        <v>19699</v>
      </c>
      <c r="K5560" s="123" t="s">
        <v>19697</v>
      </c>
      <c r="L5560" s="131" t="s">
        <v>100</v>
      </c>
      <c r="M5560" s="135" t="s">
        <v>845</v>
      </c>
      <c r="N5560" s="123" t="s">
        <v>845</v>
      </c>
    </row>
    <row r="5561" spans="2:14" hidden="1" x14ac:dyDescent="0.25">
      <c r="B5561" s="120">
        <v>5558</v>
      </c>
      <c r="C5561" s="123">
        <v>10707710913</v>
      </c>
      <c r="D5561" s="126" t="s">
        <v>19700</v>
      </c>
      <c r="E5561" s="126" t="s">
        <v>19701</v>
      </c>
      <c r="F5561" s="123" t="s">
        <v>30</v>
      </c>
      <c r="G5561" s="123" t="s">
        <v>30</v>
      </c>
      <c r="H5561" s="123" t="s">
        <v>35</v>
      </c>
      <c r="I5561" s="126" t="s">
        <v>1931</v>
      </c>
      <c r="J5561" s="123" t="s">
        <v>19702</v>
      </c>
      <c r="K5561" s="123" t="s">
        <v>19700</v>
      </c>
      <c r="L5561" s="131" t="s">
        <v>100</v>
      </c>
      <c r="M5561" s="135" t="s">
        <v>845</v>
      </c>
      <c r="N5561" s="123" t="s">
        <v>845</v>
      </c>
    </row>
    <row r="5562" spans="2:14" hidden="1" x14ac:dyDescent="0.25">
      <c r="B5562" s="120">
        <v>5559</v>
      </c>
      <c r="C5562" s="123">
        <v>10400237170</v>
      </c>
      <c r="D5562" s="126" t="s">
        <v>19703</v>
      </c>
      <c r="E5562" s="126" t="s">
        <v>19704</v>
      </c>
      <c r="F5562" s="123" t="s">
        <v>30</v>
      </c>
      <c r="G5562" s="123" t="s">
        <v>30</v>
      </c>
      <c r="H5562" s="123" t="s">
        <v>103</v>
      </c>
      <c r="I5562" s="126" t="s">
        <v>1701</v>
      </c>
      <c r="J5562" s="123" t="s">
        <v>19705</v>
      </c>
      <c r="K5562" s="123" t="s">
        <v>19703</v>
      </c>
      <c r="L5562" s="131" t="s">
        <v>100</v>
      </c>
      <c r="M5562" s="135" t="s">
        <v>845</v>
      </c>
      <c r="N5562" s="123" t="s">
        <v>845</v>
      </c>
    </row>
    <row r="5563" spans="2:14" hidden="1" x14ac:dyDescent="0.25">
      <c r="B5563" s="120">
        <v>5560</v>
      </c>
      <c r="C5563" s="123">
        <v>10405875581</v>
      </c>
      <c r="D5563" s="126" t="s">
        <v>19706</v>
      </c>
      <c r="E5563" s="126" t="s">
        <v>19707</v>
      </c>
      <c r="F5563" s="123" t="s">
        <v>30</v>
      </c>
      <c r="G5563" s="123" t="s">
        <v>30</v>
      </c>
      <c r="H5563" s="123" t="s">
        <v>103</v>
      </c>
      <c r="I5563" s="126" t="s">
        <v>1931</v>
      </c>
      <c r="J5563" s="123" t="s">
        <v>19708</v>
      </c>
      <c r="K5563" s="123" t="s">
        <v>19706</v>
      </c>
      <c r="L5563" s="131" t="s">
        <v>100</v>
      </c>
      <c r="M5563" s="135" t="s">
        <v>845</v>
      </c>
      <c r="N5563" s="123" t="s">
        <v>845</v>
      </c>
    </row>
    <row r="5564" spans="2:14" hidden="1" x14ac:dyDescent="0.25">
      <c r="B5564" s="120">
        <v>5561</v>
      </c>
      <c r="C5564" s="123">
        <v>10420270572</v>
      </c>
      <c r="D5564" s="126" t="s">
        <v>19709</v>
      </c>
      <c r="E5564" s="126" t="s">
        <v>19710</v>
      </c>
      <c r="F5564" s="123" t="s">
        <v>30</v>
      </c>
      <c r="G5564" s="123" t="s">
        <v>30</v>
      </c>
      <c r="H5564" s="123" t="s">
        <v>43</v>
      </c>
      <c r="I5564" s="126" t="s">
        <v>1957</v>
      </c>
      <c r="J5564" s="123" t="s">
        <v>19711</v>
      </c>
      <c r="K5564" s="123" t="s">
        <v>19709</v>
      </c>
      <c r="L5564" s="131" t="s">
        <v>100</v>
      </c>
      <c r="M5564" s="135" t="s">
        <v>845</v>
      </c>
      <c r="N5564" s="123" t="s">
        <v>845</v>
      </c>
    </row>
    <row r="5565" spans="2:14" hidden="1" x14ac:dyDescent="0.25">
      <c r="B5565" s="120">
        <v>5562</v>
      </c>
      <c r="C5565" s="123">
        <v>10423634460</v>
      </c>
      <c r="D5565" s="126" t="s">
        <v>19712</v>
      </c>
      <c r="E5565" s="126" t="s">
        <v>19713</v>
      </c>
      <c r="F5565" s="123" t="s">
        <v>30</v>
      </c>
      <c r="G5565" s="123" t="s">
        <v>170</v>
      </c>
      <c r="H5565" s="123" t="s">
        <v>171</v>
      </c>
      <c r="I5565" s="126" t="s">
        <v>1930</v>
      </c>
      <c r="J5565" s="123" t="s">
        <v>19714</v>
      </c>
      <c r="K5565" s="123" t="s">
        <v>19712</v>
      </c>
      <c r="L5565" s="131" t="s">
        <v>100</v>
      </c>
      <c r="M5565" s="135" t="s">
        <v>845</v>
      </c>
      <c r="N5565" s="123" t="s">
        <v>845</v>
      </c>
    </row>
    <row r="5566" spans="2:14" hidden="1" x14ac:dyDescent="0.25">
      <c r="B5566" s="120">
        <v>5563</v>
      </c>
      <c r="C5566" s="123">
        <v>10098482526</v>
      </c>
      <c r="D5566" s="126" t="s">
        <v>19715</v>
      </c>
      <c r="E5566" s="126" t="s">
        <v>19716</v>
      </c>
      <c r="F5566" s="123" t="s">
        <v>30</v>
      </c>
      <c r="G5566" s="123" t="s">
        <v>30</v>
      </c>
      <c r="H5566" s="123" t="s">
        <v>51</v>
      </c>
      <c r="I5566" s="126" t="s">
        <v>9769</v>
      </c>
      <c r="J5566" s="123" t="s">
        <v>19717</v>
      </c>
      <c r="K5566" s="123" t="s">
        <v>19715</v>
      </c>
      <c r="L5566" s="131" t="s">
        <v>100</v>
      </c>
      <c r="M5566" s="135" t="s">
        <v>845</v>
      </c>
      <c r="N5566" s="123" t="s">
        <v>845</v>
      </c>
    </row>
    <row r="5567" spans="2:14" hidden="1" x14ac:dyDescent="0.25">
      <c r="B5567" s="120">
        <v>5564</v>
      </c>
      <c r="C5567" s="123">
        <v>10710681274</v>
      </c>
      <c r="D5567" s="126" t="s">
        <v>19718</v>
      </c>
      <c r="E5567" s="126" t="s">
        <v>19719</v>
      </c>
      <c r="F5567" s="123" t="s">
        <v>30</v>
      </c>
      <c r="G5567" s="123" t="s">
        <v>30</v>
      </c>
      <c r="H5567" s="123" t="s">
        <v>88</v>
      </c>
      <c r="I5567" s="126" t="s">
        <v>1935</v>
      </c>
      <c r="J5567" s="123" t="s">
        <v>19720</v>
      </c>
      <c r="K5567" s="123" t="s">
        <v>19718</v>
      </c>
      <c r="L5567" s="131" t="s">
        <v>100</v>
      </c>
      <c r="M5567" s="135" t="s">
        <v>845</v>
      </c>
      <c r="N5567" s="123" t="s">
        <v>845</v>
      </c>
    </row>
    <row r="5568" spans="2:14" hidden="1" x14ac:dyDescent="0.25">
      <c r="B5568" s="120">
        <v>5565</v>
      </c>
      <c r="C5568" s="123">
        <v>10438451281</v>
      </c>
      <c r="D5568" s="126" t="s">
        <v>19721</v>
      </c>
      <c r="E5568" s="126" t="s">
        <v>19722</v>
      </c>
      <c r="F5568" s="123" t="s">
        <v>67</v>
      </c>
      <c r="G5568" s="123" t="s">
        <v>67</v>
      </c>
      <c r="H5568" s="123" t="s">
        <v>94</v>
      </c>
      <c r="I5568" s="126" t="s">
        <v>10829</v>
      </c>
      <c r="J5568" s="123" t="s">
        <v>19723</v>
      </c>
      <c r="K5568" s="123" t="s">
        <v>19721</v>
      </c>
      <c r="L5568" s="131" t="s">
        <v>100</v>
      </c>
      <c r="M5568" s="135" t="s">
        <v>845</v>
      </c>
      <c r="N5568" s="123" t="s">
        <v>845</v>
      </c>
    </row>
    <row r="5569" spans="2:14" hidden="1" x14ac:dyDescent="0.25">
      <c r="B5569" s="120">
        <v>5566</v>
      </c>
      <c r="C5569" s="123">
        <v>10474306645</v>
      </c>
      <c r="D5569" s="126" t="s">
        <v>19724</v>
      </c>
      <c r="E5569" s="126" t="s">
        <v>19725</v>
      </c>
      <c r="F5569" s="123" t="s">
        <v>30</v>
      </c>
      <c r="G5569" s="123" t="s">
        <v>170</v>
      </c>
      <c r="H5569" s="123" t="s">
        <v>171</v>
      </c>
      <c r="I5569" s="126" t="s">
        <v>1954</v>
      </c>
      <c r="J5569" s="123" t="s">
        <v>19726</v>
      </c>
      <c r="K5569" s="123" t="s">
        <v>19724</v>
      </c>
      <c r="L5569" s="131" t="s">
        <v>100</v>
      </c>
      <c r="M5569" s="135" t="s">
        <v>845</v>
      </c>
      <c r="N5569" s="123" t="s">
        <v>845</v>
      </c>
    </row>
    <row r="5570" spans="2:14" hidden="1" x14ac:dyDescent="0.25">
      <c r="B5570" s="120">
        <v>5567</v>
      </c>
      <c r="C5570" s="123">
        <v>10423094597</v>
      </c>
      <c r="D5570" s="126" t="s">
        <v>19727</v>
      </c>
      <c r="E5570" s="126" t="s">
        <v>19728</v>
      </c>
      <c r="F5570" s="123" t="s">
        <v>30</v>
      </c>
      <c r="G5570" s="123" t="s">
        <v>30</v>
      </c>
      <c r="H5570" s="123" t="s">
        <v>38</v>
      </c>
      <c r="I5570" s="126" t="s">
        <v>1931</v>
      </c>
      <c r="J5570" s="123" t="s">
        <v>19729</v>
      </c>
      <c r="K5570" s="123" t="s">
        <v>19727</v>
      </c>
      <c r="L5570" s="131" t="s">
        <v>100</v>
      </c>
      <c r="M5570" s="135" t="s">
        <v>845</v>
      </c>
      <c r="N5570" s="123" t="s">
        <v>845</v>
      </c>
    </row>
    <row r="5571" spans="2:14" hidden="1" x14ac:dyDescent="0.25">
      <c r="B5571" s="120">
        <v>5568</v>
      </c>
      <c r="C5571" s="123">
        <v>10735967059</v>
      </c>
      <c r="D5571" s="126" t="s">
        <v>19730</v>
      </c>
      <c r="E5571" s="126" t="s">
        <v>19731</v>
      </c>
      <c r="F5571" s="123" t="s">
        <v>30</v>
      </c>
      <c r="G5571" s="123" t="s">
        <v>168</v>
      </c>
      <c r="H5571" s="123" t="s">
        <v>168</v>
      </c>
      <c r="I5571" s="126" t="s">
        <v>1952</v>
      </c>
      <c r="J5571" s="123" t="s">
        <v>19732</v>
      </c>
      <c r="K5571" s="123" t="s">
        <v>19730</v>
      </c>
      <c r="L5571" s="131" t="s">
        <v>100</v>
      </c>
      <c r="M5571" s="135" t="s">
        <v>845</v>
      </c>
      <c r="N5571" s="123" t="s">
        <v>845</v>
      </c>
    </row>
    <row r="5572" spans="2:14" hidden="1" x14ac:dyDescent="0.25">
      <c r="B5572" s="120">
        <v>5569</v>
      </c>
      <c r="C5572" s="123">
        <v>10736288333</v>
      </c>
      <c r="D5572" s="126" t="s">
        <v>19733</v>
      </c>
      <c r="E5572" s="126" t="s">
        <v>19734</v>
      </c>
      <c r="F5572" s="123" t="s">
        <v>30</v>
      </c>
      <c r="G5572" s="123" t="s">
        <v>30</v>
      </c>
      <c r="H5572" s="123" t="s">
        <v>50</v>
      </c>
      <c r="I5572" s="126" t="s">
        <v>1424</v>
      </c>
      <c r="J5572" s="123" t="s">
        <v>19735</v>
      </c>
      <c r="K5572" s="123" t="s">
        <v>19736</v>
      </c>
      <c r="L5572" s="131" t="s">
        <v>100</v>
      </c>
      <c r="M5572" s="135" t="s">
        <v>845</v>
      </c>
      <c r="N5572" s="123" t="s">
        <v>845</v>
      </c>
    </row>
    <row r="5573" spans="2:14" hidden="1" x14ac:dyDescent="0.25">
      <c r="B5573" s="120">
        <v>5570</v>
      </c>
      <c r="C5573" s="123">
        <v>10445412843</v>
      </c>
      <c r="D5573" s="126" t="s">
        <v>19737</v>
      </c>
      <c r="E5573" s="126" t="s">
        <v>19738</v>
      </c>
      <c r="F5573" s="123" t="s">
        <v>30</v>
      </c>
      <c r="G5573" s="123" t="s">
        <v>30</v>
      </c>
      <c r="H5573" s="123" t="s">
        <v>34</v>
      </c>
      <c r="I5573" s="126" t="s">
        <v>1564</v>
      </c>
      <c r="J5573" s="123" t="s">
        <v>19739</v>
      </c>
      <c r="K5573" s="123" t="s">
        <v>19737</v>
      </c>
      <c r="L5573" s="131" t="s">
        <v>100</v>
      </c>
      <c r="M5573" s="135" t="s">
        <v>845</v>
      </c>
      <c r="N5573" s="123" t="s">
        <v>845</v>
      </c>
    </row>
    <row r="5574" spans="2:14" hidden="1" x14ac:dyDescent="0.25">
      <c r="B5574" s="120">
        <v>5571</v>
      </c>
      <c r="C5574" s="123">
        <v>10456260409</v>
      </c>
      <c r="D5574" s="126" t="s">
        <v>19740</v>
      </c>
      <c r="E5574" s="126" t="s">
        <v>19741</v>
      </c>
      <c r="F5574" s="123" t="s">
        <v>30</v>
      </c>
      <c r="G5574" s="123" t="s">
        <v>30</v>
      </c>
      <c r="H5574" s="123" t="s">
        <v>43</v>
      </c>
      <c r="I5574" s="126" t="s">
        <v>1960</v>
      </c>
      <c r="J5574" s="123" t="s">
        <v>19742</v>
      </c>
      <c r="K5574" s="123" t="s">
        <v>19740</v>
      </c>
      <c r="L5574" s="131" t="s">
        <v>100</v>
      </c>
      <c r="M5574" s="135" t="s">
        <v>845</v>
      </c>
      <c r="N5574" s="123" t="s">
        <v>845</v>
      </c>
    </row>
    <row r="5575" spans="2:14" hidden="1" x14ac:dyDescent="0.25">
      <c r="B5575" s="120">
        <v>5572</v>
      </c>
      <c r="C5575" s="123">
        <v>10094784391</v>
      </c>
      <c r="D5575" s="126" t="s">
        <v>19743</v>
      </c>
      <c r="E5575" s="126" t="s">
        <v>19744</v>
      </c>
      <c r="F5575" s="123" t="s">
        <v>67</v>
      </c>
      <c r="G5575" s="123" t="s">
        <v>67</v>
      </c>
      <c r="H5575" s="123" t="s">
        <v>67</v>
      </c>
      <c r="I5575" s="126" t="s">
        <v>1946</v>
      </c>
      <c r="J5575" s="123" t="s">
        <v>19745</v>
      </c>
      <c r="K5575" s="123" t="s">
        <v>19743</v>
      </c>
      <c r="L5575" s="131" t="s">
        <v>100</v>
      </c>
      <c r="M5575" s="135" t="s">
        <v>845</v>
      </c>
      <c r="N5575" s="123" t="s">
        <v>845</v>
      </c>
    </row>
    <row r="5576" spans="2:14" hidden="1" x14ac:dyDescent="0.25">
      <c r="B5576" s="120">
        <v>5573</v>
      </c>
      <c r="C5576" s="123">
        <v>10102271365</v>
      </c>
      <c r="D5576" s="126" t="s">
        <v>19746</v>
      </c>
      <c r="E5576" s="126" t="s">
        <v>19747</v>
      </c>
      <c r="F5576" s="123" t="s">
        <v>30</v>
      </c>
      <c r="G5576" s="123" t="s">
        <v>30</v>
      </c>
      <c r="H5576" s="123" t="s">
        <v>60</v>
      </c>
      <c r="I5576" s="126" t="s">
        <v>1595</v>
      </c>
      <c r="J5576" s="123" t="s">
        <v>19748</v>
      </c>
      <c r="K5576" s="123" t="s">
        <v>19746</v>
      </c>
      <c r="L5576" s="131" t="s">
        <v>100</v>
      </c>
      <c r="M5576" s="135" t="s">
        <v>845</v>
      </c>
      <c r="N5576" s="123" t="s">
        <v>845</v>
      </c>
    </row>
    <row r="5577" spans="2:14" hidden="1" x14ac:dyDescent="0.25">
      <c r="B5577" s="120">
        <v>5574</v>
      </c>
      <c r="C5577" s="123">
        <v>10468523502</v>
      </c>
      <c r="D5577" s="126" t="s">
        <v>19749</v>
      </c>
      <c r="E5577" s="126" t="s">
        <v>19750</v>
      </c>
      <c r="F5577" s="123" t="s">
        <v>30</v>
      </c>
      <c r="G5577" s="123" t="s">
        <v>30</v>
      </c>
      <c r="H5577" s="123" t="s">
        <v>37</v>
      </c>
      <c r="I5577" s="126" t="s">
        <v>1701</v>
      </c>
      <c r="J5577" s="123" t="s">
        <v>19751</v>
      </c>
      <c r="K5577" s="123" t="s">
        <v>19749</v>
      </c>
      <c r="L5577" s="131" t="s">
        <v>100</v>
      </c>
      <c r="M5577" s="135" t="s">
        <v>845</v>
      </c>
      <c r="N5577" s="123" t="s">
        <v>845</v>
      </c>
    </row>
    <row r="5578" spans="2:14" hidden="1" x14ac:dyDescent="0.25">
      <c r="B5578" s="120">
        <v>5575</v>
      </c>
      <c r="C5578" s="123">
        <v>10070593411</v>
      </c>
      <c r="D5578" s="126" t="s">
        <v>19752</v>
      </c>
      <c r="E5578" s="126" t="s">
        <v>19753</v>
      </c>
      <c r="F5578" s="123" t="s">
        <v>30</v>
      </c>
      <c r="G5578" s="123" t="s">
        <v>30</v>
      </c>
      <c r="H5578" s="123" t="s">
        <v>72</v>
      </c>
      <c r="I5578" s="126" t="s">
        <v>1424</v>
      </c>
      <c r="J5578" s="123" t="s">
        <v>19754</v>
      </c>
      <c r="K5578" s="123" t="s">
        <v>19752</v>
      </c>
      <c r="L5578" s="131" t="s">
        <v>100</v>
      </c>
      <c r="M5578" s="135" t="s">
        <v>845</v>
      </c>
      <c r="N5578" s="123" t="s">
        <v>845</v>
      </c>
    </row>
    <row r="5579" spans="2:14" hidden="1" x14ac:dyDescent="0.25">
      <c r="B5579" s="120">
        <v>5576</v>
      </c>
      <c r="C5579" s="123">
        <v>10155929621</v>
      </c>
      <c r="D5579" s="126" t="s">
        <v>19755</v>
      </c>
      <c r="E5579" s="126" t="s">
        <v>19756</v>
      </c>
      <c r="F5579" s="123" t="s">
        <v>30</v>
      </c>
      <c r="G5579" s="123" t="s">
        <v>170</v>
      </c>
      <c r="H5579" s="123" t="s">
        <v>171</v>
      </c>
      <c r="I5579" s="126" t="s">
        <v>8698</v>
      </c>
      <c r="J5579" s="123" t="s">
        <v>19757</v>
      </c>
      <c r="K5579" s="123" t="s">
        <v>19755</v>
      </c>
      <c r="L5579" s="131" t="s">
        <v>100</v>
      </c>
      <c r="M5579" s="135" t="s">
        <v>845</v>
      </c>
      <c r="N5579" s="123" t="s">
        <v>845</v>
      </c>
    </row>
    <row r="5580" spans="2:14" hidden="1" x14ac:dyDescent="0.25">
      <c r="B5580" s="120">
        <v>5577</v>
      </c>
      <c r="C5580" s="123">
        <v>10413483030</v>
      </c>
      <c r="D5580" s="126" t="s">
        <v>19758</v>
      </c>
      <c r="E5580" s="126" t="s">
        <v>19759</v>
      </c>
      <c r="F5580" s="123" t="s">
        <v>67</v>
      </c>
      <c r="G5580" s="123" t="s">
        <v>67</v>
      </c>
      <c r="H5580" s="123" t="s">
        <v>94</v>
      </c>
      <c r="I5580" s="126" t="s">
        <v>19760</v>
      </c>
      <c r="J5580" s="123" t="s">
        <v>19761</v>
      </c>
      <c r="K5580" s="123" t="s">
        <v>19762</v>
      </c>
      <c r="L5580" s="131" t="s">
        <v>100</v>
      </c>
      <c r="M5580" s="135" t="s">
        <v>845</v>
      </c>
      <c r="N5580" s="123" t="s">
        <v>845</v>
      </c>
    </row>
    <row r="5581" spans="2:14" hidden="1" x14ac:dyDescent="0.25">
      <c r="B5581" s="120">
        <v>5578</v>
      </c>
      <c r="C5581" s="123">
        <v>10166952986</v>
      </c>
      <c r="D5581" s="126" t="s">
        <v>19763</v>
      </c>
      <c r="E5581" s="126" t="s">
        <v>19764</v>
      </c>
      <c r="F5581" s="123" t="s">
        <v>30</v>
      </c>
      <c r="G5581" s="123" t="s">
        <v>30</v>
      </c>
      <c r="H5581" s="123" t="s">
        <v>64</v>
      </c>
      <c r="I5581" s="126" t="s">
        <v>1701</v>
      </c>
      <c r="J5581" s="123" t="s">
        <v>19765</v>
      </c>
      <c r="K5581" s="123" t="s">
        <v>19763</v>
      </c>
      <c r="L5581" s="131" t="s">
        <v>100</v>
      </c>
      <c r="M5581" s="135" t="s">
        <v>845</v>
      </c>
      <c r="N5581" s="123" t="s">
        <v>845</v>
      </c>
    </row>
    <row r="5582" spans="2:14" hidden="1" x14ac:dyDescent="0.25">
      <c r="B5582" s="120">
        <v>5579</v>
      </c>
      <c r="C5582" s="123">
        <v>10097016254</v>
      </c>
      <c r="D5582" s="126" t="s">
        <v>19766</v>
      </c>
      <c r="E5582" s="126" t="s">
        <v>19767</v>
      </c>
      <c r="F5582" s="123" t="s">
        <v>30</v>
      </c>
      <c r="G5582" s="123" t="s">
        <v>30</v>
      </c>
      <c r="H5582" s="123" t="s">
        <v>51</v>
      </c>
      <c r="I5582" s="126" t="s">
        <v>8743</v>
      </c>
      <c r="J5582" s="123" t="s">
        <v>19768</v>
      </c>
      <c r="K5582" s="123" t="s">
        <v>19766</v>
      </c>
      <c r="L5582" s="131" t="s">
        <v>100</v>
      </c>
      <c r="M5582" s="135" t="s">
        <v>845</v>
      </c>
      <c r="N5582" s="123" t="s">
        <v>845</v>
      </c>
    </row>
    <row r="5583" spans="2:14" hidden="1" x14ac:dyDescent="0.25">
      <c r="B5583" s="120">
        <v>5580</v>
      </c>
      <c r="C5583" s="123">
        <v>10409858151</v>
      </c>
      <c r="D5583" s="126" t="s">
        <v>19769</v>
      </c>
      <c r="E5583" s="126" t="s">
        <v>19770</v>
      </c>
      <c r="F5583" s="123" t="s">
        <v>30</v>
      </c>
      <c r="G5583" s="123" t="s">
        <v>30</v>
      </c>
      <c r="H5583" s="123" t="s">
        <v>50</v>
      </c>
      <c r="I5583" s="126" t="s">
        <v>1701</v>
      </c>
      <c r="J5583" s="123" t="s">
        <v>19771</v>
      </c>
      <c r="K5583" s="123" t="s">
        <v>19769</v>
      </c>
      <c r="L5583" s="131" t="s">
        <v>100</v>
      </c>
      <c r="M5583" s="135" t="s">
        <v>845</v>
      </c>
      <c r="N5583" s="123" t="s">
        <v>845</v>
      </c>
    </row>
    <row r="5584" spans="2:14" hidden="1" x14ac:dyDescent="0.25">
      <c r="B5584" s="120">
        <v>5581</v>
      </c>
      <c r="C5584" s="123">
        <v>10464359759</v>
      </c>
      <c r="D5584" s="126" t="s">
        <v>19772</v>
      </c>
      <c r="E5584" s="126" t="s">
        <v>19773</v>
      </c>
      <c r="F5584" s="123" t="s">
        <v>30</v>
      </c>
      <c r="G5584" s="123" t="s">
        <v>30</v>
      </c>
      <c r="H5584" s="123" t="s">
        <v>50</v>
      </c>
      <c r="I5584" s="126" t="s">
        <v>1942</v>
      </c>
      <c r="J5584" s="123" t="s">
        <v>19774</v>
      </c>
      <c r="K5584" s="123" t="s">
        <v>19772</v>
      </c>
      <c r="L5584" s="131" t="s">
        <v>100</v>
      </c>
      <c r="M5584" s="135" t="s">
        <v>845</v>
      </c>
      <c r="N5584" s="123" t="s">
        <v>845</v>
      </c>
    </row>
    <row r="5585" spans="2:14" hidden="1" x14ac:dyDescent="0.25">
      <c r="B5585" s="120">
        <v>5582</v>
      </c>
      <c r="C5585" s="123">
        <v>10410940341</v>
      </c>
      <c r="D5585" s="126" t="s">
        <v>19775</v>
      </c>
      <c r="E5585" s="126" t="s">
        <v>19776</v>
      </c>
      <c r="F5585" s="123" t="s">
        <v>30</v>
      </c>
      <c r="G5585" s="123" t="s">
        <v>30</v>
      </c>
      <c r="H5585" s="123" t="s">
        <v>64</v>
      </c>
      <c r="I5585" s="126" t="s">
        <v>19760</v>
      </c>
      <c r="J5585" s="123" t="s">
        <v>19777</v>
      </c>
      <c r="K5585" s="123" t="s">
        <v>19775</v>
      </c>
      <c r="L5585" s="131" t="s">
        <v>100</v>
      </c>
      <c r="M5585" s="135" t="s">
        <v>845</v>
      </c>
      <c r="N5585" s="123" t="s">
        <v>845</v>
      </c>
    </row>
    <row r="5586" spans="2:14" hidden="1" x14ac:dyDescent="0.25">
      <c r="B5586" s="120">
        <v>5583</v>
      </c>
      <c r="C5586" s="123">
        <v>10707733573</v>
      </c>
      <c r="D5586" s="126" t="s">
        <v>19778</v>
      </c>
      <c r="E5586" s="126" t="s">
        <v>19779</v>
      </c>
      <c r="F5586" s="123" t="s">
        <v>30</v>
      </c>
      <c r="G5586" s="123" t="s">
        <v>30</v>
      </c>
      <c r="H5586" s="123" t="s">
        <v>250</v>
      </c>
      <c r="I5586" s="126" t="s">
        <v>19780</v>
      </c>
      <c r="J5586" s="123" t="s">
        <v>19781</v>
      </c>
      <c r="K5586" s="123" t="s">
        <v>19778</v>
      </c>
      <c r="L5586" s="131" t="s">
        <v>100</v>
      </c>
      <c r="M5586" s="135" t="s">
        <v>845</v>
      </c>
      <c r="N5586" s="123" t="s">
        <v>845</v>
      </c>
    </row>
    <row r="5587" spans="2:14" hidden="1" x14ac:dyDescent="0.25">
      <c r="B5587" s="120">
        <v>5584</v>
      </c>
      <c r="C5587" s="123">
        <v>10712813062</v>
      </c>
      <c r="D5587" s="126" t="s">
        <v>19782</v>
      </c>
      <c r="E5587" s="126" t="s">
        <v>19783</v>
      </c>
      <c r="F5587" s="123" t="s">
        <v>30</v>
      </c>
      <c r="G5587" s="123" t="s">
        <v>30</v>
      </c>
      <c r="H5587" s="123" t="s">
        <v>41</v>
      </c>
      <c r="I5587" s="126" t="s">
        <v>8659</v>
      </c>
      <c r="J5587" s="123" t="s">
        <v>19784</v>
      </c>
      <c r="K5587" s="123" t="s">
        <v>19782</v>
      </c>
      <c r="L5587" s="131" t="s">
        <v>100</v>
      </c>
      <c r="M5587" s="135" t="s">
        <v>845</v>
      </c>
      <c r="N5587" s="123" t="s">
        <v>845</v>
      </c>
    </row>
    <row r="5588" spans="2:14" hidden="1" x14ac:dyDescent="0.25">
      <c r="B5588" s="120">
        <v>5585</v>
      </c>
      <c r="C5588" s="123">
        <v>10729343523</v>
      </c>
      <c r="D5588" s="126" t="s">
        <v>19785</v>
      </c>
      <c r="E5588" s="126" t="s">
        <v>19786</v>
      </c>
      <c r="F5588" s="123" t="s">
        <v>30</v>
      </c>
      <c r="G5588" s="123" t="s">
        <v>30</v>
      </c>
      <c r="H5588" s="123" t="s">
        <v>75</v>
      </c>
      <c r="I5588" s="126" t="s">
        <v>1950</v>
      </c>
      <c r="J5588" s="123" t="s">
        <v>19787</v>
      </c>
      <c r="K5588" s="123" t="s">
        <v>19788</v>
      </c>
      <c r="L5588" s="131" t="s">
        <v>100</v>
      </c>
      <c r="M5588" s="135" t="s">
        <v>845</v>
      </c>
      <c r="N5588" s="123" t="s">
        <v>845</v>
      </c>
    </row>
    <row r="5589" spans="2:14" hidden="1" x14ac:dyDescent="0.25">
      <c r="B5589" s="120">
        <v>5586</v>
      </c>
      <c r="C5589" s="123">
        <v>10440567016</v>
      </c>
      <c r="D5589" s="126" t="s">
        <v>19789</v>
      </c>
      <c r="E5589" s="126" t="s">
        <v>19790</v>
      </c>
      <c r="F5589" s="123" t="s">
        <v>67</v>
      </c>
      <c r="G5589" s="123" t="s">
        <v>67</v>
      </c>
      <c r="H5589" s="123" t="s">
        <v>67</v>
      </c>
      <c r="I5589" s="126" t="s">
        <v>1965</v>
      </c>
      <c r="J5589" s="123" t="s">
        <v>19791</v>
      </c>
      <c r="K5589" s="123" t="s">
        <v>19789</v>
      </c>
      <c r="L5589" s="131" t="s">
        <v>100</v>
      </c>
      <c r="M5589" s="135" t="s">
        <v>845</v>
      </c>
      <c r="N5589" s="123" t="s">
        <v>845</v>
      </c>
    </row>
    <row r="5590" spans="2:14" hidden="1" x14ac:dyDescent="0.25">
      <c r="B5590" s="120">
        <v>5587</v>
      </c>
      <c r="C5590" s="123">
        <v>10470354351</v>
      </c>
      <c r="D5590" s="126" t="s">
        <v>19792</v>
      </c>
      <c r="E5590" s="126" t="s">
        <v>19793</v>
      </c>
      <c r="F5590" s="123" t="s">
        <v>30</v>
      </c>
      <c r="G5590" s="123" t="s">
        <v>168</v>
      </c>
      <c r="H5590" s="123" t="s">
        <v>168</v>
      </c>
      <c r="I5590" s="126" t="s">
        <v>1964</v>
      </c>
      <c r="J5590" s="123" t="s">
        <v>19794</v>
      </c>
      <c r="K5590" s="123" t="s">
        <v>19792</v>
      </c>
      <c r="L5590" s="131" t="s">
        <v>100</v>
      </c>
      <c r="M5590" s="135" t="s">
        <v>845</v>
      </c>
      <c r="N5590" s="123" t="s">
        <v>845</v>
      </c>
    </row>
    <row r="5591" spans="2:14" hidden="1" x14ac:dyDescent="0.25">
      <c r="B5591" s="120">
        <v>5588</v>
      </c>
      <c r="C5591" s="123">
        <v>10157274754</v>
      </c>
      <c r="D5591" s="126" t="s">
        <v>19795</v>
      </c>
      <c r="E5591" s="126" t="s">
        <v>19796</v>
      </c>
      <c r="F5591" s="123" t="s">
        <v>30</v>
      </c>
      <c r="G5591" s="123" t="s">
        <v>170</v>
      </c>
      <c r="H5591" s="123" t="s">
        <v>171</v>
      </c>
      <c r="I5591" s="126" t="s">
        <v>1961</v>
      </c>
      <c r="J5591" s="123" t="s">
        <v>19797</v>
      </c>
      <c r="K5591" s="123" t="s">
        <v>19795</v>
      </c>
      <c r="L5591" s="131" t="s">
        <v>100</v>
      </c>
      <c r="M5591" s="135" t="s">
        <v>845</v>
      </c>
      <c r="N5591" s="123" t="s">
        <v>845</v>
      </c>
    </row>
    <row r="5592" spans="2:14" hidden="1" x14ac:dyDescent="0.25">
      <c r="B5592" s="120">
        <v>5589</v>
      </c>
      <c r="C5592" s="123">
        <v>10086536621</v>
      </c>
      <c r="D5592" s="126" t="s">
        <v>19798</v>
      </c>
      <c r="E5592" s="126" t="s">
        <v>19799</v>
      </c>
      <c r="F5592" s="123" t="s">
        <v>30</v>
      </c>
      <c r="G5592" s="123" t="s">
        <v>30</v>
      </c>
      <c r="H5592" s="123" t="s">
        <v>45</v>
      </c>
      <c r="I5592" s="126" t="s">
        <v>8743</v>
      </c>
      <c r="J5592" s="123" t="s">
        <v>19800</v>
      </c>
      <c r="K5592" s="123" t="s">
        <v>19798</v>
      </c>
      <c r="L5592" s="131" t="s">
        <v>100</v>
      </c>
      <c r="M5592" s="135" t="s">
        <v>845</v>
      </c>
      <c r="N5592" s="123" t="s">
        <v>845</v>
      </c>
    </row>
    <row r="5593" spans="2:14" hidden="1" x14ac:dyDescent="0.25">
      <c r="B5593" s="120">
        <v>5590</v>
      </c>
      <c r="C5593" s="123">
        <v>10415697002</v>
      </c>
      <c r="D5593" s="126" t="s">
        <v>19801</v>
      </c>
      <c r="E5593" s="126" t="s">
        <v>19802</v>
      </c>
      <c r="F5593" s="123" t="s">
        <v>30</v>
      </c>
      <c r="G5593" s="123" t="s">
        <v>30</v>
      </c>
      <c r="H5593" s="123" t="s">
        <v>75</v>
      </c>
      <c r="I5593" s="126" t="s">
        <v>1655</v>
      </c>
      <c r="J5593" s="123" t="s">
        <v>19803</v>
      </c>
      <c r="K5593" s="123" t="s">
        <v>19801</v>
      </c>
      <c r="L5593" s="131" t="s">
        <v>100</v>
      </c>
      <c r="M5593" s="135" t="s">
        <v>845</v>
      </c>
      <c r="N5593" s="123" t="s">
        <v>845</v>
      </c>
    </row>
    <row r="5594" spans="2:14" hidden="1" x14ac:dyDescent="0.25">
      <c r="B5594" s="120">
        <v>5591</v>
      </c>
      <c r="C5594" s="123">
        <v>10104714574</v>
      </c>
      <c r="D5594" s="126" t="s">
        <v>19804</v>
      </c>
      <c r="E5594" s="126" t="s">
        <v>19805</v>
      </c>
      <c r="F5594" s="123" t="s">
        <v>30</v>
      </c>
      <c r="G5594" s="123" t="s">
        <v>30</v>
      </c>
      <c r="H5594" s="123" t="s">
        <v>51</v>
      </c>
      <c r="I5594" s="126" t="s">
        <v>1701</v>
      </c>
      <c r="J5594" s="123" t="s">
        <v>19806</v>
      </c>
      <c r="K5594" s="123" t="s">
        <v>19804</v>
      </c>
      <c r="L5594" s="131" t="s">
        <v>100</v>
      </c>
      <c r="M5594" s="135" t="s">
        <v>845</v>
      </c>
      <c r="N5594" s="123" t="s">
        <v>845</v>
      </c>
    </row>
    <row r="5595" spans="2:14" hidden="1" x14ac:dyDescent="0.25">
      <c r="B5595" s="120">
        <v>5592</v>
      </c>
      <c r="C5595" s="123">
        <v>10464094283</v>
      </c>
      <c r="D5595" s="126" t="s">
        <v>19807</v>
      </c>
      <c r="E5595" s="126" t="s">
        <v>19808</v>
      </c>
      <c r="F5595" s="123" t="s">
        <v>30</v>
      </c>
      <c r="G5595" s="123" t="s">
        <v>30</v>
      </c>
      <c r="H5595" s="123" t="s">
        <v>50</v>
      </c>
      <c r="I5595" s="126" t="s">
        <v>1484</v>
      </c>
      <c r="J5595" s="123" t="s">
        <v>19809</v>
      </c>
      <c r="K5595" s="123" t="s">
        <v>19807</v>
      </c>
      <c r="L5595" s="131" t="s">
        <v>100</v>
      </c>
      <c r="M5595" s="135" t="s">
        <v>845</v>
      </c>
      <c r="N5595" s="123" t="s">
        <v>845</v>
      </c>
    </row>
    <row r="5596" spans="2:14" hidden="1" x14ac:dyDescent="0.25">
      <c r="B5596" s="120">
        <v>5593</v>
      </c>
      <c r="C5596" s="123">
        <v>10475370134</v>
      </c>
      <c r="D5596" s="126" t="s">
        <v>19810</v>
      </c>
      <c r="E5596" s="126" t="s">
        <v>19811</v>
      </c>
      <c r="F5596" s="123" t="s">
        <v>30</v>
      </c>
      <c r="G5596" s="123" t="s">
        <v>30</v>
      </c>
      <c r="H5596" s="123" t="s">
        <v>51</v>
      </c>
      <c r="I5596" s="126" t="s">
        <v>1561</v>
      </c>
      <c r="J5596" s="123" t="s">
        <v>19812</v>
      </c>
      <c r="K5596" s="123" t="s">
        <v>19813</v>
      </c>
      <c r="L5596" s="131" t="s">
        <v>100</v>
      </c>
      <c r="M5596" s="135" t="s">
        <v>845</v>
      </c>
      <c r="N5596" s="123" t="s">
        <v>845</v>
      </c>
    </row>
    <row r="5597" spans="2:14" hidden="1" x14ac:dyDescent="0.25">
      <c r="B5597" s="120">
        <v>5594</v>
      </c>
      <c r="C5597" s="123">
        <v>10454053589</v>
      </c>
      <c r="D5597" s="126" t="s">
        <v>19814</v>
      </c>
      <c r="E5597" s="126" t="s">
        <v>19815</v>
      </c>
      <c r="F5597" s="123" t="s">
        <v>30</v>
      </c>
      <c r="G5597" s="123" t="s">
        <v>30</v>
      </c>
      <c r="H5597" s="123" t="s">
        <v>38</v>
      </c>
      <c r="I5597" s="126" t="s">
        <v>1424</v>
      </c>
      <c r="J5597" s="123" t="s">
        <v>19816</v>
      </c>
      <c r="K5597" s="123" t="s">
        <v>19817</v>
      </c>
      <c r="L5597" s="131" t="s">
        <v>100</v>
      </c>
      <c r="M5597" s="135" t="s">
        <v>845</v>
      </c>
      <c r="N5597" s="123" t="s">
        <v>845</v>
      </c>
    </row>
    <row r="5598" spans="2:14" hidden="1" x14ac:dyDescent="0.25">
      <c r="B5598" s="120">
        <v>5595</v>
      </c>
      <c r="C5598" s="123">
        <v>10160026982</v>
      </c>
      <c r="D5598" s="126" t="s">
        <v>19818</v>
      </c>
      <c r="E5598" s="126" t="s">
        <v>19819</v>
      </c>
      <c r="F5598" s="123" t="s">
        <v>30</v>
      </c>
      <c r="G5598" s="123" t="s">
        <v>170</v>
      </c>
      <c r="H5598" s="123" t="s">
        <v>170</v>
      </c>
      <c r="I5598" s="126" t="s">
        <v>1365</v>
      </c>
      <c r="J5598" s="123" t="s">
        <v>19820</v>
      </c>
      <c r="K5598" s="123" t="s">
        <v>19818</v>
      </c>
      <c r="L5598" s="131" t="s">
        <v>100</v>
      </c>
      <c r="M5598" s="135" t="s">
        <v>845</v>
      </c>
      <c r="N5598" s="123" t="s">
        <v>845</v>
      </c>
    </row>
    <row r="5599" spans="2:14" hidden="1" x14ac:dyDescent="0.25">
      <c r="B5599" s="120">
        <v>5596</v>
      </c>
      <c r="C5599" s="123">
        <v>10748412129</v>
      </c>
      <c r="D5599" s="126" t="s">
        <v>19821</v>
      </c>
      <c r="E5599" s="126" t="s">
        <v>19822</v>
      </c>
      <c r="F5599" s="123" t="s">
        <v>30</v>
      </c>
      <c r="G5599" s="123" t="s">
        <v>30</v>
      </c>
      <c r="H5599" s="123" t="s">
        <v>50</v>
      </c>
      <c r="I5599" s="126" t="s">
        <v>1941</v>
      </c>
      <c r="J5599" s="123" t="s">
        <v>19823</v>
      </c>
      <c r="K5599" s="123" t="s">
        <v>19824</v>
      </c>
      <c r="L5599" s="131" t="s">
        <v>100</v>
      </c>
      <c r="M5599" s="135" t="s">
        <v>845</v>
      </c>
      <c r="N5599" s="123" t="s">
        <v>845</v>
      </c>
    </row>
    <row r="5600" spans="2:14" hidden="1" x14ac:dyDescent="0.25">
      <c r="B5600" s="120">
        <v>5597</v>
      </c>
      <c r="C5600" s="123">
        <v>10053218798</v>
      </c>
      <c r="D5600" s="126" t="s">
        <v>19825</v>
      </c>
      <c r="E5600" s="126" t="s">
        <v>19826</v>
      </c>
      <c r="F5600" s="123" t="s">
        <v>30</v>
      </c>
      <c r="G5600" s="123" t="s">
        <v>30</v>
      </c>
      <c r="H5600" s="123" t="s">
        <v>75</v>
      </c>
      <c r="I5600" s="126" t="s">
        <v>1701</v>
      </c>
      <c r="J5600" s="123" t="s">
        <v>19827</v>
      </c>
      <c r="K5600" s="123" t="s">
        <v>19825</v>
      </c>
      <c r="L5600" s="131" t="s">
        <v>100</v>
      </c>
      <c r="M5600" s="135" t="s">
        <v>845</v>
      </c>
      <c r="N5600" s="123" t="s">
        <v>845</v>
      </c>
    </row>
    <row r="5601" spans="2:14" hidden="1" x14ac:dyDescent="0.25">
      <c r="B5601" s="120">
        <v>5598</v>
      </c>
      <c r="C5601" s="123">
        <v>10097909101</v>
      </c>
      <c r="D5601" s="126" t="s">
        <v>19828</v>
      </c>
      <c r="E5601" s="126" t="s">
        <v>19829</v>
      </c>
      <c r="F5601" s="123" t="s">
        <v>30</v>
      </c>
      <c r="G5601" s="123" t="s">
        <v>30</v>
      </c>
      <c r="H5601" s="123" t="s">
        <v>45</v>
      </c>
      <c r="I5601" s="126" t="s">
        <v>1706</v>
      </c>
      <c r="J5601" s="123" t="s">
        <v>19830</v>
      </c>
      <c r="K5601" s="123" t="s">
        <v>19828</v>
      </c>
      <c r="L5601" s="131" t="s">
        <v>100</v>
      </c>
      <c r="M5601" s="135" t="s">
        <v>845</v>
      </c>
      <c r="N5601" s="123" t="s">
        <v>845</v>
      </c>
    </row>
    <row r="5602" spans="2:14" hidden="1" x14ac:dyDescent="0.25">
      <c r="B5602" s="120">
        <v>5599</v>
      </c>
      <c r="C5602" s="123">
        <v>10464773300</v>
      </c>
      <c r="D5602" s="126" t="s">
        <v>19831</v>
      </c>
      <c r="E5602" s="126" t="s">
        <v>19832</v>
      </c>
      <c r="F5602" s="123" t="s">
        <v>30</v>
      </c>
      <c r="G5602" s="123" t="s">
        <v>30</v>
      </c>
      <c r="H5602" s="123" t="s">
        <v>72</v>
      </c>
      <c r="I5602" s="126" t="s">
        <v>1930</v>
      </c>
      <c r="J5602" s="123" t="s">
        <v>19833</v>
      </c>
      <c r="K5602" s="123" t="s">
        <v>19834</v>
      </c>
      <c r="L5602" s="131" t="s">
        <v>100</v>
      </c>
      <c r="M5602" s="135" t="s">
        <v>845</v>
      </c>
      <c r="N5602" s="123" t="s">
        <v>845</v>
      </c>
    </row>
    <row r="5603" spans="2:14" hidden="1" x14ac:dyDescent="0.25">
      <c r="B5603" s="120">
        <v>5600</v>
      </c>
      <c r="C5603" s="123">
        <v>10295179339</v>
      </c>
      <c r="D5603" s="126" t="s">
        <v>19835</v>
      </c>
      <c r="E5603" s="126" t="s">
        <v>19836</v>
      </c>
      <c r="F5603" s="123" t="s">
        <v>30</v>
      </c>
      <c r="G5603" s="123" t="s">
        <v>30</v>
      </c>
      <c r="H5603" s="123" t="s">
        <v>75</v>
      </c>
      <c r="I5603" s="126" t="s">
        <v>9625</v>
      </c>
      <c r="J5603" s="123" t="s">
        <v>19837</v>
      </c>
      <c r="K5603" s="123" t="s">
        <v>19835</v>
      </c>
      <c r="L5603" s="131" t="s">
        <v>100</v>
      </c>
      <c r="M5603" s="135" t="s">
        <v>845</v>
      </c>
      <c r="N5603" s="123" t="s">
        <v>845</v>
      </c>
    </row>
    <row r="5604" spans="2:14" hidden="1" x14ac:dyDescent="0.25">
      <c r="B5604" s="120">
        <v>5601</v>
      </c>
      <c r="C5604" s="123">
        <v>10086515984</v>
      </c>
      <c r="D5604" s="126" t="s">
        <v>19838</v>
      </c>
      <c r="E5604" s="126" t="s">
        <v>19839</v>
      </c>
      <c r="F5604" s="123" t="s">
        <v>67</v>
      </c>
      <c r="G5604" s="123" t="s">
        <v>67</v>
      </c>
      <c r="H5604" s="123" t="s">
        <v>67</v>
      </c>
      <c r="I5604" s="126" t="s">
        <v>19840</v>
      </c>
      <c r="J5604" s="123" t="s">
        <v>19841</v>
      </c>
      <c r="K5604" s="123" t="s">
        <v>19842</v>
      </c>
      <c r="L5604" s="131" t="s">
        <v>100</v>
      </c>
      <c r="M5604" s="135" t="s">
        <v>845</v>
      </c>
      <c r="N5604" s="123" t="s">
        <v>845</v>
      </c>
    </row>
    <row r="5605" spans="2:14" hidden="1" x14ac:dyDescent="0.25">
      <c r="B5605" s="120">
        <v>5602</v>
      </c>
      <c r="C5605" s="123">
        <v>10740817715</v>
      </c>
      <c r="D5605" s="126" t="s">
        <v>19843</v>
      </c>
      <c r="E5605" s="126" t="s">
        <v>19844</v>
      </c>
      <c r="F5605" s="123" t="s">
        <v>30</v>
      </c>
      <c r="G5605" s="123" t="s">
        <v>30</v>
      </c>
      <c r="H5605" s="123" t="s">
        <v>88</v>
      </c>
      <c r="I5605" s="126" t="s">
        <v>1424</v>
      </c>
      <c r="J5605" s="123" t="s">
        <v>19845</v>
      </c>
      <c r="K5605" s="123" t="s">
        <v>19843</v>
      </c>
      <c r="L5605" s="131" t="s">
        <v>100</v>
      </c>
      <c r="M5605" s="135" t="s">
        <v>845</v>
      </c>
      <c r="N5605" s="123" t="s">
        <v>845</v>
      </c>
    </row>
    <row r="5606" spans="2:14" hidden="1" x14ac:dyDescent="0.25">
      <c r="B5606" s="120">
        <v>5603</v>
      </c>
      <c r="C5606" s="123">
        <v>10705761715</v>
      </c>
      <c r="D5606" s="126" t="s">
        <v>19846</v>
      </c>
      <c r="E5606" s="126" t="s">
        <v>19847</v>
      </c>
      <c r="F5606" s="123" t="s">
        <v>30</v>
      </c>
      <c r="G5606" s="123" t="s">
        <v>30</v>
      </c>
      <c r="H5606" s="123" t="s">
        <v>58</v>
      </c>
      <c r="I5606" s="126" t="s">
        <v>1701</v>
      </c>
      <c r="J5606" s="123" t="s">
        <v>19848</v>
      </c>
      <c r="K5606" s="123" t="s">
        <v>19846</v>
      </c>
      <c r="L5606" s="131" t="s">
        <v>100</v>
      </c>
      <c r="M5606" s="135" t="s">
        <v>845</v>
      </c>
      <c r="N5606" s="123" t="s">
        <v>845</v>
      </c>
    </row>
    <row r="5607" spans="2:14" hidden="1" x14ac:dyDescent="0.25">
      <c r="B5607" s="120">
        <v>5604</v>
      </c>
      <c r="C5607" s="123">
        <v>10042057768</v>
      </c>
      <c r="D5607" s="126" t="s">
        <v>19849</v>
      </c>
      <c r="E5607" s="126" t="s">
        <v>19850</v>
      </c>
      <c r="F5607" s="123" t="s">
        <v>30</v>
      </c>
      <c r="G5607" s="123" t="s">
        <v>30</v>
      </c>
      <c r="H5607" s="123" t="s">
        <v>45</v>
      </c>
      <c r="I5607" s="126" t="s">
        <v>1931</v>
      </c>
      <c r="J5607" s="123" t="s">
        <v>19851</v>
      </c>
      <c r="K5607" s="123" t="s">
        <v>19849</v>
      </c>
      <c r="L5607" s="131" t="s">
        <v>100</v>
      </c>
      <c r="M5607" s="135" t="s">
        <v>845</v>
      </c>
      <c r="N5607" s="123" t="s">
        <v>845</v>
      </c>
    </row>
    <row r="5608" spans="2:14" hidden="1" x14ac:dyDescent="0.25">
      <c r="B5608" s="120">
        <v>5605</v>
      </c>
      <c r="C5608" s="123">
        <v>10425194131</v>
      </c>
      <c r="D5608" s="126" t="s">
        <v>19852</v>
      </c>
      <c r="E5608" s="126" t="s">
        <v>19853</v>
      </c>
      <c r="F5608" s="123" t="s">
        <v>30</v>
      </c>
      <c r="G5608" s="123" t="s">
        <v>30</v>
      </c>
      <c r="H5608" s="123" t="s">
        <v>45</v>
      </c>
      <c r="I5608" s="126" t="s">
        <v>13061</v>
      </c>
      <c r="J5608" s="123" t="s">
        <v>19854</v>
      </c>
      <c r="K5608" s="123" t="s">
        <v>19852</v>
      </c>
      <c r="L5608" s="131" t="s">
        <v>100</v>
      </c>
      <c r="M5608" s="135" t="s">
        <v>845</v>
      </c>
      <c r="N5608" s="123" t="s">
        <v>845</v>
      </c>
    </row>
    <row r="5609" spans="2:14" hidden="1" x14ac:dyDescent="0.25">
      <c r="B5609" s="120">
        <v>5606</v>
      </c>
      <c r="C5609" s="123">
        <v>10421966066</v>
      </c>
      <c r="D5609" s="126" t="s">
        <v>19855</v>
      </c>
      <c r="E5609" s="126" t="s">
        <v>19856</v>
      </c>
      <c r="F5609" s="123" t="s">
        <v>19857</v>
      </c>
      <c r="G5609" s="123" t="s">
        <v>19857</v>
      </c>
      <c r="H5609" s="123" t="s">
        <v>19857</v>
      </c>
      <c r="I5609" s="126" t="s">
        <v>1941</v>
      </c>
      <c r="J5609" s="123" t="s">
        <v>19858</v>
      </c>
      <c r="K5609" s="123" t="s">
        <v>19859</v>
      </c>
      <c r="L5609" s="131" t="s">
        <v>100</v>
      </c>
      <c r="M5609" s="135" t="s">
        <v>845</v>
      </c>
      <c r="N5609" s="123" t="s">
        <v>845</v>
      </c>
    </row>
    <row r="5610" spans="2:14" hidden="1" x14ac:dyDescent="0.25">
      <c r="B5610" s="120">
        <v>5607</v>
      </c>
      <c r="C5610" s="123">
        <v>10105249581</v>
      </c>
      <c r="D5610" s="126" t="s">
        <v>19860</v>
      </c>
      <c r="E5610" s="126" t="s">
        <v>19861</v>
      </c>
      <c r="F5610" s="123" t="s">
        <v>30</v>
      </c>
      <c r="G5610" s="123" t="s">
        <v>30</v>
      </c>
      <c r="H5610" s="123" t="s">
        <v>68</v>
      </c>
      <c r="I5610" s="126" t="s">
        <v>13402</v>
      </c>
      <c r="J5610" s="123" t="s">
        <v>19862</v>
      </c>
      <c r="K5610" s="123" t="s">
        <v>19863</v>
      </c>
      <c r="L5610" s="131" t="s">
        <v>100</v>
      </c>
      <c r="M5610" s="135" t="s">
        <v>845</v>
      </c>
      <c r="N5610" s="123" t="s">
        <v>845</v>
      </c>
    </row>
    <row r="5611" spans="2:14" hidden="1" x14ac:dyDescent="0.25">
      <c r="B5611" s="120">
        <v>5608</v>
      </c>
      <c r="C5611" s="123">
        <v>10771625415</v>
      </c>
      <c r="D5611" s="126" t="s">
        <v>19864</v>
      </c>
      <c r="E5611" s="126" t="s">
        <v>19865</v>
      </c>
      <c r="F5611" s="123" t="s">
        <v>30</v>
      </c>
      <c r="G5611" s="123" t="s">
        <v>30</v>
      </c>
      <c r="H5611" s="123" t="s">
        <v>34</v>
      </c>
      <c r="I5611" s="126" t="s">
        <v>1931</v>
      </c>
      <c r="J5611" s="123" t="s">
        <v>19866</v>
      </c>
      <c r="K5611" s="123" t="s">
        <v>19864</v>
      </c>
      <c r="L5611" s="131" t="s">
        <v>100</v>
      </c>
      <c r="M5611" s="135" t="s">
        <v>845</v>
      </c>
      <c r="N5611" s="123" t="s">
        <v>845</v>
      </c>
    </row>
    <row r="5612" spans="2:14" hidden="1" x14ac:dyDescent="0.25">
      <c r="B5612" s="120">
        <v>5609</v>
      </c>
      <c r="C5612" s="123">
        <v>10420665194</v>
      </c>
      <c r="D5612" s="126" t="s">
        <v>19867</v>
      </c>
      <c r="E5612" s="126" t="s">
        <v>19868</v>
      </c>
      <c r="F5612" s="123" t="s">
        <v>30</v>
      </c>
      <c r="G5612" s="123" t="s">
        <v>30</v>
      </c>
      <c r="H5612" s="123" t="s">
        <v>85</v>
      </c>
      <c r="I5612" s="126" t="s">
        <v>8743</v>
      </c>
      <c r="J5612" s="123" t="s">
        <v>19869</v>
      </c>
      <c r="K5612" s="123" t="s">
        <v>19867</v>
      </c>
      <c r="L5612" s="131" t="s">
        <v>100</v>
      </c>
      <c r="M5612" s="135" t="s">
        <v>845</v>
      </c>
      <c r="N5612" s="123" t="s">
        <v>845</v>
      </c>
    </row>
    <row r="5613" spans="2:14" hidden="1" x14ac:dyDescent="0.25">
      <c r="B5613" s="120">
        <v>5610</v>
      </c>
      <c r="C5613" s="123">
        <v>10763707984</v>
      </c>
      <c r="D5613" s="126" t="s">
        <v>19870</v>
      </c>
      <c r="E5613" s="126" t="s">
        <v>19871</v>
      </c>
      <c r="F5613" s="123" t="s">
        <v>30</v>
      </c>
      <c r="G5613" s="123" t="s">
        <v>30</v>
      </c>
      <c r="H5613" s="123" t="s">
        <v>88</v>
      </c>
      <c r="I5613" s="126" t="s">
        <v>1805</v>
      </c>
      <c r="J5613" s="123" t="s">
        <v>19872</v>
      </c>
      <c r="K5613" s="123" t="s">
        <v>19870</v>
      </c>
      <c r="L5613" s="131" t="s">
        <v>100</v>
      </c>
      <c r="M5613" s="135" t="s">
        <v>845</v>
      </c>
      <c r="N5613" s="123" t="s">
        <v>845</v>
      </c>
    </row>
    <row r="5614" spans="2:14" hidden="1" x14ac:dyDescent="0.25">
      <c r="B5614" s="120">
        <v>5611</v>
      </c>
      <c r="C5614" s="123">
        <v>10453582405</v>
      </c>
      <c r="D5614" s="126" t="s">
        <v>19873</v>
      </c>
      <c r="E5614" s="126" t="s">
        <v>19874</v>
      </c>
      <c r="F5614" s="123" t="s">
        <v>30</v>
      </c>
      <c r="G5614" s="123" t="s">
        <v>30</v>
      </c>
      <c r="H5614" s="123" t="s">
        <v>51</v>
      </c>
      <c r="I5614" s="126" t="s">
        <v>1931</v>
      </c>
      <c r="J5614" s="123" t="s">
        <v>19875</v>
      </c>
      <c r="K5614" s="123" t="s">
        <v>19873</v>
      </c>
      <c r="L5614" s="131" t="s">
        <v>100</v>
      </c>
      <c r="M5614" s="135" t="s">
        <v>845</v>
      </c>
      <c r="N5614" s="123" t="s">
        <v>845</v>
      </c>
    </row>
    <row r="5615" spans="2:14" hidden="1" x14ac:dyDescent="0.25">
      <c r="B5615" s="120">
        <v>5612</v>
      </c>
      <c r="C5615" s="123">
        <v>10093357928</v>
      </c>
      <c r="D5615" s="126" t="s">
        <v>19876</v>
      </c>
      <c r="E5615" s="126" t="s">
        <v>19877</v>
      </c>
      <c r="F5615" s="123" t="s">
        <v>30</v>
      </c>
      <c r="G5615" s="123" t="s">
        <v>30</v>
      </c>
      <c r="H5615" s="123" t="s">
        <v>43</v>
      </c>
      <c r="I5615" s="126" t="s">
        <v>1805</v>
      </c>
      <c r="J5615" s="123" t="s">
        <v>19878</v>
      </c>
      <c r="K5615" s="123" t="s">
        <v>19879</v>
      </c>
      <c r="L5615" s="131" t="s">
        <v>100</v>
      </c>
      <c r="M5615" s="135" t="s">
        <v>845</v>
      </c>
      <c r="N5615" s="123" t="s">
        <v>845</v>
      </c>
    </row>
    <row r="5616" spans="2:14" hidden="1" x14ac:dyDescent="0.25">
      <c r="B5616" s="120">
        <v>5613</v>
      </c>
      <c r="C5616" s="123">
        <v>10089008617</v>
      </c>
      <c r="D5616" s="126" t="s">
        <v>19880</v>
      </c>
      <c r="E5616" s="126" t="s">
        <v>19881</v>
      </c>
      <c r="F5616" s="123" t="s">
        <v>30</v>
      </c>
      <c r="G5616" s="123" t="s">
        <v>30</v>
      </c>
      <c r="H5616" s="123" t="s">
        <v>60</v>
      </c>
      <c r="I5616" s="126" t="s">
        <v>87</v>
      </c>
      <c r="J5616" s="123" t="s">
        <v>19882</v>
      </c>
      <c r="K5616" s="123" t="s">
        <v>19883</v>
      </c>
      <c r="L5616" s="131" t="s">
        <v>100</v>
      </c>
      <c r="M5616" s="135" t="s">
        <v>845</v>
      </c>
      <c r="N5616" s="123" t="s">
        <v>845</v>
      </c>
    </row>
    <row r="5617" spans="2:14" hidden="1" x14ac:dyDescent="0.25">
      <c r="B5617" s="120">
        <v>5614</v>
      </c>
      <c r="C5617" s="123">
        <v>10181450504</v>
      </c>
      <c r="D5617" s="126" t="s">
        <v>19884</v>
      </c>
      <c r="E5617" s="126" t="s">
        <v>19885</v>
      </c>
      <c r="F5617" s="123" t="s">
        <v>30</v>
      </c>
      <c r="G5617" s="123" t="s">
        <v>30</v>
      </c>
      <c r="H5617" s="123" t="s">
        <v>51</v>
      </c>
      <c r="I5617" s="126" t="s">
        <v>1701</v>
      </c>
      <c r="J5617" s="123" t="s">
        <v>19886</v>
      </c>
      <c r="K5617" s="123" t="s">
        <v>19884</v>
      </c>
      <c r="L5617" s="131" t="s">
        <v>100</v>
      </c>
      <c r="M5617" s="135" t="s">
        <v>845</v>
      </c>
      <c r="N5617" s="123" t="s">
        <v>845</v>
      </c>
    </row>
    <row r="5618" spans="2:14" hidden="1" x14ac:dyDescent="0.25">
      <c r="B5618" s="120">
        <v>5615</v>
      </c>
      <c r="C5618" s="123">
        <v>10158648496</v>
      </c>
      <c r="D5618" s="126" t="s">
        <v>19887</v>
      </c>
      <c r="E5618" s="126" t="s">
        <v>19888</v>
      </c>
      <c r="F5618" s="123" t="s">
        <v>30</v>
      </c>
      <c r="G5618" s="123" t="s">
        <v>168</v>
      </c>
      <c r="H5618" s="123" t="s">
        <v>168</v>
      </c>
      <c r="I5618" s="126" t="s">
        <v>1701</v>
      </c>
      <c r="J5618" s="123" t="s">
        <v>19889</v>
      </c>
      <c r="K5618" s="123" t="s">
        <v>19887</v>
      </c>
      <c r="L5618" s="131" t="s">
        <v>100</v>
      </c>
      <c r="M5618" s="135" t="s">
        <v>845</v>
      </c>
      <c r="N5618" s="123" t="s">
        <v>845</v>
      </c>
    </row>
    <row r="5619" spans="2:14" hidden="1" x14ac:dyDescent="0.25">
      <c r="B5619" s="120">
        <v>5616</v>
      </c>
      <c r="C5619" s="123">
        <v>10105831329</v>
      </c>
      <c r="D5619" s="126" t="s">
        <v>19890</v>
      </c>
      <c r="E5619" s="126" t="s">
        <v>19891</v>
      </c>
      <c r="F5619" s="123" t="s">
        <v>30</v>
      </c>
      <c r="G5619" s="123" t="s">
        <v>30</v>
      </c>
      <c r="H5619" s="123" t="s">
        <v>43</v>
      </c>
      <c r="I5619" s="126" t="s">
        <v>1961</v>
      </c>
      <c r="J5619" s="123" t="s">
        <v>19892</v>
      </c>
      <c r="K5619" s="123" t="s">
        <v>19890</v>
      </c>
      <c r="L5619" s="131" t="s">
        <v>100</v>
      </c>
      <c r="M5619" s="135" t="s">
        <v>845</v>
      </c>
      <c r="N5619" s="123" t="s">
        <v>845</v>
      </c>
    </row>
    <row r="5620" spans="2:14" hidden="1" x14ac:dyDescent="0.25">
      <c r="B5620" s="120">
        <v>5617</v>
      </c>
      <c r="C5620" s="123">
        <v>10456782006</v>
      </c>
      <c r="D5620" s="126" t="s">
        <v>19893</v>
      </c>
      <c r="E5620" s="126" t="s">
        <v>19894</v>
      </c>
      <c r="F5620" s="123" t="s">
        <v>30</v>
      </c>
      <c r="G5620" s="123" t="s">
        <v>30</v>
      </c>
      <c r="H5620" s="123" t="s">
        <v>45</v>
      </c>
      <c r="I5620" s="126" t="s">
        <v>1967</v>
      </c>
      <c r="J5620" s="123" t="s">
        <v>19895</v>
      </c>
      <c r="K5620" s="123" t="s">
        <v>19896</v>
      </c>
      <c r="L5620" s="131" t="s">
        <v>100</v>
      </c>
      <c r="M5620" s="135" t="s">
        <v>845</v>
      </c>
      <c r="N5620" s="123" t="s">
        <v>845</v>
      </c>
    </row>
    <row r="5621" spans="2:14" hidden="1" x14ac:dyDescent="0.25">
      <c r="B5621" s="120">
        <v>5618</v>
      </c>
      <c r="C5621" s="123">
        <v>10428377503</v>
      </c>
      <c r="D5621" s="126" t="s">
        <v>19897</v>
      </c>
      <c r="E5621" s="126" t="s">
        <v>19898</v>
      </c>
      <c r="F5621" s="123" t="s">
        <v>30</v>
      </c>
      <c r="G5621" s="123" t="s">
        <v>30</v>
      </c>
      <c r="H5621" s="123" t="s">
        <v>72</v>
      </c>
      <c r="I5621" s="126" t="s">
        <v>1701</v>
      </c>
      <c r="J5621" s="123" t="s">
        <v>19899</v>
      </c>
      <c r="K5621" s="123" t="s">
        <v>19897</v>
      </c>
      <c r="L5621" s="131" t="s">
        <v>100</v>
      </c>
      <c r="M5621" s="135" t="s">
        <v>845</v>
      </c>
      <c r="N5621" s="123" t="s">
        <v>845</v>
      </c>
    </row>
    <row r="5622" spans="2:14" hidden="1" x14ac:dyDescent="0.25">
      <c r="B5622" s="120">
        <v>5619</v>
      </c>
      <c r="C5622" s="123">
        <v>10411964782</v>
      </c>
      <c r="D5622" s="126" t="s">
        <v>19900</v>
      </c>
      <c r="E5622" s="126" t="s">
        <v>19901</v>
      </c>
      <c r="F5622" s="123" t="s">
        <v>30</v>
      </c>
      <c r="G5622" s="123" t="s">
        <v>30</v>
      </c>
      <c r="H5622" s="123" t="s">
        <v>30</v>
      </c>
      <c r="I5622" s="126" t="s">
        <v>1953</v>
      </c>
      <c r="J5622" s="123" t="s">
        <v>19902</v>
      </c>
      <c r="K5622" s="123" t="s">
        <v>19900</v>
      </c>
      <c r="L5622" s="131" t="s">
        <v>100</v>
      </c>
      <c r="M5622" s="135" t="s">
        <v>845</v>
      </c>
      <c r="N5622" s="123" t="s">
        <v>845</v>
      </c>
    </row>
    <row r="5623" spans="2:14" hidden="1" x14ac:dyDescent="0.25">
      <c r="B5623" s="120">
        <v>5620</v>
      </c>
      <c r="C5623" s="123">
        <v>10712617719</v>
      </c>
      <c r="D5623" s="126" t="s">
        <v>19903</v>
      </c>
      <c r="E5623" s="126" t="s">
        <v>19904</v>
      </c>
      <c r="F5623" s="123" t="s">
        <v>30</v>
      </c>
      <c r="G5623" s="123" t="s">
        <v>30</v>
      </c>
      <c r="H5623" s="123" t="s">
        <v>58</v>
      </c>
      <c r="I5623" s="126" t="s">
        <v>1968</v>
      </c>
      <c r="J5623" s="123" t="s">
        <v>19905</v>
      </c>
      <c r="K5623" s="123" t="s">
        <v>19906</v>
      </c>
      <c r="L5623" s="131" t="s">
        <v>100</v>
      </c>
      <c r="M5623" s="135" t="s">
        <v>845</v>
      </c>
      <c r="N5623" s="123" t="s">
        <v>845</v>
      </c>
    </row>
    <row r="5624" spans="2:14" hidden="1" x14ac:dyDescent="0.25">
      <c r="B5624" s="120">
        <v>5621</v>
      </c>
      <c r="C5624" s="123">
        <v>10093939218</v>
      </c>
      <c r="D5624" s="126" t="s">
        <v>19907</v>
      </c>
      <c r="E5624" s="126" t="s">
        <v>19908</v>
      </c>
      <c r="F5624" s="123" t="s">
        <v>30</v>
      </c>
      <c r="G5624" s="123" t="s">
        <v>30</v>
      </c>
      <c r="H5624" s="123" t="s">
        <v>68</v>
      </c>
      <c r="I5624" s="126" t="s">
        <v>1387</v>
      </c>
      <c r="J5624" s="123" t="s">
        <v>19909</v>
      </c>
      <c r="K5624" s="123" t="s">
        <v>19907</v>
      </c>
      <c r="L5624" s="131" t="s">
        <v>100</v>
      </c>
      <c r="M5624" s="135" t="s">
        <v>845</v>
      </c>
      <c r="N5624" s="123" t="s">
        <v>845</v>
      </c>
    </row>
    <row r="5625" spans="2:14" hidden="1" x14ac:dyDescent="0.25">
      <c r="B5625" s="120">
        <v>5622</v>
      </c>
      <c r="C5625" s="123">
        <v>10746633624</v>
      </c>
      <c r="D5625" s="126" t="s">
        <v>19910</v>
      </c>
      <c r="E5625" s="126" t="s">
        <v>19911</v>
      </c>
      <c r="F5625" s="123" t="s">
        <v>30</v>
      </c>
      <c r="G5625" s="123" t="s">
        <v>30</v>
      </c>
      <c r="H5625" s="123" t="s">
        <v>72</v>
      </c>
      <c r="I5625" s="126" t="s">
        <v>1701</v>
      </c>
      <c r="J5625" s="123" t="s">
        <v>19912</v>
      </c>
      <c r="K5625" s="123" t="s">
        <v>19910</v>
      </c>
      <c r="L5625" s="131" t="s">
        <v>100</v>
      </c>
      <c r="M5625" s="135" t="s">
        <v>845</v>
      </c>
      <c r="N5625" s="123" t="s">
        <v>845</v>
      </c>
    </row>
    <row r="5626" spans="2:14" hidden="1" x14ac:dyDescent="0.25">
      <c r="B5626" s="120">
        <v>5623</v>
      </c>
      <c r="C5626" s="123">
        <v>10092421550</v>
      </c>
      <c r="D5626" s="126" t="s">
        <v>19913</v>
      </c>
      <c r="E5626" s="126" t="s">
        <v>19914</v>
      </c>
      <c r="F5626" s="123" t="s">
        <v>30</v>
      </c>
      <c r="G5626" s="123" t="s">
        <v>30</v>
      </c>
      <c r="H5626" s="123" t="s">
        <v>30</v>
      </c>
      <c r="I5626" s="126" t="s">
        <v>1930</v>
      </c>
      <c r="J5626" s="123" t="s">
        <v>19915</v>
      </c>
      <c r="K5626" s="123" t="s">
        <v>19916</v>
      </c>
      <c r="L5626" s="131" t="s">
        <v>100</v>
      </c>
      <c r="M5626" s="135" t="s">
        <v>845</v>
      </c>
      <c r="N5626" s="123" t="s">
        <v>845</v>
      </c>
    </row>
    <row r="5627" spans="2:14" hidden="1" x14ac:dyDescent="0.25">
      <c r="B5627" s="120">
        <v>5624</v>
      </c>
      <c r="C5627" s="123">
        <v>10764667153</v>
      </c>
      <c r="D5627" s="126" t="s">
        <v>19917</v>
      </c>
      <c r="E5627" s="126" t="s">
        <v>19918</v>
      </c>
      <c r="F5627" s="123" t="s">
        <v>30</v>
      </c>
      <c r="G5627" s="123" t="s">
        <v>30</v>
      </c>
      <c r="H5627" s="123" t="s">
        <v>45</v>
      </c>
      <c r="I5627" s="126" t="s">
        <v>1949</v>
      </c>
      <c r="J5627" s="123" t="s">
        <v>19919</v>
      </c>
      <c r="K5627" s="123" t="s">
        <v>19920</v>
      </c>
      <c r="L5627" s="131" t="s">
        <v>100</v>
      </c>
      <c r="M5627" s="135" t="s">
        <v>845</v>
      </c>
      <c r="N5627" s="123" t="s">
        <v>845</v>
      </c>
    </row>
    <row r="5628" spans="2:14" hidden="1" x14ac:dyDescent="0.25">
      <c r="B5628" s="120">
        <v>5625</v>
      </c>
      <c r="C5628" s="123">
        <v>10099955321</v>
      </c>
      <c r="D5628" s="126" t="s">
        <v>19921</v>
      </c>
      <c r="E5628" s="126" t="s">
        <v>19922</v>
      </c>
      <c r="F5628" s="123" t="s">
        <v>30</v>
      </c>
      <c r="G5628" s="123" t="s">
        <v>30</v>
      </c>
      <c r="H5628" s="123" t="s">
        <v>30</v>
      </c>
      <c r="I5628" s="126" t="s">
        <v>1930</v>
      </c>
      <c r="J5628" s="123" t="s">
        <v>19923</v>
      </c>
      <c r="K5628" s="123" t="s">
        <v>19924</v>
      </c>
      <c r="L5628" s="131" t="s">
        <v>100</v>
      </c>
      <c r="M5628" s="135" t="s">
        <v>845</v>
      </c>
      <c r="N5628" s="123" t="s">
        <v>845</v>
      </c>
    </row>
    <row r="5629" spans="2:14" hidden="1" x14ac:dyDescent="0.25">
      <c r="B5629" s="120">
        <v>5626</v>
      </c>
      <c r="C5629" s="123">
        <v>10160066828</v>
      </c>
      <c r="D5629" s="126" t="s">
        <v>19925</v>
      </c>
      <c r="E5629" s="126" t="s">
        <v>19926</v>
      </c>
      <c r="F5629" s="123" t="s">
        <v>30</v>
      </c>
      <c r="G5629" s="123" t="s">
        <v>54</v>
      </c>
      <c r="H5629" s="123" t="s">
        <v>55</v>
      </c>
      <c r="I5629" s="126" t="s">
        <v>1643</v>
      </c>
      <c r="J5629" s="123" t="s">
        <v>19927</v>
      </c>
      <c r="K5629" s="123" t="s">
        <v>19928</v>
      </c>
      <c r="L5629" s="131" t="s">
        <v>100</v>
      </c>
      <c r="M5629" s="135" t="s">
        <v>845</v>
      </c>
      <c r="N5629" s="123" t="s">
        <v>845</v>
      </c>
    </row>
    <row r="5630" spans="2:14" hidden="1" x14ac:dyDescent="0.25">
      <c r="B5630" s="120">
        <v>5627</v>
      </c>
      <c r="C5630" s="123">
        <v>10156190565</v>
      </c>
      <c r="D5630" s="126" t="s">
        <v>19929</v>
      </c>
      <c r="E5630" s="126" t="s">
        <v>19930</v>
      </c>
      <c r="F5630" s="123" t="s">
        <v>30</v>
      </c>
      <c r="G5630" s="123" t="s">
        <v>170</v>
      </c>
      <c r="H5630" s="123" t="s">
        <v>171</v>
      </c>
      <c r="I5630" s="126" t="s">
        <v>1941</v>
      </c>
      <c r="J5630" s="123" t="s">
        <v>19931</v>
      </c>
      <c r="K5630" s="123" t="s">
        <v>19929</v>
      </c>
      <c r="L5630" s="131" t="s">
        <v>100</v>
      </c>
      <c r="M5630" s="135" t="s">
        <v>845</v>
      </c>
      <c r="N5630" s="123" t="s">
        <v>845</v>
      </c>
    </row>
    <row r="5631" spans="2:14" hidden="1" x14ac:dyDescent="0.25">
      <c r="B5631" s="120">
        <v>5628</v>
      </c>
      <c r="C5631" s="123">
        <v>10451997799</v>
      </c>
      <c r="D5631" s="126" t="s">
        <v>19932</v>
      </c>
      <c r="E5631" s="126" t="s">
        <v>19933</v>
      </c>
      <c r="F5631" s="123" t="s">
        <v>30</v>
      </c>
      <c r="G5631" s="123" t="s">
        <v>170</v>
      </c>
      <c r="H5631" s="123" t="s">
        <v>171</v>
      </c>
      <c r="I5631" s="126" t="s">
        <v>1941</v>
      </c>
      <c r="J5631" s="123" t="s">
        <v>19934</v>
      </c>
      <c r="K5631" s="123" t="s">
        <v>19932</v>
      </c>
      <c r="L5631" s="131" t="s">
        <v>100</v>
      </c>
      <c r="M5631" s="135" t="s">
        <v>845</v>
      </c>
      <c r="N5631" s="123" t="s">
        <v>845</v>
      </c>
    </row>
    <row r="5632" spans="2:14" hidden="1" x14ac:dyDescent="0.25">
      <c r="B5632" s="120">
        <v>5629</v>
      </c>
      <c r="C5632" s="123">
        <v>10092476036</v>
      </c>
      <c r="D5632" s="126" t="s">
        <v>19935</v>
      </c>
      <c r="E5632" s="126" t="s">
        <v>19936</v>
      </c>
      <c r="F5632" s="123" t="s">
        <v>30</v>
      </c>
      <c r="G5632" s="123" t="s">
        <v>30</v>
      </c>
      <c r="H5632" s="123" t="s">
        <v>30</v>
      </c>
      <c r="I5632" s="126" t="s">
        <v>1930</v>
      </c>
      <c r="J5632" s="123" t="s">
        <v>19937</v>
      </c>
      <c r="K5632" s="123" t="s">
        <v>19938</v>
      </c>
      <c r="L5632" s="131" t="s">
        <v>100</v>
      </c>
      <c r="M5632" s="135" t="s">
        <v>845</v>
      </c>
      <c r="N5632" s="123" t="s">
        <v>845</v>
      </c>
    </row>
    <row r="5633" spans="2:14" hidden="1" x14ac:dyDescent="0.25">
      <c r="B5633" s="120">
        <v>5630</v>
      </c>
      <c r="C5633" s="123">
        <v>10436614701</v>
      </c>
      <c r="D5633" s="126" t="s">
        <v>19939</v>
      </c>
      <c r="E5633" s="126" t="s">
        <v>19940</v>
      </c>
      <c r="F5633" s="123" t="s">
        <v>30</v>
      </c>
      <c r="G5633" s="123" t="s">
        <v>30</v>
      </c>
      <c r="H5633" s="123" t="s">
        <v>58</v>
      </c>
      <c r="I5633" s="126" t="s">
        <v>1424</v>
      </c>
      <c r="J5633" s="123" t="s">
        <v>19941</v>
      </c>
      <c r="K5633" s="123" t="s">
        <v>19939</v>
      </c>
      <c r="L5633" s="131" t="s">
        <v>100</v>
      </c>
      <c r="M5633" s="135" t="s">
        <v>845</v>
      </c>
      <c r="N5633" s="123" t="s">
        <v>845</v>
      </c>
    </row>
    <row r="5634" spans="2:14" hidden="1" x14ac:dyDescent="0.25">
      <c r="B5634" s="120">
        <v>5631</v>
      </c>
      <c r="C5634" s="123">
        <v>10483323625</v>
      </c>
      <c r="D5634" s="126" t="s">
        <v>19942</v>
      </c>
      <c r="E5634" s="126" t="s">
        <v>19943</v>
      </c>
      <c r="F5634" s="123" t="s">
        <v>30</v>
      </c>
      <c r="G5634" s="123" t="s">
        <v>54</v>
      </c>
      <c r="H5634" s="123" t="s">
        <v>54</v>
      </c>
      <c r="I5634" s="126" t="s">
        <v>1805</v>
      </c>
      <c r="J5634" s="123" t="s">
        <v>19944</v>
      </c>
      <c r="K5634" s="123" t="s">
        <v>19942</v>
      </c>
      <c r="L5634" s="131" t="s">
        <v>100</v>
      </c>
      <c r="M5634" s="135" t="s">
        <v>845</v>
      </c>
      <c r="N5634" s="123" t="s">
        <v>845</v>
      </c>
    </row>
    <row r="5635" spans="2:14" hidden="1" x14ac:dyDescent="0.25">
      <c r="B5635" s="120">
        <v>5632</v>
      </c>
      <c r="C5635" s="123">
        <v>10410440399</v>
      </c>
      <c r="D5635" s="126" t="s">
        <v>19945</v>
      </c>
      <c r="E5635" s="126" t="s">
        <v>19946</v>
      </c>
      <c r="F5635" s="123" t="s">
        <v>30</v>
      </c>
      <c r="G5635" s="123" t="s">
        <v>30</v>
      </c>
      <c r="H5635" s="123" t="s">
        <v>43</v>
      </c>
      <c r="I5635" s="126" t="s">
        <v>1701</v>
      </c>
      <c r="J5635" s="123" t="s">
        <v>19947</v>
      </c>
      <c r="K5635" s="123" t="s">
        <v>19945</v>
      </c>
      <c r="L5635" s="131" t="s">
        <v>100</v>
      </c>
      <c r="M5635" s="135" t="s">
        <v>845</v>
      </c>
      <c r="N5635" s="123" t="s">
        <v>845</v>
      </c>
    </row>
    <row r="5636" spans="2:14" hidden="1" x14ac:dyDescent="0.25">
      <c r="B5636" s="120">
        <v>5633</v>
      </c>
      <c r="C5636" s="123">
        <v>10784593806</v>
      </c>
      <c r="D5636" s="126" t="s">
        <v>19948</v>
      </c>
      <c r="E5636" s="126" t="s">
        <v>19949</v>
      </c>
      <c r="F5636" s="123" t="s">
        <v>30</v>
      </c>
      <c r="G5636" s="123" t="s">
        <v>30</v>
      </c>
      <c r="H5636" s="123" t="s">
        <v>45</v>
      </c>
      <c r="I5636" s="126" t="s">
        <v>1930</v>
      </c>
      <c r="J5636" s="123" t="s">
        <v>19950</v>
      </c>
      <c r="K5636" s="123" t="s">
        <v>19948</v>
      </c>
      <c r="L5636" s="131" t="s">
        <v>100</v>
      </c>
      <c r="M5636" s="135" t="s">
        <v>845</v>
      </c>
      <c r="N5636" s="123" t="s">
        <v>845</v>
      </c>
    </row>
    <row r="5637" spans="2:14" hidden="1" x14ac:dyDescent="0.25">
      <c r="B5637" s="120">
        <v>5634</v>
      </c>
      <c r="C5637" s="123">
        <v>10421903251</v>
      </c>
      <c r="D5637" s="126" t="s">
        <v>19951</v>
      </c>
      <c r="E5637" s="126" t="s">
        <v>19952</v>
      </c>
      <c r="F5637" s="123" t="s">
        <v>30</v>
      </c>
      <c r="G5637" s="123" t="s">
        <v>30</v>
      </c>
      <c r="H5637" s="123" t="s">
        <v>60</v>
      </c>
      <c r="I5637" s="126" t="s">
        <v>1209</v>
      </c>
      <c r="J5637" s="123" t="s">
        <v>19953</v>
      </c>
      <c r="K5637" s="123" t="s">
        <v>19951</v>
      </c>
      <c r="L5637" s="131" t="s">
        <v>100</v>
      </c>
      <c r="M5637" s="135" t="s">
        <v>845</v>
      </c>
      <c r="N5637" s="123" t="s">
        <v>845</v>
      </c>
    </row>
    <row r="5638" spans="2:14" hidden="1" x14ac:dyDescent="0.25">
      <c r="B5638" s="120">
        <v>5635</v>
      </c>
      <c r="C5638" s="123">
        <v>10453978473</v>
      </c>
      <c r="D5638" s="126" t="s">
        <v>19954</v>
      </c>
      <c r="E5638" s="126" t="s">
        <v>19955</v>
      </c>
      <c r="F5638" s="123" t="s">
        <v>30</v>
      </c>
      <c r="G5638" s="123" t="s">
        <v>30</v>
      </c>
      <c r="H5638" s="123" t="s">
        <v>41</v>
      </c>
      <c r="I5638" s="126" t="s">
        <v>1561</v>
      </c>
      <c r="J5638" s="123" t="s">
        <v>19956</v>
      </c>
      <c r="K5638" s="123" t="s">
        <v>19957</v>
      </c>
      <c r="L5638" s="131" t="s">
        <v>100</v>
      </c>
      <c r="M5638" s="135" t="s">
        <v>845</v>
      </c>
      <c r="N5638" s="123" t="s">
        <v>845</v>
      </c>
    </row>
    <row r="5639" spans="2:14" hidden="1" x14ac:dyDescent="0.25">
      <c r="B5639" s="120">
        <v>5636</v>
      </c>
      <c r="C5639" s="123">
        <v>10101985771</v>
      </c>
      <c r="D5639" s="126" t="s">
        <v>19958</v>
      </c>
      <c r="E5639" s="126" t="s">
        <v>19959</v>
      </c>
      <c r="F5639" s="123" t="s">
        <v>67</v>
      </c>
      <c r="G5639" s="123" t="s">
        <v>67</v>
      </c>
      <c r="H5639" s="123" t="s">
        <v>94</v>
      </c>
      <c r="I5639" s="126" t="s">
        <v>1963</v>
      </c>
      <c r="J5639" s="123" t="s">
        <v>19960</v>
      </c>
      <c r="K5639" s="123" t="s">
        <v>19961</v>
      </c>
      <c r="L5639" s="131" t="s">
        <v>100</v>
      </c>
      <c r="M5639" s="135" t="s">
        <v>845</v>
      </c>
      <c r="N5639" s="123" t="s">
        <v>845</v>
      </c>
    </row>
    <row r="5640" spans="2:14" hidden="1" x14ac:dyDescent="0.25">
      <c r="B5640" s="120">
        <v>5637</v>
      </c>
      <c r="C5640" s="123">
        <v>10730994007</v>
      </c>
      <c r="D5640" s="126" t="s">
        <v>19962</v>
      </c>
      <c r="E5640" s="126" t="s">
        <v>19963</v>
      </c>
      <c r="F5640" s="123" t="s">
        <v>30</v>
      </c>
      <c r="G5640" s="123" t="s">
        <v>30</v>
      </c>
      <c r="H5640" s="123" t="s">
        <v>72</v>
      </c>
      <c r="I5640" s="126" t="s">
        <v>1942</v>
      </c>
      <c r="J5640" s="123" t="s">
        <v>19964</v>
      </c>
      <c r="K5640" s="123" t="s">
        <v>19965</v>
      </c>
      <c r="L5640" s="131" t="s">
        <v>100</v>
      </c>
      <c r="M5640" s="135" t="s">
        <v>845</v>
      </c>
      <c r="N5640" s="123" t="s">
        <v>845</v>
      </c>
    </row>
    <row r="5641" spans="2:14" hidden="1" x14ac:dyDescent="0.25">
      <c r="B5641" s="120">
        <v>5638</v>
      </c>
      <c r="C5641" s="123">
        <v>10408136470</v>
      </c>
      <c r="D5641" s="126" t="s">
        <v>19966</v>
      </c>
      <c r="E5641" s="126" t="s">
        <v>19967</v>
      </c>
      <c r="F5641" s="123" t="s">
        <v>30</v>
      </c>
      <c r="G5641" s="123" t="s">
        <v>30</v>
      </c>
      <c r="H5641" s="123" t="s">
        <v>43</v>
      </c>
      <c r="I5641" s="126" t="s">
        <v>8743</v>
      </c>
      <c r="J5641" s="123" t="s">
        <v>19968</v>
      </c>
      <c r="K5641" s="123" t="s">
        <v>19966</v>
      </c>
      <c r="L5641" s="131" t="s">
        <v>100</v>
      </c>
      <c r="M5641" s="135" t="s">
        <v>845</v>
      </c>
      <c r="N5641" s="123" t="s">
        <v>845</v>
      </c>
    </row>
    <row r="5642" spans="2:14" hidden="1" x14ac:dyDescent="0.25">
      <c r="B5642" s="120">
        <v>5639</v>
      </c>
      <c r="C5642" s="123">
        <v>10452452869</v>
      </c>
      <c r="D5642" s="126" t="s">
        <v>19969</v>
      </c>
      <c r="E5642" s="126" t="s">
        <v>19970</v>
      </c>
      <c r="F5642" s="123" t="s">
        <v>30</v>
      </c>
      <c r="G5642" s="123" t="s">
        <v>30</v>
      </c>
      <c r="H5642" s="123" t="s">
        <v>72</v>
      </c>
      <c r="I5642" s="126" t="s">
        <v>1706</v>
      </c>
      <c r="J5642" s="123" t="s">
        <v>19971</v>
      </c>
      <c r="K5642" s="123" t="s">
        <v>19969</v>
      </c>
      <c r="L5642" s="131" t="s">
        <v>100</v>
      </c>
      <c r="M5642" s="135" t="s">
        <v>845</v>
      </c>
      <c r="N5642" s="123" t="s">
        <v>845</v>
      </c>
    </row>
    <row r="5643" spans="2:14" hidden="1" x14ac:dyDescent="0.25">
      <c r="B5643" s="120">
        <v>5640</v>
      </c>
      <c r="C5643" s="123">
        <v>10093225665</v>
      </c>
      <c r="D5643" s="126" t="s">
        <v>19972</v>
      </c>
      <c r="E5643" s="126" t="s">
        <v>19973</v>
      </c>
      <c r="F5643" s="123" t="s">
        <v>30</v>
      </c>
      <c r="G5643" s="123" t="s">
        <v>30</v>
      </c>
      <c r="H5643" s="123" t="s">
        <v>75</v>
      </c>
      <c r="I5643" s="126" t="s">
        <v>1706</v>
      </c>
      <c r="J5643" s="123" t="s">
        <v>19974</v>
      </c>
      <c r="K5643" s="123" t="s">
        <v>19975</v>
      </c>
      <c r="L5643" s="131" t="s">
        <v>100</v>
      </c>
      <c r="M5643" s="135" t="s">
        <v>845</v>
      </c>
      <c r="N5643" s="123" t="s">
        <v>845</v>
      </c>
    </row>
    <row r="5644" spans="2:14" hidden="1" x14ac:dyDescent="0.25">
      <c r="B5644" s="120">
        <v>5641</v>
      </c>
      <c r="C5644" s="123">
        <v>10078829741</v>
      </c>
      <c r="D5644" s="126" t="s">
        <v>19976</v>
      </c>
      <c r="E5644" s="126" t="s">
        <v>19977</v>
      </c>
      <c r="F5644" s="123" t="s">
        <v>30</v>
      </c>
      <c r="G5644" s="123" t="s">
        <v>30</v>
      </c>
      <c r="H5644" s="123" t="s">
        <v>41</v>
      </c>
      <c r="I5644" s="126" t="s">
        <v>1701</v>
      </c>
      <c r="J5644" s="123" t="s">
        <v>19978</v>
      </c>
      <c r="K5644" s="123" t="s">
        <v>19976</v>
      </c>
      <c r="L5644" s="131" t="s">
        <v>100</v>
      </c>
      <c r="M5644" s="135" t="s">
        <v>845</v>
      </c>
      <c r="N5644" s="123" t="s">
        <v>845</v>
      </c>
    </row>
    <row r="5645" spans="2:14" hidden="1" x14ac:dyDescent="0.25">
      <c r="B5645" s="120">
        <v>5642</v>
      </c>
      <c r="C5645" s="123">
        <v>10100695036</v>
      </c>
      <c r="D5645" s="126" t="s">
        <v>19979</v>
      </c>
      <c r="E5645" s="126" t="s">
        <v>19980</v>
      </c>
      <c r="F5645" s="123" t="s">
        <v>30</v>
      </c>
      <c r="G5645" s="123" t="s">
        <v>30</v>
      </c>
      <c r="H5645" s="123" t="s">
        <v>75</v>
      </c>
      <c r="I5645" s="126" t="s">
        <v>1931</v>
      </c>
      <c r="J5645" s="123" t="s">
        <v>19981</v>
      </c>
      <c r="K5645" s="123" t="s">
        <v>19979</v>
      </c>
      <c r="L5645" s="131" t="s">
        <v>100</v>
      </c>
      <c r="M5645" s="135" t="s">
        <v>845</v>
      </c>
      <c r="N5645" s="123" t="s">
        <v>845</v>
      </c>
    </row>
    <row r="5646" spans="2:14" hidden="1" x14ac:dyDescent="0.25">
      <c r="B5646" s="120">
        <v>5643</v>
      </c>
      <c r="C5646" s="123">
        <v>10415353991</v>
      </c>
      <c r="D5646" s="126" t="s">
        <v>19982</v>
      </c>
      <c r="E5646" s="126" t="s">
        <v>19983</v>
      </c>
      <c r="F5646" s="123" t="s">
        <v>30</v>
      </c>
      <c r="G5646" s="123" t="s">
        <v>54</v>
      </c>
      <c r="H5646" s="123" t="s">
        <v>55</v>
      </c>
      <c r="I5646" s="126" t="s">
        <v>1424</v>
      </c>
      <c r="J5646" s="123" t="s">
        <v>19984</v>
      </c>
      <c r="K5646" s="123" t="s">
        <v>19982</v>
      </c>
      <c r="L5646" s="131" t="s">
        <v>100</v>
      </c>
      <c r="M5646" s="135" t="s">
        <v>845</v>
      </c>
      <c r="N5646" s="123" t="s">
        <v>845</v>
      </c>
    </row>
    <row r="5647" spans="2:14" hidden="1" x14ac:dyDescent="0.25">
      <c r="B5647" s="120">
        <v>5644</v>
      </c>
      <c r="C5647" s="123">
        <v>10400557271</v>
      </c>
      <c r="D5647" s="126" t="s">
        <v>19985</v>
      </c>
      <c r="E5647" s="126" t="s">
        <v>19986</v>
      </c>
      <c r="F5647" s="123" t="s">
        <v>30</v>
      </c>
      <c r="G5647" s="123" t="s">
        <v>30</v>
      </c>
      <c r="H5647" s="123" t="s">
        <v>51</v>
      </c>
      <c r="I5647" s="126" t="s">
        <v>1701</v>
      </c>
      <c r="J5647" s="123" t="s">
        <v>19987</v>
      </c>
      <c r="K5647" s="123" t="s">
        <v>19985</v>
      </c>
      <c r="L5647" s="131" t="s">
        <v>100</v>
      </c>
      <c r="M5647" s="135" t="s">
        <v>845</v>
      </c>
      <c r="N5647" s="123" t="s">
        <v>845</v>
      </c>
    </row>
    <row r="5648" spans="2:14" hidden="1" x14ac:dyDescent="0.25">
      <c r="B5648" s="120">
        <v>5645</v>
      </c>
      <c r="C5648" s="123">
        <v>10409055309</v>
      </c>
      <c r="D5648" s="126" t="s">
        <v>19988</v>
      </c>
      <c r="E5648" s="126" t="s">
        <v>19989</v>
      </c>
      <c r="F5648" s="123" t="s">
        <v>30</v>
      </c>
      <c r="G5648" s="123" t="s">
        <v>30</v>
      </c>
      <c r="H5648" s="123" t="s">
        <v>30</v>
      </c>
      <c r="I5648" s="126" t="s">
        <v>1930</v>
      </c>
      <c r="J5648" s="123" t="s">
        <v>19990</v>
      </c>
      <c r="K5648" s="123" t="s">
        <v>19988</v>
      </c>
      <c r="L5648" s="131" t="s">
        <v>100</v>
      </c>
      <c r="M5648" s="135" t="s">
        <v>845</v>
      </c>
      <c r="N5648" s="123" t="s">
        <v>845</v>
      </c>
    </row>
    <row r="5649" spans="2:14" hidden="1" x14ac:dyDescent="0.25">
      <c r="B5649" s="120">
        <v>5646</v>
      </c>
      <c r="C5649" s="123">
        <v>10316779293</v>
      </c>
      <c r="D5649" s="126" t="s">
        <v>19991</v>
      </c>
      <c r="E5649" s="126" t="s">
        <v>19992</v>
      </c>
      <c r="F5649" s="123" t="s">
        <v>30</v>
      </c>
      <c r="G5649" s="123" t="s">
        <v>30</v>
      </c>
      <c r="H5649" s="123" t="s">
        <v>80</v>
      </c>
      <c r="I5649" s="126" t="s">
        <v>1377</v>
      </c>
      <c r="J5649" s="123" t="s">
        <v>19993</v>
      </c>
      <c r="K5649" s="123" t="s">
        <v>19991</v>
      </c>
      <c r="L5649" s="131" t="s">
        <v>100</v>
      </c>
      <c r="M5649" s="135" t="s">
        <v>845</v>
      </c>
      <c r="N5649" s="123" t="s">
        <v>845</v>
      </c>
    </row>
    <row r="5650" spans="2:14" hidden="1" x14ac:dyDescent="0.25">
      <c r="B5650" s="120">
        <v>5647</v>
      </c>
      <c r="C5650" s="123">
        <v>10447286659</v>
      </c>
      <c r="D5650" s="126" t="s">
        <v>19994</v>
      </c>
      <c r="E5650" s="126" t="s">
        <v>19995</v>
      </c>
      <c r="F5650" s="123" t="s">
        <v>30</v>
      </c>
      <c r="G5650" s="123" t="s">
        <v>30</v>
      </c>
      <c r="H5650" s="123" t="s">
        <v>88</v>
      </c>
      <c r="I5650" s="126" t="s">
        <v>1982</v>
      </c>
      <c r="J5650" s="123" t="s">
        <v>19996</v>
      </c>
      <c r="K5650" s="123" t="s">
        <v>19994</v>
      </c>
      <c r="L5650" s="131" t="s">
        <v>100</v>
      </c>
      <c r="M5650" s="135" t="s">
        <v>845</v>
      </c>
      <c r="N5650" s="123" t="s">
        <v>845</v>
      </c>
    </row>
    <row r="5651" spans="2:14" hidden="1" x14ac:dyDescent="0.25">
      <c r="B5651" s="120">
        <v>5648</v>
      </c>
      <c r="C5651" s="123">
        <v>10706883911</v>
      </c>
      <c r="D5651" s="126" t="s">
        <v>19997</v>
      </c>
      <c r="E5651" s="126" t="s">
        <v>19998</v>
      </c>
      <c r="F5651" s="123" t="s">
        <v>30</v>
      </c>
      <c r="G5651" s="123" t="s">
        <v>30</v>
      </c>
      <c r="H5651" s="123" t="s">
        <v>75</v>
      </c>
      <c r="I5651" s="126" t="s">
        <v>1499</v>
      </c>
      <c r="J5651" s="123" t="s">
        <v>19999</v>
      </c>
      <c r="K5651" s="123" t="s">
        <v>20000</v>
      </c>
      <c r="L5651" s="131" t="s">
        <v>100</v>
      </c>
      <c r="M5651" s="135" t="s">
        <v>845</v>
      </c>
      <c r="N5651" s="123" t="s">
        <v>845</v>
      </c>
    </row>
    <row r="5652" spans="2:14" hidden="1" x14ac:dyDescent="0.25">
      <c r="B5652" s="120">
        <v>5649</v>
      </c>
      <c r="C5652" s="123">
        <v>10075352951</v>
      </c>
      <c r="D5652" s="126" t="s">
        <v>20001</v>
      </c>
      <c r="E5652" s="126" t="s">
        <v>20002</v>
      </c>
      <c r="F5652" s="123" t="s">
        <v>30</v>
      </c>
      <c r="G5652" s="123" t="s">
        <v>30</v>
      </c>
      <c r="H5652" s="123" t="s">
        <v>152</v>
      </c>
      <c r="I5652" s="126" t="s">
        <v>1979</v>
      </c>
      <c r="J5652" s="123" t="s">
        <v>20003</v>
      </c>
      <c r="K5652" s="123" t="s">
        <v>20004</v>
      </c>
      <c r="L5652" s="131" t="s">
        <v>100</v>
      </c>
      <c r="M5652" s="135" t="s">
        <v>845</v>
      </c>
      <c r="N5652" s="123" t="s">
        <v>845</v>
      </c>
    </row>
    <row r="5653" spans="2:14" hidden="1" x14ac:dyDescent="0.25">
      <c r="B5653" s="120">
        <v>5650</v>
      </c>
      <c r="C5653" s="123">
        <v>10476948491</v>
      </c>
      <c r="D5653" s="126" t="s">
        <v>20005</v>
      </c>
      <c r="E5653" s="126" t="s">
        <v>20006</v>
      </c>
      <c r="F5653" s="123" t="s">
        <v>67</v>
      </c>
      <c r="G5653" s="123" t="s">
        <v>67</v>
      </c>
      <c r="H5653" s="123" t="s">
        <v>94</v>
      </c>
      <c r="I5653" s="126" t="s">
        <v>1706</v>
      </c>
      <c r="J5653" s="123" t="s">
        <v>20007</v>
      </c>
      <c r="K5653" s="123" t="s">
        <v>20008</v>
      </c>
      <c r="L5653" s="131" t="s">
        <v>100</v>
      </c>
      <c r="M5653" s="135" t="s">
        <v>845</v>
      </c>
      <c r="N5653" s="123" t="s">
        <v>845</v>
      </c>
    </row>
    <row r="5654" spans="2:14" hidden="1" x14ac:dyDescent="0.25">
      <c r="B5654" s="120">
        <v>5651</v>
      </c>
      <c r="C5654" s="123">
        <v>10471648111</v>
      </c>
      <c r="D5654" s="126" t="s">
        <v>20009</v>
      </c>
      <c r="E5654" s="126" t="s">
        <v>20010</v>
      </c>
      <c r="F5654" s="123" t="s">
        <v>30</v>
      </c>
      <c r="G5654" s="123" t="s">
        <v>30</v>
      </c>
      <c r="H5654" s="123" t="s">
        <v>75</v>
      </c>
      <c r="I5654" s="126" t="s">
        <v>1701</v>
      </c>
      <c r="J5654" s="123" t="s">
        <v>20011</v>
      </c>
      <c r="K5654" s="123" t="s">
        <v>20009</v>
      </c>
      <c r="L5654" s="131" t="s">
        <v>100</v>
      </c>
      <c r="M5654" s="135" t="s">
        <v>845</v>
      </c>
      <c r="N5654" s="123" t="s">
        <v>845</v>
      </c>
    </row>
    <row r="5655" spans="2:14" hidden="1" x14ac:dyDescent="0.25">
      <c r="B5655" s="120">
        <v>5652</v>
      </c>
      <c r="C5655" s="123">
        <v>10469754974</v>
      </c>
      <c r="D5655" s="126" t="s">
        <v>20012</v>
      </c>
      <c r="E5655" s="126" t="s">
        <v>20013</v>
      </c>
      <c r="F5655" s="123" t="s">
        <v>30</v>
      </c>
      <c r="G5655" s="123" t="s">
        <v>31</v>
      </c>
      <c r="H5655" s="123" t="s">
        <v>150</v>
      </c>
      <c r="I5655" s="126" t="s">
        <v>1424</v>
      </c>
      <c r="J5655" s="123" t="s">
        <v>20014</v>
      </c>
      <c r="K5655" s="123" t="s">
        <v>20012</v>
      </c>
      <c r="L5655" s="131" t="s">
        <v>100</v>
      </c>
      <c r="M5655" s="135" t="s">
        <v>845</v>
      </c>
      <c r="N5655" s="123" t="s">
        <v>845</v>
      </c>
    </row>
    <row r="5656" spans="2:14" hidden="1" x14ac:dyDescent="0.25">
      <c r="B5656" s="120">
        <v>5653</v>
      </c>
      <c r="C5656" s="123">
        <v>10154061334</v>
      </c>
      <c r="D5656" s="126" t="s">
        <v>20015</v>
      </c>
      <c r="E5656" s="126" t="s">
        <v>20016</v>
      </c>
      <c r="F5656" s="123" t="s">
        <v>30</v>
      </c>
      <c r="G5656" s="123" t="s">
        <v>31</v>
      </c>
      <c r="H5656" s="123" t="s">
        <v>150</v>
      </c>
      <c r="I5656" s="126" t="s">
        <v>1936</v>
      </c>
      <c r="J5656" s="123" t="s">
        <v>20017</v>
      </c>
      <c r="K5656" s="123" t="s">
        <v>20018</v>
      </c>
      <c r="L5656" s="131" t="s">
        <v>100</v>
      </c>
      <c r="M5656" s="135" t="s">
        <v>845</v>
      </c>
      <c r="N5656" s="123" t="s">
        <v>845</v>
      </c>
    </row>
    <row r="5657" spans="2:14" hidden="1" x14ac:dyDescent="0.25">
      <c r="B5657" s="120">
        <v>5654</v>
      </c>
      <c r="C5657" s="123">
        <v>10427254980</v>
      </c>
      <c r="D5657" s="126" t="s">
        <v>5083</v>
      </c>
      <c r="E5657" s="126" t="s">
        <v>20019</v>
      </c>
      <c r="F5657" s="123" t="s">
        <v>30</v>
      </c>
      <c r="G5657" s="123" t="s">
        <v>31</v>
      </c>
      <c r="H5657" s="123" t="s">
        <v>139</v>
      </c>
      <c r="I5657" s="126" t="s">
        <v>1983</v>
      </c>
      <c r="J5657" s="123" t="s">
        <v>5082</v>
      </c>
      <c r="K5657" s="123" t="s">
        <v>20020</v>
      </c>
      <c r="L5657" s="131" t="s">
        <v>100</v>
      </c>
      <c r="M5657" s="135" t="s">
        <v>845</v>
      </c>
      <c r="N5657" s="123" t="s">
        <v>845</v>
      </c>
    </row>
    <row r="5658" spans="2:14" hidden="1" x14ac:dyDescent="0.25">
      <c r="B5658" s="120">
        <v>5655</v>
      </c>
      <c r="C5658" s="123">
        <v>10432487844</v>
      </c>
      <c r="D5658" s="126" t="s">
        <v>20021</v>
      </c>
      <c r="E5658" s="126" t="s">
        <v>20022</v>
      </c>
      <c r="F5658" s="123" t="s">
        <v>30</v>
      </c>
      <c r="G5658" s="123" t="s">
        <v>30</v>
      </c>
      <c r="H5658" s="123" t="s">
        <v>34</v>
      </c>
      <c r="I5658" s="126" t="s">
        <v>1701</v>
      </c>
      <c r="J5658" s="123" t="s">
        <v>20023</v>
      </c>
      <c r="K5658" s="123" t="s">
        <v>20021</v>
      </c>
      <c r="L5658" s="131" t="s">
        <v>100</v>
      </c>
      <c r="M5658" s="135" t="s">
        <v>845</v>
      </c>
      <c r="N5658" s="123" t="s">
        <v>845</v>
      </c>
    </row>
    <row r="5659" spans="2:14" hidden="1" x14ac:dyDescent="0.25">
      <c r="B5659" s="120">
        <v>5656</v>
      </c>
      <c r="C5659" s="123">
        <v>10441830543</v>
      </c>
      <c r="D5659" s="126" t="s">
        <v>20024</v>
      </c>
      <c r="E5659" s="126" t="s">
        <v>20025</v>
      </c>
      <c r="F5659" s="123" t="s">
        <v>30</v>
      </c>
      <c r="G5659" s="123" t="s">
        <v>30</v>
      </c>
      <c r="H5659" s="123" t="s">
        <v>50</v>
      </c>
      <c r="I5659" s="126" t="s">
        <v>18197</v>
      </c>
      <c r="J5659" s="123" t="s">
        <v>20026</v>
      </c>
      <c r="K5659" s="123" t="s">
        <v>20024</v>
      </c>
      <c r="L5659" s="131" t="s">
        <v>100</v>
      </c>
      <c r="M5659" s="135" t="s">
        <v>845</v>
      </c>
      <c r="N5659" s="123" t="s">
        <v>845</v>
      </c>
    </row>
    <row r="5660" spans="2:14" hidden="1" x14ac:dyDescent="0.25">
      <c r="B5660" s="120">
        <v>5657</v>
      </c>
      <c r="C5660" s="123">
        <v>10728719708</v>
      </c>
      <c r="D5660" s="126" t="s">
        <v>20027</v>
      </c>
      <c r="E5660" s="126" t="s">
        <v>20028</v>
      </c>
      <c r="F5660" s="123" t="s">
        <v>30</v>
      </c>
      <c r="G5660" s="123" t="s">
        <v>31</v>
      </c>
      <c r="H5660" s="123" t="s">
        <v>150</v>
      </c>
      <c r="I5660" s="126" t="s">
        <v>1507</v>
      </c>
      <c r="J5660" s="123" t="s">
        <v>20029</v>
      </c>
      <c r="K5660" s="123" t="s">
        <v>20027</v>
      </c>
      <c r="L5660" s="131" t="s">
        <v>100</v>
      </c>
      <c r="M5660" s="135" t="s">
        <v>845</v>
      </c>
      <c r="N5660" s="123" t="s">
        <v>845</v>
      </c>
    </row>
    <row r="5661" spans="2:14" hidden="1" x14ac:dyDescent="0.25">
      <c r="B5661" s="120">
        <v>5658</v>
      </c>
      <c r="C5661" s="123">
        <v>10414558327</v>
      </c>
      <c r="D5661" s="126" t="s">
        <v>20030</v>
      </c>
      <c r="E5661" s="126" t="s">
        <v>20031</v>
      </c>
      <c r="F5661" s="123" t="s">
        <v>30</v>
      </c>
      <c r="G5661" s="123" t="s">
        <v>31</v>
      </c>
      <c r="H5661" s="123" t="s">
        <v>9381</v>
      </c>
      <c r="I5661" s="126" t="s">
        <v>1930</v>
      </c>
      <c r="J5661" s="123" t="s">
        <v>20032</v>
      </c>
      <c r="K5661" s="123" t="s">
        <v>20030</v>
      </c>
      <c r="L5661" s="131" t="s">
        <v>100</v>
      </c>
      <c r="M5661" s="135" t="s">
        <v>845</v>
      </c>
      <c r="N5661" s="123" t="s">
        <v>845</v>
      </c>
    </row>
    <row r="5662" spans="2:14" hidden="1" x14ac:dyDescent="0.25">
      <c r="B5662" s="120">
        <v>5659</v>
      </c>
      <c r="C5662" s="123">
        <v>10421756231</v>
      </c>
      <c r="D5662" s="126" t="s">
        <v>20033</v>
      </c>
      <c r="E5662" s="126" t="s">
        <v>20034</v>
      </c>
      <c r="F5662" s="123" t="s">
        <v>30</v>
      </c>
      <c r="G5662" s="123" t="s">
        <v>30</v>
      </c>
      <c r="H5662" s="123" t="s">
        <v>72</v>
      </c>
      <c r="I5662" s="126" t="s">
        <v>1983</v>
      </c>
      <c r="J5662" s="123" t="s">
        <v>20035</v>
      </c>
      <c r="K5662" s="123" t="s">
        <v>20033</v>
      </c>
      <c r="L5662" s="131" t="s">
        <v>100</v>
      </c>
      <c r="M5662" s="135" t="s">
        <v>845</v>
      </c>
      <c r="N5662" s="123" t="s">
        <v>845</v>
      </c>
    </row>
    <row r="5663" spans="2:14" hidden="1" x14ac:dyDescent="0.25">
      <c r="B5663" s="120">
        <v>5660</v>
      </c>
      <c r="C5663" s="123">
        <v>10099620680</v>
      </c>
      <c r="D5663" s="126" t="s">
        <v>20036</v>
      </c>
      <c r="E5663" s="126" t="s">
        <v>20037</v>
      </c>
      <c r="F5663" s="123" t="s">
        <v>30</v>
      </c>
      <c r="G5663" s="123" t="s">
        <v>30</v>
      </c>
      <c r="H5663" s="123" t="s">
        <v>30</v>
      </c>
      <c r="I5663" s="126" t="s">
        <v>1551</v>
      </c>
      <c r="J5663" s="123" t="s">
        <v>20038</v>
      </c>
      <c r="K5663" s="123" t="s">
        <v>20036</v>
      </c>
      <c r="L5663" s="131" t="s">
        <v>100</v>
      </c>
      <c r="M5663" s="135" t="s">
        <v>845</v>
      </c>
      <c r="N5663" s="123" t="s">
        <v>845</v>
      </c>
    </row>
    <row r="5664" spans="2:14" hidden="1" x14ac:dyDescent="0.25">
      <c r="B5664" s="120">
        <v>5661</v>
      </c>
      <c r="C5664" s="123">
        <v>10153592000</v>
      </c>
      <c r="D5664" s="126" t="s">
        <v>20039</v>
      </c>
      <c r="E5664" s="126" t="s">
        <v>20040</v>
      </c>
      <c r="F5664" s="123" t="s">
        <v>30</v>
      </c>
      <c r="G5664" s="123" t="s">
        <v>31</v>
      </c>
      <c r="H5664" s="123" t="s">
        <v>9381</v>
      </c>
      <c r="I5664" s="126" t="s">
        <v>1655</v>
      </c>
      <c r="J5664" s="123" t="s">
        <v>20041</v>
      </c>
      <c r="K5664" s="123" t="s">
        <v>20039</v>
      </c>
      <c r="L5664" s="131" t="s">
        <v>100</v>
      </c>
      <c r="M5664" s="135" t="s">
        <v>845</v>
      </c>
      <c r="N5664" s="123" t="s">
        <v>845</v>
      </c>
    </row>
    <row r="5665" spans="2:14" hidden="1" x14ac:dyDescent="0.25">
      <c r="B5665" s="120">
        <v>5662</v>
      </c>
      <c r="C5665" s="123">
        <v>10475252107</v>
      </c>
      <c r="D5665" s="126" t="s">
        <v>20042</v>
      </c>
      <c r="E5665" s="126" t="s">
        <v>20043</v>
      </c>
      <c r="F5665" s="123" t="s">
        <v>30</v>
      </c>
      <c r="G5665" s="123" t="s">
        <v>30</v>
      </c>
      <c r="H5665" s="123" t="s">
        <v>50</v>
      </c>
      <c r="I5665" s="126" t="s">
        <v>1936</v>
      </c>
      <c r="J5665" s="123" t="s">
        <v>20044</v>
      </c>
      <c r="K5665" s="123" t="s">
        <v>20042</v>
      </c>
      <c r="L5665" s="131" t="s">
        <v>100</v>
      </c>
      <c r="M5665" s="135" t="s">
        <v>845</v>
      </c>
      <c r="N5665" s="123" t="s">
        <v>845</v>
      </c>
    </row>
    <row r="5666" spans="2:14" hidden="1" x14ac:dyDescent="0.25">
      <c r="B5666" s="120">
        <v>5663</v>
      </c>
      <c r="C5666" s="123">
        <v>10415642488</v>
      </c>
      <c r="D5666" s="126" t="s">
        <v>20045</v>
      </c>
      <c r="E5666" s="126" t="s">
        <v>20046</v>
      </c>
      <c r="F5666" s="123" t="s">
        <v>67</v>
      </c>
      <c r="G5666" s="123" t="s">
        <v>67</v>
      </c>
      <c r="H5666" s="123" t="s">
        <v>67</v>
      </c>
      <c r="I5666" s="126" t="s">
        <v>1564</v>
      </c>
      <c r="J5666" s="123" t="s">
        <v>20047</v>
      </c>
      <c r="K5666" s="123" t="s">
        <v>20045</v>
      </c>
      <c r="L5666" s="131" t="s">
        <v>100</v>
      </c>
      <c r="M5666" s="135" t="s">
        <v>845</v>
      </c>
      <c r="N5666" s="123" t="s">
        <v>845</v>
      </c>
    </row>
    <row r="5667" spans="2:14" hidden="1" x14ac:dyDescent="0.25">
      <c r="B5667" s="120">
        <v>5664</v>
      </c>
      <c r="C5667" s="123">
        <v>10256480927</v>
      </c>
      <c r="D5667" s="126" t="s">
        <v>20048</v>
      </c>
      <c r="E5667" s="126" t="s">
        <v>20049</v>
      </c>
      <c r="F5667" s="123" t="s">
        <v>67</v>
      </c>
      <c r="G5667" s="123" t="s">
        <v>67</v>
      </c>
      <c r="H5667" s="123" t="s">
        <v>67</v>
      </c>
      <c r="I5667" s="126" t="s">
        <v>1980</v>
      </c>
      <c r="J5667" s="123" t="s">
        <v>20050</v>
      </c>
      <c r="K5667" s="123" t="s">
        <v>20048</v>
      </c>
      <c r="L5667" s="131" t="s">
        <v>100</v>
      </c>
      <c r="M5667" s="135" t="s">
        <v>845</v>
      </c>
      <c r="N5667" s="123" t="s">
        <v>845</v>
      </c>
    </row>
    <row r="5668" spans="2:14" hidden="1" x14ac:dyDescent="0.25">
      <c r="B5668" s="120">
        <v>5665</v>
      </c>
      <c r="C5668" s="123">
        <v>10442863119</v>
      </c>
      <c r="D5668" s="126" t="s">
        <v>20051</v>
      </c>
      <c r="E5668" s="126" t="s">
        <v>20052</v>
      </c>
      <c r="F5668" s="123" t="s">
        <v>30</v>
      </c>
      <c r="G5668" s="123" t="s">
        <v>30</v>
      </c>
      <c r="H5668" s="123" t="s">
        <v>30</v>
      </c>
      <c r="I5668" s="126" t="s">
        <v>1941</v>
      </c>
      <c r="J5668" s="123" t="s">
        <v>20053</v>
      </c>
      <c r="K5668" s="123" t="s">
        <v>20054</v>
      </c>
      <c r="L5668" s="131" t="s">
        <v>100</v>
      </c>
      <c r="M5668" s="135" t="s">
        <v>845</v>
      </c>
      <c r="N5668" s="123" t="s">
        <v>845</v>
      </c>
    </row>
    <row r="5669" spans="2:14" hidden="1" x14ac:dyDescent="0.25">
      <c r="B5669" s="120">
        <v>5666</v>
      </c>
      <c r="C5669" s="123">
        <v>10086173781</v>
      </c>
      <c r="D5669" s="126" t="s">
        <v>20055</v>
      </c>
      <c r="E5669" s="126" t="s">
        <v>20056</v>
      </c>
      <c r="F5669" s="123" t="s">
        <v>30</v>
      </c>
      <c r="G5669" s="123" t="s">
        <v>30</v>
      </c>
      <c r="H5669" s="123" t="s">
        <v>72</v>
      </c>
      <c r="I5669" s="126" t="s">
        <v>1936</v>
      </c>
      <c r="J5669" s="123" t="s">
        <v>20057</v>
      </c>
      <c r="K5669" s="123" t="s">
        <v>20055</v>
      </c>
      <c r="L5669" s="131" t="s">
        <v>100</v>
      </c>
      <c r="M5669" s="135" t="s">
        <v>845</v>
      </c>
      <c r="N5669" s="123" t="s">
        <v>845</v>
      </c>
    </row>
    <row r="5670" spans="2:14" hidden="1" x14ac:dyDescent="0.25">
      <c r="B5670" s="120">
        <v>5667</v>
      </c>
      <c r="C5670" s="123">
        <v>10106798279</v>
      </c>
      <c r="D5670" s="126" t="s">
        <v>20058</v>
      </c>
      <c r="E5670" s="126" t="s">
        <v>20059</v>
      </c>
      <c r="F5670" s="123" t="s">
        <v>30</v>
      </c>
      <c r="G5670" s="123" t="s">
        <v>30</v>
      </c>
      <c r="H5670" s="123" t="s">
        <v>30</v>
      </c>
      <c r="I5670" s="126" t="s">
        <v>1936</v>
      </c>
      <c r="J5670" s="123" t="s">
        <v>20060</v>
      </c>
      <c r="K5670" s="123" t="s">
        <v>20061</v>
      </c>
      <c r="L5670" s="131" t="s">
        <v>100</v>
      </c>
      <c r="M5670" s="135" t="s">
        <v>845</v>
      </c>
      <c r="N5670" s="123" t="s">
        <v>845</v>
      </c>
    </row>
    <row r="5671" spans="2:14" hidden="1" x14ac:dyDescent="0.25">
      <c r="B5671" s="120">
        <v>5668</v>
      </c>
      <c r="C5671" s="123">
        <v>10107105633</v>
      </c>
      <c r="D5671" s="126" t="s">
        <v>20062</v>
      </c>
      <c r="E5671" s="126" t="s">
        <v>19455</v>
      </c>
      <c r="F5671" s="123" t="s">
        <v>30</v>
      </c>
      <c r="G5671" s="123" t="s">
        <v>30</v>
      </c>
      <c r="H5671" s="123" t="s">
        <v>88</v>
      </c>
      <c r="I5671" s="126" t="s">
        <v>13273</v>
      </c>
      <c r="J5671" s="123" t="s">
        <v>20063</v>
      </c>
      <c r="K5671" s="123" t="s">
        <v>20062</v>
      </c>
      <c r="L5671" s="131" t="s">
        <v>100</v>
      </c>
      <c r="M5671" s="135" t="s">
        <v>845</v>
      </c>
      <c r="N5671" s="123" t="s">
        <v>845</v>
      </c>
    </row>
    <row r="5672" spans="2:14" hidden="1" x14ac:dyDescent="0.25">
      <c r="B5672" s="120">
        <v>5669</v>
      </c>
      <c r="C5672" s="123">
        <v>10428466271</v>
      </c>
      <c r="D5672" s="126" t="s">
        <v>20064</v>
      </c>
      <c r="E5672" s="126" t="s">
        <v>20065</v>
      </c>
      <c r="F5672" s="123" t="s">
        <v>30</v>
      </c>
      <c r="G5672" s="123" t="s">
        <v>30</v>
      </c>
      <c r="H5672" s="123" t="s">
        <v>135</v>
      </c>
      <c r="I5672" s="126" t="s">
        <v>8659</v>
      </c>
      <c r="J5672" s="123" t="s">
        <v>20066</v>
      </c>
      <c r="K5672" s="123" t="s">
        <v>20064</v>
      </c>
      <c r="L5672" s="131" t="s">
        <v>100</v>
      </c>
      <c r="M5672" s="135" t="s">
        <v>845</v>
      </c>
      <c r="N5672" s="123" t="s">
        <v>845</v>
      </c>
    </row>
    <row r="5673" spans="2:14" hidden="1" x14ac:dyDescent="0.25">
      <c r="B5673" s="120">
        <v>5670</v>
      </c>
      <c r="C5673" s="123">
        <v>10466190701</v>
      </c>
      <c r="D5673" s="126" t="s">
        <v>20067</v>
      </c>
      <c r="E5673" s="126" t="s">
        <v>20068</v>
      </c>
      <c r="F5673" s="123" t="s">
        <v>67</v>
      </c>
      <c r="G5673" s="123" t="s">
        <v>67</v>
      </c>
      <c r="H5673" s="123" t="s">
        <v>67</v>
      </c>
      <c r="I5673" s="126" t="s">
        <v>1984</v>
      </c>
      <c r="J5673" s="123" t="s">
        <v>20069</v>
      </c>
      <c r="K5673" s="123" t="s">
        <v>20070</v>
      </c>
      <c r="L5673" s="131" t="s">
        <v>100</v>
      </c>
      <c r="M5673" s="135" t="s">
        <v>845</v>
      </c>
      <c r="N5673" s="123" t="s">
        <v>845</v>
      </c>
    </row>
    <row r="5674" spans="2:14" hidden="1" x14ac:dyDescent="0.25">
      <c r="B5674" s="120">
        <v>5671</v>
      </c>
      <c r="C5674" s="123">
        <v>10433636711</v>
      </c>
      <c r="D5674" s="126" t="s">
        <v>20071</v>
      </c>
      <c r="E5674" s="126" t="s">
        <v>20072</v>
      </c>
      <c r="F5674" s="123" t="s">
        <v>30</v>
      </c>
      <c r="G5674" s="123" t="s">
        <v>30</v>
      </c>
      <c r="H5674" s="123" t="s">
        <v>58</v>
      </c>
      <c r="I5674" s="126" t="s">
        <v>12735</v>
      </c>
      <c r="J5674" s="123" t="s">
        <v>20073</v>
      </c>
      <c r="K5674" s="123" t="s">
        <v>20071</v>
      </c>
      <c r="L5674" s="131" t="s">
        <v>100</v>
      </c>
      <c r="M5674" s="135" t="s">
        <v>845</v>
      </c>
      <c r="N5674" s="123" t="s">
        <v>845</v>
      </c>
    </row>
    <row r="5675" spans="2:14" hidden="1" x14ac:dyDescent="0.25">
      <c r="B5675" s="120">
        <v>5672</v>
      </c>
      <c r="C5675" s="123">
        <v>10471596537</v>
      </c>
      <c r="D5675" s="126" t="s">
        <v>20074</v>
      </c>
      <c r="E5675" s="126" t="s">
        <v>20075</v>
      </c>
      <c r="F5675" s="123" t="s">
        <v>30</v>
      </c>
      <c r="G5675" s="123" t="s">
        <v>30</v>
      </c>
      <c r="H5675" s="123" t="s">
        <v>50</v>
      </c>
      <c r="I5675" s="126" t="s">
        <v>9960</v>
      </c>
      <c r="J5675" s="123" t="s">
        <v>20076</v>
      </c>
      <c r="K5675" s="123" t="s">
        <v>20077</v>
      </c>
      <c r="L5675" s="131" t="s">
        <v>100</v>
      </c>
      <c r="M5675" s="135" t="s">
        <v>845</v>
      </c>
      <c r="N5675" s="123" t="s">
        <v>845</v>
      </c>
    </row>
    <row r="5676" spans="2:14" hidden="1" x14ac:dyDescent="0.25">
      <c r="B5676" s="120">
        <v>5673</v>
      </c>
      <c r="C5676" s="123">
        <v>10096606139</v>
      </c>
      <c r="D5676" s="126" t="s">
        <v>20078</v>
      </c>
      <c r="E5676" s="126" t="s">
        <v>20079</v>
      </c>
      <c r="F5676" s="123" t="s">
        <v>30</v>
      </c>
      <c r="G5676" s="123" t="s">
        <v>30</v>
      </c>
      <c r="H5676" s="123" t="s">
        <v>40</v>
      </c>
      <c r="I5676" s="126" t="s">
        <v>1701</v>
      </c>
      <c r="J5676" s="123" t="s">
        <v>20080</v>
      </c>
      <c r="K5676" s="123" t="s">
        <v>20078</v>
      </c>
      <c r="L5676" s="131" t="s">
        <v>100</v>
      </c>
      <c r="M5676" s="135" t="s">
        <v>845</v>
      </c>
      <c r="N5676" s="123" t="s">
        <v>845</v>
      </c>
    </row>
    <row r="5677" spans="2:14" hidden="1" x14ac:dyDescent="0.25">
      <c r="B5677" s="120">
        <v>5674</v>
      </c>
      <c r="C5677" s="123">
        <v>10400897692</v>
      </c>
      <c r="D5677" s="126" t="s">
        <v>20081</v>
      </c>
      <c r="E5677" s="126" t="s">
        <v>20082</v>
      </c>
      <c r="F5677" s="123" t="s">
        <v>30</v>
      </c>
      <c r="G5677" s="123" t="s">
        <v>31</v>
      </c>
      <c r="H5677" s="123" t="s">
        <v>139</v>
      </c>
      <c r="I5677" s="126" t="s">
        <v>13409</v>
      </c>
      <c r="J5677" s="123" t="s">
        <v>20083</v>
      </c>
      <c r="K5677" s="123" t="s">
        <v>20081</v>
      </c>
      <c r="L5677" s="131" t="s">
        <v>100</v>
      </c>
      <c r="M5677" s="135" t="s">
        <v>845</v>
      </c>
      <c r="N5677" s="123" t="s">
        <v>845</v>
      </c>
    </row>
    <row r="5678" spans="2:14" hidden="1" x14ac:dyDescent="0.25">
      <c r="B5678" s="120">
        <v>5675</v>
      </c>
      <c r="C5678" s="123">
        <v>10098239532</v>
      </c>
      <c r="D5678" s="126" t="s">
        <v>20084</v>
      </c>
      <c r="E5678" s="126" t="s">
        <v>20085</v>
      </c>
      <c r="F5678" s="123" t="s">
        <v>30</v>
      </c>
      <c r="G5678" s="123" t="s">
        <v>30</v>
      </c>
      <c r="H5678" s="123" t="s">
        <v>37</v>
      </c>
      <c r="I5678" s="126" t="s">
        <v>1365</v>
      </c>
      <c r="J5678" s="123" t="s">
        <v>20086</v>
      </c>
      <c r="K5678" s="123" t="s">
        <v>20087</v>
      </c>
      <c r="L5678" s="131" t="s">
        <v>100</v>
      </c>
      <c r="M5678" s="135" t="s">
        <v>845</v>
      </c>
      <c r="N5678" s="123" t="s">
        <v>845</v>
      </c>
    </row>
    <row r="5679" spans="2:14" hidden="1" x14ac:dyDescent="0.25">
      <c r="B5679" s="120">
        <v>5676</v>
      </c>
      <c r="C5679" s="123">
        <v>10085238511</v>
      </c>
      <c r="D5679" s="126" t="s">
        <v>20088</v>
      </c>
      <c r="E5679" s="126" t="s">
        <v>20089</v>
      </c>
      <c r="F5679" s="123" t="s">
        <v>30</v>
      </c>
      <c r="G5679" s="123" t="s">
        <v>30</v>
      </c>
      <c r="H5679" s="123" t="s">
        <v>72</v>
      </c>
      <c r="I5679" s="126" t="s">
        <v>1727</v>
      </c>
      <c r="J5679" s="123" t="s">
        <v>20090</v>
      </c>
      <c r="K5679" s="123" t="s">
        <v>20091</v>
      </c>
      <c r="L5679" s="131" t="s">
        <v>100</v>
      </c>
      <c r="M5679" s="135" t="s">
        <v>845</v>
      </c>
      <c r="N5679" s="123" t="s">
        <v>845</v>
      </c>
    </row>
    <row r="5680" spans="2:14" hidden="1" x14ac:dyDescent="0.25">
      <c r="B5680" s="120">
        <v>5677</v>
      </c>
      <c r="C5680" s="123">
        <v>10106774175</v>
      </c>
      <c r="D5680" s="126" t="s">
        <v>20092</v>
      </c>
      <c r="E5680" s="126" t="s">
        <v>20093</v>
      </c>
      <c r="F5680" s="123" t="s">
        <v>30</v>
      </c>
      <c r="G5680" s="123" t="s">
        <v>30</v>
      </c>
      <c r="H5680" s="123" t="s">
        <v>43</v>
      </c>
      <c r="I5680" s="126" t="s">
        <v>1564</v>
      </c>
      <c r="J5680" s="123" t="s">
        <v>20094</v>
      </c>
      <c r="K5680" s="123" t="s">
        <v>20092</v>
      </c>
      <c r="L5680" s="131" t="s">
        <v>100</v>
      </c>
      <c r="M5680" s="135" t="s">
        <v>845</v>
      </c>
      <c r="N5680" s="123" t="s">
        <v>845</v>
      </c>
    </row>
    <row r="5681" spans="2:14" hidden="1" x14ac:dyDescent="0.25">
      <c r="B5681" s="120">
        <v>5678</v>
      </c>
      <c r="C5681" s="123">
        <v>10427740761</v>
      </c>
      <c r="D5681" s="126" t="s">
        <v>20095</v>
      </c>
      <c r="E5681" s="126" t="s">
        <v>20096</v>
      </c>
      <c r="F5681" s="123" t="s">
        <v>30</v>
      </c>
      <c r="G5681" s="123" t="s">
        <v>30</v>
      </c>
      <c r="H5681" s="123" t="s">
        <v>43</v>
      </c>
      <c r="I5681" s="126" t="s">
        <v>1701</v>
      </c>
      <c r="J5681" s="123" t="s">
        <v>20097</v>
      </c>
      <c r="K5681" s="123" t="s">
        <v>20095</v>
      </c>
      <c r="L5681" s="131" t="s">
        <v>100</v>
      </c>
      <c r="M5681" s="135" t="s">
        <v>845</v>
      </c>
      <c r="N5681" s="123" t="s">
        <v>845</v>
      </c>
    </row>
    <row r="5682" spans="2:14" hidden="1" x14ac:dyDescent="0.25">
      <c r="B5682" s="120">
        <v>5679</v>
      </c>
      <c r="C5682" s="123">
        <v>10095545586</v>
      </c>
      <c r="D5682" s="126" t="s">
        <v>20098</v>
      </c>
      <c r="E5682" s="126" t="s">
        <v>20099</v>
      </c>
      <c r="F5682" s="123" t="s">
        <v>30</v>
      </c>
      <c r="G5682" s="123" t="s">
        <v>30</v>
      </c>
      <c r="H5682" s="123" t="s">
        <v>43</v>
      </c>
      <c r="I5682" s="126" t="s">
        <v>6425</v>
      </c>
      <c r="J5682" s="123" t="s">
        <v>20100</v>
      </c>
      <c r="K5682" s="123" t="s">
        <v>20098</v>
      </c>
      <c r="L5682" s="131" t="s">
        <v>100</v>
      </c>
      <c r="M5682" s="135" t="s">
        <v>845</v>
      </c>
      <c r="N5682" s="123" t="s">
        <v>845</v>
      </c>
    </row>
    <row r="5683" spans="2:14" hidden="1" x14ac:dyDescent="0.25">
      <c r="B5683" s="120">
        <v>5680</v>
      </c>
      <c r="C5683" s="123">
        <v>10703034182</v>
      </c>
      <c r="D5683" s="126" t="s">
        <v>20101</v>
      </c>
      <c r="E5683" s="126" t="s">
        <v>20102</v>
      </c>
      <c r="F5683" s="123" t="s">
        <v>30</v>
      </c>
      <c r="G5683" s="123" t="s">
        <v>30</v>
      </c>
      <c r="H5683" s="123" t="s">
        <v>80</v>
      </c>
      <c r="I5683" s="126" t="s">
        <v>8884</v>
      </c>
      <c r="J5683" s="123" t="s">
        <v>20103</v>
      </c>
      <c r="K5683" s="123" t="s">
        <v>20101</v>
      </c>
      <c r="L5683" s="131" t="s">
        <v>100</v>
      </c>
      <c r="M5683" s="135" t="s">
        <v>845</v>
      </c>
      <c r="N5683" s="123" t="s">
        <v>845</v>
      </c>
    </row>
    <row r="5684" spans="2:14" hidden="1" x14ac:dyDescent="0.25">
      <c r="B5684" s="120">
        <v>5681</v>
      </c>
      <c r="C5684" s="123">
        <v>10417600642</v>
      </c>
      <c r="D5684" s="126" t="s">
        <v>20104</v>
      </c>
      <c r="E5684" s="126" t="s">
        <v>20105</v>
      </c>
      <c r="F5684" s="123" t="s">
        <v>67</v>
      </c>
      <c r="G5684" s="123" t="s">
        <v>67</v>
      </c>
      <c r="H5684" s="123" t="s">
        <v>94</v>
      </c>
      <c r="I5684" s="126" t="s">
        <v>1737</v>
      </c>
      <c r="J5684" s="123" t="s">
        <v>20106</v>
      </c>
      <c r="K5684" s="123" t="s">
        <v>20104</v>
      </c>
      <c r="L5684" s="131" t="s">
        <v>100</v>
      </c>
      <c r="M5684" s="135" t="s">
        <v>845</v>
      </c>
      <c r="N5684" s="123" t="s">
        <v>845</v>
      </c>
    </row>
    <row r="5685" spans="2:14" hidden="1" x14ac:dyDescent="0.25">
      <c r="B5685" s="120">
        <v>5682</v>
      </c>
      <c r="C5685" s="123">
        <v>10424601832</v>
      </c>
      <c r="D5685" s="126" t="s">
        <v>20107</v>
      </c>
      <c r="E5685" s="126" t="s">
        <v>20108</v>
      </c>
      <c r="F5685" s="123" t="s">
        <v>30</v>
      </c>
      <c r="G5685" s="123" t="s">
        <v>170</v>
      </c>
      <c r="H5685" s="123" t="s">
        <v>179</v>
      </c>
      <c r="I5685" s="126" t="s">
        <v>1701</v>
      </c>
      <c r="J5685" s="123" t="s">
        <v>20109</v>
      </c>
      <c r="K5685" s="123" t="s">
        <v>20107</v>
      </c>
      <c r="L5685" s="131" t="s">
        <v>100</v>
      </c>
      <c r="M5685" s="135" t="s">
        <v>845</v>
      </c>
      <c r="N5685" s="123" t="s">
        <v>845</v>
      </c>
    </row>
    <row r="5686" spans="2:14" hidden="1" x14ac:dyDescent="0.25">
      <c r="B5686" s="120">
        <v>5683</v>
      </c>
      <c r="C5686" s="123">
        <v>10093214426</v>
      </c>
      <c r="D5686" s="126" t="s">
        <v>20110</v>
      </c>
      <c r="E5686" s="126" t="s">
        <v>20111</v>
      </c>
      <c r="F5686" s="123" t="s">
        <v>30</v>
      </c>
      <c r="G5686" s="123" t="s">
        <v>30</v>
      </c>
      <c r="H5686" s="123" t="s">
        <v>51</v>
      </c>
      <c r="I5686" s="126" t="s">
        <v>1564</v>
      </c>
      <c r="J5686" s="123" t="s">
        <v>20112</v>
      </c>
      <c r="K5686" s="123" t="s">
        <v>20113</v>
      </c>
      <c r="L5686" s="131" t="s">
        <v>100</v>
      </c>
      <c r="M5686" s="135" t="s">
        <v>845</v>
      </c>
      <c r="N5686" s="123" t="s">
        <v>845</v>
      </c>
    </row>
    <row r="5687" spans="2:14" hidden="1" x14ac:dyDescent="0.25">
      <c r="B5687" s="120">
        <v>5684</v>
      </c>
      <c r="C5687" s="123">
        <v>10403416393</v>
      </c>
      <c r="D5687" s="126" t="s">
        <v>20114</v>
      </c>
      <c r="E5687" s="126" t="s">
        <v>20115</v>
      </c>
      <c r="F5687" s="123" t="s">
        <v>30</v>
      </c>
      <c r="G5687" s="123" t="s">
        <v>30</v>
      </c>
      <c r="H5687" s="123" t="s">
        <v>39</v>
      </c>
      <c r="I5687" s="126" t="s">
        <v>1424</v>
      </c>
      <c r="J5687" s="123" t="s">
        <v>20116</v>
      </c>
      <c r="K5687" s="123" t="s">
        <v>20117</v>
      </c>
      <c r="L5687" s="131" t="s">
        <v>100</v>
      </c>
      <c r="M5687" s="135" t="s">
        <v>845</v>
      </c>
      <c r="N5687" s="123" t="s">
        <v>845</v>
      </c>
    </row>
    <row r="5688" spans="2:14" hidden="1" x14ac:dyDescent="0.25">
      <c r="B5688" s="120">
        <v>5685</v>
      </c>
      <c r="C5688" s="123">
        <v>10101125748</v>
      </c>
      <c r="D5688" s="126" t="s">
        <v>20118</v>
      </c>
      <c r="E5688" s="126" t="s">
        <v>20119</v>
      </c>
      <c r="F5688" s="123" t="s">
        <v>30</v>
      </c>
      <c r="G5688" s="123" t="s">
        <v>30</v>
      </c>
      <c r="H5688" s="123" t="s">
        <v>39</v>
      </c>
      <c r="I5688" s="126" t="s">
        <v>1950</v>
      </c>
      <c r="J5688" s="123" t="s">
        <v>20120</v>
      </c>
      <c r="K5688" s="123" t="s">
        <v>20121</v>
      </c>
      <c r="L5688" s="131" t="s">
        <v>100</v>
      </c>
      <c r="M5688" s="135" t="s">
        <v>845</v>
      </c>
      <c r="N5688" s="123" t="s">
        <v>845</v>
      </c>
    </row>
    <row r="5689" spans="2:14" hidden="1" x14ac:dyDescent="0.25">
      <c r="B5689" s="120">
        <v>5686</v>
      </c>
      <c r="C5689" s="123">
        <v>10199166251</v>
      </c>
      <c r="D5689" s="126" t="s">
        <v>20122</v>
      </c>
      <c r="E5689" s="126" t="s">
        <v>20123</v>
      </c>
      <c r="F5689" s="123" t="s">
        <v>30</v>
      </c>
      <c r="G5689" s="123" t="s">
        <v>30</v>
      </c>
      <c r="H5689" s="123" t="s">
        <v>127</v>
      </c>
      <c r="I5689" s="126" t="s">
        <v>527</v>
      </c>
      <c r="J5689" s="123" t="s">
        <v>20124</v>
      </c>
      <c r="K5689" s="123" t="s">
        <v>20125</v>
      </c>
      <c r="L5689" s="131" t="s">
        <v>100</v>
      </c>
      <c r="M5689" s="135" t="s">
        <v>845</v>
      </c>
      <c r="N5689" s="123" t="s">
        <v>845</v>
      </c>
    </row>
    <row r="5690" spans="2:14" hidden="1" x14ac:dyDescent="0.25">
      <c r="B5690" s="120">
        <v>5687</v>
      </c>
      <c r="C5690" s="123">
        <v>10163114033</v>
      </c>
      <c r="D5690" s="126" t="s">
        <v>20126</v>
      </c>
      <c r="E5690" s="126" t="s">
        <v>20127</v>
      </c>
      <c r="F5690" s="123" t="s">
        <v>67</v>
      </c>
      <c r="G5690" s="123" t="s">
        <v>67</v>
      </c>
      <c r="H5690" s="123" t="s">
        <v>67</v>
      </c>
      <c r="I5690" s="126" t="s">
        <v>1931</v>
      </c>
      <c r="J5690" s="123" t="s">
        <v>20128</v>
      </c>
      <c r="K5690" s="123" t="s">
        <v>20126</v>
      </c>
      <c r="L5690" s="131" t="s">
        <v>100</v>
      </c>
      <c r="M5690" s="135" t="s">
        <v>845</v>
      </c>
      <c r="N5690" s="123" t="s">
        <v>845</v>
      </c>
    </row>
    <row r="5691" spans="2:14" hidden="1" x14ac:dyDescent="0.25">
      <c r="B5691" s="120">
        <v>5688</v>
      </c>
      <c r="C5691" s="123">
        <v>10736092111</v>
      </c>
      <c r="D5691" s="126" t="s">
        <v>20129</v>
      </c>
      <c r="E5691" s="126" t="s">
        <v>20130</v>
      </c>
      <c r="F5691" s="123" t="s">
        <v>30</v>
      </c>
      <c r="G5691" s="123" t="s">
        <v>30</v>
      </c>
      <c r="H5691" s="123" t="s">
        <v>60</v>
      </c>
      <c r="I5691" s="126" t="s">
        <v>10336</v>
      </c>
      <c r="J5691" s="123" t="s">
        <v>20131</v>
      </c>
      <c r="K5691" s="123" t="s">
        <v>20129</v>
      </c>
      <c r="L5691" s="131" t="s">
        <v>100</v>
      </c>
      <c r="M5691" s="135" t="s">
        <v>845</v>
      </c>
      <c r="N5691" s="123" t="s">
        <v>845</v>
      </c>
    </row>
    <row r="5692" spans="2:14" hidden="1" x14ac:dyDescent="0.25">
      <c r="B5692" s="120">
        <v>5689</v>
      </c>
      <c r="C5692" s="123">
        <v>10471511612</v>
      </c>
      <c r="D5692" s="126" t="s">
        <v>20132</v>
      </c>
      <c r="E5692" s="126" t="s">
        <v>20133</v>
      </c>
      <c r="F5692" s="123" t="s">
        <v>30</v>
      </c>
      <c r="G5692" s="123" t="s">
        <v>30</v>
      </c>
      <c r="H5692" s="123" t="s">
        <v>51</v>
      </c>
      <c r="I5692" s="126" t="s">
        <v>1931</v>
      </c>
      <c r="J5692" s="123" t="s">
        <v>20134</v>
      </c>
      <c r="K5692" s="123" t="s">
        <v>20132</v>
      </c>
      <c r="L5692" s="131" t="s">
        <v>100</v>
      </c>
      <c r="M5692" s="135" t="s">
        <v>845</v>
      </c>
      <c r="N5692" s="123" t="s">
        <v>845</v>
      </c>
    </row>
    <row r="5693" spans="2:14" hidden="1" x14ac:dyDescent="0.25">
      <c r="B5693" s="120">
        <v>5690</v>
      </c>
      <c r="C5693" s="123">
        <v>10153732103</v>
      </c>
      <c r="D5693" s="126" t="s">
        <v>20135</v>
      </c>
      <c r="E5693" s="126" t="s">
        <v>20136</v>
      </c>
      <c r="F5693" s="123" t="s">
        <v>30</v>
      </c>
      <c r="G5693" s="123" t="s">
        <v>31</v>
      </c>
      <c r="H5693" s="123" t="s">
        <v>139</v>
      </c>
      <c r="I5693" s="126" t="s">
        <v>14241</v>
      </c>
      <c r="J5693" s="123" t="s">
        <v>20137</v>
      </c>
      <c r="K5693" s="123" t="s">
        <v>20135</v>
      </c>
      <c r="L5693" s="131" t="s">
        <v>100</v>
      </c>
      <c r="M5693" s="135" t="s">
        <v>845</v>
      </c>
      <c r="N5693" s="123" t="s">
        <v>845</v>
      </c>
    </row>
    <row r="5694" spans="2:14" hidden="1" x14ac:dyDescent="0.25">
      <c r="B5694" s="120">
        <v>5691</v>
      </c>
      <c r="C5694" s="123">
        <v>10408264389</v>
      </c>
      <c r="D5694" s="126" t="s">
        <v>20138</v>
      </c>
      <c r="E5694" s="126" t="s">
        <v>20139</v>
      </c>
      <c r="F5694" s="123" t="s">
        <v>30</v>
      </c>
      <c r="G5694" s="123" t="s">
        <v>30</v>
      </c>
      <c r="H5694" s="123" t="s">
        <v>37</v>
      </c>
      <c r="I5694" s="126" t="s">
        <v>101</v>
      </c>
      <c r="J5694" s="123" t="s">
        <v>20140</v>
      </c>
      <c r="K5694" s="123" t="s">
        <v>20138</v>
      </c>
      <c r="L5694" s="131" t="s">
        <v>100</v>
      </c>
      <c r="M5694" s="135" t="s">
        <v>845</v>
      </c>
      <c r="N5694" s="123" t="s">
        <v>845</v>
      </c>
    </row>
    <row r="5695" spans="2:14" hidden="1" x14ac:dyDescent="0.25">
      <c r="B5695" s="120">
        <v>5692</v>
      </c>
      <c r="C5695" s="123">
        <v>10073488881</v>
      </c>
      <c r="D5695" s="126" t="s">
        <v>20141</v>
      </c>
      <c r="E5695" s="126" t="s">
        <v>20142</v>
      </c>
      <c r="F5695" s="123" t="s">
        <v>67</v>
      </c>
      <c r="G5695" s="123" t="s">
        <v>67</v>
      </c>
      <c r="H5695" s="123" t="s">
        <v>94</v>
      </c>
      <c r="I5695" s="126" t="s">
        <v>1957</v>
      </c>
      <c r="J5695" s="123" t="s">
        <v>20143</v>
      </c>
      <c r="K5695" s="123" t="s">
        <v>20141</v>
      </c>
      <c r="L5695" s="131" t="s">
        <v>100</v>
      </c>
      <c r="M5695" s="135" t="s">
        <v>845</v>
      </c>
      <c r="N5695" s="123" t="s">
        <v>845</v>
      </c>
    </row>
    <row r="5696" spans="2:14" hidden="1" x14ac:dyDescent="0.25">
      <c r="B5696" s="120">
        <v>5693</v>
      </c>
      <c r="C5696" s="123">
        <v>10455639269</v>
      </c>
      <c r="D5696" s="126" t="s">
        <v>20144</v>
      </c>
      <c r="E5696" s="126" t="s">
        <v>20145</v>
      </c>
      <c r="F5696" s="123" t="s">
        <v>67</v>
      </c>
      <c r="G5696" s="123" t="s">
        <v>67</v>
      </c>
      <c r="H5696" s="123" t="s">
        <v>94</v>
      </c>
      <c r="I5696" s="126" t="s">
        <v>1701</v>
      </c>
      <c r="J5696" s="123" t="s">
        <v>20146</v>
      </c>
      <c r="K5696" s="123" t="s">
        <v>20144</v>
      </c>
      <c r="L5696" s="131" t="s">
        <v>100</v>
      </c>
      <c r="M5696" s="135" t="s">
        <v>845</v>
      </c>
      <c r="N5696" s="123" t="s">
        <v>845</v>
      </c>
    </row>
    <row r="5697" spans="2:14" hidden="1" x14ac:dyDescent="0.25">
      <c r="B5697" s="120">
        <v>5694</v>
      </c>
      <c r="C5697" s="123">
        <v>10157366381</v>
      </c>
      <c r="D5697" s="126" t="s">
        <v>20147</v>
      </c>
      <c r="E5697" s="126" t="s">
        <v>20148</v>
      </c>
      <c r="F5697" s="123" t="s">
        <v>30</v>
      </c>
      <c r="G5697" s="123" t="s">
        <v>170</v>
      </c>
      <c r="H5697" s="123" t="s">
        <v>174</v>
      </c>
      <c r="I5697" s="126" t="s">
        <v>1701</v>
      </c>
      <c r="J5697" s="123" t="s">
        <v>20149</v>
      </c>
      <c r="K5697" s="123" t="s">
        <v>20147</v>
      </c>
      <c r="L5697" s="131" t="s">
        <v>100</v>
      </c>
      <c r="M5697" s="135" t="s">
        <v>845</v>
      </c>
      <c r="N5697" s="123" t="s">
        <v>845</v>
      </c>
    </row>
    <row r="5698" spans="2:14" hidden="1" x14ac:dyDescent="0.25">
      <c r="B5698" s="120">
        <v>5695</v>
      </c>
      <c r="C5698" s="123">
        <v>10104541441</v>
      </c>
      <c r="D5698" s="126" t="s">
        <v>20150</v>
      </c>
      <c r="E5698" s="126" t="s">
        <v>20151</v>
      </c>
      <c r="F5698" s="123" t="s">
        <v>30</v>
      </c>
      <c r="G5698" s="123" t="s">
        <v>30</v>
      </c>
      <c r="H5698" s="123" t="s">
        <v>41</v>
      </c>
      <c r="I5698" s="126" t="s">
        <v>1960</v>
      </c>
      <c r="J5698" s="123" t="s">
        <v>20152</v>
      </c>
      <c r="K5698" s="123" t="s">
        <v>20150</v>
      </c>
      <c r="L5698" s="131" t="s">
        <v>100</v>
      </c>
      <c r="M5698" s="135" t="s">
        <v>845</v>
      </c>
      <c r="N5698" s="123" t="s">
        <v>845</v>
      </c>
    </row>
    <row r="5699" spans="2:14" hidden="1" x14ac:dyDescent="0.25">
      <c r="B5699" s="120">
        <v>5696</v>
      </c>
      <c r="C5699" s="123">
        <v>10435838699</v>
      </c>
      <c r="D5699" s="126" t="s">
        <v>20153</v>
      </c>
      <c r="E5699" s="126" t="s">
        <v>20154</v>
      </c>
      <c r="F5699" s="123" t="s">
        <v>67</v>
      </c>
      <c r="G5699" s="123" t="s">
        <v>67</v>
      </c>
      <c r="H5699" s="123" t="s">
        <v>67</v>
      </c>
      <c r="I5699" s="126" t="s">
        <v>1564</v>
      </c>
      <c r="J5699" s="123" t="s">
        <v>20155</v>
      </c>
      <c r="K5699" s="123" t="s">
        <v>20153</v>
      </c>
      <c r="L5699" s="131" t="s">
        <v>100</v>
      </c>
      <c r="M5699" s="135" t="s">
        <v>845</v>
      </c>
      <c r="N5699" s="123" t="s">
        <v>845</v>
      </c>
    </row>
    <row r="5700" spans="2:14" hidden="1" x14ac:dyDescent="0.25">
      <c r="B5700" s="120">
        <v>5697</v>
      </c>
      <c r="C5700" s="123">
        <v>10101095822</v>
      </c>
      <c r="D5700" s="126" t="s">
        <v>20156</v>
      </c>
      <c r="E5700" s="126" t="s">
        <v>20157</v>
      </c>
      <c r="F5700" s="123" t="s">
        <v>30</v>
      </c>
      <c r="G5700" s="123" t="s">
        <v>30</v>
      </c>
      <c r="H5700" s="123" t="s">
        <v>43</v>
      </c>
      <c r="I5700" s="126" t="s">
        <v>15582</v>
      </c>
      <c r="J5700" s="123" t="s">
        <v>20158</v>
      </c>
      <c r="K5700" s="123" t="s">
        <v>20156</v>
      </c>
      <c r="L5700" s="131" t="s">
        <v>100</v>
      </c>
      <c r="M5700" s="135" t="s">
        <v>845</v>
      </c>
      <c r="N5700" s="123" t="s">
        <v>845</v>
      </c>
    </row>
    <row r="5701" spans="2:14" hidden="1" x14ac:dyDescent="0.25">
      <c r="B5701" s="120">
        <v>5698</v>
      </c>
      <c r="C5701" s="123">
        <v>10766937999</v>
      </c>
      <c r="D5701" s="126" t="s">
        <v>20159</v>
      </c>
      <c r="E5701" s="126" t="s">
        <v>20160</v>
      </c>
      <c r="F5701" s="123" t="s">
        <v>30</v>
      </c>
      <c r="G5701" s="123" t="s">
        <v>30</v>
      </c>
      <c r="H5701" s="123" t="s">
        <v>38</v>
      </c>
      <c r="I5701" s="126" t="s">
        <v>1967</v>
      </c>
      <c r="J5701" s="123" t="s">
        <v>20161</v>
      </c>
      <c r="K5701" s="123" t="s">
        <v>20162</v>
      </c>
      <c r="L5701" s="131" t="s">
        <v>100</v>
      </c>
      <c r="M5701" s="135" t="s">
        <v>845</v>
      </c>
      <c r="N5701" s="123" t="s">
        <v>845</v>
      </c>
    </row>
    <row r="5702" spans="2:14" hidden="1" x14ac:dyDescent="0.25">
      <c r="B5702" s="120">
        <v>5699</v>
      </c>
      <c r="C5702" s="123">
        <v>10081561961</v>
      </c>
      <c r="D5702" s="126" t="s">
        <v>20163</v>
      </c>
      <c r="E5702" s="126" t="s">
        <v>20164</v>
      </c>
      <c r="F5702" s="123" t="s">
        <v>30</v>
      </c>
      <c r="G5702" s="123" t="s">
        <v>30</v>
      </c>
      <c r="H5702" s="123" t="s">
        <v>50</v>
      </c>
      <c r="I5702" s="126" t="s">
        <v>1516</v>
      </c>
      <c r="J5702" s="123" t="s">
        <v>20165</v>
      </c>
      <c r="K5702" s="123" t="s">
        <v>20163</v>
      </c>
      <c r="L5702" s="131" t="s">
        <v>100</v>
      </c>
      <c r="M5702" s="135" t="s">
        <v>845</v>
      </c>
      <c r="N5702" s="123" t="s">
        <v>845</v>
      </c>
    </row>
    <row r="5703" spans="2:14" hidden="1" x14ac:dyDescent="0.25">
      <c r="B5703" s="120">
        <v>5700</v>
      </c>
      <c r="C5703" s="123">
        <v>10763998440</v>
      </c>
      <c r="D5703" s="126" t="s">
        <v>20166</v>
      </c>
      <c r="E5703" s="126" t="s">
        <v>20167</v>
      </c>
      <c r="F5703" s="123" t="s">
        <v>30</v>
      </c>
      <c r="G5703" s="123" t="s">
        <v>30</v>
      </c>
      <c r="H5703" s="123" t="s">
        <v>35</v>
      </c>
      <c r="I5703" s="126" t="s">
        <v>1701</v>
      </c>
      <c r="J5703" s="123" t="s">
        <v>20168</v>
      </c>
      <c r="K5703" s="123" t="s">
        <v>20166</v>
      </c>
      <c r="L5703" s="131" t="s">
        <v>100</v>
      </c>
      <c r="M5703" s="135" t="s">
        <v>845</v>
      </c>
      <c r="N5703" s="123" t="s">
        <v>845</v>
      </c>
    </row>
    <row r="5704" spans="2:14" hidden="1" x14ac:dyDescent="0.25">
      <c r="B5704" s="120">
        <v>5701</v>
      </c>
      <c r="C5704" s="123">
        <v>10453263377</v>
      </c>
      <c r="D5704" s="126" t="s">
        <v>20169</v>
      </c>
      <c r="E5704" s="126" t="s">
        <v>20170</v>
      </c>
      <c r="F5704" s="123" t="s">
        <v>30</v>
      </c>
      <c r="G5704" s="123" t="s">
        <v>30</v>
      </c>
      <c r="H5704" s="123" t="s">
        <v>45</v>
      </c>
      <c r="I5704" s="126" t="s">
        <v>1484</v>
      </c>
      <c r="J5704" s="123" t="s">
        <v>20171</v>
      </c>
      <c r="K5704" s="123" t="s">
        <v>20172</v>
      </c>
      <c r="L5704" s="131" t="s">
        <v>100</v>
      </c>
      <c r="M5704" s="135" t="s">
        <v>845</v>
      </c>
      <c r="N5704" s="123" t="s">
        <v>845</v>
      </c>
    </row>
    <row r="5705" spans="2:14" hidden="1" x14ac:dyDescent="0.25">
      <c r="B5705" s="120">
        <v>5702</v>
      </c>
      <c r="C5705" s="123">
        <v>10471339852</v>
      </c>
      <c r="D5705" s="126" t="s">
        <v>20173</v>
      </c>
      <c r="E5705" s="126" t="s">
        <v>20174</v>
      </c>
      <c r="F5705" s="123" t="s">
        <v>30</v>
      </c>
      <c r="G5705" s="123" t="s">
        <v>30</v>
      </c>
      <c r="H5705" s="123" t="s">
        <v>68</v>
      </c>
      <c r="I5705" s="126" t="s">
        <v>1701</v>
      </c>
      <c r="J5705" s="123" t="s">
        <v>20175</v>
      </c>
      <c r="K5705" s="123" t="s">
        <v>20173</v>
      </c>
      <c r="L5705" s="131" t="s">
        <v>100</v>
      </c>
      <c r="M5705" s="135" t="s">
        <v>845</v>
      </c>
      <c r="N5705" s="123" t="s">
        <v>845</v>
      </c>
    </row>
    <row r="5706" spans="2:14" hidden="1" x14ac:dyDescent="0.25">
      <c r="B5706" s="120">
        <v>5703</v>
      </c>
      <c r="C5706" s="123">
        <v>10257514752</v>
      </c>
      <c r="D5706" s="126" t="s">
        <v>20176</v>
      </c>
      <c r="E5706" s="126" t="s">
        <v>20177</v>
      </c>
      <c r="F5706" s="123" t="s">
        <v>30</v>
      </c>
      <c r="G5706" s="123" t="s">
        <v>30</v>
      </c>
      <c r="H5706" s="123" t="s">
        <v>110</v>
      </c>
      <c r="I5706" s="126" t="s">
        <v>8997</v>
      </c>
      <c r="J5706" s="123" t="s">
        <v>20178</v>
      </c>
      <c r="K5706" s="123" t="s">
        <v>20179</v>
      </c>
      <c r="L5706" s="131" t="s">
        <v>100</v>
      </c>
      <c r="M5706" s="135" t="s">
        <v>845</v>
      </c>
      <c r="N5706" s="123" t="s">
        <v>845</v>
      </c>
    </row>
    <row r="5707" spans="2:14" hidden="1" x14ac:dyDescent="0.25">
      <c r="B5707" s="120">
        <v>5704</v>
      </c>
      <c r="C5707" s="123">
        <v>10408081187</v>
      </c>
      <c r="D5707" s="126" t="s">
        <v>20180</v>
      </c>
      <c r="E5707" s="126" t="s">
        <v>20181</v>
      </c>
      <c r="F5707" s="123" t="s">
        <v>67</v>
      </c>
      <c r="G5707" s="123" t="s">
        <v>67</v>
      </c>
      <c r="H5707" s="123" t="s">
        <v>67</v>
      </c>
      <c r="I5707" s="126" t="s">
        <v>1737</v>
      </c>
      <c r="J5707" s="123" t="s">
        <v>20182</v>
      </c>
      <c r="K5707" s="123" t="s">
        <v>20180</v>
      </c>
      <c r="L5707" s="131" t="s">
        <v>100</v>
      </c>
      <c r="M5707" s="135" t="s">
        <v>845</v>
      </c>
      <c r="N5707" s="123" t="s">
        <v>845</v>
      </c>
    </row>
    <row r="5708" spans="2:14" hidden="1" x14ac:dyDescent="0.25">
      <c r="B5708" s="120">
        <v>5705</v>
      </c>
      <c r="C5708" s="123">
        <v>10706085268</v>
      </c>
      <c r="D5708" s="126" t="s">
        <v>20183</v>
      </c>
      <c r="E5708" s="126" t="s">
        <v>20184</v>
      </c>
      <c r="F5708" s="123" t="s">
        <v>30</v>
      </c>
      <c r="G5708" s="123" t="s">
        <v>30</v>
      </c>
      <c r="H5708" s="123" t="s">
        <v>75</v>
      </c>
      <c r="I5708" s="126" t="s">
        <v>1805</v>
      </c>
      <c r="J5708" s="123" t="s">
        <v>20185</v>
      </c>
      <c r="K5708" s="123" t="s">
        <v>20186</v>
      </c>
      <c r="L5708" s="131" t="s">
        <v>100</v>
      </c>
      <c r="M5708" s="135" t="s">
        <v>845</v>
      </c>
      <c r="N5708" s="123" t="s">
        <v>845</v>
      </c>
    </row>
    <row r="5709" spans="2:14" hidden="1" x14ac:dyDescent="0.25">
      <c r="B5709" s="120">
        <v>5706</v>
      </c>
      <c r="C5709" s="123">
        <v>10721749245</v>
      </c>
      <c r="D5709" s="126" t="s">
        <v>20187</v>
      </c>
      <c r="E5709" s="126" t="s">
        <v>20188</v>
      </c>
      <c r="F5709" s="123" t="s">
        <v>30</v>
      </c>
      <c r="G5709" s="123" t="s">
        <v>170</v>
      </c>
      <c r="H5709" s="123" t="s">
        <v>179</v>
      </c>
      <c r="I5709" s="126" t="s">
        <v>1507</v>
      </c>
      <c r="J5709" s="123" t="s">
        <v>20189</v>
      </c>
      <c r="K5709" s="123" t="s">
        <v>20190</v>
      </c>
      <c r="L5709" s="131" t="s">
        <v>100</v>
      </c>
      <c r="M5709" s="135" t="s">
        <v>845</v>
      </c>
      <c r="N5709" s="123" t="s">
        <v>845</v>
      </c>
    </row>
    <row r="5710" spans="2:14" hidden="1" x14ac:dyDescent="0.25">
      <c r="B5710" s="120">
        <v>5707</v>
      </c>
      <c r="C5710" s="123">
        <v>10156277075</v>
      </c>
      <c r="D5710" s="126" t="s">
        <v>20191</v>
      </c>
      <c r="E5710" s="126" t="s">
        <v>20192</v>
      </c>
      <c r="F5710" s="123" t="s">
        <v>30</v>
      </c>
      <c r="G5710" s="123" t="s">
        <v>168</v>
      </c>
      <c r="H5710" s="123" t="s">
        <v>168</v>
      </c>
      <c r="I5710" s="126" t="s">
        <v>1643</v>
      </c>
      <c r="J5710" s="123" t="s">
        <v>20193</v>
      </c>
      <c r="K5710" s="123" t="s">
        <v>20194</v>
      </c>
      <c r="L5710" s="131" t="s">
        <v>100</v>
      </c>
      <c r="M5710" s="135" t="s">
        <v>845</v>
      </c>
      <c r="N5710" s="123" t="s">
        <v>845</v>
      </c>
    </row>
    <row r="5711" spans="2:14" hidden="1" x14ac:dyDescent="0.25">
      <c r="B5711" s="120">
        <v>5708</v>
      </c>
      <c r="C5711" s="123">
        <v>10068297961</v>
      </c>
      <c r="D5711" s="126" t="s">
        <v>20195</v>
      </c>
      <c r="E5711" s="126" t="s">
        <v>20196</v>
      </c>
      <c r="F5711" s="123" t="s">
        <v>30</v>
      </c>
      <c r="G5711" s="123" t="s">
        <v>30</v>
      </c>
      <c r="H5711" s="123" t="s">
        <v>58</v>
      </c>
      <c r="I5711" s="126" t="s">
        <v>1484</v>
      </c>
      <c r="J5711" s="123" t="s">
        <v>20197</v>
      </c>
      <c r="K5711" s="123" t="s">
        <v>20198</v>
      </c>
      <c r="L5711" s="131" t="s">
        <v>100</v>
      </c>
      <c r="M5711" s="135" t="s">
        <v>845</v>
      </c>
      <c r="N5711" s="123" t="s">
        <v>845</v>
      </c>
    </row>
    <row r="5712" spans="2:14" hidden="1" x14ac:dyDescent="0.25">
      <c r="B5712" s="120">
        <v>5709</v>
      </c>
      <c r="C5712" s="123">
        <v>10442019547</v>
      </c>
      <c r="D5712" s="126" t="s">
        <v>20199</v>
      </c>
      <c r="E5712" s="126" t="s">
        <v>20200</v>
      </c>
      <c r="F5712" s="123" t="s">
        <v>67</v>
      </c>
      <c r="G5712" s="123" t="s">
        <v>67</v>
      </c>
      <c r="H5712" s="123" t="s">
        <v>94</v>
      </c>
      <c r="I5712" s="126" t="s">
        <v>1737</v>
      </c>
      <c r="J5712" s="123" t="s">
        <v>20201</v>
      </c>
      <c r="K5712" s="123" t="s">
        <v>20199</v>
      </c>
      <c r="L5712" s="131" t="s">
        <v>100</v>
      </c>
      <c r="M5712" s="135" t="s">
        <v>845</v>
      </c>
      <c r="N5712" s="123" t="s">
        <v>845</v>
      </c>
    </row>
    <row r="5713" spans="2:14" hidden="1" x14ac:dyDescent="0.25">
      <c r="B5713" s="120">
        <v>5710</v>
      </c>
      <c r="C5713" s="123">
        <v>10753880611</v>
      </c>
      <c r="D5713" s="126" t="s">
        <v>20202</v>
      </c>
      <c r="E5713" s="126" t="s">
        <v>20203</v>
      </c>
      <c r="F5713" s="123" t="s">
        <v>30</v>
      </c>
      <c r="G5713" s="123" t="s">
        <v>170</v>
      </c>
      <c r="H5713" s="123" t="s">
        <v>171</v>
      </c>
      <c r="I5713" s="126" t="s">
        <v>1968</v>
      </c>
      <c r="J5713" s="123" t="s">
        <v>20204</v>
      </c>
      <c r="K5713" s="123" t="s">
        <v>20202</v>
      </c>
      <c r="L5713" s="131" t="s">
        <v>100</v>
      </c>
      <c r="M5713" s="135" t="s">
        <v>845</v>
      </c>
      <c r="N5713" s="123" t="s">
        <v>845</v>
      </c>
    </row>
    <row r="5714" spans="2:14" hidden="1" x14ac:dyDescent="0.25">
      <c r="B5714" s="120">
        <v>5711</v>
      </c>
      <c r="C5714" s="123">
        <v>10076441915</v>
      </c>
      <c r="D5714" s="126" t="s">
        <v>20205</v>
      </c>
      <c r="E5714" s="126" t="s">
        <v>20206</v>
      </c>
      <c r="F5714" s="123" t="s">
        <v>30</v>
      </c>
      <c r="G5714" s="123" t="s">
        <v>30</v>
      </c>
      <c r="H5714" s="123" t="s">
        <v>37</v>
      </c>
      <c r="I5714" s="126" t="s">
        <v>13409</v>
      </c>
      <c r="J5714" s="123" t="s">
        <v>20207</v>
      </c>
      <c r="K5714" s="123" t="s">
        <v>20205</v>
      </c>
      <c r="L5714" s="131" t="s">
        <v>100</v>
      </c>
      <c r="M5714" s="135" t="s">
        <v>845</v>
      </c>
      <c r="N5714" s="123" t="s">
        <v>845</v>
      </c>
    </row>
    <row r="5715" spans="2:14" hidden="1" x14ac:dyDescent="0.25">
      <c r="B5715" s="120">
        <v>5712</v>
      </c>
      <c r="C5715" s="123">
        <v>10430909881</v>
      </c>
      <c r="D5715" s="126" t="s">
        <v>20208</v>
      </c>
      <c r="E5715" s="126" t="s">
        <v>20209</v>
      </c>
      <c r="F5715" s="123" t="s">
        <v>30</v>
      </c>
      <c r="G5715" s="123" t="s">
        <v>30</v>
      </c>
      <c r="H5715" s="123" t="s">
        <v>45</v>
      </c>
      <c r="I5715" s="126" t="s">
        <v>1950</v>
      </c>
      <c r="J5715" s="123" t="s">
        <v>20210</v>
      </c>
      <c r="K5715" s="123" t="s">
        <v>20208</v>
      </c>
      <c r="L5715" s="131" t="s">
        <v>100</v>
      </c>
      <c r="M5715" s="135" t="s">
        <v>845</v>
      </c>
      <c r="N5715" s="123" t="s">
        <v>845</v>
      </c>
    </row>
    <row r="5716" spans="2:14" hidden="1" x14ac:dyDescent="0.25">
      <c r="B5716" s="120">
        <v>5713</v>
      </c>
      <c r="C5716" s="123">
        <v>10103522825</v>
      </c>
      <c r="D5716" s="126" t="s">
        <v>20211</v>
      </c>
      <c r="E5716" s="126" t="s">
        <v>20212</v>
      </c>
      <c r="F5716" s="123" t="s">
        <v>61</v>
      </c>
      <c r="G5716" s="123" t="s">
        <v>62</v>
      </c>
      <c r="H5716" s="123" t="s">
        <v>14245</v>
      </c>
      <c r="I5716" s="126" t="s">
        <v>20213</v>
      </c>
      <c r="J5716" s="123" t="s">
        <v>20214</v>
      </c>
      <c r="K5716" s="123" t="s">
        <v>20211</v>
      </c>
      <c r="L5716" s="131" t="s">
        <v>100</v>
      </c>
      <c r="M5716" s="135" t="s">
        <v>845</v>
      </c>
      <c r="N5716" s="123" t="s">
        <v>845</v>
      </c>
    </row>
    <row r="5717" spans="2:14" hidden="1" x14ac:dyDescent="0.25">
      <c r="B5717" s="120">
        <v>5714</v>
      </c>
      <c r="C5717" s="123">
        <v>10158606645</v>
      </c>
      <c r="D5717" s="126" t="s">
        <v>20215</v>
      </c>
      <c r="E5717" s="126" t="s">
        <v>20216</v>
      </c>
      <c r="F5717" s="123" t="s">
        <v>30</v>
      </c>
      <c r="G5717" s="123" t="s">
        <v>168</v>
      </c>
      <c r="H5717" s="123" t="s">
        <v>168</v>
      </c>
      <c r="I5717" s="126" t="s">
        <v>9625</v>
      </c>
      <c r="J5717" s="123" t="s">
        <v>20217</v>
      </c>
      <c r="K5717" s="123" t="s">
        <v>20215</v>
      </c>
      <c r="L5717" s="131" t="s">
        <v>100</v>
      </c>
      <c r="M5717" s="135" t="s">
        <v>845</v>
      </c>
      <c r="N5717" s="123" t="s">
        <v>845</v>
      </c>
    </row>
    <row r="5718" spans="2:14" hidden="1" x14ac:dyDescent="0.25">
      <c r="B5718" s="120">
        <v>5715</v>
      </c>
      <c r="C5718" s="123">
        <v>10074781590</v>
      </c>
      <c r="D5718" s="126" t="s">
        <v>20218</v>
      </c>
      <c r="E5718" s="126" t="s">
        <v>20219</v>
      </c>
      <c r="F5718" s="123" t="s">
        <v>30</v>
      </c>
      <c r="G5718" s="123" t="s">
        <v>30</v>
      </c>
      <c r="H5718" s="123" t="s">
        <v>41</v>
      </c>
      <c r="I5718" s="126" t="s">
        <v>1931</v>
      </c>
      <c r="J5718" s="123" t="s">
        <v>20220</v>
      </c>
      <c r="K5718" s="123" t="s">
        <v>20218</v>
      </c>
      <c r="L5718" s="131" t="s">
        <v>100</v>
      </c>
      <c r="M5718" s="135" t="s">
        <v>845</v>
      </c>
      <c r="N5718" s="123" t="s">
        <v>845</v>
      </c>
    </row>
    <row r="5719" spans="2:14" hidden="1" x14ac:dyDescent="0.25">
      <c r="B5719" s="120">
        <v>5716</v>
      </c>
      <c r="C5719" s="123">
        <v>10434284444</v>
      </c>
      <c r="D5719" s="126" t="s">
        <v>20221</v>
      </c>
      <c r="E5719" s="126" t="s">
        <v>20222</v>
      </c>
      <c r="F5719" s="123" t="s">
        <v>67</v>
      </c>
      <c r="G5719" s="123" t="s">
        <v>67</v>
      </c>
      <c r="H5719" s="123" t="s">
        <v>67</v>
      </c>
      <c r="I5719" s="126" t="s">
        <v>10025</v>
      </c>
      <c r="J5719" s="123" t="s">
        <v>20223</v>
      </c>
      <c r="K5719" s="123" t="s">
        <v>20224</v>
      </c>
      <c r="L5719" s="131" t="s">
        <v>100</v>
      </c>
      <c r="M5719" s="135" t="s">
        <v>845</v>
      </c>
      <c r="N5719" s="123" t="s">
        <v>845</v>
      </c>
    </row>
    <row r="5720" spans="2:14" hidden="1" x14ac:dyDescent="0.25">
      <c r="B5720" s="120">
        <v>5717</v>
      </c>
      <c r="C5720" s="123">
        <v>10153437021</v>
      </c>
      <c r="D5720" s="126" t="s">
        <v>20225</v>
      </c>
      <c r="E5720" s="126" t="s">
        <v>20226</v>
      </c>
      <c r="F5720" s="123" t="s">
        <v>30</v>
      </c>
      <c r="G5720" s="123" t="s">
        <v>31</v>
      </c>
      <c r="H5720" s="123" t="s">
        <v>9381</v>
      </c>
      <c r="I5720" s="126" t="s">
        <v>13409</v>
      </c>
      <c r="J5720" s="123" t="s">
        <v>20227</v>
      </c>
      <c r="K5720" s="123" t="s">
        <v>20225</v>
      </c>
      <c r="L5720" s="131" t="s">
        <v>100</v>
      </c>
      <c r="M5720" s="135" t="s">
        <v>845</v>
      </c>
      <c r="N5720" s="123" t="s">
        <v>845</v>
      </c>
    </row>
    <row r="5721" spans="2:14" hidden="1" x14ac:dyDescent="0.25">
      <c r="B5721" s="120">
        <v>5718</v>
      </c>
      <c r="C5721" s="123">
        <v>10093073199</v>
      </c>
      <c r="D5721" s="126" t="s">
        <v>20228</v>
      </c>
      <c r="E5721" s="126" t="s">
        <v>20229</v>
      </c>
      <c r="F5721" s="123" t="s">
        <v>30</v>
      </c>
      <c r="G5721" s="123" t="s">
        <v>30</v>
      </c>
      <c r="H5721" s="123" t="s">
        <v>51</v>
      </c>
      <c r="I5721" s="126" t="s">
        <v>1950</v>
      </c>
      <c r="J5721" s="123" t="s">
        <v>20230</v>
      </c>
      <c r="K5721" s="123" t="s">
        <v>20228</v>
      </c>
      <c r="L5721" s="131" t="s">
        <v>100</v>
      </c>
      <c r="M5721" s="135" t="s">
        <v>845</v>
      </c>
      <c r="N5721" s="123" t="s">
        <v>845</v>
      </c>
    </row>
    <row r="5722" spans="2:14" hidden="1" x14ac:dyDescent="0.25">
      <c r="B5722" s="120">
        <v>5719</v>
      </c>
      <c r="C5722" s="123">
        <v>10099833331</v>
      </c>
      <c r="D5722" s="126" t="s">
        <v>20231</v>
      </c>
      <c r="E5722" s="126" t="s">
        <v>20232</v>
      </c>
      <c r="F5722" s="123" t="s">
        <v>30</v>
      </c>
      <c r="G5722" s="123" t="s">
        <v>30</v>
      </c>
      <c r="H5722" s="123" t="s">
        <v>43</v>
      </c>
      <c r="I5722" s="126" t="s">
        <v>1507</v>
      </c>
      <c r="J5722" s="123" t="s">
        <v>20233</v>
      </c>
      <c r="K5722" s="123" t="s">
        <v>20231</v>
      </c>
      <c r="L5722" s="131" t="s">
        <v>100</v>
      </c>
      <c r="M5722" s="135" t="s">
        <v>845</v>
      </c>
      <c r="N5722" s="123" t="s">
        <v>845</v>
      </c>
    </row>
    <row r="5723" spans="2:14" hidden="1" x14ac:dyDescent="0.25">
      <c r="B5723" s="120">
        <v>5720</v>
      </c>
      <c r="C5723" s="123">
        <v>10439577130</v>
      </c>
      <c r="D5723" s="126" t="s">
        <v>20234</v>
      </c>
      <c r="E5723" s="126" t="s">
        <v>20235</v>
      </c>
      <c r="F5723" s="123" t="s">
        <v>30</v>
      </c>
      <c r="G5723" s="123" t="s">
        <v>170</v>
      </c>
      <c r="H5723" s="123" t="s">
        <v>171</v>
      </c>
      <c r="I5723" s="126" t="s">
        <v>1499</v>
      </c>
      <c r="J5723" s="123" t="s">
        <v>20236</v>
      </c>
      <c r="K5723" s="123" t="s">
        <v>20234</v>
      </c>
      <c r="L5723" s="131" t="s">
        <v>100</v>
      </c>
      <c r="M5723" s="135" t="s">
        <v>845</v>
      </c>
      <c r="N5723" s="123" t="s">
        <v>845</v>
      </c>
    </row>
    <row r="5724" spans="2:14" hidden="1" x14ac:dyDescent="0.25">
      <c r="B5724" s="120">
        <v>5721</v>
      </c>
      <c r="C5724" s="123">
        <v>10157324981</v>
      </c>
      <c r="D5724" s="126" t="s">
        <v>20237</v>
      </c>
      <c r="E5724" s="126" t="s">
        <v>20238</v>
      </c>
      <c r="F5724" s="123" t="s">
        <v>30</v>
      </c>
      <c r="G5724" s="123" t="s">
        <v>170</v>
      </c>
      <c r="H5724" s="123" t="s">
        <v>171</v>
      </c>
      <c r="I5724" s="126" t="s">
        <v>11346</v>
      </c>
      <c r="J5724" s="123" t="s">
        <v>20239</v>
      </c>
      <c r="K5724" s="123" t="s">
        <v>20237</v>
      </c>
      <c r="L5724" s="131" t="s">
        <v>100</v>
      </c>
      <c r="M5724" s="135" t="s">
        <v>845</v>
      </c>
      <c r="N5724" s="123" t="s">
        <v>845</v>
      </c>
    </row>
    <row r="5725" spans="2:14" hidden="1" x14ac:dyDescent="0.25">
      <c r="B5725" s="120">
        <v>5722</v>
      </c>
      <c r="C5725" s="123">
        <v>10062497675</v>
      </c>
      <c r="D5725" s="126" t="s">
        <v>20240</v>
      </c>
      <c r="E5725" s="126" t="s">
        <v>20241</v>
      </c>
      <c r="F5725" s="123" t="s">
        <v>30</v>
      </c>
      <c r="G5725" s="123" t="s">
        <v>30</v>
      </c>
      <c r="H5725" s="123" t="s">
        <v>30</v>
      </c>
      <c r="I5725" s="126" t="s">
        <v>1985</v>
      </c>
      <c r="J5725" s="123" t="s">
        <v>20242</v>
      </c>
      <c r="K5725" s="123" t="s">
        <v>20240</v>
      </c>
      <c r="L5725" s="131" t="s">
        <v>100</v>
      </c>
      <c r="M5725" s="135" t="s">
        <v>845</v>
      </c>
      <c r="N5725" s="123" t="s">
        <v>845</v>
      </c>
    </row>
    <row r="5726" spans="2:14" hidden="1" x14ac:dyDescent="0.25">
      <c r="B5726" s="120">
        <v>5723</v>
      </c>
      <c r="C5726" s="123">
        <v>10311836248</v>
      </c>
      <c r="D5726" s="126" t="s">
        <v>20243</v>
      </c>
      <c r="E5726" s="126" t="s">
        <v>20244</v>
      </c>
      <c r="F5726" s="123" t="s">
        <v>30</v>
      </c>
      <c r="G5726" s="123" t="s">
        <v>30</v>
      </c>
      <c r="H5726" s="123" t="s">
        <v>50</v>
      </c>
      <c r="I5726" s="126" t="s">
        <v>1949</v>
      </c>
      <c r="J5726" s="123" t="s">
        <v>20245</v>
      </c>
      <c r="K5726" s="123" t="s">
        <v>20246</v>
      </c>
      <c r="L5726" s="131" t="s">
        <v>100</v>
      </c>
      <c r="M5726" s="135" t="s">
        <v>845</v>
      </c>
      <c r="N5726" s="123" t="s">
        <v>845</v>
      </c>
    </row>
    <row r="5727" spans="2:14" hidden="1" x14ac:dyDescent="0.25">
      <c r="B5727" s="120">
        <v>5724</v>
      </c>
      <c r="C5727" s="123">
        <v>10478107183</v>
      </c>
      <c r="D5727" s="126" t="s">
        <v>20247</v>
      </c>
      <c r="E5727" s="126" t="s">
        <v>20248</v>
      </c>
      <c r="F5727" s="123" t="s">
        <v>30</v>
      </c>
      <c r="G5727" s="123" t="s">
        <v>30</v>
      </c>
      <c r="H5727" s="123" t="s">
        <v>44</v>
      </c>
      <c r="I5727" s="126" t="s">
        <v>20249</v>
      </c>
      <c r="J5727" s="123" t="s">
        <v>20250</v>
      </c>
      <c r="K5727" s="123" t="s">
        <v>20247</v>
      </c>
      <c r="L5727" s="131" t="s">
        <v>100</v>
      </c>
      <c r="M5727" s="135" t="s">
        <v>845</v>
      </c>
      <c r="N5727" s="123" t="s">
        <v>845</v>
      </c>
    </row>
    <row r="5728" spans="2:14" hidden="1" x14ac:dyDescent="0.25">
      <c r="B5728" s="120">
        <v>5725</v>
      </c>
      <c r="C5728" s="123">
        <v>10258259047</v>
      </c>
      <c r="D5728" s="126" t="s">
        <v>20251</v>
      </c>
      <c r="E5728" s="126" t="s">
        <v>20252</v>
      </c>
      <c r="F5728" s="123" t="s">
        <v>30</v>
      </c>
      <c r="G5728" s="123" t="s">
        <v>54</v>
      </c>
      <c r="H5728" s="123" t="s">
        <v>55</v>
      </c>
      <c r="I5728" s="126" t="s">
        <v>1701</v>
      </c>
      <c r="J5728" s="123" t="s">
        <v>20253</v>
      </c>
      <c r="K5728" s="123" t="s">
        <v>20251</v>
      </c>
      <c r="L5728" s="131" t="s">
        <v>100</v>
      </c>
      <c r="M5728" s="135" t="s">
        <v>845</v>
      </c>
      <c r="N5728" s="123" t="s">
        <v>845</v>
      </c>
    </row>
    <row r="5729" spans="2:14" hidden="1" x14ac:dyDescent="0.25">
      <c r="B5729" s="120">
        <v>5726</v>
      </c>
      <c r="C5729" s="123">
        <v>10403714408</v>
      </c>
      <c r="D5729" s="126" t="s">
        <v>20254</v>
      </c>
      <c r="E5729" s="126" t="s">
        <v>20255</v>
      </c>
      <c r="F5729" s="123" t="s">
        <v>30</v>
      </c>
      <c r="G5729" s="123" t="s">
        <v>30</v>
      </c>
      <c r="H5729" s="123" t="s">
        <v>85</v>
      </c>
      <c r="I5729" s="126" t="s">
        <v>1986</v>
      </c>
      <c r="J5729" s="123" t="s">
        <v>20256</v>
      </c>
      <c r="K5729" s="123" t="s">
        <v>20257</v>
      </c>
      <c r="L5729" s="131" t="s">
        <v>100</v>
      </c>
      <c r="M5729" s="135" t="s">
        <v>845</v>
      </c>
      <c r="N5729" s="123" t="s">
        <v>845</v>
      </c>
    </row>
    <row r="5730" spans="2:14" hidden="1" x14ac:dyDescent="0.25">
      <c r="B5730" s="120">
        <v>5727</v>
      </c>
      <c r="C5730" s="123">
        <v>10489624244</v>
      </c>
      <c r="D5730" s="126" t="s">
        <v>20258</v>
      </c>
      <c r="E5730" s="126" t="s">
        <v>20259</v>
      </c>
      <c r="F5730" s="123" t="s">
        <v>67</v>
      </c>
      <c r="G5730" s="123" t="s">
        <v>67</v>
      </c>
      <c r="H5730" s="123" t="s">
        <v>94</v>
      </c>
      <c r="I5730" s="126" t="s">
        <v>1478</v>
      </c>
      <c r="J5730" s="123" t="s">
        <v>20260</v>
      </c>
      <c r="K5730" s="123" t="s">
        <v>20261</v>
      </c>
      <c r="L5730" s="131" t="s">
        <v>100</v>
      </c>
      <c r="M5730" s="135" t="s">
        <v>845</v>
      </c>
      <c r="N5730" s="123" t="s">
        <v>845</v>
      </c>
    </row>
    <row r="5731" spans="2:14" hidden="1" x14ac:dyDescent="0.25">
      <c r="B5731" s="120">
        <v>5728</v>
      </c>
      <c r="C5731" s="123">
        <v>10415847632</v>
      </c>
      <c r="D5731" s="126" t="s">
        <v>20262</v>
      </c>
      <c r="E5731" s="126" t="s">
        <v>20263</v>
      </c>
      <c r="F5731" s="123" t="s">
        <v>30</v>
      </c>
      <c r="G5731" s="123" t="s">
        <v>30</v>
      </c>
      <c r="H5731" s="123" t="s">
        <v>50</v>
      </c>
      <c r="I5731" s="126" t="s">
        <v>1936</v>
      </c>
      <c r="J5731" s="123" t="s">
        <v>20264</v>
      </c>
      <c r="K5731" s="123" t="s">
        <v>20265</v>
      </c>
      <c r="L5731" s="131" t="s">
        <v>100</v>
      </c>
      <c r="M5731" s="135" t="s">
        <v>845</v>
      </c>
      <c r="N5731" s="123" t="s">
        <v>845</v>
      </c>
    </row>
    <row r="5732" spans="2:14" hidden="1" x14ac:dyDescent="0.25">
      <c r="B5732" s="120">
        <v>5729</v>
      </c>
      <c r="C5732" s="123">
        <v>10701452637</v>
      </c>
      <c r="D5732" s="126" t="s">
        <v>20266</v>
      </c>
      <c r="E5732" s="126" t="s">
        <v>20267</v>
      </c>
      <c r="F5732" s="123" t="s">
        <v>30</v>
      </c>
      <c r="G5732" s="123" t="s">
        <v>30</v>
      </c>
      <c r="H5732" s="123" t="s">
        <v>72</v>
      </c>
      <c r="I5732" s="126" t="s">
        <v>1931</v>
      </c>
      <c r="J5732" s="123" t="s">
        <v>20268</v>
      </c>
      <c r="K5732" s="123" t="s">
        <v>20266</v>
      </c>
      <c r="L5732" s="131" t="s">
        <v>100</v>
      </c>
      <c r="M5732" s="135" t="s">
        <v>845</v>
      </c>
      <c r="N5732" s="123" t="s">
        <v>845</v>
      </c>
    </row>
    <row r="5733" spans="2:14" hidden="1" x14ac:dyDescent="0.25">
      <c r="B5733" s="120">
        <v>5730</v>
      </c>
      <c r="C5733" s="123">
        <v>10440764377</v>
      </c>
      <c r="D5733" s="126" t="s">
        <v>20269</v>
      </c>
      <c r="E5733" s="126" t="s">
        <v>20270</v>
      </c>
      <c r="F5733" s="123" t="s">
        <v>30</v>
      </c>
      <c r="G5733" s="123" t="s">
        <v>30</v>
      </c>
      <c r="H5733" s="123" t="s">
        <v>103</v>
      </c>
      <c r="I5733" s="126" t="s">
        <v>1952</v>
      </c>
      <c r="J5733" s="123" t="s">
        <v>20271</v>
      </c>
      <c r="K5733" s="123" t="s">
        <v>20272</v>
      </c>
      <c r="L5733" s="131" t="s">
        <v>100</v>
      </c>
      <c r="M5733" s="135" t="s">
        <v>845</v>
      </c>
      <c r="N5733" s="123" t="s">
        <v>845</v>
      </c>
    </row>
    <row r="5734" spans="2:14" hidden="1" x14ac:dyDescent="0.25">
      <c r="B5734" s="120">
        <v>5731</v>
      </c>
      <c r="C5734" s="123">
        <v>10104297752</v>
      </c>
      <c r="D5734" s="126" t="s">
        <v>20273</v>
      </c>
      <c r="E5734" s="126" t="s">
        <v>20274</v>
      </c>
      <c r="F5734" s="123" t="s">
        <v>30</v>
      </c>
      <c r="G5734" s="123" t="s">
        <v>30</v>
      </c>
      <c r="H5734" s="123" t="s">
        <v>58</v>
      </c>
      <c r="I5734" s="126" t="s">
        <v>1701</v>
      </c>
      <c r="J5734" s="123" t="s">
        <v>20275</v>
      </c>
      <c r="K5734" s="123" t="s">
        <v>20273</v>
      </c>
      <c r="L5734" s="131" t="s">
        <v>100</v>
      </c>
      <c r="M5734" s="135" t="s">
        <v>845</v>
      </c>
      <c r="N5734" s="123" t="s">
        <v>845</v>
      </c>
    </row>
    <row r="5735" spans="2:14" hidden="1" x14ac:dyDescent="0.25">
      <c r="B5735" s="120">
        <v>5732</v>
      </c>
      <c r="C5735" s="123">
        <v>10040562392</v>
      </c>
      <c r="D5735" s="126" t="s">
        <v>20276</v>
      </c>
      <c r="E5735" s="126" t="s">
        <v>20277</v>
      </c>
      <c r="F5735" s="123" t="s">
        <v>30</v>
      </c>
      <c r="G5735" s="123" t="s">
        <v>30</v>
      </c>
      <c r="H5735" s="123" t="s">
        <v>75</v>
      </c>
      <c r="I5735" s="126" t="s">
        <v>1701</v>
      </c>
      <c r="J5735" s="123" t="s">
        <v>20278</v>
      </c>
      <c r="K5735" s="123" t="s">
        <v>20276</v>
      </c>
      <c r="L5735" s="131" t="s">
        <v>100</v>
      </c>
      <c r="M5735" s="135" t="s">
        <v>845</v>
      </c>
      <c r="N5735" s="123" t="s">
        <v>845</v>
      </c>
    </row>
    <row r="5736" spans="2:14" hidden="1" x14ac:dyDescent="0.25">
      <c r="B5736" s="120">
        <v>5733</v>
      </c>
      <c r="C5736" s="123">
        <v>10735905169</v>
      </c>
      <c r="D5736" s="126" t="s">
        <v>20279</v>
      </c>
      <c r="E5736" s="126" t="s">
        <v>20280</v>
      </c>
      <c r="F5736" s="123" t="s">
        <v>30</v>
      </c>
      <c r="G5736" s="123" t="s">
        <v>168</v>
      </c>
      <c r="H5736" s="123" t="s">
        <v>180</v>
      </c>
      <c r="I5736" s="126" t="s">
        <v>1439</v>
      </c>
      <c r="J5736" s="123" t="s">
        <v>20281</v>
      </c>
      <c r="K5736" s="123" t="s">
        <v>20279</v>
      </c>
      <c r="L5736" s="131" t="s">
        <v>100</v>
      </c>
      <c r="M5736" s="135" t="s">
        <v>845</v>
      </c>
      <c r="N5736" s="123" t="s">
        <v>845</v>
      </c>
    </row>
    <row r="5737" spans="2:14" hidden="1" x14ac:dyDescent="0.25">
      <c r="B5737" s="120">
        <v>5734</v>
      </c>
      <c r="C5737" s="123">
        <v>10418886949</v>
      </c>
      <c r="D5737" s="126" t="s">
        <v>20282</v>
      </c>
      <c r="E5737" s="126" t="s">
        <v>20283</v>
      </c>
      <c r="F5737" s="123" t="s">
        <v>30</v>
      </c>
      <c r="G5737" s="123" t="s">
        <v>31</v>
      </c>
      <c r="H5737" s="123" t="s">
        <v>139</v>
      </c>
      <c r="I5737" s="126" t="s">
        <v>1930</v>
      </c>
      <c r="J5737" s="123" t="s">
        <v>20284</v>
      </c>
      <c r="K5737" s="123" t="s">
        <v>20282</v>
      </c>
      <c r="L5737" s="131" t="s">
        <v>100</v>
      </c>
      <c r="M5737" s="135" t="s">
        <v>845</v>
      </c>
      <c r="N5737" s="123" t="s">
        <v>845</v>
      </c>
    </row>
    <row r="5738" spans="2:14" hidden="1" x14ac:dyDescent="0.25">
      <c r="B5738" s="120">
        <v>5735</v>
      </c>
      <c r="C5738" s="123">
        <v>10756774111</v>
      </c>
      <c r="D5738" s="126" t="s">
        <v>20285</v>
      </c>
      <c r="E5738" s="126" t="s">
        <v>20286</v>
      </c>
      <c r="F5738" s="123" t="s">
        <v>30</v>
      </c>
      <c r="G5738" s="123" t="s">
        <v>30</v>
      </c>
      <c r="H5738" s="123" t="s">
        <v>45</v>
      </c>
      <c r="I5738" s="126" t="s">
        <v>1930</v>
      </c>
      <c r="J5738" s="123" t="s">
        <v>20287</v>
      </c>
      <c r="K5738" s="123" t="s">
        <v>20285</v>
      </c>
      <c r="L5738" s="131" t="s">
        <v>100</v>
      </c>
      <c r="M5738" s="135" t="s">
        <v>845</v>
      </c>
      <c r="N5738" s="123" t="s">
        <v>845</v>
      </c>
    </row>
    <row r="5739" spans="2:14" hidden="1" x14ac:dyDescent="0.25">
      <c r="B5739" s="120">
        <v>5736</v>
      </c>
      <c r="C5739" s="123">
        <v>10401598290</v>
      </c>
      <c r="D5739" s="126" t="s">
        <v>20288</v>
      </c>
      <c r="E5739" s="126" t="s">
        <v>20289</v>
      </c>
      <c r="F5739" s="123" t="s">
        <v>30</v>
      </c>
      <c r="G5739" s="123" t="s">
        <v>30</v>
      </c>
      <c r="H5739" s="123" t="s">
        <v>58</v>
      </c>
      <c r="I5739" s="126" t="s">
        <v>1737</v>
      </c>
      <c r="J5739" s="123" t="s">
        <v>20290</v>
      </c>
      <c r="K5739" s="123" t="s">
        <v>20288</v>
      </c>
      <c r="L5739" s="131" t="s">
        <v>100</v>
      </c>
      <c r="M5739" s="135" t="s">
        <v>845</v>
      </c>
      <c r="N5739" s="123" t="s">
        <v>845</v>
      </c>
    </row>
    <row r="5740" spans="2:14" hidden="1" x14ac:dyDescent="0.25">
      <c r="B5740" s="120">
        <v>5737</v>
      </c>
      <c r="C5740" s="123">
        <v>10410662545</v>
      </c>
      <c r="D5740" s="126" t="s">
        <v>20291</v>
      </c>
      <c r="E5740" s="126" t="s">
        <v>20292</v>
      </c>
      <c r="F5740" s="123" t="s">
        <v>30</v>
      </c>
      <c r="G5740" s="123" t="s">
        <v>30</v>
      </c>
      <c r="H5740" s="123" t="s">
        <v>85</v>
      </c>
      <c r="I5740" s="126" t="s">
        <v>101</v>
      </c>
      <c r="J5740" s="123" t="s">
        <v>20293</v>
      </c>
      <c r="K5740" s="123" t="s">
        <v>20294</v>
      </c>
      <c r="L5740" s="131" t="s">
        <v>100</v>
      </c>
      <c r="M5740" s="135" t="s">
        <v>845</v>
      </c>
      <c r="N5740" s="123" t="s">
        <v>845</v>
      </c>
    </row>
    <row r="5741" spans="2:14" hidden="1" x14ac:dyDescent="0.25">
      <c r="B5741" s="120">
        <v>5738</v>
      </c>
      <c r="C5741" s="123">
        <v>10075371573</v>
      </c>
      <c r="D5741" s="126" t="s">
        <v>20295</v>
      </c>
      <c r="E5741" s="126" t="s">
        <v>20296</v>
      </c>
      <c r="F5741" s="123" t="s">
        <v>30</v>
      </c>
      <c r="G5741" s="123" t="s">
        <v>30</v>
      </c>
      <c r="H5741" s="123" t="s">
        <v>110</v>
      </c>
      <c r="I5741" s="126" t="s">
        <v>1942</v>
      </c>
      <c r="J5741" s="123" t="s">
        <v>20297</v>
      </c>
      <c r="K5741" s="123" t="s">
        <v>20298</v>
      </c>
      <c r="L5741" s="131" t="s">
        <v>100</v>
      </c>
      <c r="M5741" s="135" t="s">
        <v>845</v>
      </c>
      <c r="N5741" s="123" t="s">
        <v>845</v>
      </c>
    </row>
    <row r="5742" spans="2:14" hidden="1" x14ac:dyDescent="0.25">
      <c r="B5742" s="120">
        <v>5739</v>
      </c>
      <c r="C5742" s="123">
        <v>10806145543</v>
      </c>
      <c r="D5742" s="126" t="s">
        <v>20299</v>
      </c>
      <c r="E5742" s="126" t="s">
        <v>20300</v>
      </c>
      <c r="F5742" s="123" t="s">
        <v>67</v>
      </c>
      <c r="G5742" s="123" t="s">
        <v>67</v>
      </c>
      <c r="H5742" s="123" t="s">
        <v>94</v>
      </c>
      <c r="I5742" s="126" t="s">
        <v>8884</v>
      </c>
      <c r="J5742" s="123" t="s">
        <v>20301</v>
      </c>
      <c r="K5742" s="123" t="s">
        <v>20299</v>
      </c>
      <c r="L5742" s="131" t="s">
        <v>100</v>
      </c>
      <c r="M5742" s="135" t="s">
        <v>845</v>
      </c>
      <c r="N5742" s="123" t="s">
        <v>845</v>
      </c>
    </row>
    <row r="5743" spans="2:14" hidden="1" x14ac:dyDescent="0.25">
      <c r="B5743" s="120">
        <v>5740</v>
      </c>
      <c r="C5743" s="123">
        <v>15463157585</v>
      </c>
      <c r="D5743" s="126" t="s">
        <v>20302</v>
      </c>
      <c r="E5743" s="126" t="s">
        <v>20303</v>
      </c>
      <c r="F5743" s="123" t="s">
        <v>67</v>
      </c>
      <c r="G5743" s="123" t="s">
        <v>67</v>
      </c>
      <c r="H5743" s="123" t="s">
        <v>67</v>
      </c>
      <c r="I5743" s="126" t="s">
        <v>1936</v>
      </c>
      <c r="J5743" s="123" t="s">
        <v>20304</v>
      </c>
      <c r="K5743" s="123" t="s">
        <v>20302</v>
      </c>
      <c r="L5743" s="131" t="s">
        <v>100</v>
      </c>
      <c r="M5743" s="135" t="s">
        <v>845</v>
      </c>
      <c r="N5743" s="123" t="s">
        <v>845</v>
      </c>
    </row>
    <row r="5744" spans="2:14" hidden="1" x14ac:dyDescent="0.25">
      <c r="B5744" s="120">
        <v>5741</v>
      </c>
      <c r="C5744" s="123">
        <v>10775335683</v>
      </c>
      <c r="D5744" s="126" t="s">
        <v>20305</v>
      </c>
      <c r="E5744" s="126" t="s">
        <v>20306</v>
      </c>
      <c r="F5744" s="123" t="s">
        <v>30</v>
      </c>
      <c r="G5744" s="123" t="s">
        <v>30</v>
      </c>
      <c r="H5744" s="123" t="s">
        <v>50</v>
      </c>
      <c r="I5744" s="126" t="s">
        <v>1561</v>
      </c>
      <c r="J5744" s="123" t="s">
        <v>20307</v>
      </c>
      <c r="K5744" s="123" t="s">
        <v>20305</v>
      </c>
      <c r="L5744" s="131" t="s">
        <v>100</v>
      </c>
      <c r="M5744" s="135" t="s">
        <v>845</v>
      </c>
      <c r="N5744" s="123" t="s">
        <v>845</v>
      </c>
    </row>
    <row r="5745" spans="2:14" hidden="1" x14ac:dyDescent="0.25">
      <c r="B5745" s="120">
        <v>5742</v>
      </c>
      <c r="C5745" s="123">
        <v>10449388840</v>
      </c>
      <c r="D5745" s="126" t="s">
        <v>20308</v>
      </c>
      <c r="E5745" s="126" t="s">
        <v>20309</v>
      </c>
      <c r="F5745" s="123" t="s">
        <v>30</v>
      </c>
      <c r="G5745" s="123" t="s">
        <v>31</v>
      </c>
      <c r="H5745" s="123" t="s">
        <v>32</v>
      </c>
      <c r="I5745" s="126" t="s">
        <v>1936</v>
      </c>
      <c r="J5745" s="123" t="s">
        <v>20310</v>
      </c>
      <c r="K5745" s="123" t="s">
        <v>20308</v>
      </c>
      <c r="L5745" s="131" t="s">
        <v>100</v>
      </c>
      <c r="M5745" s="135" t="s">
        <v>845</v>
      </c>
      <c r="N5745" s="123" t="s">
        <v>845</v>
      </c>
    </row>
    <row r="5746" spans="2:14" hidden="1" x14ac:dyDescent="0.25">
      <c r="B5746" s="120">
        <v>5743</v>
      </c>
      <c r="C5746" s="123">
        <v>10409454831</v>
      </c>
      <c r="D5746" s="126" t="s">
        <v>20311</v>
      </c>
      <c r="E5746" s="126" t="s">
        <v>20312</v>
      </c>
      <c r="F5746" s="123" t="s">
        <v>30</v>
      </c>
      <c r="G5746" s="123" t="s">
        <v>30</v>
      </c>
      <c r="H5746" s="123" t="s">
        <v>43</v>
      </c>
      <c r="I5746" s="126" t="s">
        <v>1701</v>
      </c>
      <c r="J5746" s="123" t="s">
        <v>20313</v>
      </c>
      <c r="K5746" s="123" t="s">
        <v>20311</v>
      </c>
      <c r="L5746" s="131" t="s">
        <v>100</v>
      </c>
      <c r="M5746" s="135" t="s">
        <v>845</v>
      </c>
      <c r="N5746" s="123" t="s">
        <v>845</v>
      </c>
    </row>
    <row r="5747" spans="2:14" hidden="1" x14ac:dyDescent="0.25">
      <c r="B5747" s="120">
        <v>5744</v>
      </c>
      <c r="C5747" s="123">
        <v>10481003712</v>
      </c>
      <c r="D5747" s="126" t="s">
        <v>20314</v>
      </c>
      <c r="E5747" s="126" t="s">
        <v>20315</v>
      </c>
      <c r="F5747" s="123" t="s">
        <v>30</v>
      </c>
      <c r="G5747" s="123" t="s">
        <v>30</v>
      </c>
      <c r="H5747" s="123" t="s">
        <v>40</v>
      </c>
      <c r="I5747" s="126" t="s">
        <v>1936</v>
      </c>
      <c r="J5747" s="123" t="s">
        <v>20316</v>
      </c>
      <c r="K5747" s="123" t="s">
        <v>20317</v>
      </c>
      <c r="L5747" s="131" t="s">
        <v>100</v>
      </c>
      <c r="M5747" s="135" t="s">
        <v>845</v>
      </c>
      <c r="N5747" s="123" t="s">
        <v>845</v>
      </c>
    </row>
    <row r="5748" spans="2:14" hidden="1" x14ac:dyDescent="0.25">
      <c r="B5748" s="120">
        <v>5745</v>
      </c>
      <c r="C5748" s="123">
        <v>10083530192</v>
      </c>
      <c r="D5748" s="126" t="s">
        <v>20318</v>
      </c>
      <c r="E5748" s="126" t="s">
        <v>20319</v>
      </c>
      <c r="F5748" s="123" t="s">
        <v>30</v>
      </c>
      <c r="G5748" s="123" t="s">
        <v>30</v>
      </c>
      <c r="H5748" s="123" t="s">
        <v>38</v>
      </c>
      <c r="I5748" s="126" t="s">
        <v>1398</v>
      </c>
      <c r="J5748" s="123" t="s">
        <v>20320</v>
      </c>
      <c r="K5748" s="123" t="s">
        <v>20318</v>
      </c>
      <c r="L5748" s="131" t="s">
        <v>100</v>
      </c>
      <c r="M5748" s="135" t="s">
        <v>845</v>
      </c>
      <c r="N5748" s="123" t="s">
        <v>845</v>
      </c>
    </row>
    <row r="5749" spans="2:14" hidden="1" x14ac:dyDescent="0.25">
      <c r="B5749" s="120">
        <v>5746</v>
      </c>
      <c r="C5749" s="123">
        <v>10212836937</v>
      </c>
      <c r="D5749" s="126" t="s">
        <v>20321</v>
      </c>
      <c r="E5749" s="126" t="s">
        <v>20322</v>
      </c>
      <c r="F5749" s="123" t="s">
        <v>30</v>
      </c>
      <c r="G5749" s="123" t="s">
        <v>31</v>
      </c>
      <c r="H5749" s="123" t="s">
        <v>32</v>
      </c>
      <c r="I5749" s="126" t="s">
        <v>11931</v>
      </c>
      <c r="J5749" s="123" t="s">
        <v>20323</v>
      </c>
      <c r="K5749" s="123" t="s">
        <v>20321</v>
      </c>
      <c r="L5749" s="131" t="s">
        <v>100</v>
      </c>
      <c r="M5749" s="135" t="s">
        <v>845</v>
      </c>
      <c r="N5749" s="123" t="s">
        <v>845</v>
      </c>
    </row>
    <row r="5750" spans="2:14" hidden="1" x14ac:dyDescent="0.25">
      <c r="B5750" s="120">
        <v>5747</v>
      </c>
      <c r="C5750" s="123">
        <v>10417337089</v>
      </c>
      <c r="D5750" s="126" t="s">
        <v>20324</v>
      </c>
      <c r="E5750" s="126" t="s">
        <v>20325</v>
      </c>
      <c r="F5750" s="123" t="s">
        <v>67</v>
      </c>
      <c r="G5750" s="123" t="s">
        <v>67</v>
      </c>
      <c r="H5750" s="123" t="s">
        <v>67</v>
      </c>
      <c r="I5750" s="126" t="s">
        <v>1655</v>
      </c>
      <c r="J5750" s="123" t="s">
        <v>20326</v>
      </c>
      <c r="K5750" s="123" t="s">
        <v>20324</v>
      </c>
      <c r="L5750" s="131" t="s">
        <v>100</v>
      </c>
      <c r="M5750" s="135" t="s">
        <v>845</v>
      </c>
      <c r="N5750" s="123" t="s">
        <v>845</v>
      </c>
    </row>
    <row r="5751" spans="2:14" hidden="1" x14ac:dyDescent="0.25">
      <c r="B5751" s="120">
        <v>5748</v>
      </c>
      <c r="C5751" s="123">
        <v>10748961921</v>
      </c>
      <c r="D5751" s="126" t="s">
        <v>20327</v>
      </c>
      <c r="E5751" s="126" t="s">
        <v>20328</v>
      </c>
      <c r="F5751" s="123" t="s">
        <v>30</v>
      </c>
      <c r="G5751" s="123" t="s">
        <v>30</v>
      </c>
      <c r="H5751" s="123" t="s">
        <v>72</v>
      </c>
      <c r="I5751" s="126" t="s">
        <v>3334</v>
      </c>
      <c r="J5751" s="123" t="s">
        <v>20329</v>
      </c>
      <c r="K5751" s="123" t="s">
        <v>20327</v>
      </c>
      <c r="L5751" s="131" t="s">
        <v>100</v>
      </c>
      <c r="M5751" s="135" t="s">
        <v>845</v>
      </c>
      <c r="N5751" s="123" t="s">
        <v>845</v>
      </c>
    </row>
    <row r="5752" spans="2:14" hidden="1" x14ac:dyDescent="0.25">
      <c r="B5752" s="120">
        <v>5749</v>
      </c>
      <c r="C5752" s="123">
        <v>10467534756</v>
      </c>
      <c r="D5752" s="126" t="s">
        <v>20330</v>
      </c>
      <c r="E5752" s="126" t="s">
        <v>20331</v>
      </c>
      <c r="F5752" s="123" t="s">
        <v>67</v>
      </c>
      <c r="G5752" s="123" t="s">
        <v>67</v>
      </c>
      <c r="H5752" s="123" t="s">
        <v>94</v>
      </c>
      <c r="I5752" s="126" t="s">
        <v>18519</v>
      </c>
      <c r="J5752" s="123" t="s">
        <v>20332</v>
      </c>
      <c r="K5752" s="123" t="s">
        <v>20330</v>
      </c>
      <c r="L5752" s="131" t="s">
        <v>100</v>
      </c>
      <c r="M5752" s="135" t="s">
        <v>845</v>
      </c>
      <c r="N5752" s="123" t="s">
        <v>845</v>
      </c>
    </row>
    <row r="5753" spans="2:14" hidden="1" x14ac:dyDescent="0.25">
      <c r="B5753" s="120">
        <v>5750</v>
      </c>
      <c r="C5753" s="123">
        <v>10477495201</v>
      </c>
      <c r="D5753" s="126" t="s">
        <v>20333</v>
      </c>
      <c r="E5753" s="126" t="s">
        <v>20334</v>
      </c>
      <c r="F5753" s="123" t="s">
        <v>30</v>
      </c>
      <c r="G5753" s="123" t="s">
        <v>31</v>
      </c>
      <c r="H5753" s="123" t="s">
        <v>139</v>
      </c>
      <c r="I5753" s="126" t="s">
        <v>1551</v>
      </c>
      <c r="J5753" s="123" t="s">
        <v>20335</v>
      </c>
      <c r="K5753" s="123" t="s">
        <v>20333</v>
      </c>
      <c r="L5753" s="131" t="s">
        <v>100</v>
      </c>
      <c r="M5753" s="135" t="s">
        <v>845</v>
      </c>
      <c r="N5753" s="123" t="s">
        <v>845</v>
      </c>
    </row>
    <row r="5754" spans="2:14" hidden="1" x14ac:dyDescent="0.25">
      <c r="B5754" s="120">
        <v>5751</v>
      </c>
      <c r="C5754" s="123">
        <v>10434055925</v>
      </c>
      <c r="D5754" s="126" t="s">
        <v>20336</v>
      </c>
      <c r="E5754" s="126" t="s">
        <v>20337</v>
      </c>
      <c r="F5754" s="123" t="s">
        <v>30</v>
      </c>
      <c r="G5754" s="123" t="s">
        <v>30</v>
      </c>
      <c r="H5754" s="123" t="s">
        <v>43</v>
      </c>
      <c r="I5754" s="126" t="s">
        <v>1960</v>
      </c>
      <c r="J5754" s="123" t="s">
        <v>20338</v>
      </c>
      <c r="K5754" s="123" t="s">
        <v>20339</v>
      </c>
      <c r="L5754" s="131" t="s">
        <v>100</v>
      </c>
      <c r="M5754" s="135" t="s">
        <v>845</v>
      </c>
      <c r="N5754" s="123" t="s">
        <v>845</v>
      </c>
    </row>
    <row r="5755" spans="2:14" hidden="1" x14ac:dyDescent="0.25">
      <c r="B5755" s="120">
        <v>5752</v>
      </c>
      <c r="C5755" s="123">
        <v>10464552648</v>
      </c>
      <c r="D5755" s="126" t="s">
        <v>20340</v>
      </c>
      <c r="E5755" s="126" t="s">
        <v>20341</v>
      </c>
      <c r="F5755" s="123" t="s">
        <v>30</v>
      </c>
      <c r="G5755" s="123" t="s">
        <v>30</v>
      </c>
      <c r="H5755" s="123" t="s">
        <v>72</v>
      </c>
      <c r="I5755" s="126" t="s">
        <v>1507</v>
      </c>
      <c r="J5755" s="123" t="s">
        <v>1508</v>
      </c>
      <c r="K5755" s="123" t="s">
        <v>20342</v>
      </c>
      <c r="L5755" s="131" t="s">
        <v>100</v>
      </c>
      <c r="M5755" s="135" t="s">
        <v>845</v>
      </c>
      <c r="N5755" s="123" t="s">
        <v>845</v>
      </c>
    </row>
    <row r="5756" spans="2:14" hidden="1" x14ac:dyDescent="0.25">
      <c r="B5756" s="120">
        <v>5753</v>
      </c>
      <c r="C5756" s="123">
        <v>10409226154</v>
      </c>
      <c r="D5756" s="126" t="s">
        <v>20343</v>
      </c>
      <c r="E5756" s="126" t="s">
        <v>20344</v>
      </c>
      <c r="F5756" s="123" t="s">
        <v>30</v>
      </c>
      <c r="G5756" s="123" t="s">
        <v>30</v>
      </c>
      <c r="H5756" s="123" t="s">
        <v>38</v>
      </c>
      <c r="I5756" s="126" t="s">
        <v>1424</v>
      </c>
      <c r="J5756" s="123" t="s">
        <v>20345</v>
      </c>
      <c r="K5756" s="123" t="s">
        <v>20343</v>
      </c>
      <c r="L5756" s="131" t="s">
        <v>100</v>
      </c>
      <c r="M5756" s="135" t="s">
        <v>845</v>
      </c>
      <c r="N5756" s="123" t="s">
        <v>845</v>
      </c>
    </row>
    <row r="5757" spans="2:14" hidden="1" x14ac:dyDescent="0.25">
      <c r="B5757" s="120">
        <v>5754</v>
      </c>
      <c r="C5757" s="123">
        <v>10802858243</v>
      </c>
      <c r="D5757" s="126" t="s">
        <v>20346</v>
      </c>
      <c r="E5757" s="126" t="s">
        <v>20347</v>
      </c>
      <c r="F5757" s="123" t="s">
        <v>30</v>
      </c>
      <c r="G5757" s="123" t="s">
        <v>30</v>
      </c>
      <c r="H5757" s="123" t="s">
        <v>75</v>
      </c>
      <c r="I5757" s="126" t="s">
        <v>20348</v>
      </c>
      <c r="J5757" s="123" t="s">
        <v>20349</v>
      </c>
      <c r="K5757" s="123" t="s">
        <v>20346</v>
      </c>
      <c r="L5757" s="131" t="s">
        <v>100</v>
      </c>
      <c r="M5757" s="135" t="s">
        <v>845</v>
      </c>
      <c r="N5757" s="123" t="s">
        <v>845</v>
      </c>
    </row>
    <row r="5758" spans="2:14" hidden="1" x14ac:dyDescent="0.25">
      <c r="B5758" s="120">
        <v>5755</v>
      </c>
      <c r="C5758" s="123">
        <v>10437755413</v>
      </c>
      <c r="D5758" s="126" t="s">
        <v>20350</v>
      </c>
      <c r="E5758" s="126" t="s">
        <v>20351</v>
      </c>
      <c r="F5758" s="123" t="s">
        <v>30</v>
      </c>
      <c r="G5758" s="123" t="s">
        <v>30</v>
      </c>
      <c r="H5758" s="123" t="s">
        <v>75</v>
      </c>
      <c r="I5758" s="126" t="s">
        <v>1701</v>
      </c>
      <c r="J5758" s="123" t="s">
        <v>20352</v>
      </c>
      <c r="K5758" s="123" t="s">
        <v>20350</v>
      </c>
      <c r="L5758" s="131" t="s">
        <v>100</v>
      </c>
      <c r="M5758" s="135" t="s">
        <v>845</v>
      </c>
      <c r="N5758" s="123" t="s">
        <v>845</v>
      </c>
    </row>
    <row r="5759" spans="2:14" hidden="1" x14ac:dyDescent="0.25">
      <c r="B5759" s="120">
        <v>5756</v>
      </c>
      <c r="C5759" s="123">
        <v>10192564331</v>
      </c>
      <c r="D5759" s="126" t="s">
        <v>20353</v>
      </c>
      <c r="E5759" s="126" t="s">
        <v>20354</v>
      </c>
      <c r="F5759" s="123" t="s">
        <v>30</v>
      </c>
      <c r="G5759" s="123" t="s">
        <v>30</v>
      </c>
      <c r="H5759" s="123" t="s">
        <v>45</v>
      </c>
      <c r="I5759" s="126" t="s">
        <v>1424</v>
      </c>
      <c r="J5759" s="123" t="s">
        <v>20355</v>
      </c>
      <c r="K5759" s="123" t="s">
        <v>20356</v>
      </c>
      <c r="L5759" s="131" t="s">
        <v>100</v>
      </c>
      <c r="M5759" s="135" t="s">
        <v>845</v>
      </c>
      <c r="N5759" s="123" t="s">
        <v>845</v>
      </c>
    </row>
    <row r="5760" spans="2:14" hidden="1" x14ac:dyDescent="0.25">
      <c r="B5760" s="120">
        <v>5757</v>
      </c>
      <c r="C5760" s="123">
        <v>10097005571</v>
      </c>
      <c r="D5760" s="126" t="s">
        <v>20357</v>
      </c>
      <c r="E5760" s="126" t="s">
        <v>20358</v>
      </c>
      <c r="F5760" s="123" t="s">
        <v>30</v>
      </c>
      <c r="G5760" s="123" t="s">
        <v>30</v>
      </c>
      <c r="H5760" s="123" t="s">
        <v>65</v>
      </c>
      <c r="I5760" s="126" t="s">
        <v>101</v>
      </c>
      <c r="J5760" s="123" t="s">
        <v>20359</v>
      </c>
      <c r="K5760" s="123" t="s">
        <v>20357</v>
      </c>
      <c r="L5760" s="131" t="s">
        <v>100</v>
      </c>
      <c r="M5760" s="135" t="s">
        <v>845</v>
      </c>
      <c r="N5760" s="123" t="s">
        <v>845</v>
      </c>
    </row>
    <row r="5761" spans="2:14" hidden="1" x14ac:dyDescent="0.25">
      <c r="B5761" s="120">
        <v>5758</v>
      </c>
      <c r="C5761" s="123">
        <v>10436809625</v>
      </c>
      <c r="D5761" s="126" t="s">
        <v>20360</v>
      </c>
      <c r="E5761" s="126" t="s">
        <v>20361</v>
      </c>
      <c r="F5761" s="123" t="s">
        <v>30</v>
      </c>
      <c r="G5761" s="123" t="s">
        <v>30</v>
      </c>
      <c r="H5761" s="123" t="s">
        <v>52</v>
      </c>
      <c r="I5761" s="126" t="s">
        <v>1564</v>
      </c>
      <c r="J5761" s="123" t="s">
        <v>20362</v>
      </c>
      <c r="K5761" s="123" t="s">
        <v>20360</v>
      </c>
      <c r="L5761" s="131" t="s">
        <v>100</v>
      </c>
      <c r="M5761" s="135" t="s">
        <v>845</v>
      </c>
      <c r="N5761" s="123" t="s">
        <v>845</v>
      </c>
    </row>
    <row r="5762" spans="2:14" hidden="1" x14ac:dyDescent="0.25">
      <c r="B5762" s="120">
        <v>5759</v>
      </c>
      <c r="C5762" s="123">
        <v>10728965725</v>
      </c>
      <c r="D5762" s="126" t="s">
        <v>20363</v>
      </c>
      <c r="E5762" s="126" t="s">
        <v>20364</v>
      </c>
      <c r="F5762" s="123" t="s">
        <v>30</v>
      </c>
      <c r="G5762" s="123" t="s">
        <v>30</v>
      </c>
      <c r="H5762" s="123" t="s">
        <v>50</v>
      </c>
      <c r="I5762" s="126" t="s">
        <v>1950</v>
      </c>
      <c r="J5762" s="123" t="s">
        <v>20365</v>
      </c>
      <c r="K5762" s="123" t="s">
        <v>20366</v>
      </c>
      <c r="L5762" s="131" t="s">
        <v>100</v>
      </c>
      <c r="M5762" s="135" t="s">
        <v>845</v>
      </c>
      <c r="N5762" s="123" t="s">
        <v>845</v>
      </c>
    </row>
    <row r="5763" spans="2:14" hidden="1" x14ac:dyDescent="0.25">
      <c r="B5763" s="120">
        <v>5760</v>
      </c>
      <c r="C5763" s="123">
        <v>10156700628</v>
      </c>
      <c r="D5763" s="126" t="s">
        <v>20367</v>
      </c>
      <c r="E5763" s="126" t="s">
        <v>20368</v>
      </c>
      <c r="F5763" s="123" t="s">
        <v>30</v>
      </c>
      <c r="G5763" s="123" t="s">
        <v>168</v>
      </c>
      <c r="H5763" s="123" t="s">
        <v>168</v>
      </c>
      <c r="I5763" s="126" t="s">
        <v>1424</v>
      </c>
      <c r="J5763" s="123" t="s">
        <v>20369</v>
      </c>
      <c r="K5763" s="123" t="s">
        <v>20367</v>
      </c>
      <c r="L5763" s="131" t="s">
        <v>100</v>
      </c>
      <c r="M5763" s="135" t="s">
        <v>845</v>
      </c>
      <c r="N5763" s="123" t="s">
        <v>845</v>
      </c>
    </row>
    <row r="5764" spans="2:14" hidden="1" x14ac:dyDescent="0.25">
      <c r="B5764" s="120">
        <v>5761</v>
      </c>
      <c r="C5764" s="123">
        <v>10103782096</v>
      </c>
      <c r="D5764" s="126" t="s">
        <v>20370</v>
      </c>
      <c r="E5764" s="126" t="s">
        <v>20371</v>
      </c>
      <c r="F5764" s="123" t="s">
        <v>30</v>
      </c>
      <c r="G5764" s="123" t="s">
        <v>30</v>
      </c>
      <c r="H5764" s="123" t="s">
        <v>103</v>
      </c>
      <c r="I5764" s="126" t="s">
        <v>1942</v>
      </c>
      <c r="J5764" s="123" t="s">
        <v>20372</v>
      </c>
      <c r="K5764" s="123" t="s">
        <v>20370</v>
      </c>
      <c r="L5764" s="131" t="s">
        <v>100</v>
      </c>
      <c r="M5764" s="135" t="s">
        <v>845</v>
      </c>
      <c r="N5764" s="123" t="s">
        <v>845</v>
      </c>
    </row>
    <row r="5765" spans="2:14" hidden="1" x14ac:dyDescent="0.25">
      <c r="B5765" s="120">
        <v>5762</v>
      </c>
      <c r="C5765" s="123">
        <v>10461480581</v>
      </c>
      <c r="D5765" s="126" t="s">
        <v>20373</v>
      </c>
      <c r="E5765" s="126" t="s">
        <v>20374</v>
      </c>
      <c r="F5765" s="123" t="s">
        <v>30</v>
      </c>
      <c r="G5765" s="123" t="s">
        <v>30</v>
      </c>
      <c r="H5765" s="123" t="s">
        <v>51</v>
      </c>
      <c r="I5765" s="126" t="s">
        <v>1694</v>
      </c>
      <c r="J5765" s="123" t="s">
        <v>20375</v>
      </c>
      <c r="K5765" s="123" t="s">
        <v>20376</v>
      </c>
      <c r="L5765" s="131" t="s">
        <v>100</v>
      </c>
      <c r="M5765" s="135" t="s">
        <v>845</v>
      </c>
      <c r="N5765" s="123" t="s">
        <v>845</v>
      </c>
    </row>
    <row r="5766" spans="2:14" hidden="1" x14ac:dyDescent="0.25">
      <c r="B5766" s="120">
        <v>5763</v>
      </c>
      <c r="C5766" s="123">
        <v>10097748158</v>
      </c>
      <c r="D5766" s="126" t="s">
        <v>20377</v>
      </c>
      <c r="E5766" s="126" t="s">
        <v>20378</v>
      </c>
      <c r="F5766" s="123" t="s">
        <v>30</v>
      </c>
      <c r="G5766" s="123" t="s">
        <v>30</v>
      </c>
      <c r="H5766" s="123" t="s">
        <v>41</v>
      </c>
      <c r="I5766" s="126" t="s">
        <v>8659</v>
      </c>
      <c r="J5766" s="123" t="s">
        <v>20379</v>
      </c>
      <c r="K5766" s="123" t="s">
        <v>20377</v>
      </c>
      <c r="L5766" s="131" t="s">
        <v>100</v>
      </c>
      <c r="M5766" s="135" t="s">
        <v>845</v>
      </c>
      <c r="N5766" s="123" t="s">
        <v>845</v>
      </c>
    </row>
    <row r="5767" spans="2:14" hidden="1" x14ac:dyDescent="0.25">
      <c r="B5767" s="120">
        <v>5764</v>
      </c>
      <c r="C5767" s="123">
        <v>10099504566</v>
      </c>
      <c r="D5767" s="126" t="s">
        <v>20380</v>
      </c>
      <c r="E5767" s="126" t="s">
        <v>20381</v>
      </c>
      <c r="F5767" s="123" t="s">
        <v>30</v>
      </c>
      <c r="G5767" s="123" t="s">
        <v>48</v>
      </c>
      <c r="H5767" s="123" t="s">
        <v>705</v>
      </c>
      <c r="I5767" s="126" t="s">
        <v>1701</v>
      </c>
      <c r="J5767" s="123" t="s">
        <v>20382</v>
      </c>
      <c r="K5767" s="123" t="s">
        <v>20383</v>
      </c>
      <c r="L5767" s="131" t="s">
        <v>100</v>
      </c>
      <c r="M5767" s="135" t="s">
        <v>845</v>
      </c>
      <c r="N5767" s="123" t="s">
        <v>845</v>
      </c>
    </row>
    <row r="5768" spans="2:14" hidden="1" x14ac:dyDescent="0.25">
      <c r="B5768" s="120">
        <v>5765</v>
      </c>
      <c r="C5768" s="123">
        <v>10424891661</v>
      </c>
      <c r="D5768" s="126" t="s">
        <v>20384</v>
      </c>
      <c r="E5768" s="126" t="s">
        <v>20385</v>
      </c>
      <c r="F5768" s="123" t="s">
        <v>30</v>
      </c>
      <c r="G5768" s="123" t="s">
        <v>170</v>
      </c>
      <c r="H5768" s="123" t="s">
        <v>174</v>
      </c>
      <c r="I5768" s="126" t="s">
        <v>1809</v>
      </c>
      <c r="J5768" s="123" t="s">
        <v>20386</v>
      </c>
      <c r="K5768" s="123" t="s">
        <v>20384</v>
      </c>
      <c r="L5768" s="131" t="s">
        <v>100</v>
      </c>
      <c r="M5768" s="135" t="s">
        <v>845</v>
      </c>
      <c r="N5768" s="123" t="s">
        <v>845</v>
      </c>
    </row>
    <row r="5769" spans="2:14" hidden="1" x14ac:dyDescent="0.25">
      <c r="B5769" s="120">
        <v>5766</v>
      </c>
      <c r="C5769" s="123">
        <v>10736323627</v>
      </c>
      <c r="D5769" s="126" t="s">
        <v>20387</v>
      </c>
      <c r="E5769" s="126" t="s">
        <v>20388</v>
      </c>
      <c r="F5769" s="123" t="s">
        <v>30</v>
      </c>
      <c r="G5769" s="123" t="s">
        <v>30</v>
      </c>
      <c r="H5769" s="123" t="s">
        <v>30</v>
      </c>
      <c r="I5769" s="126" t="s">
        <v>1941</v>
      </c>
      <c r="J5769" s="123" t="s">
        <v>20389</v>
      </c>
      <c r="K5769" s="123" t="s">
        <v>20387</v>
      </c>
      <c r="L5769" s="131" t="s">
        <v>100</v>
      </c>
      <c r="M5769" s="135" t="s">
        <v>845</v>
      </c>
      <c r="N5769" s="123" t="s">
        <v>845</v>
      </c>
    </row>
    <row r="5770" spans="2:14" hidden="1" x14ac:dyDescent="0.25">
      <c r="B5770" s="120">
        <v>5767</v>
      </c>
      <c r="C5770" s="123">
        <v>10239598469</v>
      </c>
      <c r="D5770" s="126" t="s">
        <v>20390</v>
      </c>
      <c r="E5770" s="126" t="s">
        <v>20391</v>
      </c>
      <c r="F5770" s="123" t="s">
        <v>30</v>
      </c>
      <c r="G5770" s="123" t="s">
        <v>30</v>
      </c>
      <c r="H5770" s="123" t="s">
        <v>37</v>
      </c>
      <c r="I5770" s="126" t="s">
        <v>1939</v>
      </c>
      <c r="J5770" s="123" t="s">
        <v>20392</v>
      </c>
      <c r="K5770" s="123" t="s">
        <v>20393</v>
      </c>
      <c r="L5770" s="131" t="s">
        <v>100</v>
      </c>
      <c r="M5770" s="135" t="s">
        <v>845</v>
      </c>
      <c r="N5770" s="123" t="s">
        <v>845</v>
      </c>
    </row>
    <row r="5771" spans="2:14" hidden="1" x14ac:dyDescent="0.25">
      <c r="B5771" s="120">
        <v>5768</v>
      </c>
      <c r="C5771" s="123">
        <v>10416547420</v>
      </c>
      <c r="D5771" s="126" t="s">
        <v>20394</v>
      </c>
      <c r="E5771" s="126" t="s">
        <v>20395</v>
      </c>
      <c r="F5771" s="123" t="s">
        <v>30</v>
      </c>
      <c r="G5771" s="123" t="s">
        <v>30</v>
      </c>
      <c r="H5771" s="123" t="s">
        <v>51</v>
      </c>
      <c r="I5771" s="126" t="s">
        <v>1939</v>
      </c>
      <c r="J5771" s="123" t="s">
        <v>20396</v>
      </c>
      <c r="K5771" s="123" t="s">
        <v>20397</v>
      </c>
      <c r="L5771" s="131" t="s">
        <v>100</v>
      </c>
      <c r="M5771" s="135" t="s">
        <v>845</v>
      </c>
      <c r="N5771" s="123" t="s">
        <v>845</v>
      </c>
    </row>
    <row r="5772" spans="2:14" hidden="1" x14ac:dyDescent="0.25">
      <c r="B5772" s="120">
        <v>5769</v>
      </c>
      <c r="C5772" s="123">
        <v>10406328908</v>
      </c>
      <c r="D5772" s="126" t="s">
        <v>20398</v>
      </c>
      <c r="E5772" s="126" t="s">
        <v>20399</v>
      </c>
      <c r="F5772" s="123" t="s">
        <v>30</v>
      </c>
      <c r="G5772" s="123" t="s">
        <v>30</v>
      </c>
      <c r="H5772" s="123" t="s">
        <v>45</v>
      </c>
      <c r="I5772" s="126" t="s">
        <v>1701</v>
      </c>
      <c r="J5772" s="123" t="s">
        <v>20400</v>
      </c>
      <c r="K5772" s="123" t="s">
        <v>20398</v>
      </c>
      <c r="L5772" s="131" t="s">
        <v>100</v>
      </c>
      <c r="M5772" s="135" t="s">
        <v>845</v>
      </c>
      <c r="N5772" s="123" t="s">
        <v>845</v>
      </c>
    </row>
    <row r="5773" spans="2:14" hidden="1" x14ac:dyDescent="0.25">
      <c r="B5773" s="120">
        <v>5770</v>
      </c>
      <c r="C5773" s="123">
        <v>10404024189</v>
      </c>
      <c r="D5773" s="126" t="s">
        <v>20401</v>
      </c>
      <c r="E5773" s="126" t="s">
        <v>20402</v>
      </c>
      <c r="F5773" s="123" t="s">
        <v>30</v>
      </c>
      <c r="G5773" s="123" t="s">
        <v>30</v>
      </c>
      <c r="H5773" s="123" t="s">
        <v>60</v>
      </c>
      <c r="I5773" s="126" t="s">
        <v>1701</v>
      </c>
      <c r="J5773" s="123" t="s">
        <v>20403</v>
      </c>
      <c r="K5773" s="123" t="s">
        <v>20401</v>
      </c>
      <c r="L5773" s="131" t="s">
        <v>100</v>
      </c>
      <c r="M5773" s="135" t="s">
        <v>845</v>
      </c>
      <c r="N5773" s="123" t="s">
        <v>845</v>
      </c>
    </row>
    <row r="5774" spans="2:14" hidden="1" x14ac:dyDescent="0.25">
      <c r="B5774" s="120">
        <v>5771</v>
      </c>
      <c r="C5774" s="123">
        <v>10108032478</v>
      </c>
      <c r="D5774" s="126" t="s">
        <v>20404</v>
      </c>
      <c r="E5774" s="126" t="s">
        <v>20405</v>
      </c>
      <c r="F5774" s="123" t="s">
        <v>30</v>
      </c>
      <c r="G5774" s="123" t="s">
        <v>31</v>
      </c>
      <c r="H5774" s="123" t="s">
        <v>92</v>
      </c>
      <c r="I5774" s="126" t="s">
        <v>1499</v>
      </c>
      <c r="J5774" s="123" t="s">
        <v>20406</v>
      </c>
      <c r="K5774" s="123" t="s">
        <v>20407</v>
      </c>
      <c r="L5774" s="131" t="s">
        <v>100</v>
      </c>
      <c r="M5774" s="135" t="s">
        <v>845</v>
      </c>
      <c r="N5774" s="123" t="s">
        <v>845</v>
      </c>
    </row>
    <row r="5775" spans="2:14" hidden="1" x14ac:dyDescent="0.25">
      <c r="B5775" s="120">
        <v>5772</v>
      </c>
      <c r="C5775" s="123">
        <v>10747335601</v>
      </c>
      <c r="D5775" s="126" t="s">
        <v>20408</v>
      </c>
      <c r="E5775" s="126" t="s">
        <v>20409</v>
      </c>
      <c r="F5775" s="123" t="s">
        <v>30</v>
      </c>
      <c r="G5775" s="123" t="s">
        <v>30</v>
      </c>
      <c r="H5775" s="123" t="s">
        <v>72</v>
      </c>
      <c r="I5775" s="126" t="s">
        <v>1424</v>
      </c>
      <c r="J5775" s="123" t="s">
        <v>20410</v>
      </c>
      <c r="K5775" s="123" t="s">
        <v>20408</v>
      </c>
      <c r="L5775" s="131" t="s">
        <v>100</v>
      </c>
      <c r="M5775" s="135" t="s">
        <v>845</v>
      </c>
      <c r="N5775" s="123" t="s">
        <v>845</v>
      </c>
    </row>
    <row r="5776" spans="2:14" hidden="1" x14ac:dyDescent="0.25">
      <c r="B5776" s="120">
        <v>5773</v>
      </c>
      <c r="C5776" s="123">
        <v>15611606777</v>
      </c>
      <c r="D5776" s="126" t="s">
        <v>20411</v>
      </c>
      <c r="E5776" s="126" t="s">
        <v>20412</v>
      </c>
      <c r="F5776" s="123" t="s">
        <v>30</v>
      </c>
      <c r="G5776" s="123" t="s">
        <v>30</v>
      </c>
      <c r="H5776" s="123" t="s">
        <v>397</v>
      </c>
      <c r="I5776" s="126" t="s">
        <v>1561</v>
      </c>
      <c r="J5776" s="123" t="s">
        <v>20413</v>
      </c>
      <c r="K5776" s="123" t="s">
        <v>20414</v>
      </c>
      <c r="L5776" s="131" t="s">
        <v>100</v>
      </c>
      <c r="M5776" s="135" t="s">
        <v>845</v>
      </c>
      <c r="N5776" s="123" t="s">
        <v>845</v>
      </c>
    </row>
    <row r="5777" spans="2:14" hidden="1" x14ac:dyDescent="0.25">
      <c r="B5777" s="120">
        <v>5774</v>
      </c>
      <c r="C5777" s="123">
        <v>10415843700</v>
      </c>
      <c r="D5777" s="126" t="s">
        <v>20415</v>
      </c>
      <c r="E5777" s="126" t="s">
        <v>20416</v>
      </c>
      <c r="F5777" s="123" t="s">
        <v>30</v>
      </c>
      <c r="G5777" s="123" t="s">
        <v>31</v>
      </c>
      <c r="H5777" s="123" t="s">
        <v>12658</v>
      </c>
      <c r="I5777" s="126" t="s">
        <v>20417</v>
      </c>
      <c r="J5777" s="123" t="s">
        <v>20418</v>
      </c>
      <c r="K5777" s="123" t="s">
        <v>20415</v>
      </c>
      <c r="L5777" s="131" t="s">
        <v>100</v>
      </c>
      <c r="M5777" s="135" t="s">
        <v>845</v>
      </c>
      <c r="N5777" s="123" t="s">
        <v>845</v>
      </c>
    </row>
    <row r="5778" spans="2:14" hidden="1" x14ac:dyDescent="0.25">
      <c r="B5778" s="120">
        <v>5775</v>
      </c>
      <c r="C5778" s="123">
        <v>10093621391</v>
      </c>
      <c r="D5778" s="126" t="s">
        <v>20419</v>
      </c>
      <c r="E5778" s="126" t="s">
        <v>20420</v>
      </c>
      <c r="F5778" s="123" t="s">
        <v>30</v>
      </c>
      <c r="G5778" s="123" t="s">
        <v>30</v>
      </c>
      <c r="H5778" s="123" t="s">
        <v>35</v>
      </c>
      <c r="I5778" s="126" t="s">
        <v>1204</v>
      </c>
      <c r="J5778" s="123" t="s">
        <v>6665</v>
      </c>
      <c r="K5778" s="123" t="s">
        <v>20421</v>
      </c>
      <c r="L5778" s="131" t="s">
        <v>100</v>
      </c>
      <c r="M5778" s="135" t="s">
        <v>845</v>
      </c>
      <c r="N5778" s="123" t="s">
        <v>845</v>
      </c>
    </row>
    <row r="5779" spans="2:14" hidden="1" x14ac:dyDescent="0.25">
      <c r="B5779" s="120">
        <v>5776</v>
      </c>
      <c r="C5779" s="123">
        <v>10406622873</v>
      </c>
      <c r="D5779" s="126" t="s">
        <v>20422</v>
      </c>
      <c r="E5779" s="126" t="s">
        <v>20423</v>
      </c>
      <c r="F5779" s="123" t="s">
        <v>30</v>
      </c>
      <c r="G5779" s="123" t="s">
        <v>31</v>
      </c>
      <c r="H5779" s="123" t="s">
        <v>92</v>
      </c>
      <c r="I5779" s="126" t="s">
        <v>1950</v>
      </c>
      <c r="J5779" s="123" t="s">
        <v>20424</v>
      </c>
      <c r="K5779" s="123" t="s">
        <v>20422</v>
      </c>
      <c r="L5779" s="131" t="s">
        <v>100</v>
      </c>
      <c r="M5779" s="135" t="s">
        <v>845</v>
      </c>
      <c r="N5779" s="123" t="s">
        <v>845</v>
      </c>
    </row>
    <row r="5780" spans="2:14" hidden="1" x14ac:dyDescent="0.25">
      <c r="B5780" s="120">
        <v>5777</v>
      </c>
      <c r="C5780" s="123">
        <v>10258079642</v>
      </c>
      <c r="D5780" s="126" t="s">
        <v>20425</v>
      </c>
      <c r="E5780" s="126" t="s">
        <v>20426</v>
      </c>
      <c r="F5780" s="123" t="s">
        <v>67</v>
      </c>
      <c r="G5780" s="123" t="s">
        <v>67</v>
      </c>
      <c r="H5780" s="123" t="s">
        <v>67</v>
      </c>
      <c r="I5780" s="126" t="s">
        <v>1424</v>
      </c>
      <c r="J5780" s="123" t="s">
        <v>20427</v>
      </c>
      <c r="K5780" s="123" t="s">
        <v>20425</v>
      </c>
      <c r="L5780" s="131" t="s">
        <v>100</v>
      </c>
      <c r="M5780" s="135" t="s">
        <v>845</v>
      </c>
      <c r="N5780" s="123" t="s">
        <v>845</v>
      </c>
    </row>
    <row r="5781" spans="2:14" hidden="1" x14ac:dyDescent="0.25">
      <c r="B5781" s="120">
        <v>5778</v>
      </c>
      <c r="C5781" s="123">
        <v>10728762441</v>
      </c>
      <c r="D5781" s="126" t="s">
        <v>20428</v>
      </c>
      <c r="E5781" s="126" t="s">
        <v>20429</v>
      </c>
      <c r="F5781" s="123" t="s">
        <v>30</v>
      </c>
      <c r="G5781" s="123" t="s">
        <v>30</v>
      </c>
      <c r="H5781" s="123" t="s">
        <v>30</v>
      </c>
      <c r="I5781" s="126" t="s">
        <v>1930</v>
      </c>
      <c r="J5781" s="123" t="s">
        <v>20430</v>
      </c>
      <c r="K5781" s="123" t="s">
        <v>20428</v>
      </c>
      <c r="L5781" s="131" t="s">
        <v>100</v>
      </c>
      <c r="M5781" s="135" t="s">
        <v>845</v>
      </c>
      <c r="N5781" s="123" t="s">
        <v>845</v>
      </c>
    </row>
    <row r="5782" spans="2:14" hidden="1" x14ac:dyDescent="0.25">
      <c r="B5782" s="120">
        <v>5779</v>
      </c>
      <c r="C5782" s="123">
        <v>10701135984</v>
      </c>
      <c r="D5782" s="126" t="s">
        <v>20431</v>
      </c>
      <c r="E5782" s="126" t="s">
        <v>20432</v>
      </c>
      <c r="F5782" s="123" t="s">
        <v>30</v>
      </c>
      <c r="G5782" s="123" t="s">
        <v>30</v>
      </c>
      <c r="H5782" s="123" t="s">
        <v>110</v>
      </c>
      <c r="I5782" s="126" t="s">
        <v>1930</v>
      </c>
      <c r="J5782" s="123" t="s">
        <v>20433</v>
      </c>
      <c r="K5782" s="123" t="s">
        <v>20431</v>
      </c>
      <c r="L5782" s="131" t="s">
        <v>100</v>
      </c>
      <c r="M5782" s="135" t="s">
        <v>845</v>
      </c>
      <c r="N5782" s="123" t="s">
        <v>845</v>
      </c>
    </row>
    <row r="5783" spans="2:14" hidden="1" x14ac:dyDescent="0.25">
      <c r="B5783" s="120">
        <v>5780</v>
      </c>
      <c r="C5783" s="123">
        <v>10095913216</v>
      </c>
      <c r="D5783" s="126" t="s">
        <v>20434</v>
      </c>
      <c r="E5783" s="126" t="s">
        <v>20435</v>
      </c>
      <c r="F5783" s="123" t="s">
        <v>30</v>
      </c>
      <c r="G5783" s="123" t="s">
        <v>30</v>
      </c>
      <c r="H5783" s="123" t="s">
        <v>38</v>
      </c>
      <c r="I5783" s="126" t="s">
        <v>1412</v>
      </c>
      <c r="J5783" s="123" t="s">
        <v>20436</v>
      </c>
      <c r="K5783" s="123" t="s">
        <v>20434</v>
      </c>
      <c r="L5783" s="131" t="s">
        <v>100</v>
      </c>
      <c r="M5783" s="135" t="s">
        <v>845</v>
      </c>
      <c r="N5783" s="123" t="s">
        <v>845</v>
      </c>
    </row>
    <row r="5784" spans="2:14" hidden="1" x14ac:dyDescent="0.25">
      <c r="B5784" s="120">
        <v>5781</v>
      </c>
      <c r="C5784" s="123">
        <v>10703841371</v>
      </c>
      <c r="D5784" s="126" t="s">
        <v>20437</v>
      </c>
      <c r="E5784" s="126" t="s">
        <v>20438</v>
      </c>
      <c r="F5784" s="123" t="s">
        <v>30</v>
      </c>
      <c r="G5784" s="123" t="s">
        <v>30</v>
      </c>
      <c r="H5784" s="123" t="s">
        <v>88</v>
      </c>
      <c r="I5784" s="126" t="s">
        <v>1424</v>
      </c>
      <c r="J5784" s="123" t="s">
        <v>20439</v>
      </c>
      <c r="K5784" s="123" t="s">
        <v>20440</v>
      </c>
      <c r="L5784" s="131" t="s">
        <v>100</v>
      </c>
      <c r="M5784" s="135" t="s">
        <v>845</v>
      </c>
      <c r="N5784" s="123" t="s">
        <v>845</v>
      </c>
    </row>
    <row r="5785" spans="2:14" hidden="1" x14ac:dyDescent="0.25">
      <c r="B5785" s="120">
        <v>5782</v>
      </c>
      <c r="C5785" s="123">
        <v>10158550003</v>
      </c>
      <c r="D5785" s="126" t="s">
        <v>20441</v>
      </c>
      <c r="E5785" s="126" t="s">
        <v>20442</v>
      </c>
      <c r="F5785" s="123" t="s">
        <v>30</v>
      </c>
      <c r="G5785" s="123" t="s">
        <v>168</v>
      </c>
      <c r="H5785" s="123" t="s">
        <v>168</v>
      </c>
      <c r="I5785" s="126" t="s">
        <v>3919</v>
      </c>
      <c r="J5785" s="123" t="s">
        <v>20443</v>
      </c>
      <c r="K5785" s="123" t="s">
        <v>20441</v>
      </c>
      <c r="L5785" s="131" t="s">
        <v>100</v>
      </c>
      <c r="M5785" s="135" t="s">
        <v>845</v>
      </c>
      <c r="N5785" s="123" t="s">
        <v>845</v>
      </c>
    </row>
    <row r="5786" spans="2:14" hidden="1" x14ac:dyDescent="0.25">
      <c r="B5786" s="120">
        <v>5783</v>
      </c>
      <c r="C5786" s="123">
        <v>10404893390</v>
      </c>
      <c r="D5786" s="126" t="s">
        <v>20444</v>
      </c>
      <c r="E5786" s="126" t="s">
        <v>20445</v>
      </c>
      <c r="F5786" s="123" t="s">
        <v>30</v>
      </c>
      <c r="G5786" s="123" t="s">
        <v>30</v>
      </c>
      <c r="H5786" s="123" t="s">
        <v>37</v>
      </c>
      <c r="I5786" s="126" t="s">
        <v>20446</v>
      </c>
      <c r="J5786" s="123" t="s">
        <v>20447</v>
      </c>
      <c r="K5786" s="123" t="s">
        <v>20444</v>
      </c>
      <c r="L5786" s="131" t="s">
        <v>100</v>
      </c>
      <c r="M5786" s="135" t="s">
        <v>845</v>
      </c>
      <c r="N5786" s="123" t="s">
        <v>845</v>
      </c>
    </row>
    <row r="5787" spans="2:14" hidden="1" x14ac:dyDescent="0.25">
      <c r="B5787" s="120">
        <v>5784</v>
      </c>
      <c r="C5787" s="123">
        <v>10156871261</v>
      </c>
      <c r="D5787" s="126" t="s">
        <v>20448</v>
      </c>
      <c r="E5787" s="126" t="s">
        <v>20449</v>
      </c>
      <c r="F5787" s="123" t="s">
        <v>30</v>
      </c>
      <c r="G5787" s="123" t="s">
        <v>170</v>
      </c>
      <c r="H5787" s="123" t="s">
        <v>171</v>
      </c>
      <c r="I5787" s="126" t="s">
        <v>1930</v>
      </c>
      <c r="J5787" s="123" t="s">
        <v>20450</v>
      </c>
      <c r="K5787" s="123" t="s">
        <v>20448</v>
      </c>
      <c r="L5787" s="131" t="s">
        <v>100</v>
      </c>
      <c r="M5787" s="135" t="s">
        <v>845</v>
      </c>
      <c r="N5787" s="123" t="s">
        <v>845</v>
      </c>
    </row>
    <row r="5788" spans="2:14" hidden="1" x14ac:dyDescent="0.25">
      <c r="B5788" s="120">
        <v>5785</v>
      </c>
      <c r="C5788" s="123">
        <v>10053417472</v>
      </c>
      <c r="D5788" s="126" t="s">
        <v>20451</v>
      </c>
      <c r="E5788" s="126" t="s">
        <v>20452</v>
      </c>
      <c r="F5788" s="123" t="s">
        <v>30</v>
      </c>
      <c r="G5788" s="123" t="s">
        <v>30</v>
      </c>
      <c r="H5788" s="123" t="s">
        <v>72</v>
      </c>
      <c r="I5788" s="126" t="s">
        <v>1957</v>
      </c>
      <c r="J5788" s="123" t="s">
        <v>20453</v>
      </c>
      <c r="K5788" s="123" t="s">
        <v>20451</v>
      </c>
      <c r="L5788" s="131" t="s">
        <v>100</v>
      </c>
      <c r="M5788" s="135" t="s">
        <v>845</v>
      </c>
      <c r="N5788" s="123" t="s">
        <v>845</v>
      </c>
    </row>
    <row r="5789" spans="2:14" hidden="1" x14ac:dyDescent="0.25">
      <c r="B5789" s="120">
        <v>5786</v>
      </c>
      <c r="C5789" s="123">
        <v>10749835651</v>
      </c>
      <c r="D5789" s="126" t="s">
        <v>20454</v>
      </c>
      <c r="E5789" s="126" t="s">
        <v>20455</v>
      </c>
      <c r="F5789" s="123" t="s">
        <v>30</v>
      </c>
      <c r="G5789" s="123" t="s">
        <v>30</v>
      </c>
      <c r="H5789" s="123" t="s">
        <v>50</v>
      </c>
      <c r="I5789" s="126" t="s">
        <v>1950</v>
      </c>
      <c r="J5789" s="123" t="s">
        <v>20456</v>
      </c>
      <c r="K5789" s="123" t="s">
        <v>20454</v>
      </c>
      <c r="L5789" s="131" t="s">
        <v>100</v>
      </c>
      <c r="M5789" s="135" t="s">
        <v>845</v>
      </c>
      <c r="N5789" s="123" t="s">
        <v>845</v>
      </c>
    </row>
    <row r="5790" spans="2:14" hidden="1" x14ac:dyDescent="0.25">
      <c r="B5790" s="120">
        <v>5787</v>
      </c>
      <c r="C5790" s="123">
        <v>10107089654</v>
      </c>
      <c r="D5790" s="126" t="s">
        <v>20457</v>
      </c>
      <c r="E5790" s="126" t="s">
        <v>20458</v>
      </c>
      <c r="F5790" s="123" t="s">
        <v>30</v>
      </c>
      <c r="G5790" s="123" t="s">
        <v>30</v>
      </c>
      <c r="H5790" s="123" t="s">
        <v>68</v>
      </c>
      <c r="I5790" s="126" t="s">
        <v>1931</v>
      </c>
      <c r="J5790" s="123" t="s">
        <v>20459</v>
      </c>
      <c r="K5790" s="123" t="s">
        <v>20457</v>
      </c>
      <c r="L5790" s="131" t="s">
        <v>100</v>
      </c>
      <c r="M5790" s="135" t="s">
        <v>845</v>
      </c>
      <c r="N5790" s="123" t="s">
        <v>845</v>
      </c>
    </row>
    <row r="5791" spans="2:14" hidden="1" x14ac:dyDescent="0.25">
      <c r="B5791" s="120">
        <v>5788</v>
      </c>
      <c r="C5791" s="123">
        <v>10447678620</v>
      </c>
      <c r="D5791" s="126" t="s">
        <v>20460</v>
      </c>
      <c r="E5791" s="126" t="s">
        <v>20461</v>
      </c>
      <c r="F5791" s="123" t="s">
        <v>67</v>
      </c>
      <c r="G5791" s="123" t="s">
        <v>67</v>
      </c>
      <c r="H5791" s="123" t="s">
        <v>67</v>
      </c>
      <c r="I5791" s="126" t="s">
        <v>1564</v>
      </c>
      <c r="J5791" s="123" t="s">
        <v>20462</v>
      </c>
      <c r="K5791" s="123" t="s">
        <v>20460</v>
      </c>
      <c r="L5791" s="131" t="s">
        <v>100</v>
      </c>
      <c r="M5791" s="135" t="s">
        <v>845</v>
      </c>
      <c r="N5791" s="123" t="s">
        <v>845</v>
      </c>
    </row>
    <row r="5792" spans="2:14" hidden="1" x14ac:dyDescent="0.25">
      <c r="B5792" s="120">
        <v>5789</v>
      </c>
      <c r="C5792" s="123">
        <v>10095549051</v>
      </c>
      <c r="D5792" s="126" t="s">
        <v>20463</v>
      </c>
      <c r="E5792" s="126" t="s">
        <v>20464</v>
      </c>
      <c r="F5792" s="123" t="s">
        <v>30</v>
      </c>
      <c r="G5792" s="123" t="s">
        <v>30</v>
      </c>
      <c r="H5792" s="123" t="s">
        <v>43</v>
      </c>
      <c r="I5792" s="126" t="s">
        <v>1954</v>
      </c>
      <c r="J5792" s="123" t="s">
        <v>20465</v>
      </c>
      <c r="K5792" s="123" t="s">
        <v>20466</v>
      </c>
      <c r="L5792" s="131" t="s">
        <v>100</v>
      </c>
      <c r="M5792" s="135" t="s">
        <v>845</v>
      </c>
      <c r="N5792" s="123" t="s">
        <v>845</v>
      </c>
    </row>
    <row r="5793" spans="2:14" hidden="1" x14ac:dyDescent="0.25">
      <c r="B5793" s="120">
        <v>5790</v>
      </c>
      <c r="C5793" s="123">
        <v>10739308793</v>
      </c>
      <c r="D5793" s="126" t="s">
        <v>20467</v>
      </c>
      <c r="E5793" s="126" t="s">
        <v>20468</v>
      </c>
      <c r="F5793" s="123" t="s">
        <v>30</v>
      </c>
      <c r="G5793" s="123" t="s">
        <v>30</v>
      </c>
      <c r="H5793" s="123" t="s">
        <v>75</v>
      </c>
      <c r="I5793" s="126" t="s">
        <v>1424</v>
      </c>
      <c r="J5793" s="123" t="s">
        <v>20469</v>
      </c>
      <c r="K5793" s="123" t="s">
        <v>20470</v>
      </c>
      <c r="L5793" s="131" t="s">
        <v>100</v>
      </c>
      <c r="M5793" s="135" t="s">
        <v>845</v>
      </c>
      <c r="N5793" s="123" t="s">
        <v>845</v>
      </c>
    </row>
    <row r="5794" spans="2:14" hidden="1" x14ac:dyDescent="0.25">
      <c r="B5794" s="120">
        <v>5791</v>
      </c>
      <c r="C5794" s="123">
        <v>15609432834</v>
      </c>
      <c r="D5794" s="126" t="s">
        <v>20471</v>
      </c>
      <c r="E5794" s="126" t="s">
        <v>20472</v>
      </c>
      <c r="F5794" s="123" t="s">
        <v>30</v>
      </c>
      <c r="G5794" s="123" t="s">
        <v>30</v>
      </c>
      <c r="H5794" s="123" t="s">
        <v>60</v>
      </c>
      <c r="I5794" s="126" t="s">
        <v>9960</v>
      </c>
      <c r="J5794" s="123" t="s">
        <v>20473</v>
      </c>
      <c r="K5794" s="123" t="s">
        <v>20471</v>
      </c>
      <c r="L5794" s="131" t="s">
        <v>100</v>
      </c>
      <c r="M5794" s="135" t="s">
        <v>845</v>
      </c>
      <c r="N5794" s="123" t="s">
        <v>845</v>
      </c>
    </row>
    <row r="5795" spans="2:14" hidden="1" x14ac:dyDescent="0.25">
      <c r="B5795" s="120">
        <v>5792</v>
      </c>
      <c r="C5795" s="123">
        <v>10482719631</v>
      </c>
      <c r="D5795" s="126" t="s">
        <v>20474</v>
      </c>
      <c r="E5795" s="126" t="s">
        <v>20475</v>
      </c>
      <c r="F5795" s="123" t="s">
        <v>30</v>
      </c>
      <c r="G5795" s="123" t="s">
        <v>30</v>
      </c>
      <c r="H5795" s="123" t="s">
        <v>45</v>
      </c>
      <c r="I5795" s="126" t="s">
        <v>1424</v>
      </c>
      <c r="J5795" s="123" t="s">
        <v>20476</v>
      </c>
      <c r="K5795" s="123" t="s">
        <v>20474</v>
      </c>
      <c r="L5795" s="131" t="s">
        <v>100</v>
      </c>
      <c r="M5795" s="135" t="s">
        <v>845</v>
      </c>
      <c r="N5795" s="123" t="s">
        <v>845</v>
      </c>
    </row>
    <row r="5796" spans="2:14" hidden="1" x14ac:dyDescent="0.25">
      <c r="B5796" s="120">
        <v>5793</v>
      </c>
      <c r="C5796" s="123">
        <v>10209058427</v>
      </c>
      <c r="D5796" s="126" t="s">
        <v>20477</v>
      </c>
      <c r="E5796" s="126" t="s">
        <v>20478</v>
      </c>
      <c r="F5796" s="123" t="s">
        <v>30</v>
      </c>
      <c r="G5796" s="123" t="s">
        <v>30</v>
      </c>
      <c r="H5796" s="123" t="s">
        <v>60</v>
      </c>
      <c r="I5796" s="126" t="s">
        <v>1936</v>
      </c>
      <c r="J5796" s="123" t="s">
        <v>20479</v>
      </c>
      <c r="K5796" s="123" t="s">
        <v>20480</v>
      </c>
      <c r="L5796" s="131" t="s">
        <v>100</v>
      </c>
      <c r="M5796" s="135" t="s">
        <v>845</v>
      </c>
      <c r="N5796" s="123" t="s">
        <v>845</v>
      </c>
    </row>
    <row r="5797" spans="2:14" hidden="1" x14ac:dyDescent="0.25">
      <c r="B5797" s="120">
        <v>5794</v>
      </c>
      <c r="C5797" s="123">
        <v>10409088401</v>
      </c>
      <c r="D5797" s="126" t="s">
        <v>20481</v>
      </c>
      <c r="E5797" s="126" t="s">
        <v>20482</v>
      </c>
      <c r="F5797" s="123" t="s">
        <v>30</v>
      </c>
      <c r="G5797" s="123" t="s">
        <v>168</v>
      </c>
      <c r="H5797" s="123" t="s">
        <v>168</v>
      </c>
      <c r="I5797" s="126" t="s">
        <v>1701</v>
      </c>
      <c r="J5797" s="123" t="s">
        <v>20483</v>
      </c>
      <c r="K5797" s="123" t="s">
        <v>20481</v>
      </c>
      <c r="L5797" s="131" t="s">
        <v>100</v>
      </c>
      <c r="M5797" s="135" t="s">
        <v>845</v>
      </c>
      <c r="N5797" s="123" t="s">
        <v>845</v>
      </c>
    </row>
    <row r="5798" spans="2:14" hidden="1" x14ac:dyDescent="0.25">
      <c r="B5798" s="120">
        <v>5795</v>
      </c>
      <c r="C5798" s="123">
        <v>10156213492</v>
      </c>
      <c r="D5798" s="126" t="s">
        <v>20484</v>
      </c>
      <c r="E5798" s="126" t="s">
        <v>20485</v>
      </c>
      <c r="F5798" s="123" t="s">
        <v>30</v>
      </c>
      <c r="G5798" s="123" t="s">
        <v>168</v>
      </c>
      <c r="H5798" s="123" t="s">
        <v>168</v>
      </c>
      <c r="I5798" s="126" t="s">
        <v>1701</v>
      </c>
      <c r="J5798" s="123" t="s">
        <v>20486</v>
      </c>
      <c r="K5798" s="123" t="s">
        <v>20484</v>
      </c>
      <c r="L5798" s="131" t="s">
        <v>100</v>
      </c>
      <c r="M5798" s="135" t="s">
        <v>845</v>
      </c>
      <c r="N5798" s="123" t="s">
        <v>845</v>
      </c>
    </row>
    <row r="5799" spans="2:14" hidden="1" x14ac:dyDescent="0.25">
      <c r="B5799" s="120">
        <v>5796</v>
      </c>
      <c r="C5799" s="123">
        <v>10401684536</v>
      </c>
      <c r="D5799" s="126" t="s">
        <v>20487</v>
      </c>
      <c r="E5799" s="126" t="s">
        <v>20488</v>
      </c>
      <c r="F5799" s="123" t="s">
        <v>30</v>
      </c>
      <c r="G5799" s="123" t="s">
        <v>31</v>
      </c>
      <c r="H5799" s="123" t="s">
        <v>92</v>
      </c>
      <c r="I5799" s="126" t="s">
        <v>9372</v>
      </c>
      <c r="J5799" s="123" t="s">
        <v>20489</v>
      </c>
      <c r="K5799" s="123" t="s">
        <v>20487</v>
      </c>
      <c r="L5799" s="131" t="s">
        <v>100</v>
      </c>
      <c r="M5799" s="135" t="s">
        <v>845</v>
      </c>
      <c r="N5799" s="123" t="s">
        <v>845</v>
      </c>
    </row>
    <row r="5800" spans="2:14" hidden="1" x14ac:dyDescent="0.25">
      <c r="B5800" s="120">
        <v>5797</v>
      </c>
      <c r="C5800" s="123">
        <v>10436855813</v>
      </c>
      <c r="D5800" s="126" t="s">
        <v>20490</v>
      </c>
      <c r="E5800" s="126" t="s">
        <v>20491</v>
      </c>
      <c r="F5800" s="123" t="s">
        <v>30</v>
      </c>
      <c r="G5800" s="123" t="s">
        <v>30</v>
      </c>
      <c r="H5800" s="123" t="s">
        <v>214</v>
      </c>
      <c r="I5800" s="126" t="s">
        <v>1727</v>
      </c>
      <c r="J5800" s="123" t="s">
        <v>20492</v>
      </c>
      <c r="K5800" s="123" t="s">
        <v>20490</v>
      </c>
      <c r="L5800" s="131" t="s">
        <v>100</v>
      </c>
      <c r="M5800" s="135" t="s">
        <v>845</v>
      </c>
      <c r="N5800" s="123" t="s">
        <v>845</v>
      </c>
    </row>
    <row r="5801" spans="2:14" hidden="1" x14ac:dyDescent="0.25">
      <c r="B5801" s="120">
        <v>5798</v>
      </c>
      <c r="C5801" s="123">
        <v>10770973100</v>
      </c>
      <c r="D5801" s="126" t="s">
        <v>20493</v>
      </c>
      <c r="E5801" s="126" t="s">
        <v>20494</v>
      </c>
      <c r="F5801" s="123" t="s">
        <v>30</v>
      </c>
      <c r="G5801" s="123" t="s">
        <v>30</v>
      </c>
      <c r="H5801" s="123" t="s">
        <v>41</v>
      </c>
      <c r="I5801" s="126" t="s">
        <v>1209</v>
      </c>
      <c r="J5801" s="123" t="s">
        <v>20495</v>
      </c>
      <c r="K5801" s="123" t="s">
        <v>20493</v>
      </c>
      <c r="L5801" s="131" t="s">
        <v>100</v>
      </c>
      <c r="M5801" s="135" t="s">
        <v>845</v>
      </c>
      <c r="N5801" s="123" t="s">
        <v>845</v>
      </c>
    </row>
    <row r="5802" spans="2:14" hidden="1" x14ac:dyDescent="0.25">
      <c r="B5802" s="120">
        <v>5799</v>
      </c>
      <c r="C5802" s="123">
        <v>10239518902</v>
      </c>
      <c r="D5802" s="126" t="s">
        <v>20496</v>
      </c>
      <c r="E5802" s="126" t="s">
        <v>20497</v>
      </c>
      <c r="F5802" s="123" t="s">
        <v>30</v>
      </c>
      <c r="G5802" s="123" t="s">
        <v>30</v>
      </c>
      <c r="H5802" s="123" t="s">
        <v>40</v>
      </c>
      <c r="I5802" s="126" t="s">
        <v>1564</v>
      </c>
      <c r="J5802" s="123" t="s">
        <v>20498</v>
      </c>
      <c r="K5802" s="123" t="s">
        <v>20496</v>
      </c>
      <c r="L5802" s="131" t="s">
        <v>100</v>
      </c>
      <c r="M5802" s="135" t="s">
        <v>845</v>
      </c>
      <c r="N5802" s="123" t="s">
        <v>845</v>
      </c>
    </row>
    <row r="5803" spans="2:14" hidden="1" x14ac:dyDescent="0.25">
      <c r="B5803" s="120">
        <v>5800</v>
      </c>
      <c r="C5803" s="123">
        <v>10469917288</v>
      </c>
      <c r="D5803" s="126" t="s">
        <v>20499</v>
      </c>
      <c r="E5803" s="126" t="s">
        <v>20500</v>
      </c>
      <c r="F5803" s="123" t="s">
        <v>30</v>
      </c>
      <c r="G5803" s="123" t="s">
        <v>30</v>
      </c>
      <c r="H5803" s="123" t="s">
        <v>72</v>
      </c>
      <c r="I5803" s="126" t="s">
        <v>1805</v>
      </c>
      <c r="J5803" s="123" t="s">
        <v>20501</v>
      </c>
      <c r="K5803" s="123" t="s">
        <v>20499</v>
      </c>
      <c r="L5803" s="131" t="s">
        <v>100</v>
      </c>
      <c r="M5803" s="135" t="s">
        <v>845</v>
      </c>
      <c r="N5803" s="123" t="s">
        <v>845</v>
      </c>
    </row>
    <row r="5804" spans="2:14" hidden="1" x14ac:dyDescent="0.25">
      <c r="B5804" s="120">
        <v>5801</v>
      </c>
      <c r="C5804" s="123">
        <v>10069401134</v>
      </c>
      <c r="D5804" s="126" t="s">
        <v>20502</v>
      </c>
      <c r="E5804" s="126" t="s">
        <v>20503</v>
      </c>
      <c r="F5804" s="123" t="s">
        <v>30</v>
      </c>
      <c r="G5804" s="123" t="s">
        <v>30</v>
      </c>
      <c r="H5804" s="123" t="s">
        <v>72</v>
      </c>
      <c r="I5804" s="126" t="s">
        <v>1942</v>
      </c>
      <c r="J5804" s="123" t="s">
        <v>20504</v>
      </c>
      <c r="K5804" s="123" t="s">
        <v>20502</v>
      </c>
      <c r="L5804" s="131" t="s">
        <v>100</v>
      </c>
      <c r="M5804" s="135" t="s">
        <v>845</v>
      </c>
      <c r="N5804" s="123" t="s">
        <v>845</v>
      </c>
    </row>
    <row r="5805" spans="2:14" hidden="1" x14ac:dyDescent="0.25">
      <c r="B5805" s="120">
        <v>5802</v>
      </c>
      <c r="C5805" s="123">
        <v>10709725284</v>
      </c>
      <c r="D5805" s="126" t="s">
        <v>20505</v>
      </c>
      <c r="E5805" s="126" t="s">
        <v>20506</v>
      </c>
      <c r="F5805" s="123" t="s">
        <v>30</v>
      </c>
      <c r="G5805" s="123" t="s">
        <v>30</v>
      </c>
      <c r="H5805" s="123" t="s">
        <v>41</v>
      </c>
      <c r="I5805" s="126" t="s">
        <v>1424</v>
      </c>
      <c r="J5805" s="123" t="s">
        <v>20507</v>
      </c>
      <c r="K5805" s="123" t="s">
        <v>20505</v>
      </c>
      <c r="L5805" s="131" t="s">
        <v>100</v>
      </c>
      <c r="M5805" s="135" t="s">
        <v>845</v>
      </c>
      <c r="N5805" s="123" t="s">
        <v>845</v>
      </c>
    </row>
    <row r="5806" spans="2:14" hidden="1" x14ac:dyDescent="0.25">
      <c r="B5806" s="120">
        <v>5803</v>
      </c>
      <c r="C5806" s="123">
        <v>10468852085</v>
      </c>
      <c r="D5806" s="126" t="s">
        <v>20508</v>
      </c>
      <c r="E5806" s="126" t="s">
        <v>20509</v>
      </c>
      <c r="F5806" s="123" t="s">
        <v>67</v>
      </c>
      <c r="G5806" s="123" t="s">
        <v>67</v>
      </c>
      <c r="H5806" s="123" t="s">
        <v>67</v>
      </c>
      <c r="I5806" s="126" t="s">
        <v>1931</v>
      </c>
      <c r="J5806" s="123" t="s">
        <v>20510</v>
      </c>
      <c r="K5806" s="123" t="s">
        <v>20508</v>
      </c>
      <c r="L5806" s="131" t="s">
        <v>100</v>
      </c>
      <c r="M5806" s="135" t="s">
        <v>845</v>
      </c>
      <c r="N5806" s="123" t="s">
        <v>845</v>
      </c>
    </row>
    <row r="5807" spans="2:14" hidden="1" x14ac:dyDescent="0.25">
      <c r="B5807"/>
      <c r="C5807"/>
      <c r="D5807" s="112"/>
      <c r="E5807" s="112"/>
      <c r="F5807"/>
      <c r="G5807"/>
      <c r="H5807"/>
      <c r="I5807"/>
      <c r="J5807"/>
      <c r="K5807"/>
      <c r="L5807"/>
      <c r="M5807"/>
      <c r="N5807"/>
    </row>
    <row r="5808" spans="2:14" hidden="1" x14ac:dyDescent="0.25">
      <c r="B5808"/>
      <c r="C5808"/>
      <c r="D5808" s="112"/>
      <c r="E5808" s="112"/>
      <c r="F5808"/>
      <c r="G5808"/>
      <c r="H5808"/>
      <c r="I5808"/>
      <c r="J5808"/>
      <c r="K5808"/>
      <c r="L5808"/>
      <c r="M5808"/>
      <c r="N5808"/>
    </row>
    <row r="5809" spans="2:14" hidden="1" x14ac:dyDescent="0.25">
      <c r="B5809"/>
      <c r="C5809"/>
      <c r="D5809" s="112"/>
      <c r="E5809" s="112"/>
      <c r="F5809"/>
      <c r="G5809"/>
      <c r="H5809"/>
      <c r="I5809"/>
      <c r="J5809"/>
      <c r="K5809"/>
      <c r="L5809"/>
      <c r="M5809"/>
      <c r="N5809"/>
    </row>
    <row r="5810" spans="2:14" hidden="1" x14ac:dyDescent="0.25">
      <c r="B5810"/>
      <c r="C5810"/>
      <c r="D5810" s="112"/>
      <c r="E5810" s="112"/>
      <c r="F5810"/>
      <c r="G5810"/>
      <c r="H5810"/>
      <c r="I5810"/>
      <c r="J5810"/>
      <c r="K5810"/>
      <c r="L5810"/>
      <c r="M5810"/>
      <c r="N5810"/>
    </row>
    <row r="5811" spans="2:14" hidden="1" x14ac:dyDescent="0.25">
      <c r="B5811"/>
      <c r="C5811"/>
      <c r="D5811" s="112"/>
      <c r="E5811" s="112"/>
      <c r="F5811"/>
      <c r="G5811"/>
      <c r="H5811"/>
      <c r="I5811"/>
      <c r="J5811"/>
      <c r="K5811"/>
      <c r="L5811"/>
      <c r="M5811"/>
      <c r="N5811"/>
    </row>
    <row r="5812" spans="2:14" hidden="1" x14ac:dyDescent="0.25">
      <c r="B5812"/>
      <c r="C5812"/>
      <c r="D5812" s="112"/>
      <c r="E5812" s="112"/>
      <c r="F5812"/>
      <c r="G5812"/>
      <c r="H5812"/>
      <c r="I5812"/>
      <c r="J5812"/>
      <c r="K5812"/>
      <c r="L5812"/>
      <c r="M5812"/>
      <c r="N5812"/>
    </row>
    <row r="5813" spans="2:14" hidden="1" x14ac:dyDescent="0.25">
      <c r="B5813"/>
      <c r="C5813"/>
      <c r="D5813" s="112"/>
      <c r="E5813" s="112"/>
      <c r="F5813"/>
      <c r="G5813"/>
      <c r="H5813"/>
      <c r="I5813"/>
      <c r="J5813"/>
      <c r="K5813"/>
      <c r="L5813"/>
      <c r="M5813"/>
      <c r="N5813"/>
    </row>
    <row r="5814" spans="2:14" hidden="1" x14ac:dyDescent="0.25"/>
    <row r="5815" spans="2:14" hidden="1" x14ac:dyDescent="0.25"/>
    <row r="5816" spans="2:14" hidden="1" x14ac:dyDescent="0.25"/>
    <row r="5817" spans="2:14" hidden="1" x14ac:dyDescent="0.25"/>
    <row r="5818" spans="2:14" hidden="1" x14ac:dyDescent="0.25"/>
    <row r="5819" spans="2:14" hidden="1" x14ac:dyDescent="0.25"/>
    <row r="5820" spans="2:14" hidden="1" x14ac:dyDescent="0.25"/>
    <row r="5821" spans="2:14" hidden="1" x14ac:dyDescent="0.25"/>
    <row r="5822" spans="2:14" hidden="1" x14ac:dyDescent="0.25">
      <c r="L5822" s="1" t="s">
        <v>8017</v>
      </c>
    </row>
    <row r="5823" spans="2:14" hidden="1" x14ac:dyDescent="0.25"/>
  </sheetData>
  <mergeCells count="1">
    <mergeCell ref="D1:I3"/>
  </mergeCell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0D76-6595-4792-95FE-84317A025060}">
  <sheetPr codeName="Hoja7">
    <tabColor theme="7" tint="0.39997558519241921"/>
  </sheetPr>
  <dimension ref="A1:U1615"/>
  <sheetViews>
    <sheetView tabSelected="1" topLeftCell="A97" workbookViewId="0">
      <selection activeCell="H126" sqref="H126"/>
    </sheetView>
  </sheetViews>
  <sheetFormatPr baseColWidth="10" defaultRowHeight="15" x14ac:dyDescent="0.25"/>
  <cols>
    <col min="2" max="2" width="18.28515625" style="68" customWidth="1"/>
    <col min="3" max="3" width="20.140625" style="68" customWidth="1"/>
    <col min="4" max="4" width="23" customWidth="1"/>
    <col min="5" max="5" width="45" customWidth="1"/>
    <col min="6" max="6" width="20.42578125" customWidth="1"/>
    <col min="7" max="7" width="63.5703125" bestFit="1" customWidth="1"/>
    <col min="8" max="8" width="24" customWidth="1"/>
    <col min="9" max="9" width="17.140625" customWidth="1"/>
    <col min="10" max="10" width="80.5703125" customWidth="1"/>
    <col min="11" max="11" width="18.28515625" customWidth="1"/>
    <col min="12" max="12" width="18.5703125" customWidth="1"/>
    <col min="13" max="13" width="27.140625" customWidth="1"/>
    <col min="14" max="14" width="11" customWidth="1"/>
    <col min="15" max="15" width="17.140625" customWidth="1"/>
    <col min="16" max="16" width="21.140625" customWidth="1"/>
    <col min="17" max="17" width="28.42578125" customWidth="1"/>
    <col min="18" max="18" width="20.85546875" customWidth="1"/>
    <col min="19" max="19" width="21.5703125" customWidth="1"/>
    <col min="20" max="20" width="20.28515625" customWidth="1"/>
  </cols>
  <sheetData>
    <row r="1" spans="1:21" s="1" customFormat="1" x14ac:dyDescent="0.25">
      <c r="A1" s="1" t="s">
        <v>857</v>
      </c>
      <c r="B1" s="2" t="s">
        <v>970</v>
      </c>
      <c r="C1" s="2" t="s">
        <v>971</v>
      </c>
      <c r="D1" s="1" t="s">
        <v>972</v>
      </c>
      <c r="E1" s="1" t="s">
        <v>973</v>
      </c>
      <c r="F1" s="1" t="s">
        <v>18</v>
      </c>
      <c r="G1" s="1" t="s">
        <v>0</v>
      </c>
      <c r="H1" s="1" t="s">
        <v>20</v>
      </c>
      <c r="I1" s="1" t="s">
        <v>1</v>
      </c>
      <c r="J1" s="1" t="s">
        <v>825</v>
      </c>
      <c r="K1" s="1" t="s">
        <v>855</v>
      </c>
      <c r="L1" s="1" t="s">
        <v>28</v>
      </c>
      <c r="M1" s="1" t="s">
        <v>27</v>
      </c>
      <c r="N1" s="1" t="s">
        <v>853</v>
      </c>
      <c r="O1" s="1" t="s">
        <v>826</v>
      </c>
      <c r="P1" s="1" t="s">
        <v>1172</v>
      </c>
      <c r="Q1" s="1" t="s">
        <v>2219</v>
      </c>
      <c r="R1" s="1" t="s">
        <v>20543</v>
      </c>
      <c r="S1" s="1" t="s">
        <v>20544</v>
      </c>
      <c r="T1" s="1" t="s">
        <v>20545</v>
      </c>
    </row>
    <row r="2" spans="1:21" s="1" customFormat="1" x14ac:dyDescent="0.25">
      <c r="A2">
        <v>1</v>
      </c>
      <c r="B2" s="139">
        <v>45470.6577777778</v>
      </c>
      <c r="C2" s="139">
        <v>45470.658981481502</v>
      </c>
      <c r="D2" t="s">
        <v>20803</v>
      </c>
      <c r="E2" t="s">
        <v>20963</v>
      </c>
      <c r="F2" s="141">
        <v>1392353</v>
      </c>
      <c r="G2" t="s">
        <v>8528</v>
      </c>
      <c r="H2" t="s">
        <v>836</v>
      </c>
      <c r="I2" s="141">
        <v>72491017</v>
      </c>
      <c r="J2" t="s">
        <v>20804</v>
      </c>
      <c r="K2" t="s">
        <v>30</v>
      </c>
      <c r="L2" t="s">
        <v>30</v>
      </c>
      <c r="M2" t="s">
        <v>397</v>
      </c>
      <c r="N2" s="141">
        <v>20</v>
      </c>
      <c r="O2" s="141">
        <v>904251534</v>
      </c>
      <c r="P2" t="s">
        <v>1172</v>
      </c>
      <c r="Q2" t="s">
        <v>4166</v>
      </c>
      <c r="R2" s="140">
        <v>37836</v>
      </c>
      <c r="S2" t="s">
        <v>20546</v>
      </c>
      <c r="T2" t="s">
        <v>20547</v>
      </c>
      <c r="U2"/>
    </row>
    <row r="3" spans="1:21" s="1" customFormat="1" x14ac:dyDescent="0.25">
      <c r="A3">
        <v>2</v>
      </c>
      <c r="B3" s="139">
        <v>45470.666261574101</v>
      </c>
      <c r="C3" s="139">
        <v>45470.667708333298</v>
      </c>
      <c r="D3" t="s">
        <v>20805</v>
      </c>
      <c r="E3" t="s">
        <v>20806</v>
      </c>
      <c r="F3" s="141">
        <v>1325301</v>
      </c>
      <c r="G3" t="s">
        <v>8522</v>
      </c>
      <c r="H3" t="s">
        <v>835</v>
      </c>
      <c r="I3" s="141">
        <v>75322578</v>
      </c>
      <c r="J3" t="s">
        <v>20964</v>
      </c>
      <c r="K3" t="s">
        <v>30</v>
      </c>
      <c r="L3" t="s">
        <v>30</v>
      </c>
      <c r="M3" t="s">
        <v>918</v>
      </c>
      <c r="N3" s="141">
        <v>23</v>
      </c>
      <c r="O3" s="141">
        <v>913700222</v>
      </c>
      <c r="P3" t="s">
        <v>1172</v>
      </c>
      <c r="Q3" t="s">
        <v>4166</v>
      </c>
      <c r="R3" s="140">
        <v>36872</v>
      </c>
      <c r="S3" t="s">
        <v>20546</v>
      </c>
      <c r="T3" t="s">
        <v>20547</v>
      </c>
      <c r="U3"/>
    </row>
    <row r="4" spans="1:21" s="1" customFormat="1" x14ac:dyDescent="0.25">
      <c r="A4">
        <v>3</v>
      </c>
      <c r="B4" s="139">
        <v>45470.704675925903</v>
      </c>
      <c r="C4" s="139">
        <v>45470.705208333296</v>
      </c>
      <c r="D4" t="s">
        <v>20807</v>
      </c>
      <c r="E4" t="s">
        <v>20808</v>
      </c>
      <c r="F4" s="141">
        <v>1376898</v>
      </c>
      <c r="G4" t="s">
        <v>8526</v>
      </c>
      <c r="H4" t="s">
        <v>837</v>
      </c>
      <c r="I4" s="141">
        <v>72907861</v>
      </c>
      <c r="J4" t="s">
        <v>20809</v>
      </c>
      <c r="K4" t="s">
        <v>30</v>
      </c>
      <c r="L4" t="s">
        <v>30</v>
      </c>
      <c r="M4" t="s">
        <v>75</v>
      </c>
      <c r="N4" s="141">
        <v>20</v>
      </c>
      <c r="O4" s="141">
        <v>935112370</v>
      </c>
      <c r="P4" t="s">
        <v>1172</v>
      </c>
      <c r="Q4" t="s">
        <v>4166</v>
      </c>
      <c r="R4" s="140">
        <v>37961</v>
      </c>
      <c r="S4" t="s">
        <v>20546</v>
      </c>
      <c r="T4" t="s">
        <v>20548</v>
      </c>
      <c r="U4"/>
    </row>
    <row r="5" spans="1:21" s="1" customFormat="1" x14ac:dyDescent="0.25">
      <c r="A5">
        <v>4</v>
      </c>
      <c r="B5" s="139">
        <v>45470.708020833299</v>
      </c>
      <c r="C5" s="139">
        <v>45470.7098148148</v>
      </c>
      <c r="D5" t="s">
        <v>20810</v>
      </c>
      <c r="E5" t="s">
        <v>20811</v>
      </c>
      <c r="F5" s="141">
        <v>1360330</v>
      </c>
      <c r="G5" t="s">
        <v>8525</v>
      </c>
      <c r="H5" t="s">
        <v>837</v>
      </c>
      <c r="I5" s="141">
        <v>74030177</v>
      </c>
      <c r="J5" t="s">
        <v>20812</v>
      </c>
      <c r="K5" t="s">
        <v>30</v>
      </c>
      <c r="L5" t="s">
        <v>30</v>
      </c>
      <c r="M5" t="s">
        <v>75</v>
      </c>
      <c r="N5" s="141">
        <v>20</v>
      </c>
      <c r="O5" s="141">
        <v>945632726</v>
      </c>
      <c r="P5" t="s">
        <v>1172</v>
      </c>
      <c r="Q5" t="s">
        <v>4166</v>
      </c>
      <c r="R5" s="140">
        <v>38001</v>
      </c>
      <c r="S5" t="s">
        <v>20546</v>
      </c>
      <c r="T5" t="s">
        <v>20547</v>
      </c>
      <c r="U5"/>
    </row>
    <row r="6" spans="1:21" s="1" customFormat="1" x14ac:dyDescent="0.25">
      <c r="A6">
        <v>5</v>
      </c>
      <c r="B6" s="139">
        <v>45470.8335532407</v>
      </c>
      <c r="C6" s="139">
        <v>45470.835810185199</v>
      </c>
      <c r="D6" t="s">
        <v>20813</v>
      </c>
      <c r="E6" t="s">
        <v>20814</v>
      </c>
      <c r="F6" s="141">
        <v>1432500</v>
      </c>
      <c r="G6" t="s">
        <v>8522</v>
      </c>
      <c r="H6" t="s">
        <v>835</v>
      </c>
      <c r="I6" s="141">
        <v>76765324</v>
      </c>
      <c r="J6" t="s">
        <v>20965</v>
      </c>
      <c r="K6" t="s">
        <v>30</v>
      </c>
      <c r="L6" t="s">
        <v>30</v>
      </c>
      <c r="M6" t="s">
        <v>918</v>
      </c>
      <c r="N6" s="141">
        <v>20</v>
      </c>
      <c r="O6" s="141">
        <v>963726542</v>
      </c>
      <c r="P6" t="s">
        <v>1172</v>
      </c>
      <c r="Q6" t="s">
        <v>4166</v>
      </c>
      <c r="R6" s="140">
        <v>38150</v>
      </c>
      <c r="S6" t="s">
        <v>20546</v>
      </c>
      <c r="T6" t="s">
        <v>20547</v>
      </c>
      <c r="U6"/>
    </row>
    <row r="7" spans="1:21" s="1" customFormat="1" x14ac:dyDescent="0.25">
      <c r="A7">
        <v>6</v>
      </c>
      <c r="B7" s="139">
        <v>45470.781932870399</v>
      </c>
      <c r="C7" s="139">
        <v>45470.846724536997</v>
      </c>
      <c r="D7" t="s">
        <v>20815</v>
      </c>
      <c r="E7" t="s">
        <v>20816</v>
      </c>
      <c r="F7" s="141">
        <v>1426985</v>
      </c>
      <c r="G7" t="s">
        <v>8524</v>
      </c>
      <c r="H7" t="s">
        <v>835</v>
      </c>
      <c r="I7" s="141">
        <v>61229694</v>
      </c>
      <c r="J7" t="s">
        <v>20966</v>
      </c>
      <c r="K7" t="s">
        <v>30</v>
      </c>
      <c r="L7" t="s">
        <v>30</v>
      </c>
      <c r="M7" t="s">
        <v>58</v>
      </c>
      <c r="N7" s="141">
        <v>20</v>
      </c>
      <c r="O7" s="141">
        <v>951697821</v>
      </c>
      <c r="P7" t="s">
        <v>1172</v>
      </c>
      <c r="Q7" t="s">
        <v>4166</v>
      </c>
      <c r="R7" s="140">
        <v>38019</v>
      </c>
      <c r="S7" t="s">
        <v>20546</v>
      </c>
      <c r="T7" t="s">
        <v>20548</v>
      </c>
      <c r="U7"/>
    </row>
    <row r="8" spans="1:21" s="1" customFormat="1" x14ac:dyDescent="0.25">
      <c r="A8">
        <v>7</v>
      </c>
      <c r="B8" s="139">
        <v>45470.8452777778</v>
      </c>
      <c r="C8" s="139">
        <v>45470.846944444398</v>
      </c>
      <c r="D8" t="s">
        <v>20817</v>
      </c>
      <c r="E8" t="s">
        <v>20818</v>
      </c>
      <c r="F8" s="141">
        <v>1448037</v>
      </c>
      <c r="G8" t="s">
        <v>8524</v>
      </c>
      <c r="H8" t="s">
        <v>834</v>
      </c>
      <c r="I8" s="141">
        <v>76942996</v>
      </c>
      <c r="J8" t="s">
        <v>20819</v>
      </c>
      <c r="K8" t="s">
        <v>30</v>
      </c>
      <c r="L8" t="s">
        <v>30</v>
      </c>
      <c r="M8" t="s">
        <v>58</v>
      </c>
      <c r="N8" s="141">
        <v>19</v>
      </c>
      <c r="O8" s="141">
        <v>960643412</v>
      </c>
      <c r="P8" t="s">
        <v>1172</v>
      </c>
      <c r="Q8" t="s">
        <v>4166</v>
      </c>
      <c r="R8" s="140">
        <v>38370</v>
      </c>
      <c r="S8" t="s">
        <v>20546</v>
      </c>
      <c r="T8" t="s">
        <v>20548</v>
      </c>
      <c r="U8"/>
    </row>
    <row r="9" spans="1:21" s="1" customFormat="1" x14ac:dyDescent="0.25">
      <c r="A9">
        <v>8</v>
      </c>
      <c r="B9" s="139">
        <v>45470.856307870403</v>
      </c>
      <c r="C9" s="139">
        <v>45470.858449074098</v>
      </c>
      <c r="D9" t="s">
        <v>20820</v>
      </c>
      <c r="E9" t="s">
        <v>20821</v>
      </c>
      <c r="F9" s="141">
        <v>1397289</v>
      </c>
      <c r="G9" t="s">
        <v>8524</v>
      </c>
      <c r="H9" t="s">
        <v>835</v>
      </c>
      <c r="I9" s="141">
        <v>73263285</v>
      </c>
      <c r="J9" t="s">
        <v>20822</v>
      </c>
      <c r="K9" t="s">
        <v>30</v>
      </c>
      <c r="L9" t="s">
        <v>30</v>
      </c>
      <c r="M9" t="s">
        <v>58</v>
      </c>
      <c r="N9" s="141">
        <v>20</v>
      </c>
      <c r="O9" s="141">
        <v>926941544</v>
      </c>
      <c r="P9" t="s">
        <v>1172</v>
      </c>
      <c r="Q9" t="s">
        <v>4166</v>
      </c>
      <c r="R9" s="140">
        <v>37866</v>
      </c>
      <c r="S9" t="s">
        <v>20546</v>
      </c>
      <c r="T9" t="s">
        <v>20547</v>
      </c>
      <c r="U9"/>
    </row>
    <row r="10" spans="1:21" x14ac:dyDescent="0.25">
      <c r="A10">
        <v>9</v>
      </c>
      <c r="B10" s="139">
        <v>45470.889699074098</v>
      </c>
      <c r="C10" s="139">
        <v>45470.8926041667</v>
      </c>
      <c r="D10" t="s">
        <v>20823</v>
      </c>
      <c r="E10" t="s">
        <v>20824</v>
      </c>
      <c r="F10" s="141">
        <v>1422755</v>
      </c>
      <c r="G10" t="s">
        <v>8524</v>
      </c>
      <c r="H10" t="s">
        <v>835</v>
      </c>
      <c r="I10" s="141">
        <v>74165700</v>
      </c>
      <c r="J10" t="s">
        <v>20825</v>
      </c>
      <c r="K10" t="s">
        <v>67</v>
      </c>
      <c r="L10" t="s">
        <v>67</v>
      </c>
      <c r="M10" t="s">
        <v>67</v>
      </c>
      <c r="N10" s="141">
        <v>20</v>
      </c>
      <c r="O10" s="141">
        <v>932871104</v>
      </c>
      <c r="P10" t="s">
        <v>1172</v>
      </c>
      <c r="Q10" t="s">
        <v>4166</v>
      </c>
      <c r="R10" s="140">
        <v>37883</v>
      </c>
      <c r="S10" t="s">
        <v>20546</v>
      </c>
      <c r="T10" t="s">
        <v>20547</v>
      </c>
    </row>
    <row r="11" spans="1:21" s="1" customFormat="1" x14ac:dyDescent="0.25">
      <c r="A11">
        <v>10</v>
      </c>
      <c r="B11" s="139">
        <v>45471.418854166703</v>
      </c>
      <c r="C11" s="139">
        <v>45471.419918981497</v>
      </c>
      <c r="D11" t="s">
        <v>20826</v>
      </c>
      <c r="E11" t="s">
        <v>20827</v>
      </c>
      <c r="F11" s="141">
        <v>1440475</v>
      </c>
      <c r="G11" t="s">
        <v>8522</v>
      </c>
      <c r="H11" t="s">
        <v>835</v>
      </c>
      <c r="I11" s="141">
        <v>73746960</v>
      </c>
      <c r="J11" t="s">
        <v>20988</v>
      </c>
      <c r="K11" t="s">
        <v>30</v>
      </c>
      <c r="L11" t="s">
        <v>30</v>
      </c>
      <c r="M11" t="s">
        <v>72</v>
      </c>
      <c r="N11" s="141">
        <v>19</v>
      </c>
      <c r="O11" s="141">
        <v>935788460</v>
      </c>
      <c r="P11" t="s">
        <v>1172</v>
      </c>
      <c r="Q11" t="s">
        <v>4166</v>
      </c>
      <c r="R11" s="140">
        <v>38493</v>
      </c>
      <c r="S11" t="s">
        <v>20546</v>
      </c>
      <c r="T11" t="s">
        <v>20547</v>
      </c>
      <c r="U11"/>
    </row>
    <row r="12" spans="1:21" s="1" customFormat="1" x14ac:dyDescent="0.25">
      <c r="A12">
        <v>11</v>
      </c>
      <c r="B12" s="139">
        <v>45471.421215277798</v>
      </c>
      <c r="C12" s="139">
        <v>45471.423125000001</v>
      </c>
      <c r="D12" t="s">
        <v>20828</v>
      </c>
      <c r="E12" t="s">
        <v>20829</v>
      </c>
      <c r="F12" s="141">
        <v>1394880</v>
      </c>
      <c r="G12" t="s">
        <v>8524</v>
      </c>
      <c r="H12" t="s">
        <v>835</v>
      </c>
      <c r="I12" s="141">
        <v>71342836</v>
      </c>
      <c r="J12" t="s">
        <v>20830</v>
      </c>
      <c r="K12" t="s">
        <v>30</v>
      </c>
      <c r="L12" t="s">
        <v>30</v>
      </c>
      <c r="M12" t="s">
        <v>72</v>
      </c>
      <c r="N12" s="141">
        <v>19</v>
      </c>
      <c r="O12" s="141">
        <v>931604923</v>
      </c>
      <c r="P12" t="s">
        <v>1172</v>
      </c>
      <c r="Q12" t="s">
        <v>4166</v>
      </c>
      <c r="R12" s="140">
        <v>38467</v>
      </c>
      <c r="S12" t="s">
        <v>20546</v>
      </c>
      <c r="T12" t="s">
        <v>20547</v>
      </c>
      <c r="U12"/>
    </row>
    <row r="13" spans="1:21" s="1" customFormat="1" x14ac:dyDescent="0.25">
      <c r="A13">
        <v>12</v>
      </c>
      <c r="B13" s="139">
        <v>45471.431469907402</v>
      </c>
      <c r="C13" s="139">
        <v>45471.431527777801</v>
      </c>
      <c r="D13" t="s">
        <v>20831</v>
      </c>
      <c r="E13" t="s">
        <v>20962</v>
      </c>
      <c r="F13" s="141">
        <v>1410160</v>
      </c>
      <c r="G13" t="s">
        <v>8524</v>
      </c>
      <c r="H13" t="s">
        <v>835</v>
      </c>
      <c r="I13" s="141">
        <v>76541779</v>
      </c>
      <c r="J13" t="s">
        <v>20989</v>
      </c>
      <c r="K13" t="s">
        <v>30</v>
      </c>
      <c r="L13" t="s">
        <v>30</v>
      </c>
      <c r="M13" t="s">
        <v>58</v>
      </c>
      <c r="N13" s="141">
        <v>20</v>
      </c>
      <c r="O13" s="141">
        <v>980800812</v>
      </c>
      <c r="P13" t="s">
        <v>1172</v>
      </c>
      <c r="Q13" t="s">
        <v>4166</v>
      </c>
      <c r="R13" s="140">
        <v>38130</v>
      </c>
      <c r="S13" t="s">
        <v>20546</v>
      </c>
      <c r="T13" t="s">
        <v>20547</v>
      </c>
      <c r="U13"/>
    </row>
    <row r="14" spans="1:21" s="1" customFormat="1" x14ac:dyDescent="0.25">
      <c r="A14">
        <v>13</v>
      </c>
      <c r="B14" s="139">
        <v>45471.431284722203</v>
      </c>
      <c r="C14" s="139">
        <v>45471.4324305556</v>
      </c>
      <c r="D14" t="s">
        <v>20832</v>
      </c>
      <c r="E14" t="s">
        <v>20833</v>
      </c>
      <c r="F14" s="141">
        <v>1418781</v>
      </c>
      <c r="G14" t="s">
        <v>8524</v>
      </c>
      <c r="H14" t="s">
        <v>835</v>
      </c>
      <c r="I14" s="141">
        <v>74731844</v>
      </c>
      <c r="J14" t="s">
        <v>20967</v>
      </c>
      <c r="K14" t="s">
        <v>30</v>
      </c>
      <c r="L14" t="s">
        <v>30</v>
      </c>
      <c r="M14" t="s">
        <v>45</v>
      </c>
      <c r="N14" s="141">
        <v>22</v>
      </c>
      <c r="O14" s="141">
        <v>965178491</v>
      </c>
      <c r="P14" t="s">
        <v>1172</v>
      </c>
      <c r="Q14" t="s">
        <v>4166</v>
      </c>
      <c r="R14" s="140">
        <v>37385</v>
      </c>
      <c r="S14" t="s">
        <v>20546</v>
      </c>
      <c r="T14" t="s">
        <v>20547</v>
      </c>
      <c r="U14"/>
    </row>
    <row r="15" spans="1:21" s="1" customFormat="1" x14ac:dyDescent="0.25">
      <c r="A15">
        <v>14</v>
      </c>
      <c r="B15" s="139">
        <v>45471.416793981502</v>
      </c>
      <c r="C15" s="139">
        <v>45471.432476851798</v>
      </c>
      <c r="D15" t="s">
        <v>20834</v>
      </c>
      <c r="E15" t="s">
        <v>20835</v>
      </c>
      <c r="F15" s="141">
        <v>1397689</v>
      </c>
      <c r="G15" t="s">
        <v>8524</v>
      </c>
      <c r="H15" t="s">
        <v>835</v>
      </c>
      <c r="I15" s="141">
        <v>73048124</v>
      </c>
      <c r="J15" t="s">
        <v>20836</v>
      </c>
      <c r="K15" t="s">
        <v>30</v>
      </c>
      <c r="L15" t="s">
        <v>30</v>
      </c>
      <c r="M15" t="s">
        <v>75</v>
      </c>
      <c r="N15" s="141">
        <v>20</v>
      </c>
      <c r="O15" s="141">
        <v>962729225</v>
      </c>
      <c r="P15" t="s">
        <v>1172</v>
      </c>
      <c r="Q15" t="s">
        <v>4166</v>
      </c>
      <c r="R15" s="140">
        <v>37899</v>
      </c>
      <c r="S15" t="s">
        <v>20546</v>
      </c>
      <c r="T15" t="s">
        <v>20548</v>
      </c>
      <c r="U15"/>
    </row>
    <row r="16" spans="1:21" x14ac:dyDescent="0.25">
      <c r="A16">
        <v>15</v>
      </c>
      <c r="B16" s="139">
        <v>45471.488703703697</v>
      </c>
      <c r="C16" s="139">
        <v>45471.490474537</v>
      </c>
      <c r="D16" t="s">
        <v>20837</v>
      </c>
      <c r="E16" t="s">
        <v>20838</v>
      </c>
      <c r="F16" s="141">
        <v>1477208</v>
      </c>
      <c r="G16" t="s">
        <v>8527</v>
      </c>
      <c r="H16" t="s">
        <v>834</v>
      </c>
      <c r="I16" s="141">
        <v>74886927</v>
      </c>
      <c r="J16" t="s">
        <v>20839</v>
      </c>
      <c r="K16" t="s">
        <v>30</v>
      </c>
      <c r="L16" t="s">
        <v>30</v>
      </c>
      <c r="M16" t="s">
        <v>75</v>
      </c>
      <c r="N16" s="141">
        <v>19</v>
      </c>
      <c r="O16" s="141">
        <v>936597267</v>
      </c>
      <c r="P16" t="s">
        <v>1172</v>
      </c>
      <c r="Q16" t="s">
        <v>4166</v>
      </c>
      <c r="R16" s="140">
        <v>38250</v>
      </c>
      <c r="S16" t="s">
        <v>20546</v>
      </c>
      <c r="T16" t="s">
        <v>20547</v>
      </c>
    </row>
    <row r="17" spans="1:20" x14ac:dyDescent="0.25">
      <c r="A17">
        <v>16</v>
      </c>
      <c r="B17" s="139">
        <v>45471.488634259302</v>
      </c>
      <c r="C17" s="139">
        <v>45471.490844907399</v>
      </c>
      <c r="D17" t="s">
        <v>20840</v>
      </c>
      <c r="E17" t="s">
        <v>20841</v>
      </c>
      <c r="F17" s="141">
        <v>1480942</v>
      </c>
      <c r="G17" t="s">
        <v>8525</v>
      </c>
      <c r="H17" t="s">
        <v>834</v>
      </c>
      <c r="I17" s="141">
        <v>74965234</v>
      </c>
      <c r="J17" t="s">
        <v>20968</v>
      </c>
      <c r="K17" t="s">
        <v>30</v>
      </c>
      <c r="L17" t="s">
        <v>30</v>
      </c>
      <c r="M17" t="s">
        <v>50</v>
      </c>
      <c r="N17" s="141">
        <v>19</v>
      </c>
      <c r="O17" s="141">
        <v>980146361</v>
      </c>
      <c r="P17" t="s">
        <v>1172</v>
      </c>
      <c r="Q17" t="s">
        <v>4166</v>
      </c>
      <c r="R17" s="140">
        <v>38346</v>
      </c>
      <c r="S17" t="s">
        <v>20546</v>
      </c>
      <c r="T17" t="s">
        <v>20548</v>
      </c>
    </row>
    <row r="18" spans="1:20" x14ac:dyDescent="0.25">
      <c r="A18">
        <v>17</v>
      </c>
      <c r="B18" s="139">
        <v>45471.4906597222</v>
      </c>
      <c r="C18" s="139">
        <v>45471.494201388901</v>
      </c>
      <c r="D18" t="s">
        <v>20842</v>
      </c>
      <c r="E18" t="s">
        <v>20843</v>
      </c>
      <c r="F18" s="141">
        <v>775470</v>
      </c>
      <c r="G18" t="s">
        <v>8527</v>
      </c>
      <c r="H18" t="s">
        <v>834</v>
      </c>
      <c r="I18" s="141">
        <v>77478294</v>
      </c>
      <c r="J18" t="s">
        <v>20844</v>
      </c>
      <c r="K18" t="s">
        <v>30</v>
      </c>
      <c r="L18" t="s">
        <v>30</v>
      </c>
      <c r="M18" t="s">
        <v>72</v>
      </c>
      <c r="N18" s="141">
        <v>25</v>
      </c>
      <c r="O18" s="141">
        <v>946192899</v>
      </c>
      <c r="P18" t="s">
        <v>1172</v>
      </c>
      <c r="Q18" t="s">
        <v>4166</v>
      </c>
      <c r="R18" s="140">
        <v>36062</v>
      </c>
      <c r="S18" t="s">
        <v>20546</v>
      </c>
      <c r="T18" t="s">
        <v>20547</v>
      </c>
    </row>
    <row r="19" spans="1:20" x14ac:dyDescent="0.25">
      <c r="A19">
        <v>18</v>
      </c>
      <c r="B19" s="139">
        <v>45471.496504629598</v>
      </c>
      <c r="C19" s="139">
        <v>45471.500659722202</v>
      </c>
      <c r="D19" t="s">
        <v>20845</v>
      </c>
      <c r="E19" t="s">
        <v>20846</v>
      </c>
      <c r="F19" s="141">
        <v>1486886</v>
      </c>
      <c r="G19" t="s">
        <v>8522</v>
      </c>
      <c r="H19" t="s">
        <v>834</v>
      </c>
      <c r="I19" s="141">
        <v>74323763</v>
      </c>
      <c r="J19" t="s">
        <v>20847</v>
      </c>
      <c r="K19" t="s">
        <v>30</v>
      </c>
      <c r="L19" t="s">
        <v>30</v>
      </c>
      <c r="M19" t="s">
        <v>72</v>
      </c>
      <c r="N19" s="141">
        <v>19</v>
      </c>
      <c r="O19" s="141">
        <v>935068151</v>
      </c>
      <c r="P19" t="s">
        <v>1172</v>
      </c>
      <c r="Q19" t="s">
        <v>4166</v>
      </c>
      <c r="R19" s="140">
        <v>38486</v>
      </c>
      <c r="S19" t="s">
        <v>20546</v>
      </c>
      <c r="T19" t="s">
        <v>20547</v>
      </c>
    </row>
    <row r="20" spans="1:20" x14ac:dyDescent="0.25">
      <c r="A20">
        <v>19</v>
      </c>
      <c r="B20" s="139">
        <v>45471.501377314802</v>
      </c>
      <c r="C20" s="139">
        <v>45471.502650463</v>
      </c>
      <c r="D20" t="s">
        <v>20848</v>
      </c>
      <c r="E20" t="s">
        <v>20849</v>
      </c>
      <c r="F20" s="141">
        <v>1476121</v>
      </c>
      <c r="G20" t="s">
        <v>8525</v>
      </c>
      <c r="H20" t="s">
        <v>834</v>
      </c>
      <c r="I20" s="141">
        <v>74492491</v>
      </c>
      <c r="J20" t="s">
        <v>20969</v>
      </c>
      <c r="K20" t="s">
        <v>30</v>
      </c>
      <c r="L20" t="s">
        <v>30</v>
      </c>
      <c r="M20" t="s">
        <v>75</v>
      </c>
      <c r="N20" s="141">
        <v>21</v>
      </c>
      <c r="O20" s="141">
        <v>966790218</v>
      </c>
      <c r="P20" t="s">
        <v>1172</v>
      </c>
      <c r="Q20" t="s">
        <v>4166</v>
      </c>
      <c r="R20" s="140">
        <v>37639</v>
      </c>
      <c r="S20" t="s">
        <v>20546</v>
      </c>
      <c r="T20" t="s">
        <v>20547</v>
      </c>
    </row>
    <row r="21" spans="1:20" x14ac:dyDescent="0.25">
      <c r="A21">
        <v>20</v>
      </c>
      <c r="B21" s="139">
        <v>45471.506157407399</v>
      </c>
      <c r="C21" s="139">
        <v>45471.507222222201</v>
      </c>
      <c r="D21" t="s">
        <v>20850</v>
      </c>
      <c r="E21" t="s">
        <v>20851</v>
      </c>
      <c r="F21" s="141">
        <v>1440458</v>
      </c>
      <c r="G21" t="s">
        <v>8525</v>
      </c>
      <c r="H21" t="s">
        <v>834</v>
      </c>
      <c r="I21" s="141">
        <v>77517648</v>
      </c>
      <c r="J21" t="s">
        <v>20970</v>
      </c>
      <c r="K21" t="s">
        <v>30</v>
      </c>
      <c r="L21" t="s">
        <v>30</v>
      </c>
      <c r="M21" t="s">
        <v>50</v>
      </c>
      <c r="N21" s="141">
        <v>19</v>
      </c>
      <c r="O21" s="141">
        <v>943284925</v>
      </c>
      <c r="P21" t="s">
        <v>1172</v>
      </c>
      <c r="Q21" t="s">
        <v>4166</v>
      </c>
      <c r="R21" s="140">
        <v>38542</v>
      </c>
      <c r="S21" t="s">
        <v>20546</v>
      </c>
      <c r="T21" t="s">
        <v>20547</v>
      </c>
    </row>
    <row r="22" spans="1:20" x14ac:dyDescent="0.25">
      <c r="A22">
        <v>21</v>
      </c>
      <c r="B22" s="139">
        <v>45471.506898148102</v>
      </c>
      <c r="C22" s="139">
        <v>45471.508738425902</v>
      </c>
      <c r="D22" t="s">
        <v>20852</v>
      </c>
      <c r="E22" t="s">
        <v>20853</v>
      </c>
      <c r="F22" s="141">
        <v>1436021</v>
      </c>
      <c r="G22" t="s">
        <v>8522</v>
      </c>
      <c r="H22" t="s">
        <v>834</v>
      </c>
      <c r="I22" s="141">
        <v>76534824</v>
      </c>
      <c r="J22" t="s">
        <v>20854</v>
      </c>
      <c r="K22" t="s">
        <v>30</v>
      </c>
      <c r="L22" t="s">
        <v>30</v>
      </c>
      <c r="M22" t="s">
        <v>45</v>
      </c>
      <c r="N22" s="141">
        <v>21</v>
      </c>
      <c r="O22" s="141">
        <v>991440756</v>
      </c>
      <c r="P22" t="s">
        <v>1172</v>
      </c>
      <c r="Q22" t="s">
        <v>4166</v>
      </c>
      <c r="R22" s="140">
        <v>37635</v>
      </c>
      <c r="S22" t="s">
        <v>20546</v>
      </c>
      <c r="T22" t="s">
        <v>20547</v>
      </c>
    </row>
    <row r="23" spans="1:20" x14ac:dyDescent="0.25">
      <c r="A23">
        <v>22</v>
      </c>
      <c r="B23" s="139">
        <v>45471.513171296298</v>
      </c>
      <c r="C23" s="139">
        <v>45471.5159375</v>
      </c>
      <c r="D23" t="s">
        <v>20855</v>
      </c>
      <c r="E23" t="s">
        <v>20856</v>
      </c>
      <c r="F23" s="141">
        <v>1473331</v>
      </c>
      <c r="G23" t="s">
        <v>8525</v>
      </c>
      <c r="H23" t="s">
        <v>834</v>
      </c>
      <c r="I23" s="141">
        <v>74209218</v>
      </c>
      <c r="J23" t="s">
        <v>20857</v>
      </c>
      <c r="K23" t="s">
        <v>67</v>
      </c>
      <c r="L23" t="s">
        <v>67</v>
      </c>
      <c r="M23" t="s">
        <v>94</v>
      </c>
      <c r="N23" s="141">
        <v>19</v>
      </c>
      <c r="O23" s="141">
        <v>922663073</v>
      </c>
      <c r="P23" t="s">
        <v>1172</v>
      </c>
      <c r="Q23" t="s">
        <v>4166</v>
      </c>
      <c r="R23" s="140">
        <v>38480</v>
      </c>
      <c r="S23" t="s">
        <v>20546</v>
      </c>
      <c r="T23" t="s">
        <v>20547</v>
      </c>
    </row>
    <row r="24" spans="1:20" x14ac:dyDescent="0.25">
      <c r="A24">
        <v>23</v>
      </c>
      <c r="B24" s="139">
        <v>45471.527141203696</v>
      </c>
      <c r="C24" s="139">
        <v>45471.530162037001</v>
      </c>
      <c r="D24" t="s">
        <v>20858</v>
      </c>
      <c r="E24" t="s">
        <v>20859</v>
      </c>
      <c r="F24" s="141">
        <v>1389358</v>
      </c>
      <c r="G24" t="s">
        <v>8524</v>
      </c>
      <c r="H24" t="s">
        <v>834</v>
      </c>
      <c r="I24" s="141">
        <v>73251114</v>
      </c>
      <c r="J24" t="s">
        <v>20860</v>
      </c>
      <c r="K24" t="s">
        <v>30</v>
      </c>
      <c r="L24" t="s">
        <v>30</v>
      </c>
      <c r="M24" t="s">
        <v>52</v>
      </c>
      <c r="N24" s="141">
        <v>19</v>
      </c>
      <c r="O24" s="141">
        <v>912255647</v>
      </c>
      <c r="P24" t="s">
        <v>1172</v>
      </c>
      <c r="Q24" t="s">
        <v>4166</v>
      </c>
      <c r="R24" s="140">
        <v>38225</v>
      </c>
      <c r="S24" t="s">
        <v>20546</v>
      </c>
      <c r="T24" t="s">
        <v>20547</v>
      </c>
    </row>
    <row r="25" spans="1:20" x14ac:dyDescent="0.25">
      <c r="A25">
        <v>24</v>
      </c>
      <c r="B25" s="139">
        <v>45471.546388888899</v>
      </c>
      <c r="C25" s="139">
        <v>45471.553738425901</v>
      </c>
      <c r="D25" t="s">
        <v>20861</v>
      </c>
      <c r="E25" t="s">
        <v>20862</v>
      </c>
      <c r="F25" s="141">
        <v>1480562</v>
      </c>
      <c r="G25" t="s">
        <v>8522</v>
      </c>
      <c r="H25" t="s">
        <v>834</v>
      </c>
      <c r="I25" s="141">
        <v>71732747</v>
      </c>
      <c r="J25" t="s">
        <v>20863</v>
      </c>
      <c r="K25" t="s">
        <v>30</v>
      </c>
      <c r="L25" t="s">
        <v>30</v>
      </c>
      <c r="M25" t="s">
        <v>45</v>
      </c>
      <c r="N25" s="141">
        <v>19</v>
      </c>
      <c r="O25" s="141">
        <v>953463140</v>
      </c>
      <c r="P25" t="s">
        <v>1172</v>
      </c>
      <c r="Q25" t="s">
        <v>4166</v>
      </c>
      <c r="R25" s="140">
        <v>38273</v>
      </c>
      <c r="S25" t="s">
        <v>20546</v>
      </c>
      <c r="T25" t="s">
        <v>20547</v>
      </c>
    </row>
    <row r="26" spans="1:20" x14ac:dyDescent="0.25">
      <c r="A26">
        <v>25</v>
      </c>
      <c r="B26" s="139">
        <v>45471.550312500003</v>
      </c>
      <c r="C26" s="139">
        <v>45471.556111111102</v>
      </c>
      <c r="D26" t="s">
        <v>20864</v>
      </c>
      <c r="E26" t="s">
        <v>20865</v>
      </c>
      <c r="F26" s="141">
        <v>1421599</v>
      </c>
      <c r="G26" t="s">
        <v>8522</v>
      </c>
      <c r="H26" t="s">
        <v>835</v>
      </c>
      <c r="I26" s="141">
        <v>73526065</v>
      </c>
      <c r="J26" t="s">
        <v>20971</v>
      </c>
      <c r="K26" t="s">
        <v>30</v>
      </c>
      <c r="L26" t="s">
        <v>30</v>
      </c>
      <c r="M26" t="s">
        <v>38</v>
      </c>
      <c r="N26" s="141">
        <v>22</v>
      </c>
      <c r="O26" s="141">
        <v>967227210</v>
      </c>
      <c r="P26" t="s">
        <v>1172</v>
      </c>
      <c r="Q26" t="s">
        <v>4166</v>
      </c>
      <c r="R26" s="140">
        <v>37301</v>
      </c>
      <c r="S26" t="s">
        <v>20546</v>
      </c>
      <c r="T26" t="s">
        <v>20548</v>
      </c>
    </row>
    <row r="27" spans="1:20" x14ac:dyDescent="0.25">
      <c r="A27">
        <v>26</v>
      </c>
      <c r="B27" s="139">
        <v>45471.592002314799</v>
      </c>
      <c r="C27" s="139">
        <v>45471.594004629602</v>
      </c>
      <c r="D27" t="s">
        <v>20866</v>
      </c>
      <c r="E27" t="s">
        <v>20867</v>
      </c>
      <c r="F27" s="141">
        <v>1485374</v>
      </c>
      <c r="G27" t="s">
        <v>8522</v>
      </c>
      <c r="H27" t="s">
        <v>834</v>
      </c>
      <c r="I27" s="141">
        <v>72691031</v>
      </c>
      <c r="J27" t="s">
        <v>20972</v>
      </c>
      <c r="K27" t="s">
        <v>67</v>
      </c>
      <c r="L27" t="s">
        <v>67</v>
      </c>
      <c r="M27" t="s">
        <v>67</v>
      </c>
      <c r="N27" s="141">
        <v>19</v>
      </c>
      <c r="O27" s="141">
        <v>972017341</v>
      </c>
      <c r="P27" t="s">
        <v>1172</v>
      </c>
      <c r="Q27" t="s">
        <v>4166</v>
      </c>
      <c r="R27" s="140">
        <v>38445</v>
      </c>
      <c r="S27" t="s">
        <v>20546</v>
      </c>
      <c r="T27" t="s">
        <v>20547</v>
      </c>
    </row>
    <row r="28" spans="1:20" x14ac:dyDescent="0.25">
      <c r="A28">
        <v>27</v>
      </c>
      <c r="B28" s="139">
        <v>45471.5926736111</v>
      </c>
      <c r="C28" s="139">
        <v>45471.594050925902</v>
      </c>
      <c r="D28" t="s">
        <v>20868</v>
      </c>
      <c r="E28" t="s">
        <v>20869</v>
      </c>
      <c r="F28" s="141">
        <v>1476118</v>
      </c>
      <c r="G28" t="s">
        <v>8522</v>
      </c>
      <c r="H28" t="s">
        <v>834</v>
      </c>
      <c r="I28" s="141">
        <v>73248067</v>
      </c>
      <c r="J28" t="s">
        <v>20973</v>
      </c>
      <c r="K28" t="s">
        <v>30</v>
      </c>
      <c r="L28" t="s">
        <v>30</v>
      </c>
      <c r="M28" t="s">
        <v>30</v>
      </c>
      <c r="N28" s="141">
        <v>19</v>
      </c>
      <c r="O28" s="141">
        <v>918555152</v>
      </c>
      <c r="P28" t="s">
        <v>1172</v>
      </c>
      <c r="Q28" t="s">
        <v>4166</v>
      </c>
      <c r="R28" s="140">
        <v>38324</v>
      </c>
      <c r="S28" t="s">
        <v>20546</v>
      </c>
      <c r="T28" t="s">
        <v>20547</v>
      </c>
    </row>
    <row r="29" spans="1:20" x14ac:dyDescent="0.25">
      <c r="A29">
        <v>28</v>
      </c>
      <c r="B29" s="139">
        <v>45471.5944212963</v>
      </c>
      <c r="C29" s="139">
        <v>45471.595127314802</v>
      </c>
      <c r="D29" t="s">
        <v>20870</v>
      </c>
      <c r="E29" t="s">
        <v>20871</v>
      </c>
      <c r="F29" s="141">
        <v>1477457</v>
      </c>
      <c r="G29" t="s">
        <v>8525</v>
      </c>
      <c r="H29" t="s">
        <v>834</v>
      </c>
      <c r="I29" s="141">
        <v>73228739</v>
      </c>
      <c r="J29" t="s">
        <v>20872</v>
      </c>
      <c r="K29" t="s">
        <v>30</v>
      </c>
      <c r="L29" t="s">
        <v>30</v>
      </c>
      <c r="M29" t="s">
        <v>43</v>
      </c>
      <c r="N29" s="141">
        <v>19</v>
      </c>
      <c r="O29" s="141">
        <v>946705416</v>
      </c>
      <c r="P29" t="s">
        <v>1172</v>
      </c>
      <c r="Q29" t="s">
        <v>4166</v>
      </c>
      <c r="R29" s="140">
        <v>38350</v>
      </c>
      <c r="S29" t="s">
        <v>20546</v>
      </c>
      <c r="T29" t="s">
        <v>20547</v>
      </c>
    </row>
    <row r="30" spans="1:20" x14ac:dyDescent="0.25">
      <c r="A30">
        <v>29</v>
      </c>
      <c r="B30" s="139">
        <v>45471.593101851897</v>
      </c>
      <c r="C30" s="139">
        <v>45471.595972222203</v>
      </c>
      <c r="D30" t="s">
        <v>20873</v>
      </c>
      <c r="E30" t="s">
        <v>20874</v>
      </c>
      <c r="F30" s="141">
        <v>1473312</v>
      </c>
      <c r="G30" t="s">
        <v>8522</v>
      </c>
      <c r="H30" t="s">
        <v>834</v>
      </c>
      <c r="I30" s="141">
        <v>60616081</v>
      </c>
      <c r="J30" t="s">
        <v>20974</v>
      </c>
      <c r="K30" t="s">
        <v>30</v>
      </c>
      <c r="L30" t="s">
        <v>30</v>
      </c>
      <c r="M30" t="s">
        <v>58</v>
      </c>
      <c r="N30" s="141">
        <v>20</v>
      </c>
      <c r="O30" s="141">
        <v>997324728</v>
      </c>
      <c r="P30" t="s">
        <v>1172</v>
      </c>
      <c r="Q30" t="s">
        <v>4166</v>
      </c>
      <c r="R30" s="140">
        <v>37942</v>
      </c>
      <c r="S30" t="s">
        <v>20546</v>
      </c>
      <c r="T30" t="s">
        <v>20547</v>
      </c>
    </row>
    <row r="31" spans="1:20" x14ac:dyDescent="0.25">
      <c r="A31">
        <v>30</v>
      </c>
      <c r="B31" s="139">
        <v>45471.600543981498</v>
      </c>
      <c r="C31" s="139">
        <v>45471.604189814803</v>
      </c>
      <c r="D31" t="s">
        <v>20875</v>
      </c>
      <c r="E31" t="s">
        <v>20876</v>
      </c>
      <c r="F31" s="141">
        <v>1477909</v>
      </c>
      <c r="G31" t="s">
        <v>8522</v>
      </c>
      <c r="H31" t="s">
        <v>834</v>
      </c>
      <c r="I31" s="141">
        <v>76677833</v>
      </c>
      <c r="J31" t="s">
        <v>20990</v>
      </c>
      <c r="K31" t="s">
        <v>30</v>
      </c>
      <c r="L31" t="s">
        <v>30</v>
      </c>
      <c r="M31" t="s">
        <v>50</v>
      </c>
      <c r="N31" s="141">
        <v>20</v>
      </c>
      <c r="O31" s="141">
        <v>924289829</v>
      </c>
      <c r="P31" t="s">
        <v>1172</v>
      </c>
      <c r="Q31" t="s">
        <v>4166</v>
      </c>
      <c r="R31" s="140">
        <v>38057</v>
      </c>
      <c r="S31" t="s">
        <v>20546</v>
      </c>
      <c r="T31" t="s">
        <v>20547</v>
      </c>
    </row>
    <row r="32" spans="1:20" x14ac:dyDescent="0.25">
      <c r="A32">
        <v>31</v>
      </c>
      <c r="B32" s="139">
        <v>45471.594375000001</v>
      </c>
      <c r="C32" s="139">
        <v>45471.604791666701</v>
      </c>
      <c r="D32" t="s">
        <v>20877</v>
      </c>
      <c r="E32" t="s">
        <v>20878</v>
      </c>
      <c r="F32" s="141">
        <v>1396313</v>
      </c>
      <c r="G32" t="s">
        <v>8524</v>
      </c>
      <c r="H32" t="s">
        <v>836</v>
      </c>
      <c r="I32" s="141">
        <v>72316302</v>
      </c>
      <c r="J32" t="s">
        <v>20975</v>
      </c>
      <c r="K32" t="s">
        <v>30</v>
      </c>
      <c r="L32" t="s">
        <v>30</v>
      </c>
      <c r="M32" t="s">
        <v>50</v>
      </c>
      <c r="N32" s="141">
        <v>21</v>
      </c>
      <c r="O32" s="141">
        <v>933171655</v>
      </c>
      <c r="P32" t="s">
        <v>1172</v>
      </c>
      <c r="Q32" t="s">
        <v>4166</v>
      </c>
      <c r="R32" s="140">
        <v>37635</v>
      </c>
      <c r="S32" t="s">
        <v>20546</v>
      </c>
      <c r="T32" t="s">
        <v>20547</v>
      </c>
    </row>
    <row r="33" spans="1:20" x14ac:dyDescent="0.25">
      <c r="A33">
        <v>32</v>
      </c>
      <c r="B33" s="139">
        <v>45471.605694444399</v>
      </c>
      <c r="C33" s="139">
        <v>45471.607118055603</v>
      </c>
      <c r="D33" t="s">
        <v>20879</v>
      </c>
      <c r="E33" t="s">
        <v>20880</v>
      </c>
      <c r="F33" s="141">
        <v>1481719</v>
      </c>
      <c r="G33" t="s">
        <v>8522</v>
      </c>
      <c r="H33" t="s">
        <v>834</v>
      </c>
      <c r="I33" s="141">
        <v>74808218</v>
      </c>
      <c r="J33" t="s">
        <v>20976</v>
      </c>
      <c r="K33" t="s">
        <v>30</v>
      </c>
      <c r="L33" t="s">
        <v>30</v>
      </c>
      <c r="M33" t="s">
        <v>30</v>
      </c>
      <c r="N33" s="141">
        <v>24</v>
      </c>
      <c r="O33" s="141">
        <v>965348526</v>
      </c>
      <c r="P33" t="s">
        <v>1172</v>
      </c>
      <c r="Q33" t="s">
        <v>4166</v>
      </c>
      <c r="R33" s="140">
        <v>36676</v>
      </c>
      <c r="S33" t="s">
        <v>20546</v>
      </c>
      <c r="T33" t="s">
        <v>20547</v>
      </c>
    </row>
    <row r="34" spans="1:20" x14ac:dyDescent="0.25">
      <c r="A34">
        <v>33</v>
      </c>
      <c r="B34" s="139">
        <v>45471.607662037</v>
      </c>
      <c r="C34" s="139">
        <v>45471.609074074098</v>
      </c>
      <c r="D34" t="s">
        <v>20881</v>
      </c>
      <c r="E34" t="s">
        <v>20882</v>
      </c>
      <c r="F34" s="141">
        <v>1408042</v>
      </c>
      <c r="G34" t="s">
        <v>8524</v>
      </c>
      <c r="H34" t="s">
        <v>836</v>
      </c>
      <c r="I34" s="141">
        <v>74075577</v>
      </c>
      <c r="J34" t="s">
        <v>20977</v>
      </c>
      <c r="K34" t="s">
        <v>67</v>
      </c>
      <c r="L34" t="s">
        <v>67</v>
      </c>
      <c r="M34" t="s">
        <v>94</v>
      </c>
      <c r="N34" s="141">
        <v>22</v>
      </c>
      <c r="O34" s="141">
        <v>902268112</v>
      </c>
      <c r="P34" t="s">
        <v>1172</v>
      </c>
      <c r="Q34" t="s">
        <v>4166</v>
      </c>
      <c r="R34" s="140">
        <v>37365</v>
      </c>
      <c r="S34" t="s">
        <v>20546</v>
      </c>
      <c r="T34" t="s">
        <v>20547</v>
      </c>
    </row>
    <row r="35" spans="1:20" x14ac:dyDescent="0.25">
      <c r="A35">
        <v>34</v>
      </c>
      <c r="B35" s="139">
        <v>45471.6073958333</v>
      </c>
      <c r="C35" s="139">
        <v>45471.6097337963</v>
      </c>
      <c r="D35" t="s">
        <v>20883</v>
      </c>
      <c r="E35" t="s">
        <v>20884</v>
      </c>
      <c r="F35" s="141">
        <v>1462399</v>
      </c>
      <c r="G35" t="s">
        <v>8522</v>
      </c>
      <c r="H35" t="s">
        <v>834</v>
      </c>
      <c r="I35" s="141">
        <v>72077577</v>
      </c>
      <c r="J35" t="s">
        <v>20992</v>
      </c>
      <c r="K35" t="s">
        <v>30</v>
      </c>
      <c r="L35" t="s">
        <v>20991</v>
      </c>
      <c r="M35" t="s">
        <v>30</v>
      </c>
      <c r="N35" s="141">
        <v>20</v>
      </c>
      <c r="O35" s="141">
        <v>933314265</v>
      </c>
      <c r="P35" t="s">
        <v>1172</v>
      </c>
      <c r="Q35" t="s">
        <v>4166</v>
      </c>
      <c r="R35" s="140">
        <v>37917</v>
      </c>
      <c r="S35" t="s">
        <v>20546</v>
      </c>
      <c r="T35" t="s">
        <v>20547</v>
      </c>
    </row>
    <row r="36" spans="1:20" x14ac:dyDescent="0.25">
      <c r="A36">
        <v>35</v>
      </c>
      <c r="B36" s="139">
        <v>45471.620324074102</v>
      </c>
      <c r="C36" s="139">
        <v>45471.621990740699</v>
      </c>
      <c r="D36" t="s">
        <v>20885</v>
      </c>
      <c r="E36" t="s">
        <v>20886</v>
      </c>
      <c r="F36" s="141">
        <v>1480581</v>
      </c>
      <c r="G36" t="s">
        <v>8522</v>
      </c>
      <c r="H36" t="s">
        <v>834</v>
      </c>
      <c r="I36" s="141">
        <v>73939651</v>
      </c>
      <c r="J36" t="s">
        <v>20887</v>
      </c>
      <c r="K36" t="s">
        <v>30</v>
      </c>
      <c r="L36" t="s">
        <v>30</v>
      </c>
      <c r="M36" t="s">
        <v>45</v>
      </c>
      <c r="N36" s="141">
        <v>20</v>
      </c>
      <c r="O36" s="141">
        <v>935526805</v>
      </c>
      <c r="P36" t="s">
        <v>1172</v>
      </c>
      <c r="Q36" t="s">
        <v>4166</v>
      </c>
      <c r="R36" s="140">
        <v>38090</v>
      </c>
      <c r="S36" t="s">
        <v>20546</v>
      </c>
      <c r="T36" t="s">
        <v>20547</v>
      </c>
    </row>
    <row r="37" spans="1:20" x14ac:dyDescent="0.25">
      <c r="A37">
        <v>36</v>
      </c>
      <c r="B37" s="139">
        <v>45471.620960648099</v>
      </c>
      <c r="C37" s="139">
        <v>45471.623888888898</v>
      </c>
      <c r="D37" t="s">
        <v>20888</v>
      </c>
      <c r="E37" t="s">
        <v>20889</v>
      </c>
      <c r="F37" s="141">
        <v>1446406</v>
      </c>
      <c r="G37" t="s">
        <v>8524</v>
      </c>
      <c r="H37" t="s">
        <v>835</v>
      </c>
      <c r="I37" s="141">
        <v>47200079</v>
      </c>
      <c r="J37" t="s">
        <v>20890</v>
      </c>
      <c r="K37" t="s">
        <v>67</v>
      </c>
      <c r="L37" t="s">
        <v>67</v>
      </c>
      <c r="M37" t="s">
        <v>67</v>
      </c>
      <c r="N37" s="141">
        <v>32</v>
      </c>
      <c r="O37" s="141">
        <v>980646233</v>
      </c>
      <c r="P37" t="s">
        <v>1172</v>
      </c>
      <c r="Q37" t="s">
        <v>4166</v>
      </c>
      <c r="R37" s="140">
        <v>33731</v>
      </c>
      <c r="S37" t="s">
        <v>20546</v>
      </c>
      <c r="T37" t="s">
        <v>20548</v>
      </c>
    </row>
    <row r="38" spans="1:20" x14ac:dyDescent="0.25">
      <c r="A38">
        <v>37</v>
      </c>
      <c r="B38" s="139">
        <v>45471.625115740702</v>
      </c>
      <c r="C38" s="139">
        <v>45471.626828703702</v>
      </c>
      <c r="D38" t="s">
        <v>20891</v>
      </c>
      <c r="E38" t="s">
        <v>20892</v>
      </c>
      <c r="F38" s="141">
        <v>1480592</v>
      </c>
      <c r="G38" t="s">
        <v>8527</v>
      </c>
      <c r="H38" t="s">
        <v>834</v>
      </c>
      <c r="I38" s="141">
        <v>76314378</v>
      </c>
      <c r="J38" t="s">
        <v>20893</v>
      </c>
      <c r="K38" t="s">
        <v>30</v>
      </c>
      <c r="L38" t="s">
        <v>67</v>
      </c>
      <c r="M38" t="s">
        <v>81</v>
      </c>
      <c r="N38" s="141">
        <v>19</v>
      </c>
      <c r="O38" s="141">
        <v>923798473</v>
      </c>
      <c r="P38" t="s">
        <v>1172</v>
      </c>
      <c r="Q38" t="s">
        <v>4166</v>
      </c>
      <c r="R38" s="140">
        <v>38399</v>
      </c>
      <c r="S38" t="s">
        <v>20546</v>
      </c>
      <c r="T38" t="s">
        <v>20547</v>
      </c>
    </row>
    <row r="39" spans="1:20" x14ac:dyDescent="0.25">
      <c r="A39">
        <v>38</v>
      </c>
      <c r="B39" s="139">
        <v>45471.627256944397</v>
      </c>
      <c r="C39" s="139">
        <v>45471.628368055601</v>
      </c>
      <c r="D39" t="s">
        <v>20894</v>
      </c>
      <c r="E39" t="s">
        <v>20895</v>
      </c>
      <c r="F39" s="141">
        <v>1473328</v>
      </c>
      <c r="G39" t="s">
        <v>8527</v>
      </c>
      <c r="H39" t="s">
        <v>834</v>
      </c>
      <c r="I39" s="141">
        <v>74900757</v>
      </c>
      <c r="J39" t="s">
        <v>20896</v>
      </c>
      <c r="K39" t="s">
        <v>30</v>
      </c>
      <c r="L39" t="s">
        <v>30</v>
      </c>
      <c r="M39" t="s">
        <v>50</v>
      </c>
      <c r="N39" s="141">
        <v>23</v>
      </c>
      <c r="O39" s="141">
        <v>994096020</v>
      </c>
      <c r="P39" t="s">
        <v>1172</v>
      </c>
      <c r="Q39" t="s">
        <v>4166</v>
      </c>
      <c r="R39" s="140">
        <v>36810</v>
      </c>
      <c r="S39" t="s">
        <v>20546</v>
      </c>
      <c r="T39" t="s">
        <v>20547</v>
      </c>
    </row>
    <row r="40" spans="1:20" x14ac:dyDescent="0.25">
      <c r="A40">
        <v>39</v>
      </c>
      <c r="B40" s="139">
        <v>45471.627372685201</v>
      </c>
      <c r="C40" s="139">
        <v>45471.629502314798</v>
      </c>
      <c r="D40" t="s">
        <v>20897</v>
      </c>
      <c r="E40" t="s">
        <v>20898</v>
      </c>
      <c r="F40" s="141">
        <v>1480001</v>
      </c>
      <c r="G40" t="s">
        <v>8527</v>
      </c>
      <c r="H40" t="s">
        <v>834</v>
      </c>
      <c r="I40" s="141">
        <v>74816202</v>
      </c>
      <c r="J40" t="s">
        <v>20899</v>
      </c>
      <c r="K40" t="s">
        <v>30</v>
      </c>
      <c r="L40" t="s">
        <v>30</v>
      </c>
      <c r="M40" t="s">
        <v>75</v>
      </c>
      <c r="N40" s="141">
        <v>18</v>
      </c>
      <c r="O40" s="141">
        <v>930644834</v>
      </c>
      <c r="P40" t="s">
        <v>1172</v>
      </c>
      <c r="Q40" t="s">
        <v>4166</v>
      </c>
      <c r="R40" s="140">
        <v>38601</v>
      </c>
      <c r="S40" t="s">
        <v>20546</v>
      </c>
      <c r="T40" t="s">
        <v>20548</v>
      </c>
    </row>
    <row r="41" spans="1:20" x14ac:dyDescent="0.25">
      <c r="A41">
        <v>40</v>
      </c>
      <c r="B41" s="139">
        <v>45471.631874999999</v>
      </c>
      <c r="C41" s="139">
        <v>45471.636203703703</v>
      </c>
      <c r="D41" t="s">
        <v>20900</v>
      </c>
      <c r="E41" t="s">
        <v>20901</v>
      </c>
      <c r="F41" s="141">
        <v>1476805</v>
      </c>
      <c r="G41" t="s">
        <v>8527</v>
      </c>
      <c r="H41" t="s">
        <v>834</v>
      </c>
      <c r="I41" s="141">
        <v>74471094</v>
      </c>
      <c r="J41" t="s">
        <v>20978</v>
      </c>
      <c r="K41" t="s">
        <v>30</v>
      </c>
      <c r="L41" t="s">
        <v>30</v>
      </c>
      <c r="M41" t="s">
        <v>43</v>
      </c>
      <c r="N41" s="141">
        <v>19</v>
      </c>
      <c r="O41" s="141">
        <v>949352907</v>
      </c>
      <c r="P41" t="s">
        <v>1172</v>
      </c>
      <c r="Q41" t="s">
        <v>4166</v>
      </c>
      <c r="R41" s="140">
        <v>38253</v>
      </c>
      <c r="S41" t="s">
        <v>20546</v>
      </c>
      <c r="T41" t="s">
        <v>20547</v>
      </c>
    </row>
    <row r="42" spans="1:20" x14ac:dyDescent="0.25">
      <c r="A42">
        <v>41</v>
      </c>
      <c r="B42" s="139">
        <v>45471.6344328704</v>
      </c>
      <c r="C42" s="139">
        <v>45471.639120370397</v>
      </c>
      <c r="D42" t="s">
        <v>20902</v>
      </c>
      <c r="E42" t="s">
        <v>20903</v>
      </c>
      <c r="F42" s="141">
        <v>1476125</v>
      </c>
      <c r="G42" t="s">
        <v>8527</v>
      </c>
      <c r="H42" t="s">
        <v>834</v>
      </c>
      <c r="I42" s="141">
        <v>73232267</v>
      </c>
      <c r="J42" t="s">
        <v>20979</v>
      </c>
      <c r="K42" t="s">
        <v>30</v>
      </c>
      <c r="L42" t="s">
        <v>30</v>
      </c>
      <c r="M42" t="s">
        <v>43</v>
      </c>
      <c r="N42" s="141">
        <v>19</v>
      </c>
      <c r="O42" s="141">
        <v>936765372</v>
      </c>
      <c r="P42" t="s">
        <v>1172</v>
      </c>
      <c r="Q42" t="s">
        <v>4166</v>
      </c>
      <c r="R42" s="140">
        <v>38342</v>
      </c>
      <c r="S42" t="s">
        <v>20546</v>
      </c>
      <c r="T42" t="s">
        <v>20547</v>
      </c>
    </row>
    <row r="43" spans="1:20" x14ac:dyDescent="0.25">
      <c r="A43">
        <v>42</v>
      </c>
      <c r="B43" s="139">
        <v>45471.624444444402</v>
      </c>
      <c r="C43" s="139">
        <v>45471.644062500003</v>
      </c>
      <c r="D43" t="s">
        <v>20904</v>
      </c>
      <c r="E43" t="s">
        <v>20905</v>
      </c>
      <c r="F43" s="141">
        <v>1476132</v>
      </c>
      <c r="G43" t="s">
        <v>8522</v>
      </c>
      <c r="H43" t="s">
        <v>834</v>
      </c>
      <c r="I43" s="141">
        <v>75315356</v>
      </c>
      <c r="J43" t="s">
        <v>20906</v>
      </c>
      <c r="K43" t="s">
        <v>30</v>
      </c>
      <c r="L43" t="s">
        <v>30</v>
      </c>
      <c r="M43" t="s">
        <v>43</v>
      </c>
      <c r="N43" s="141">
        <v>20</v>
      </c>
      <c r="O43" s="141">
        <v>951289045</v>
      </c>
      <c r="P43" t="s">
        <v>1172</v>
      </c>
      <c r="Q43" t="s">
        <v>4166</v>
      </c>
      <c r="R43" s="140">
        <v>38107</v>
      </c>
      <c r="S43" t="s">
        <v>20546</v>
      </c>
      <c r="T43" t="s">
        <v>20547</v>
      </c>
    </row>
    <row r="44" spans="1:20" x14ac:dyDescent="0.25">
      <c r="A44">
        <v>43</v>
      </c>
      <c r="B44" s="139">
        <v>45471.633761574099</v>
      </c>
      <c r="C44" s="139">
        <v>45471.644768518498</v>
      </c>
      <c r="D44" t="s">
        <v>20907</v>
      </c>
      <c r="E44" t="s">
        <v>20908</v>
      </c>
      <c r="F44" s="141">
        <v>1483128</v>
      </c>
      <c r="G44" t="s">
        <v>8527</v>
      </c>
      <c r="H44" t="s">
        <v>834</v>
      </c>
      <c r="I44" s="141">
        <v>72843811</v>
      </c>
      <c r="J44" t="s">
        <v>20980</v>
      </c>
      <c r="K44" t="s">
        <v>30</v>
      </c>
      <c r="L44" t="s">
        <v>30</v>
      </c>
      <c r="M44" t="s">
        <v>58</v>
      </c>
      <c r="N44" s="141">
        <v>19</v>
      </c>
      <c r="O44" s="141">
        <v>918960406</v>
      </c>
      <c r="P44" t="s">
        <v>1172</v>
      </c>
      <c r="Q44" t="s">
        <v>4166</v>
      </c>
      <c r="R44" s="140">
        <v>38445</v>
      </c>
      <c r="S44" t="s">
        <v>20546</v>
      </c>
      <c r="T44" t="s">
        <v>20547</v>
      </c>
    </row>
    <row r="45" spans="1:20" x14ac:dyDescent="0.25">
      <c r="A45">
        <v>44</v>
      </c>
      <c r="B45" s="139">
        <v>45471.649849537003</v>
      </c>
      <c r="C45" s="139">
        <v>45471.654444444401</v>
      </c>
      <c r="D45" t="s">
        <v>20909</v>
      </c>
      <c r="E45" t="s">
        <v>20910</v>
      </c>
      <c r="F45" s="141">
        <v>1303286</v>
      </c>
      <c r="G45" t="s">
        <v>8527</v>
      </c>
      <c r="H45" t="s">
        <v>837</v>
      </c>
      <c r="I45" s="141">
        <v>75174457</v>
      </c>
      <c r="J45" t="s">
        <v>20911</v>
      </c>
      <c r="K45" t="s">
        <v>30</v>
      </c>
      <c r="L45" t="s">
        <v>30</v>
      </c>
      <c r="M45" t="s">
        <v>918</v>
      </c>
      <c r="N45" s="141">
        <v>21</v>
      </c>
      <c r="O45" s="141">
        <v>913496084</v>
      </c>
      <c r="P45" t="s">
        <v>1172</v>
      </c>
      <c r="Q45" t="s">
        <v>4166</v>
      </c>
      <c r="R45" s="140">
        <v>37714</v>
      </c>
      <c r="S45" t="s">
        <v>20546</v>
      </c>
      <c r="T45" t="s">
        <v>20547</v>
      </c>
    </row>
    <row r="46" spans="1:20" x14ac:dyDescent="0.25">
      <c r="A46">
        <v>45</v>
      </c>
      <c r="B46" s="139">
        <v>45471.657835648097</v>
      </c>
      <c r="C46" s="139">
        <v>45471.659687500003</v>
      </c>
      <c r="D46" t="s">
        <v>20912</v>
      </c>
      <c r="E46" t="s">
        <v>20913</v>
      </c>
      <c r="F46" s="141">
        <v>1403456</v>
      </c>
      <c r="G46" t="s">
        <v>8524</v>
      </c>
      <c r="H46" t="s">
        <v>834</v>
      </c>
      <c r="I46" s="141">
        <v>70633267</v>
      </c>
      <c r="J46" t="s">
        <v>20981</v>
      </c>
      <c r="K46" t="s">
        <v>30</v>
      </c>
      <c r="L46" t="s">
        <v>30</v>
      </c>
      <c r="M46" t="s">
        <v>50</v>
      </c>
      <c r="N46" s="141">
        <v>28</v>
      </c>
      <c r="O46" s="141">
        <v>950793296</v>
      </c>
      <c r="P46" t="s">
        <v>1172</v>
      </c>
      <c r="Q46" t="s">
        <v>4166</v>
      </c>
      <c r="R46" s="140">
        <v>38548</v>
      </c>
      <c r="S46" t="s">
        <v>20546</v>
      </c>
      <c r="T46" t="s">
        <v>20547</v>
      </c>
    </row>
    <row r="47" spans="1:20" x14ac:dyDescent="0.25">
      <c r="A47">
        <v>46</v>
      </c>
      <c r="B47" s="139">
        <v>45471.643148148098</v>
      </c>
      <c r="C47" s="139">
        <v>45471.663090277798</v>
      </c>
      <c r="D47" t="s">
        <v>20914</v>
      </c>
      <c r="E47" t="s">
        <v>20915</v>
      </c>
      <c r="F47" s="141">
        <v>1446886</v>
      </c>
      <c r="G47" t="s">
        <v>8522</v>
      </c>
      <c r="H47" t="s">
        <v>834</v>
      </c>
      <c r="I47" s="141">
        <v>74158509</v>
      </c>
      <c r="J47" t="s">
        <v>20916</v>
      </c>
      <c r="K47" t="s">
        <v>30</v>
      </c>
      <c r="L47" t="s">
        <v>30</v>
      </c>
      <c r="M47" t="s">
        <v>72</v>
      </c>
      <c r="N47" s="141">
        <v>20</v>
      </c>
      <c r="O47" s="141">
        <v>925519279</v>
      </c>
      <c r="P47" t="s">
        <v>1172</v>
      </c>
      <c r="Q47" t="s">
        <v>4166</v>
      </c>
      <c r="R47" s="140">
        <v>38023</v>
      </c>
      <c r="S47" t="s">
        <v>20546</v>
      </c>
      <c r="T47" t="s">
        <v>20547</v>
      </c>
    </row>
    <row r="48" spans="1:20" x14ac:dyDescent="0.25">
      <c r="A48">
        <v>47</v>
      </c>
      <c r="B48" s="139">
        <v>45471.665625000001</v>
      </c>
      <c r="C48" s="139">
        <v>45471.666840277801</v>
      </c>
      <c r="D48" t="s">
        <v>20917</v>
      </c>
      <c r="E48" t="s">
        <v>20918</v>
      </c>
      <c r="F48" s="141">
        <v>1122053</v>
      </c>
      <c r="G48" t="s">
        <v>8527</v>
      </c>
      <c r="H48" t="s">
        <v>834</v>
      </c>
      <c r="I48" s="141">
        <v>73078240</v>
      </c>
      <c r="J48" t="s">
        <v>20993</v>
      </c>
      <c r="K48" t="s">
        <v>30</v>
      </c>
      <c r="L48" t="s">
        <v>30</v>
      </c>
      <c r="M48" t="s">
        <v>50</v>
      </c>
      <c r="N48" s="141">
        <v>23</v>
      </c>
      <c r="O48" s="141">
        <v>918823478</v>
      </c>
      <c r="P48" t="s">
        <v>1172</v>
      </c>
      <c r="Q48" t="s">
        <v>4166</v>
      </c>
      <c r="R48" s="140">
        <v>36826</v>
      </c>
      <c r="S48" t="s">
        <v>20546</v>
      </c>
      <c r="T48" t="s">
        <v>20547</v>
      </c>
    </row>
    <row r="49" spans="1:20" x14ac:dyDescent="0.25">
      <c r="A49">
        <v>48</v>
      </c>
      <c r="B49" s="139">
        <v>45471.669201388897</v>
      </c>
      <c r="C49" s="139">
        <v>45471.6706597222</v>
      </c>
      <c r="D49" t="s">
        <v>20919</v>
      </c>
      <c r="E49" t="s">
        <v>20920</v>
      </c>
      <c r="F49" s="141">
        <v>1479282</v>
      </c>
      <c r="G49" t="s">
        <v>8527</v>
      </c>
      <c r="H49" t="s">
        <v>834</v>
      </c>
      <c r="I49" s="141">
        <v>74030865</v>
      </c>
      <c r="J49" t="s">
        <v>20921</v>
      </c>
      <c r="K49" t="s">
        <v>30</v>
      </c>
      <c r="L49" t="s">
        <v>30</v>
      </c>
      <c r="M49" t="s">
        <v>40</v>
      </c>
      <c r="N49" s="141">
        <v>21</v>
      </c>
      <c r="O49" s="141">
        <v>922359534</v>
      </c>
      <c r="P49" t="s">
        <v>1172</v>
      </c>
      <c r="Q49" t="s">
        <v>4166</v>
      </c>
      <c r="R49" s="140">
        <v>37692</v>
      </c>
      <c r="S49" t="s">
        <v>20546</v>
      </c>
      <c r="T49" t="s">
        <v>20547</v>
      </c>
    </row>
    <row r="50" spans="1:20" x14ac:dyDescent="0.25">
      <c r="A50">
        <v>49</v>
      </c>
      <c r="B50" s="139">
        <v>45471.660949074103</v>
      </c>
      <c r="C50" s="139">
        <v>45471.671238425901</v>
      </c>
      <c r="D50" t="s">
        <v>20922</v>
      </c>
      <c r="E50" t="s">
        <v>20923</v>
      </c>
      <c r="F50" s="141">
        <v>999283</v>
      </c>
      <c r="G50" t="s">
        <v>8527</v>
      </c>
      <c r="H50" t="s">
        <v>837</v>
      </c>
      <c r="I50" s="141">
        <v>72725762</v>
      </c>
      <c r="J50" t="s">
        <v>20924</v>
      </c>
      <c r="K50" t="s">
        <v>30</v>
      </c>
      <c r="L50" t="s">
        <v>30</v>
      </c>
      <c r="M50" t="s">
        <v>75</v>
      </c>
      <c r="N50" s="141">
        <v>25</v>
      </c>
      <c r="O50" s="141">
        <v>945254598</v>
      </c>
      <c r="P50" t="s">
        <v>1172</v>
      </c>
      <c r="Q50" t="s">
        <v>4166</v>
      </c>
      <c r="R50" s="140">
        <v>36109</v>
      </c>
      <c r="S50" t="s">
        <v>20546</v>
      </c>
      <c r="T50" t="s">
        <v>20547</v>
      </c>
    </row>
    <row r="51" spans="1:20" x14ac:dyDescent="0.25">
      <c r="A51">
        <v>50</v>
      </c>
      <c r="B51" s="139">
        <v>45471.662233796298</v>
      </c>
      <c r="C51" s="139">
        <v>45471.676168981503</v>
      </c>
      <c r="D51" t="s">
        <v>20925</v>
      </c>
      <c r="E51" t="s">
        <v>20926</v>
      </c>
      <c r="F51" s="141">
        <v>1476127</v>
      </c>
      <c r="G51" t="s">
        <v>8522</v>
      </c>
      <c r="H51" t="s">
        <v>834</v>
      </c>
      <c r="I51" s="141">
        <v>74574318</v>
      </c>
      <c r="J51" t="s">
        <v>20982</v>
      </c>
      <c r="K51" t="s">
        <v>30</v>
      </c>
      <c r="L51" t="s">
        <v>30</v>
      </c>
      <c r="M51" t="s">
        <v>74</v>
      </c>
      <c r="N51" s="141">
        <v>20</v>
      </c>
      <c r="O51" s="141">
        <v>900607546</v>
      </c>
      <c r="P51" t="s">
        <v>1172</v>
      </c>
      <c r="Q51" t="s">
        <v>4166</v>
      </c>
      <c r="R51" s="140">
        <v>38097</v>
      </c>
      <c r="S51" t="s">
        <v>20546</v>
      </c>
      <c r="T51" t="s">
        <v>20547</v>
      </c>
    </row>
    <row r="52" spans="1:20" x14ac:dyDescent="0.25">
      <c r="A52">
        <v>51</v>
      </c>
      <c r="B52" s="139">
        <v>45471.726238425901</v>
      </c>
      <c r="C52" s="139">
        <v>45471.730474536998</v>
      </c>
      <c r="D52" t="s">
        <v>20927</v>
      </c>
      <c r="E52" t="s">
        <v>20928</v>
      </c>
      <c r="F52" s="141">
        <v>1452280</v>
      </c>
      <c r="G52" t="s">
        <v>8522</v>
      </c>
      <c r="H52" t="s">
        <v>834</v>
      </c>
      <c r="I52" s="141">
        <v>74083326</v>
      </c>
      <c r="J52" t="s">
        <v>20929</v>
      </c>
      <c r="K52" t="s">
        <v>30</v>
      </c>
      <c r="L52" t="s">
        <v>30</v>
      </c>
      <c r="M52" t="s">
        <v>94</v>
      </c>
      <c r="N52" s="141">
        <v>19</v>
      </c>
      <c r="O52" s="141">
        <v>953346033</v>
      </c>
      <c r="P52" t="s">
        <v>1172</v>
      </c>
      <c r="Q52" t="s">
        <v>4166</v>
      </c>
      <c r="R52" s="140">
        <v>38460</v>
      </c>
      <c r="S52" t="s">
        <v>20546</v>
      </c>
      <c r="T52" t="s">
        <v>20547</v>
      </c>
    </row>
    <row r="53" spans="1:20" x14ac:dyDescent="0.25">
      <c r="A53">
        <v>52</v>
      </c>
      <c r="B53" s="139">
        <v>45471.748553240701</v>
      </c>
      <c r="C53" s="139">
        <v>45471.768634259301</v>
      </c>
      <c r="D53" t="s">
        <v>20930</v>
      </c>
      <c r="E53" t="s">
        <v>20931</v>
      </c>
      <c r="F53" s="141">
        <v>1413370</v>
      </c>
      <c r="G53" t="s">
        <v>8525</v>
      </c>
      <c r="H53" t="s">
        <v>834</v>
      </c>
      <c r="I53" s="141">
        <v>70515047</v>
      </c>
      <c r="J53" t="s">
        <v>20932</v>
      </c>
      <c r="K53" t="s">
        <v>30</v>
      </c>
      <c r="L53" t="s">
        <v>30</v>
      </c>
      <c r="M53" t="s">
        <v>50</v>
      </c>
      <c r="N53" s="141">
        <v>27</v>
      </c>
      <c r="O53" s="141">
        <v>997169125</v>
      </c>
      <c r="P53" t="s">
        <v>1172</v>
      </c>
      <c r="Q53" t="s">
        <v>4166</v>
      </c>
      <c r="R53" s="140">
        <v>35411</v>
      </c>
      <c r="S53" t="s">
        <v>20546</v>
      </c>
      <c r="T53" t="s">
        <v>20547</v>
      </c>
    </row>
    <row r="54" spans="1:20" x14ac:dyDescent="0.25">
      <c r="A54">
        <v>53</v>
      </c>
      <c r="B54" s="139">
        <v>45471.786643518499</v>
      </c>
      <c r="C54" s="139">
        <v>45471.789189814801</v>
      </c>
      <c r="D54" t="s">
        <v>20933</v>
      </c>
      <c r="E54" t="s">
        <v>21001</v>
      </c>
      <c r="F54" s="141">
        <v>1388723</v>
      </c>
      <c r="G54" t="s">
        <v>8527</v>
      </c>
      <c r="H54" t="s">
        <v>834</v>
      </c>
      <c r="I54" s="141">
        <v>72540187</v>
      </c>
      <c r="J54" t="s">
        <v>20934</v>
      </c>
      <c r="K54" t="s">
        <v>30</v>
      </c>
      <c r="L54" t="s">
        <v>30</v>
      </c>
      <c r="M54" t="s">
        <v>50</v>
      </c>
      <c r="N54" s="141">
        <v>20</v>
      </c>
      <c r="O54" s="141">
        <v>900675168</v>
      </c>
      <c r="P54" t="s">
        <v>1172</v>
      </c>
      <c r="Q54" t="s">
        <v>4166</v>
      </c>
      <c r="R54" s="140">
        <v>38117</v>
      </c>
      <c r="S54" t="s">
        <v>20546</v>
      </c>
      <c r="T54" t="s">
        <v>20547</v>
      </c>
    </row>
    <row r="55" spans="1:20" x14ac:dyDescent="0.25">
      <c r="A55">
        <v>54</v>
      </c>
      <c r="B55" s="139">
        <v>45471.809039351901</v>
      </c>
      <c r="C55" s="139">
        <v>45471.812962962998</v>
      </c>
      <c r="D55" t="s">
        <v>20935</v>
      </c>
      <c r="E55" t="s">
        <v>20936</v>
      </c>
      <c r="F55" s="141">
        <v>1366754</v>
      </c>
      <c r="G55" t="s">
        <v>8524</v>
      </c>
      <c r="H55" t="s">
        <v>837</v>
      </c>
      <c r="I55" s="141">
        <v>72280991</v>
      </c>
      <c r="J55" t="s">
        <v>20983</v>
      </c>
      <c r="K55" t="s">
        <v>30</v>
      </c>
      <c r="L55" t="s">
        <v>48</v>
      </c>
      <c r="M55" t="s">
        <v>705</v>
      </c>
      <c r="N55" s="141">
        <v>20</v>
      </c>
      <c r="O55" s="141">
        <v>981079033</v>
      </c>
      <c r="P55" t="s">
        <v>1172</v>
      </c>
      <c r="Q55" t="s">
        <v>4166</v>
      </c>
      <c r="R55" s="140">
        <v>37873</v>
      </c>
      <c r="S55" t="s">
        <v>20546</v>
      </c>
      <c r="T55" t="s">
        <v>20547</v>
      </c>
    </row>
    <row r="56" spans="1:20" x14ac:dyDescent="0.25">
      <c r="A56">
        <v>55</v>
      </c>
      <c r="B56" s="139">
        <v>45471.810451388897</v>
      </c>
      <c r="C56" s="139">
        <v>45471.813773148097</v>
      </c>
      <c r="D56" t="s">
        <v>20937</v>
      </c>
      <c r="E56" t="s">
        <v>20938</v>
      </c>
      <c r="F56" s="141">
        <v>1440459</v>
      </c>
      <c r="G56" t="s">
        <v>8525</v>
      </c>
      <c r="H56" t="s">
        <v>834</v>
      </c>
      <c r="I56" s="141">
        <v>60699181</v>
      </c>
      <c r="J56" t="s">
        <v>20939</v>
      </c>
      <c r="K56" t="s">
        <v>30</v>
      </c>
      <c r="L56" t="s">
        <v>30</v>
      </c>
      <c r="M56" t="s">
        <v>60</v>
      </c>
      <c r="N56" s="141">
        <v>19</v>
      </c>
      <c r="O56" s="141">
        <v>961248170</v>
      </c>
      <c r="P56" t="s">
        <v>1172</v>
      </c>
      <c r="Q56" t="s">
        <v>4166</v>
      </c>
      <c r="R56" s="140">
        <v>38315</v>
      </c>
      <c r="S56" t="s">
        <v>20546</v>
      </c>
      <c r="T56" t="s">
        <v>20547</v>
      </c>
    </row>
    <row r="57" spans="1:20" x14ac:dyDescent="0.25">
      <c r="A57">
        <v>56</v>
      </c>
      <c r="B57" s="139">
        <v>45471.878958333298</v>
      </c>
      <c r="C57" s="139">
        <v>45471.889039351903</v>
      </c>
      <c r="D57" t="s">
        <v>20940</v>
      </c>
      <c r="E57" t="s">
        <v>20941</v>
      </c>
      <c r="F57" s="141">
        <v>1447561</v>
      </c>
      <c r="G57" t="s">
        <v>8527</v>
      </c>
      <c r="H57" t="s">
        <v>834</v>
      </c>
      <c r="I57" s="141">
        <v>72151890</v>
      </c>
      <c r="J57" t="s">
        <v>20994</v>
      </c>
      <c r="K57" t="s">
        <v>30</v>
      </c>
      <c r="L57" t="s">
        <v>30</v>
      </c>
      <c r="M57" t="s">
        <v>72</v>
      </c>
      <c r="N57" s="141">
        <v>19</v>
      </c>
      <c r="O57" s="141">
        <v>935655591</v>
      </c>
      <c r="P57" t="s">
        <v>1172</v>
      </c>
      <c r="Q57" t="s">
        <v>4166</v>
      </c>
      <c r="R57" s="140">
        <v>45562</v>
      </c>
      <c r="S57" t="s">
        <v>20546</v>
      </c>
      <c r="T57" t="s">
        <v>20547</v>
      </c>
    </row>
    <row r="58" spans="1:20" x14ac:dyDescent="0.25">
      <c r="A58">
        <v>57</v>
      </c>
      <c r="B58" s="139">
        <v>45471.935451388897</v>
      </c>
      <c r="C58" s="139">
        <v>45471.9367824074</v>
      </c>
      <c r="D58" t="s">
        <v>20942</v>
      </c>
      <c r="E58" t="s">
        <v>20943</v>
      </c>
      <c r="F58" s="141">
        <v>1479989</v>
      </c>
      <c r="G58" t="s">
        <v>8527</v>
      </c>
      <c r="H58" t="s">
        <v>834</v>
      </c>
      <c r="I58" s="141">
        <v>75172643</v>
      </c>
      <c r="J58" t="s">
        <v>20944</v>
      </c>
      <c r="K58" t="s">
        <v>30</v>
      </c>
      <c r="L58" t="s">
        <v>30</v>
      </c>
      <c r="M58" t="s">
        <v>127</v>
      </c>
      <c r="N58" s="141">
        <v>19</v>
      </c>
      <c r="O58" s="141">
        <v>992304838</v>
      </c>
      <c r="P58" t="s">
        <v>1172</v>
      </c>
      <c r="Q58" t="s">
        <v>4166</v>
      </c>
      <c r="R58" s="140">
        <v>38410</v>
      </c>
      <c r="S58" t="s">
        <v>20546</v>
      </c>
      <c r="T58" t="s">
        <v>20548</v>
      </c>
    </row>
    <row r="59" spans="1:20" x14ac:dyDescent="0.25">
      <c r="A59">
        <v>58</v>
      </c>
      <c r="B59" s="139">
        <v>45471.607384259303</v>
      </c>
      <c r="C59" s="139">
        <v>45472.014560185198</v>
      </c>
      <c r="D59" t="s">
        <v>20945</v>
      </c>
      <c r="E59" t="s">
        <v>20946</v>
      </c>
      <c r="F59" s="141">
        <v>1397171</v>
      </c>
      <c r="G59" t="s">
        <v>8524</v>
      </c>
      <c r="H59" t="s">
        <v>836</v>
      </c>
      <c r="I59" s="141">
        <v>70406867</v>
      </c>
      <c r="J59" t="s">
        <v>20987</v>
      </c>
      <c r="K59" t="s">
        <v>30</v>
      </c>
      <c r="L59" t="s">
        <v>30</v>
      </c>
      <c r="M59" t="s">
        <v>50</v>
      </c>
      <c r="N59" s="141">
        <v>22</v>
      </c>
      <c r="O59" s="141">
        <v>974657492</v>
      </c>
      <c r="P59" t="s">
        <v>1172</v>
      </c>
      <c r="Q59" t="s">
        <v>4166</v>
      </c>
      <c r="R59" s="140">
        <v>37127</v>
      </c>
      <c r="S59" t="s">
        <v>20546</v>
      </c>
      <c r="T59" t="s">
        <v>20547</v>
      </c>
    </row>
    <row r="60" spans="1:20" x14ac:dyDescent="0.25">
      <c r="A60">
        <v>59</v>
      </c>
      <c r="B60" s="139">
        <v>45472.355914351901</v>
      </c>
      <c r="C60" s="139">
        <v>45472.386643518497</v>
      </c>
      <c r="D60" t="s">
        <v>20947</v>
      </c>
      <c r="E60" t="s">
        <v>20948</v>
      </c>
      <c r="F60" s="141">
        <v>1483478</v>
      </c>
      <c r="G60" t="s">
        <v>8527</v>
      </c>
      <c r="H60" t="s">
        <v>834</v>
      </c>
      <c r="I60" s="141">
        <v>76537063</v>
      </c>
      <c r="J60" t="s">
        <v>20949</v>
      </c>
      <c r="K60" t="s">
        <v>30</v>
      </c>
      <c r="L60" t="s">
        <v>30</v>
      </c>
      <c r="M60" t="s">
        <v>75</v>
      </c>
      <c r="N60" s="141">
        <v>19</v>
      </c>
      <c r="O60" s="141">
        <v>902930863</v>
      </c>
      <c r="P60" t="s">
        <v>1172</v>
      </c>
      <c r="Q60" t="s">
        <v>4166</v>
      </c>
      <c r="R60" s="140">
        <v>38281</v>
      </c>
      <c r="S60" t="s">
        <v>20546</v>
      </c>
      <c r="T60" t="s">
        <v>20547</v>
      </c>
    </row>
    <row r="61" spans="1:20" x14ac:dyDescent="0.25">
      <c r="A61">
        <v>60</v>
      </c>
      <c r="B61" s="139">
        <v>45472.430752314802</v>
      </c>
      <c r="C61" s="139">
        <v>45472.4351157407</v>
      </c>
      <c r="D61" t="s">
        <v>20950</v>
      </c>
      <c r="E61" t="s">
        <v>20951</v>
      </c>
      <c r="F61" s="141">
        <v>1376858</v>
      </c>
      <c r="G61" t="s">
        <v>8527</v>
      </c>
      <c r="H61" t="s">
        <v>834</v>
      </c>
      <c r="I61" s="141">
        <v>2823208</v>
      </c>
      <c r="J61" t="s">
        <v>20986</v>
      </c>
      <c r="K61" t="s">
        <v>30</v>
      </c>
      <c r="L61" t="s">
        <v>30</v>
      </c>
      <c r="M61" t="s">
        <v>50</v>
      </c>
      <c r="N61" s="141">
        <v>20</v>
      </c>
      <c r="O61" s="141">
        <v>915672798</v>
      </c>
      <c r="P61" t="s">
        <v>1172</v>
      </c>
      <c r="Q61" t="s">
        <v>4166</v>
      </c>
      <c r="R61" s="140">
        <v>38028</v>
      </c>
      <c r="S61" t="s">
        <v>20546</v>
      </c>
      <c r="T61" t="s">
        <v>20547</v>
      </c>
    </row>
    <row r="62" spans="1:20" x14ac:dyDescent="0.25">
      <c r="A62">
        <v>61</v>
      </c>
      <c r="B62" s="139">
        <v>45472.775891203702</v>
      </c>
      <c r="C62" s="139">
        <v>45472.778449074103</v>
      </c>
      <c r="D62" t="s">
        <v>20952</v>
      </c>
      <c r="E62" t="s">
        <v>20953</v>
      </c>
      <c r="F62" s="141">
        <v>1207536</v>
      </c>
      <c r="G62" t="s">
        <v>8522</v>
      </c>
      <c r="H62" t="s">
        <v>835</v>
      </c>
      <c r="I62" s="141">
        <v>76742413</v>
      </c>
      <c r="J62" t="s">
        <v>20954</v>
      </c>
      <c r="K62" t="s">
        <v>30</v>
      </c>
      <c r="L62" t="s">
        <v>30</v>
      </c>
      <c r="M62" t="s">
        <v>918</v>
      </c>
      <c r="N62" s="141">
        <v>24</v>
      </c>
      <c r="O62" s="141">
        <v>917028690</v>
      </c>
      <c r="P62" t="s">
        <v>1172</v>
      </c>
      <c r="Q62" t="s">
        <v>4166</v>
      </c>
      <c r="R62" s="140">
        <v>36689</v>
      </c>
      <c r="S62" t="s">
        <v>20546</v>
      </c>
      <c r="T62" t="s">
        <v>20547</v>
      </c>
    </row>
    <row r="63" spans="1:20" x14ac:dyDescent="0.25">
      <c r="A63">
        <v>62</v>
      </c>
      <c r="B63" s="139">
        <v>45473.0317013889</v>
      </c>
      <c r="C63" s="139">
        <v>45473.032662037003</v>
      </c>
      <c r="D63" t="s">
        <v>20955</v>
      </c>
      <c r="E63" t="s">
        <v>20956</v>
      </c>
      <c r="F63" s="141">
        <v>1411850</v>
      </c>
      <c r="G63" t="s">
        <v>8524</v>
      </c>
      <c r="H63" t="s">
        <v>836</v>
      </c>
      <c r="I63" s="141">
        <v>61177383</v>
      </c>
      <c r="J63" t="s">
        <v>20957</v>
      </c>
      <c r="K63" t="s">
        <v>30</v>
      </c>
      <c r="L63" t="s">
        <v>30</v>
      </c>
      <c r="M63" t="s">
        <v>50</v>
      </c>
      <c r="N63" s="141">
        <v>20</v>
      </c>
      <c r="O63" s="141">
        <v>947638662</v>
      </c>
      <c r="P63" t="s">
        <v>1172</v>
      </c>
      <c r="Q63" t="s">
        <v>4166</v>
      </c>
      <c r="R63" s="140">
        <v>38121</v>
      </c>
      <c r="S63" t="s">
        <v>20546</v>
      </c>
      <c r="T63" t="s">
        <v>20547</v>
      </c>
    </row>
    <row r="64" spans="1:20" x14ac:dyDescent="0.25">
      <c r="A64">
        <v>63</v>
      </c>
      <c r="B64" s="139">
        <v>45473.803101851903</v>
      </c>
      <c r="C64" s="139">
        <v>45473.805104166699</v>
      </c>
      <c r="D64" t="s">
        <v>20958</v>
      </c>
      <c r="E64" t="s">
        <v>20959</v>
      </c>
      <c r="F64" s="141">
        <v>1308070</v>
      </c>
      <c r="G64" t="s">
        <v>8525</v>
      </c>
      <c r="H64" t="s">
        <v>834</v>
      </c>
      <c r="I64" s="141">
        <v>71333422</v>
      </c>
      <c r="J64" t="s">
        <v>20984</v>
      </c>
      <c r="K64" t="s">
        <v>30</v>
      </c>
      <c r="L64" t="s">
        <v>30</v>
      </c>
      <c r="M64" t="s">
        <v>75</v>
      </c>
      <c r="N64" s="141">
        <v>20</v>
      </c>
      <c r="O64" s="141">
        <v>977783837</v>
      </c>
      <c r="P64" t="s">
        <v>1172</v>
      </c>
      <c r="Q64" t="s">
        <v>4166</v>
      </c>
      <c r="R64" s="140">
        <v>37972</v>
      </c>
      <c r="S64" t="s">
        <v>20546</v>
      </c>
      <c r="T64" t="s">
        <v>20547</v>
      </c>
    </row>
    <row r="65" spans="1:20" x14ac:dyDescent="0.25">
      <c r="A65">
        <v>64</v>
      </c>
      <c r="B65" s="139">
        <v>45474.346770833297</v>
      </c>
      <c r="C65" s="139">
        <v>45474.347986111097</v>
      </c>
      <c r="D65" t="s">
        <v>20960</v>
      </c>
      <c r="E65" t="s">
        <v>20961</v>
      </c>
      <c r="F65" s="141">
        <v>1430742</v>
      </c>
      <c r="G65" t="s">
        <v>8527</v>
      </c>
      <c r="H65" t="s">
        <v>834</v>
      </c>
      <c r="I65" s="141">
        <v>75355280</v>
      </c>
      <c r="J65" t="s">
        <v>20985</v>
      </c>
      <c r="K65" t="s">
        <v>30</v>
      </c>
      <c r="L65" t="s">
        <v>30</v>
      </c>
      <c r="M65" t="s">
        <v>75</v>
      </c>
      <c r="N65" s="141">
        <v>18</v>
      </c>
      <c r="O65" s="141">
        <v>940624470</v>
      </c>
      <c r="P65" t="s">
        <v>1172</v>
      </c>
      <c r="Q65" t="s">
        <v>4166</v>
      </c>
      <c r="R65" s="140">
        <v>38688</v>
      </c>
      <c r="S65" t="s">
        <v>20546</v>
      </c>
      <c r="T65" t="s">
        <v>20547</v>
      </c>
    </row>
    <row r="66" spans="1:20" x14ac:dyDescent="0.25">
      <c r="A66">
        <v>65</v>
      </c>
      <c r="B66" s="139">
        <v>45474.4468865741</v>
      </c>
      <c r="C66" s="139">
        <v>45474.449467592603</v>
      </c>
      <c r="D66" t="s">
        <v>21002</v>
      </c>
      <c r="E66" t="s">
        <v>21003</v>
      </c>
      <c r="F66" s="141">
        <v>1381749</v>
      </c>
      <c r="G66" t="s">
        <v>8524</v>
      </c>
      <c r="H66" t="s">
        <v>835</v>
      </c>
      <c r="I66" s="141">
        <v>77254893</v>
      </c>
      <c r="J66" t="s">
        <v>21004</v>
      </c>
      <c r="K66" t="s">
        <v>30</v>
      </c>
      <c r="L66" t="s">
        <v>30</v>
      </c>
      <c r="M66" t="s">
        <v>40</v>
      </c>
      <c r="N66" s="141">
        <v>19</v>
      </c>
      <c r="O66" s="141">
        <v>902316344</v>
      </c>
      <c r="P66" t="s">
        <v>1172</v>
      </c>
      <c r="Q66" t="s">
        <v>4166</v>
      </c>
      <c r="R66" s="140">
        <v>38193</v>
      </c>
      <c r="S66" t="s">
        <v>20546</v>
      </c>
      <c r="T66" t="s">
        <v>20547</v>
      </c>
    </row>
    <row r="67" spans="1:20" x14ac:dyDescent="0.25">
      <c r="A67">
        <v>66</v>
      </c>
      <c r="B67" s="139">
        <v>45474.507743055598</v>
      </c>
      <c r="C67" s="139">
        <v>45474.509131944404</v>
      </c>
      <c r="D67" t="s">
        <v>21005</v>
      </c>
      <c r="E67" t="s">
        <v>21006</v>
      </c>
      <c r="F67" s="141">
        <v>1426979</v>
      </c>
      <c r="G67" t="s">
        <v>8527</v>
      </c>
      <c r="H67" t="s">
        <v>835</v>
      </c>
      <c r="I67" s="141">
        <v>72196821</v>
      </c>
      <c r="J67" t="s">
        <v>21007</v>
      </c>
      <c r="K67" t="s">
        <v>67</v>
      </c>
      <c r="L67" t="s">
        <v>67</v>
      </c>
      <c r="M67" t="s">
        <v>30</v>
      </c>
      <c r="N67" s="141">
        <v>21</v>
      </c>
      <c r="O67" s="141">
        <v>947490555</v>
      </c>
      <c r="P67" t="s">
        <v>1172</v>
      </c>
      <c r="Q67" t="s">
        <v>4166</v>
      </c>
      <c r="R67" s="140">
        <v>37466</v>
      </c>
      <c r="S67" t="s">
        <v>20546</v>
      </c>
      <c r="T67" t="s">
        <v>20547</v>
      </c>
    </row>
    <row r="68" spans="1:20" x14ac:dyDescent="0.25">
      <c r="A68">
        <v>67</v>
      </c>
      <c r="B68" s="139">
        <v>45474.521296296298</v>
      </c>
      <c r="C68" s="139">
        <v>45474.526481481502</v>
      </c>
      <c r="D68" t="s">
        <v>21008</v>
      </c>
      <c r="E68" t="s">
        <v>21009</v>
      </c>
      <c r="F68" s="141">
        <v>1419061</v>
      </c>
      <c r="G68" t="s">
        <v>8522</v>
      </c>
      <c r="H68" t="s">
        <v>835</v>
      </c>
      <c r="I68" s="141">
        <v>71101226</v>
      </c>
      <c r="J68" t="s">
        <v>21010</v>
      </c>
      <c r="K68" t="s">
        <v>30</v>
      </c>
      <c r="L68" t="s">
        <v>30</v>
      </c>
      <c r="M68" t="s">
        <v>72</v>
      </c>
      <c r="N68" s="141">
        <v>21</v>
      </c>
      <c r="O68" s="141">
        <v>968312558</v>
      </c>
      <c r="P68" t="s">
        <v>1172</v>
      </c>
      <c r="Q68" t="s">
        <v>4166</v>
      </c>
      <c r="R68" s="140">
        <v>37786</v>
      </c>
      <c r="S68" t="s">
        <v>20546</v>
      </c>
      <c r="T68" t="s">
        <v>20547</v>
      </c>
    </row>
    <row r="69" spans="1:20" x14ac:dyDescent="0.25">
      <c r="A69">
        <v>68</v>
      </c>
      <c r="B69" s="139">
        <v>45474.526354166701</v>
      </c>
      <c r="C69" s="139">
        <v>45474.528611111098</v>
      </c>
      <c r="D69" t="s">
        <v>21011</v>
      </c>
      <c r="E69" t="s">
        <v>21012</v>
      </c>
      <c r="F69" s="141">
        <v>1343861</v>
      </c>
      <c r="G69" t="s">
        <v>8527</v>
      </c>
      <c r="H69" t="s">
        <v>837</v>
      </c>
      <c r="I69" s="141">
        <v>74782133</v>
      </c>
      <c r="J69" t="s">
        <v>21013</v>
      </c>
      <c r="K69" t="s">
        <v>30</v>
      </c>
      <c r="L69" t="s">
        <v>30</v>
      </c>
      <c r="M69" t="s">
        <v>45</v>
      </c>
      <c r="N69" s="141">
        <v>21</v>
      </c>
      <c r="O69" s="141">
        <v>961355717</v>
      </c>
      <c r="P69" t="s">
        <v>1172</v>
      </c>
      <c r="Q69" t="s">
        <v>4166</v>
      </c>
      <c r="R69" s="140">
        <v>37556</v>
      </c>
      <c r="S69" t="s">
        <v>20546</v>
      </c>
      <c r="T69" t="s">
        <v>20547</v>
      </c>
    </row>
    <row r="70" spans="1:20" x14ac:dyDescent="0.25">
      <c r="A70">
        <v>69</v>
      </c>
      <c r="B70" s="139">
        <v>45474.542557870402</v>
      </c>
      <c r="C70" s="139">
        <v>45474.543564814798</v>
      </c>
      <c r="D70" t="s">
        <v>21014</v>
      </c>
      <c r="E70" t="s">
        <v>21015</v>
      </c>
      <c r="F70" s="141">
        <v>1381822</v>
      </c>
      <c r="G70" t="s">
        <v>8526</v>
      </c>
      <c r="H70" t="s">
        <v>837</v>
      </c>
      <c r="I70" s="141">
        <v>76743012</v>
      </c>
      <c r="J70" t="s">
        <v>21055</v>
      </c>
      <c r="K70" t="s">
        <v>30</v>
      </c>
      <c r="L70" t="s">
        <v>30</v>
      </c>
      <c r="M70" t="s">
        <v>58</v>
      </c>
      <c r="N70" s="141">
        <v>20</v>
      </c>
      <c r="O70" s="141">
        <v>986382751</v>
      </c>
      <c r="P70" t="s">
        <v>1172</v>
      </c>
      <c r="Q70" t="s">
        <v>4166</v>
      </c>
      <c r="R70" s="140">
        <v>38084</v>
      </c>
      <c r="S70" t="s">
        <v>20546</v>
      </c>
      <c r="T70" t="s">
        <v>20548</v>
      </c>
    </row>
    <row r="71" spans="1:20" x14ac:dyDescent="0.25">
      <c r="A71">
        <v>70</v>
      </c>
      <c r="B71" s="139">
        <v>45474.622557870403</v>
      </c>
      <c r="C71" s="139">
        <v>45474.6240972222</v>
      </c>
      <c r="D71" t="s">
        <v>21016</v>
      </c>
      <c r="E71" t="s">
        <v>21017</v>
      </c>
      <c r="F71" s="141">
        <v>1368860</v>
      </c>
      <c r="G71" t="s">
        <v>8525</v>
      </c>
      <c r="H71" t="s">
        <v>837</v>
      </c>
      <c r="I71" s="141">
        <v>72432884</v>
      </c>
      <c r="J71" t="s">
        <v>21018</v>
      </c>
      <c r="K71" t="s">
        <v>30</v>
      </c>
      <c r="L71" t="s">
        <v>30</v>
      </c>
      <c r="M71" t="s">
        <v>51</v>
      </c>
      <c r="N71" s="141">
        <v>20</v>
      </c>
      <c r="O71" s="141">
        <v>991878086</v>
      </c>
      <c r="P71" t="s">
        <v>1172</v>
      </c>
      <c r="Q71" t="s">
        <v>4166</v>
      </c>
      <c r="R71" s="140">
        <v>37935</v>
      </c>
      <c r="S71" t="s">
        <v>20546</v>
      </c>
      <c r="T71" t="s">
        <v>20547</v>
      </c>
    </row>
    <row r="72" spans="1:20" x14ac:dyDescent="0.25">
      <c r="A72">
        <v>71</v>
      </c>
      <c r="B72" s="139">
        <v>45473.538182870398</v>
      </c>
      <c r="C72" s="139">
        <v>45474.812708333302</v>
      </c>
      <c r="D72" t="s">
        <v>21019</v>
      </c>
      <c r="E72" t="s">
        <v>21020</v>
      </c>
      <c r="F72" s="141">
        <v>1453334</v>
      </c>
      <c r="G72" t="s">
        <v>8522</v>
      </c>
      <c r="H72" t="s">
        <v>834</v>
      </c>
      <c r="I72" s="141">
        <v>73041155</v>
      </c>
      <c r="J72" t="s">
        <v>21021</v>
      </c>
      <c r="K72" t="s">
        <v>30</v>
      </c>
      <c r="L72" t="s">
        <v>30</v>
      </c>
      <c r="M72" t="s">
        <v>75</v>
      </c>
      <c r="N72" s="141">
        <v>27</v>
      </c>
      <c r="O72" s="141">
        <v>953026302</v>
      </c>
      <c r="P72" t="s">
        <v>1172</v>
      </c>
      <c r="Q72" t="s">
        <v>4166</v>
      </c>
      <c r="R72" s="140">
        <v>35546</v>
      </c>
      <c r="S72" t="s">
        <v>20546</v>
      </c>
      <c r="T72" t="s">
        <v>20547</v>
      </c>
    </row>
    <row r="73" spans="1:20" x14ac:dyDescent="0.25">
      <c r="A73">
        <v>72</v>
      </c>
      <c r="B73" s="139">
        <v>45474.826099537</v>
      </c>
      <c r="C73" s="139">
        <v>45474.8278125</v>
      </c>
      <c r="D73" t="s">
        <v>21022</v>
      </c>
      <c r="E73" t="s">
        <v>21023</v>
      </c>
      <c r="F73" s="141">
        <v>1399145</v>
      </c>
      <c r="G73" t="s">
        <v>8526</v>
      </c>
      <c r="H73" t="s">
        <v>835</v>
      </c>
      <c r="I73" s="141">
        <v>74201547</v>
      </c>
      <c r="J73" t="s">
        <v>21050</v>
      </c>
      <c r="K73" t="s">
        <v>30</v>
      </c>
      <c r="L73" t="s">
        <v>30</v>
      </c>
      <c r="M73" t="s">
        <v>50</v>
      </c>
      <c r="N73" s="141">
        <v>19</v>
      </c>
      <c r="O73" s="141">
        <v>955686085</v>
      </c>
      <c r="P73" t="s">
        <v>1172</v>
      </c>
      <c r="Q73" t="s">
        <v>4166</v>
      </c>
      <c r="R73" s="140">
        <v>38212</v>
      </c>
      <c r="S73" t="s">
        <v>20546</v>
      </c>
      <c r="T73" t="s">
        <v>20548</v>
      </c>
    </row>
    <row r="74" spans="1:20" x14ac:dyDescent="0.25">
      <c r="A74">
        <v>73</v>
      </c>
      <c r="B74" s="139">
        <v>45474.877789351798</v>
      </c>
      <c r="C74" s="139">
        <v>45474.879386574103</v>
      </c>
      <c r="D74" t="s">
        <v>21024</v>
      </c>
      <c r="E74" t="s">
        <v>21025</v>
      </c>
      <c r="F74" s="141">
        <v>1399858</v>
      </c>
      <c r="G74" t="s">
        <v>8524</v>
      </c>
      <c r="H74" t="s">
        <v>836</v>
      </c>
      <c r="I74" s="141">
        <v>48459252</v>
      </c>
      <c r="J74" t="s">
        <v>21026</v>
      </c>
      <c r="K74" t="s">
        <v>30</v>
      </c>
      <c r="L74" t="s">
        <v>54</v>
      </c>
      <c r="M74" t="s">
        <v>55</v>
      </c>
      <c r="N74" s="141">
        <v>29</v>
      </c>
      <c r="O74" s="141">
        <v>975370524</v>
      </c>
      <c r="P74" t="s">
        <v>1172</v>
      </c>
      <c r="Q74" t="s">
        <v>4166</v>
      </c>
      <c r="R74" s="140">
        <v>34665</v>
      </c>
      <c r="S74" t="s">
        <v>20546</v>
      </c>
      <c r="T74" t="s">
        <v>20547</v>
      </c>
    </row>
    <row r="75" spans="1:20" x14ac:dyDescent="0.25">
      <c r="A75">
        <v>74</v>
      </c>
      <c r="B75" s="139">
        <v>45474.8816898148</v>
      </c>
      <c r="C75" s="139">
        <v>45474.881979166697</v>
      </c>
      <c r="D75" t="s">
        <v>21027</v>
      </c>
      <c r="E75" t="s">
        <v>21028</v>
      </c>
      <c r="F75" s="141">
        <v>1447830</v>
      </c>
      <c r="G75" t="s">
        <v>8522</v>
      </c>
      <c r="H75" t="s">
        <v>835</v>
      </c>
      <c r="I75" s="141">
        <v>75650589</v>
      </c>
      <c r="J75" t="s">
        <v>21029</v>
      </c>
      <c r="K75" t="s">
        <v>30</v>
      </c>
      <c r="L75" t="s">
        <v>30</v>
      </c>
      <c r="M75" t="s">
        <v>75</v>
      </c>
      <c r="N75" s="141">
        <v>21</v>
      </c>
      <c r="O75" s="141">
        <v>970771184</v>
      </c>
      <c r="P75" t="s">
        <v>1172</v>
      </c>
      <c r="Q75" t="s">
        <v>4166</v>
      </c>
      <c r="R75" s="140">
        <v>37824</v>
      </c>
      <c r="S75" t="s">
        <v>20546</v>
      </c>
      <c r="T75" t="s">
        <v>20547</v>
      </c>
    </row>
    <row r="76" spans="1:20" x14ac:dyDescent="0.25">
      <c r="A76">
        <v>75</v>
      </c>
      <c r="B76" s="139">
        <v>45474.8833564815</v>
      </c>
      <c r="C76" s="139">
        <v>45474.888773148101</v>
      </c>
      <c r="D76" t="s">
        <v>21030</v>
      </c>
      <c r="E76" t="s">
        <v>21031</v>
      </c>
      <c r="F76" s="141">
        <v>1365803</v>
      </c>
      <c r="G76" t="s">
        <v>8526</v>
      </c>
      <c r="H76" t="s">
        <v>837</v>
      </c>
      <c r="I76" s="141">
        <v>75990569</v>
      </c>
      <c r="J76" t="s">
        <v>21051</v>
      </c>
      <c r="K76" t="s">
        <v>30</v>
      </c>
      <c r="L76" t="s">
        <v>30</v>
      </c>
      <c r="M76" t="s">
        <v>79</v>
      </c>
      <c r="N76" s="141">
        <v>21</v>
      </c>
      <c r="O76" s="141">
        <v>967936443</v>
      </c>
      <c r="P76" t="s">
        <v>1172</v>
      </c>
      <c r="Q76" t="s">
        <v>4166</v>
      </c>
      <c r="R76" s="140">
        <v>37560</v>
      </c>
      <c r="S76" t="s">
        <v>20546</v>
      </c>
      <c r="T76" t="s">
        <v>20548</v>
      </c>
    </row>
    <row r="77" spans="1:20" x14ac:dyDescent="0.25">
      <c r="A77">
        <v>76</v>
      </c>
      <c r="B77" s="139">
        <v>45475.500462962998</v>
      </c>
      <c r="C77" s="139">
        <v>45475.507569444402</v>
      </c>
      <c r="D77" t="s">
        <v>21032</v>
      </c>
      <c r="E77" t="s">
        <v>21033</v>
      </c>
      <c r="F77" s="141">
        <v>1410922</v>
      </c>
      <c r="G77" t="s">
        <v>8528</v>
      </c>
      <c r="H77" t="s">
        <v>836</v>
      </c>
      <c r="I77" s="141">
        <v>72133916</v>
      </c>
      <c r="J77" t="s">
        <v>21052</v>
      </c>
      <c r="K77" t="s">
        <v>30</v>
      </c>
      <c r="L77" t="s">
        <v>30</v>
      </c>
      <c r="M77" t="s">
        <v>85</v>
      </c>
      <c r="N77" s="141">
        <v>23</v>
      </c>
      <c r="O77" s="141">
        <v>961587890</v>
      </c>
      <c r="P77" t="s">
        <v>1172</v>
      </c>
      <c r="Q77" t="s">
        <v>4166</v>
      </c>
      <c r="R77" s="140">
        <v>36715</v>
      </c>
      <c r="S77" t="s">
        <v>20546</v>
      </c>
      <c r="T77" t="s">
        <v>20547</v>
      </c>
    </row>
    <row r="78" spans="1:20" x14ac:dyDescent="0.25">
      <c r="A78">
        <v>77</v>
      </c>
      <c r="B78" s="139">
        <v>45475.646805555603</v>
      </c>
      <c r="C78" s="139">
        <v>45475.6495138889</v>
      </c>
      <c r="D78" t="s">
        <v>21034</v>
      </c>
      <c r="E78" t="s">
        <v>21035</v>
      </c>
      <c r="F78" s="141">
        <v>1404710</v>
      </c>
      <c r="G78" t="s">
        <v>8524</v>
      </c>
      <c r="H78" t="s">
        <v>835</v>
      </c>
      <c r="I78" s="141">
        <v>72975003</v>
      </c>
      <c r="J78" t="s">
        <v>21036</v>
      </c>
      <c r="K78" t="s">
        <v>30</v>
      </c>
      <c r="L78" t="s">
        <v>30</v>
      </c>
      <c r="M78" t="s">
        <v>72</v>
      </c>
      <c r="N78" s="141">
        <v>20</v>
      </c>
      <c r="O78" s="141">
        <v>910329778</v>
      </c>
      <c r="P78" t="s">
        <v>1172</v>
      </c>
      <c r="Q78" t="s">
        <v>4166</v>
      </c>
      <c r="R78" s="140">
        <v>37831</v>
      </c>
      <c r="S78" t="s">
        <v>20546</v>
      </c>
      <c r="T78" t="s">
        <v>20547</v>
      </c>
    </row>
    <row r="79" spans="1:20" x14ac:dyDescent="0.25">
      <c r="A79">
        <v>78</v>
      </c>
      <c r="B79" s="139">
        <v>45475.7993055556</v>
      </c>
      <c r="C79" s="139">
        <v>45475.801099536999</v>
      </c>
      <c r="D79" t="s">
        <v>21037</v>
      </c>
      <c r="E79" t="s">
        <v>21038</v>
      </c>
      <c r="F79" s="141">
        <v>1259653</v>
      </c>
      <c r="G79" t="s">
        <v>8527</v>
      </c>
      <c r="H79" t="s">
        <v>837</v>
      </c>
      <c r="I79" s="141">
        <v>70850178</v>
      </c>
      <c r="J79" t="s">
        <v>21053</v>
      </c>
      <c r="K79" t="s">
        <v>30</v>
      </c>
      <c r="L79" t="s">
        <v>30</v>
      </c>
      <c r="M79" t="s">
        <v>30</v>
      </c>
      <c r="N79" s="141">
        <v>23</v>
      </c>
      <c r="O79" s="141">
        <v>975813660</v>
      </c>
      <c r="P79" t="s">
        <v>1172</v>
      </c>
      <c r="Q79" t="s">
        <v>4166</v>
      </c>
      <c r="R79" s="140">
        <v>37288</v>
      </c>
      <c r="S79" t="s">
        <v>20546</v>
      </c>
      <c r="T79" t="s">
        <v>20547</v>
      </c>
    </row>
    <row r="80" spans="1:20" x14ac:dyDescent="0.25">
      <c r="A80">
        <v>79</v>
      </c>
      <c r="B80" s="139">
        <v>45475.883136574099</v>
      </c>
      <c r="C80" s="139">
        <v>45475.887685185196</v>
      </c>
      <c r="D80" t="s">
        <v>21039</v>
      </c>
      <c r="E80" t="s">
        <v>21040</v>
      </c>
      <c r="F80" s="141">
        <v>1393237</v>
      </c>
      <c r="G80" t="s">
        <v>8528</v>
      </c>
      <c r="H80" t="s">
        <v>836</v>
      </c>
      <c r="I80" s="141">
        <v>71742632</v>
      </c>
      <c r="J80" t="s">
        <v>21041</v>
      </c>
      <c r="K80" t="s">
        <v>30</v>
      </c>
      <c r="L80" t="s">
        <v>30</v>
      </c>
      <c r="M80" t="s">
        <v>38</v>
      </c>
      <c r="N80" s="141">
        <v>22</v>
      </c>
      <c r="O80" s="141">
        <v>942367363</v>
      </c>
      <c r="P80" t="s">
        <v>1172</v>
      </c>
      <c r="Q80" t="s">
        <v>4166</v>
      </c>
      <c r="R80" s="140">
        <v>37100</v>
      </c>
      <c r="S80" t="s">
        <v>20546</v>
      </c>
      <c r="T80" t="s">
        <v>20548</v>
      </c>
    </row>
    <row r="81" spans="1:20" x14ac:dyDescent="0.25">
      <c r="A81">
        <v>80</v>
      </c>
      <c r="B81" s="139">
        <v>45475.949479166702</v>
      </c>
      <c r="C81" s="139">
        <v>45475.9512384259</v>
      </c>
      <c r="D81" t="s">
        <v>21042</v>
      </c>
      <c r="E81" t="s">
        <v>21043</v>
      </c>
      <c r="F81" s="141">
        <v>1491683</v>
      </c>
      <c r="G81" t="s">
        <v>8525</v>
      </c>
      <c r="H81" t="s">
        <v>834</v>
      </c>
      <c r="I81" s="141">
        <v>71889909</v>
      </c>
      <c r="J81" t="s">
        <v>21044</v>
      </c>
      <c r="K81" t="s">
        <v>30</v>
      </c>
      <c r="L81" t="s">
        <v>30</v>
      </c>
      <c r="M81" t="s">
        <v>75</v>
      </c>
      <c r="N81" s="141">
        <v>20</v>
      </c>
      <c r="O81" s="141">
        <v>985119516</v>
      </c>
      <c r="P81" t="s">
        <v>1172</v>
      </c>
      <c r="Q81" t="s">
        <v>4166</v>
      </c>
      <c r="R81" s="140">
        <v>37814</v>
      </c>
      <c r="S81" t="s">
        <v>20546</v>
      </c>
      <c r="T81" t="s">
        <v>20547</v>
      </c>
    </row>
    <row r="82" spans="1:20" x14ac:dyDescent="0.25">
      <c r="A82">
        <v>81</v>
      </c>
      <c r="B82" s="139">
        <v>45475.967905092599</v>
      </c>
      <c r="C82" s="139">
        <v>45475.972638888903</v>
      </c>
      <c r="D82" t="s">
        <v>21045</v>
      </c>
      <c r="E82" t="s">
        <v>21046</v>
      </c>
      <c r="F82" s="141">
        <v>1436015</v>
      </c>
      <c r="G82" t="s">
        <v>8526</v>
      </c>
      <c r="H82" t="s">
        <v>835</v>
      </c>
      <c r="I82" s="141">
        <v>75546890</v>
      </c>
      <c r="J82" t="s">
        <v>21047</v>
      </c>
      <c r="K82" t="s">
        <v>30</v>
      </c>
      <c r="L82" t="s">
        <v>30</v>
      </c>
      <c r="M82" t="s">
        <v>43</v>
      </c>
      <c r="N82" s="141">
        <v>19</v>
      </c>
      <c r="O82" s="141">
        <v>955847774</v>
      </c>
      <c r="P82" t="s">
        <v>1172</v>
      </c>
      <c r="Q82" t="s">
        <v>4166</v>
      </c>
      <c r="R82" s="140">
        <v>38239</v>
      </c>
      <c r="S82" t="s">
        <v>20546</v>
      </c>
      <c r="T82" t="s">
        <v>20548</v>
      </c>
    </row>
    <row r="83" spans="1:20" x14ac:dyDescent="0.25">
      <c r="A83">
        <v>82</v>
      </c>
      <c r="B83" s="139">
        <v>45476.000474537002</v>
      </c>
      <c r="C83" s="139">
        <v>45476.002835648098</v>
      </c>
      <c r="D83" t="s">
        <v>21048</v>
      </c>
      <c r="E83" t="s">
        <v>21049</v>
      </c>
      <c r="F83" s="141">
        <v>1422267</v>
      </c>
      <c r="G83" t="s">
        <v>8522</v>
      </c>
      <c r="H83" t="s">
        <v>835</v>
      </c>
      <c r="I83" s="141">
        <v>72873619</v>
      </c>
      <c r="J83" t="s">
        <v>21054</v>
      </c>
      <c r="K83" t="s">
        <v>30</v>
      </c>
      <c r="L83" t="s">
        <v>30</v>
      </c>
      <c r="M83" t="s">
        <v>79</v>
      </c>
      <c r="N83" s="141">
        <v>20</v>
      </c>
      <c r="O83" s="141">
        <v>998014477</v>
      </c>
      <c r="P83" t="s">
        <v>1172</v>
      </c>
      <c r="Q83" t="s">
        <v>4166</v>
      </c>
      <c r="R83" s="140">
        <v>37920</v>
      </c>
      <c r="S83" t="s">
        <v>20546</v>
      </c>
      <c r="T83" t="s">
        <v>20547</v>
      </c>
    </row>
    <row r="84" spans="1:20" x14ac:dyDescent="0.25">
      <c r="A84">
        <v>83</v>
      </c>
      <c r="B84" s="139">
        <v>45476.641215277799</v>
      </c>
      <c r="C84" s="139">
        <v>45476.642002314802</v>
      </c>
      <c r="D84" t="s">
        <v>21056</v>
      </c>
      <c r="E84" t="s">
        <v>21057</v>
      </c>
      <c r="F84" s="141">
        <v>1372896</v>
      </c>
      <c r="G84" t="s">
        <v>8526</v>
      </c>
      <c r="H84" t="s">
        <v>837</v>
      </c>
      <c r="I84" s="141">
        <v>73262409</v>
      </c>
      <c r="J84" t="s">
        <v>21087</v>
      </c>
      <c r="K84" t="s">
        <v>30</v>
      </c>
      <c r="L84" t="s">
        <v>30</v>
      </c>
      <c r="M84" t="s">
        <v>918</v>
      </c>
      <c r="N84" s="141">
        <v>20</v>
      </c>
      <c r="O84" s="141">
        <v>970452200</v>
      </c>
      <c r="P84" t="s">
        <v>1172</v>
      </c>
      <c r="Q84" t="s">
        <v>4166</v>
      </c>
      <c r="R84" s="140">
        <v>37873</v>
      </c>
      <c r="S84" t="s">
        <v>20546</v>
      </c>
      <c r="T84" t="s">
        <v>20547</v>
      </c>
    </row>
    <row r="85" spans="1:20" x14ac:dyDescent="0.25">
      <c r="A85">
        <v>84</v>
      </c>
      <c r="B85" s="139">
        <v>45476.713495370401</v>
      </c>
      <c r="C85" s="139">
        <v>45476.715590277803</v>
      </c>
      <c r="D85" t="s">
        <v>21058</v>
      </c>
      <c r="E85" t="s">
        <v>21059</v>
      </c>
      <c r="F85" s="141">
        <v>1377662</v>
      </c>
      <c r="G85" t="s">
        <v>8526</v>
      </c>
      <c r="H85" t="s">
        <v>837</v>
      </c>
      <c r="I85" s="141">
        <v>60071032</v>
      </c>
      <c r="J85" t="s">
        <v>21086</v>
      </c>
      <c r="K85" t="s">
        <v>30</v>
      </c>
      <c r="L85" t="s">
        <v>30</v>
      </c>
      <c r="M85" t="s">
        <v>85</v>
      </c>
      <c r="N85" s="141">
        <v>20</v>
      </c>
      <c r="O85" s="141">
        <v>943521737</v>
      </c>
      <c r="P85" t="s">
        <v>1172</v>
      </c>
      <c r="Q85" t="s">
        <v>4166</v>
      </c>
      <c r="R85" s="140">
        <v>38020</v>
      </c>
      <c r="S85" t="s">
        <v>20546</v>
      </c>
      <c r="T85" t="s">
        <v>20547</v>
      </c>
    </row>
    <row r="86" spans="1:20" x14ac:dyDescent="0.25">
      <c r="A86">
        <v>85</v>
      </c>
      <c r="B86" s="139">
        <v>45476.774282407401</v>
      </c>
      <c r="C86" s="139">
        <v>45476.776979166701</v>
      </c>
      <c r="D86" t="s">
        <v>21060</v>
      </c>
      <c r="E86" t="s">
        <v>21061</v>
      </c>
      <c r="F86" s="141">
        <v>1485459</v>
      </c>
      <c r="G86" t="s">
        <v>8525</v>
      </c>
      <c r="H86" t="s">
        <v>834</v>
      </c>
      <c r="I86" s="141">
        <v>71972743</v>
      </c>
      <c r="J86" t="s">
        <v>21088</v>
      </c>
      <c r="K86" t="s">
        <v>30</v>
      </c>
      <c r="L86" t="s">
        <v>30</v>
      </c>
      <c r="M86" t="s">
        <v>79</v>
      </c>
      <c r="N86" s="141">
        <v>19</v>
      </c>
      <c r="O86" s="141">
        <v>978780547</v>
      </c>
      <c r="P86" t="s">
        <v>1172</v>
      </c>
      <c r="Q86" t="s">
        <v>4166</v>
      </c>
      <c r="R86" s="140">
        <v>38346</v>
      </c>
      <c r="S86" t="s">
        <v>20546</v>
      </c>
      <c r="T86" t="s">
        <v>20547</v>
      </c>
    </row>
    <row r="87" spans="1:20" x14ac:dyDescent="0.25">
      <c r="A87">
        <v>86</v>
      </c>
      <c r="B87" s="139">
        <v>45476.795821759297</v>
      </c>
      <c r="C87" s="139">
        <v>45476.797812500001</v>
      </c>
      <c r="D87" t="s">
        <v>21062</v>
      </c>
      <c r="E87" t="s">
        <v>21063</v>
      </c>
      <c r="F87" s="141">
        <v>1381745</v>
      </c>
      <c r="G87" t="s">
        <v>8526</v>
      </c>
      <c r="H87" t="s">
        <v>837</v>
      </c>
      <c r="I87" s="141">
        <v>72319793</v>
      </c>
      <c r="J87" t="s">
        <v>21085</v>
      </c>
      <c r="K87" t="s">
        <v>30</v>
      </c>
      <c r="L87" t="s">
        <v>30</v>
      </c>
      <c r="M87" t="s">
        <v>74</v>
      </c>
      <c r="N87" s="141">
        <v>20</v>
      </c>
      <c r="O87" s="141">
        <v>929952658</v>
      </c>
      <c r="P87" t="s">
        <v>1172</v>
      </c>
      <c r="Q87" t="s">
        <v>4166</v>
      </c>
      <c r="R87" s="140">
        <v>37883</v>
      </c>
      <c r="S87" t="s">
        <v>20546</v>
      </c>
      <c r="T87" t="s">
        <v>20548</v>
      </c>
    </row>
    <row r="88" spans="1:20" x14ac:dyDescent="0.25">
      <c r="A88">
        <v>87</v>
      </c>
      <c r="B88" s="139">
        <v>45476.826180555603</v>
      </c>
      <c r="C88" s="139">
        <v>45476.830844907403</v>
      </c>
      <c r="D88" t="s">
        <v>21064</v>
      </c>
      <c r="E88" t="s">
        <v>21065</v>
      </c>
      <c r="F88" s="141">
        <v>447213</v>
      </c>
      <c r="G88" t="s">
        <v>8525</v>
      </c>
      <c r="H88" t="s">
        <v>834</v>
      </c>
      <c r="I88" s="141">
        <v>74244083</v>
      </c>
      <c r="J88" t="s">
        <v>21084</v>
      </c>
      <c r="K88" t="s">
        <v>30</v>
      </c>
      <c r="L88" t="s">
        <v>67</v>
      </c>
      <c r="M88" t="s">
        <v>81</v>
      </c>
      <c r="N88" s="141">
        <v>30</v>
      </c>
      <c r="O88" s="141">
        <v>968225517</v>
      </c>
      <c r="P88" t="s">
        <v>1172</v>
      </c>
      <c r="Q88" t="s">
        <v>4166</v>
      </c>
      <c r="R88" s="140">
        <v>34259</v>
      </c>
      <c r="S88" t="s">
        <v>20546</v>
      </c>
      <c r="T88" t="s">
        <v>20547</v>
      </c>
    </row>
    <row r="89" spans="1:20" x14ac:dyDescent="0.25">
      <c r="A89">
        <v>88</v>
      </c>
      <c r="B89" s="139">
        <v>45476.868680555599</v>
      </c>
      <c r="C89" s="139">
        <v>45476.872395833299</v>
      </c>
      <c r="D89" t="s">
        <v>21066</v>
      </c>
      <c r="E89" t="s">
        <v>21067</v>
      </c>
      <c r="F89" s="141">
        <v>1376892</v>
      </c>
      <c r="G89" t="s">
        <v>8526</v>
      </c>
      <c r="H89" t="s">
        <v>836</v>
      </c>
      <c r="I89" s="141">
        <v>76567007</v>
      </c>
      <c r="J89" t="s">
        <v>21068</v>
      </c>
      <c r="K89" t="s">
        <v>30</v>
      </c>
      <c r="L89" t="s">
        <v>30</v>
      </c>
      <c r="M89" t="s">
        <v>68</v>
      </c>
      <c r="N89" s="141">
        <v>23</v>
      </c>
      <c r="O89" s="141">
        <v>960854953</v>
      </c>
      <c r="P89" t="s">
        <v>1172</v>
      </c>
      <c r="Q89" t="s">
        <v>4166</v>
      </c>
      <c r="R89" s="140">
        <v>36959</v>
      </c>
      <c r="S89" t="s">
        <v>20546</v>
      </c>
      <c r="T89" t="s">
        <v>20548</v>
      </c>
    </row>
    <row r="90" spans="1:20" x14ac:dyDescent="0.25">
      <c r="A90">
        <v>89</v>
      </c>
      <c r="B90" s="139">
        <v>45476.899062500001</v>
      </c>
      <c r="C90" s="139">
        <v>45476.900532407402</v>
      </c>
      <c r="D90" t="s">
        <v>21069</v>
      </c>
      <c r="E90" t="s">
        <v>21070</v>
      </c>
      <c r="F90" s="141">
        <v>886798</v>
      </c>
      <c r="G90" t="s">
        <v>8526</v>
      </c>
      <c r="H90" t="s">
        <v>837</v>
      </c>
      <c r="I90" s="141">
        <v>72645515</v>
      </c>
      <c r="J90" t="s">
        <v>21071</v>
      </c>
      <c r="K90" t="s">
        <v>30</v>
      </c>
      <c r="L90" t="s">
        <v>30</v>
      </c>
      <c r="M90" t="s">
        <v>50</v>
      </c>
      <c r="N90" s="141">
        <v>27</v>
      </c>
      <c r="O90" s="141">
        <v>924916134</v>
      </c>
      <c r="P90" t="s">
        <v>1172</v>
      </c>
      <c r="Q90" t="s">
        <v>4166</v>
      </c>
      <c r="R90" s="140">
        <v>35291</v>
      </c>
      <c r="S90" t="s">
        <v>20546</v>
      </c>
      <c r="T90" t="s">
        <v>20548</v>
      </c>
    </row>
    <row r="91" spans="1:20" x14ac:dyDescent="0.25">
      <c r="A91">
        <v>90</v>
      </c>
      <c r="B91" s="139">
        <v>45477.363761574103</v>
      </c>
      <c r="C91" s="139">
        <v>45477.366354166697</v>
      </c>
      <c r="D91" t="s">
        <v>21072</v>
      </c>
      <c r="E91" t="s">
        <v>21073</v>
      </c>
      <c r="F91" s="141">
        <v>1359459</v>
      </c>
      <c r="G91" t="s">
        <v>8526</v>
      </c>
      <c r="H91" t="s">
        <v>837</v>
      </c>
      <c r="I91" s="141">
        <v>72251577</v>
      </c>
      <c r="J91" t="s">
        <v>21074</v>
      </c>
      <c r="K91" t="s">
        <v>30</v>
      </c>
      <c r="L91" t="s">
        <v>30</v>
      </c>
      <c r="M91" t="s">
        <v>60</v>
      </c>
      <c r="N91" s="141">
        <v>21</v>
      </c>
      <c r="O91" s="141">
        <v>945090819</v>
      </c>
      <c r="P91" t="s">
        <v>1172</v>
      </c>
      <c r="Q91" t="s">
        <v>4166</v>
      </c>
      <c r="R91" s="140">
        <v>37654</v>
      </c>
      <c r="S91" t="s">
        <v>20546</v>
      </c>
      <c r="T91" t="s">
        <v>20548</v>
      </c>
    </row>
    <row r="92" spans="1:20" x14ac:dyDescent="0.25">
      <c r="A92">
        <v>91</v>
      </c>
      <c r="B92" s="139">
        <v>45477.393263888902</v>
      </c>
      <c r="C92" s="139">
        <v>45477.398611111101</v>
      </c>
      <c r="D92" t="s">
        <v>21075</v>
      </c>
      <c r="E92" t="s">
        <v>21076</v>
      </c>
      <c r="F92" s="141">
        <v>1294851</v>
      </c>
      <c r="G92" t="s">
        <v>8528</v>
      </c>
      <c r="H92" t="s">
        <v>836</v>
      </c>
      <c r="I92" s="141">
        <v>70920427</v>
      </c>
      <c r="J92" t="s">
        <v>21083</v>
      </c>
      <c r="K92" t="s">
        <v>30</v>
      </c>
      <c r="L92" t="s">
        <v>67</v>
      </c>
      <c r="M92" t="s">
        <v>94</v>
      </c>
      <c r="N92" s="141">
        <v>21</v>
      </c>
      <c r="O92" s="141">
        <v>923143118</v>
      </c>
      <c r="P92" t="s">
        <v>1172</v>
      </c>
      <c r="Q92" t="s">
        <v>4166</v>
      </c>
      <c r="R92" s="140">
        <v>37582</v>
      </c>
      <c r="S92" t="s">
        <v>20546</v>
      </c>
      <c r="T92" t="s">
        <v>20548</v>
      </c>
    </row>
    <row r="93" spans="1:20" x14ac:dyDescent="0.25">
      <c r="A93">
        <v>92</v>
      </c>
      <c r="B93" s="139">
        <v>45477.511192129597</v>
      </c>
      <c r="C93" s="139">
        <v>45477.527905092596</v>
      </c>
      <c r="D93" t="s">
        <v>21077</v>
      </c>
      <c r="E93" t="s">
        <v>21078</v>
      </c>
      <c r="F93" s="141">
        <v>1418782</v>
      </c>
      <c r="G93" t="s">
        <v>8524</v>
      </c>
      <c r="H93" t="s">
        <v>835</v>
      </c>
      <c r="I93" s="141">
        <v>71514923</v>
      </c>
      <c r="J93" t="s">
        <v>21079</v>
      </c>
      <c r="K93" t="s">
        <v>30</v>
      </c>
      <c r="L93" t="s">
        <v>30</v>
      </c>
      <c r="M93" t="s">
        <v>58</v>
      </c>
      <c r="N93" s="141">
        <v>19</v>
      </c>
      <c r="O93" s="141">
        <v>917676670</v>
      </c>
      <c r="P93" t="s">
        <v>1172</v>
      </c>
      <c r="Q93" t="s">
        <v>4166</v>
      </c>
      <c r="R93" s="140">
        <v>38188</v>
      </c>
      <c r="S93" t="s">
        <v>20546</v>
      </c>
      <c r="T93" t="s">
        <v>20548</v>
      </c>
    </row>
    <row r="94" spans="1:20" x14ac:dyDescent="0.25">
      <c r="A94">
        <v>93</v>
      </c>
      <c r="B94" s="139">
        <v>45477.527858796297</v>
      </c>
      <c r="C94" s="139">
        <v>45477.5292708333</v>
      </c>
      <c r="D94" t="s">
        <v>21080</v>
      </c>
      <c r="E94" t="s">
        <v>21081</v>
      </c>
      <c r="F94" s="141">
        <v>1417589</v>
      </c>
      <c r="G94" t="s">
        <v>8522</v>
      </c>
      <c r="H94" t="s">
        <v>835</v>
      </c>
      <c r="I94" s="141">
        <v>74843713</v>
      </c>
      <c r="J94" t="s">
        <v>21082</v>
      </c>
      <c r="K94" t="s">
        <v>30</v>
      </c>
      <c r="L94" t="s">
        <v>30</v>
      </c>
      <c r="M94" t="s">
        <v>51</v>
      </c>
      <c r="N94" s="141">
        <v>20</v>
      </c>
      <c r="O94" s="141">
        <v>900975539</v>
      </c>
      <c r="P94" t="s">
        <v>1172</v>
      </c>
      <c r="Q94" t="s">
        <v>4166</v>
      </c>
      <c r="R94" s="140">
        <v>38087</v>
      </c>
      <c r="S94" t="s">
        <v>20546</v>
      </c>
      <c r="T94" t="s">
        <v>20547</v>
      </c>
    </row>
    <row r="95" spans="1:20" x14ac:dyDescent="0.25">
      <c r="A95">
        <v>94</v>
      </c>
      <c r="B95" s="139">
        <v>45477.676469907397</v>
      </c>
      <c r="C95" s="139">
        <v>45477.677291666703</v>
      </c>
      <c r="D95" t="s">
        <v>21089</v>
      </c>
      <c r="E95" t="s">
        <v>21090</v>
      </c>
      <c r="F95" s="141">
        <v>1311497</v>
      </c>
      <c r="G95" t="s">
        <v>8522</v>
      </c>
      <c r="H95" t="s">
        <v>837</v>
      </c>
      <c r="I95" s="141">
        <v>74239681</v>
      </c>
      <c r="J95" t="s">
        <v>21091</v>
      </c>
      <c r="K95" t="s">
        <v>30</v>
      </c>
      <c r="L95" t="s">
        <v>30</v>
      </c>
      <c r="M95" t="s">
        <v>50</v>
      </c>
      <c r="N95" s="141">
        <v>23</v>
      </c>
      <c r="O95" s="141">
        <v>955047239</v>
      </c>
      <c r="P95" t="s">
        <v>1172</v>
      </c>
      <c r="Q95" t="s">
        <v>4166</v>
      </c>
      <c r="R95" s="140">
        <v>36929</v>
      </c>
      <c r="S95" t="s">
        <v>20546</v>
      </c>
      <c r="T95" t="s">
        <v>20547</v>
      </c>
    </row>
    <row r="96" spans="1:20" x14ac:dyDescent="0.25">
      <c r="A96">
        <v>95</v>
      </c>
      <c r="B96" s="139">
        <v>45477.8048263889</v>
      </c>
      <c r="C96" s="139">
        <v>45477.806550925903</v>
      </c>
      <c r="D96" t="s">
        <v>21092</v>
      </c>
      <c r="E96" t="s">
        <v>21093</v>
      </c>
      <c r="F96" s="141">
        <v>1410117</v>
      </c>
      <c r="G96" t="s">
        <v>8525</v>
      </c>
      <c r="H96" t="s">
        <v>834</v>
      </c>
      <c r="I96" s="141">
        <v>74724442</v>
      </c>
      <c r="J96" t="s">
        <v>21094</v>
      </c>
      <c r="K96" t="s">
        <v>30</v>
      </c>
      <c r="L96" t="s">
        <v>30</v>
      </c>
      <c r="M96" t="s">
        <v>918</v>
      </c>
      <c r="N96" s="141">
        <v>18</v>
      </c>
      <c r="O96" s="141">
        <v>919531857</v>
      </c>
      <c r="P96" t="s">
        <v>1172</v>
      </c>
      <c r="Q96" t="s">
        <v>4166</v>
      </c>
      <c r="R96" s="140">
        <v>38561</v>
      </c>
      <c r="S96" t="s">
        <v>20546</v>
      </c>
      <c r="T96" t="s">
        <v>20547</v>
      </c>
    </row>
    <row r="97" spans="1:20" x14ac:dyDescent="0.25">
      <c r="A97">
        <v>96</v>
      </c>
      <c r="B97" s="139">
        <v>45477.86</v>
      </c>
      <c r="C97" s="139">
        <v>45477.861296296302</v>
      </c>
      <c r="D97" t="s">
        <v>21095</v>
      </c>
      <c r="E97" t="s">
        <v>21096</v>
      </c>
      <c r="F97" s="141">
        <v>1446237</v>
      </c>
      <c r="G97" t="s">
        <v>8526</v>
      </c>
      <c r="H97" t="s">
        <v>834</v>
      </c>
      <c r="I97" s="141">
        <v>72393573</v>
      </c>
      <c r="J97" t="s">
        <v>21097</v>
      </c>
      <c r="K97" t="s">
        <v>30</v>
      </c>
      <c r="L97" t="s">
        <v>67</v>
      </c>
      <c r="M97" t="s">
        <v>72</v>
      </c>
      <c r="N97" s="141">
        <v>19</v>
      </c>
      <c r="O97" s="141">
        <v>971210193</v>
      </c>
      <c r="P97" t="s">
        <v>1172</v>
      </c>
      <c r="Q97" t="s">
        <v>4166</v>
      </c>
      <c r="R97" s="140">
        <v>38254</v>
      </c>
      <c r="S97" t="s">
        <v>20546</v>
      </c>
      <c r="T97" t="s">
        <v>20547</v>
      </c>
    </row>
    <row r="98" spans="1:20" x14ac:dyDescent="0.25">
      <c r="A98">
        <v>97</v>
      </c>
      <c r="B98" s="139">
        <v>45477.859270833302</v>
      </c>
      <c r="C98" s="139">
        <v>45477.869872685202</v>
      </c>
      <c r="D98" t="s">
        <v>21098</v>
      </c>
      <c r="E98" t="s">
        <v>21099</v>
      </c>
      <c r="F98" s="141">
        <v>1479990</v>
      </c>
      <c r="G98" t="s">
        <v>8525</v>
      </c>
      <c r="H98" t="s">
        <v>834</v>
      </c>
      <c r="I98" s="141">
        <v>44175129</v>
      </c>
      <c r="J98" t="s">
        <v>21100</v>
      </c>
      <c r="K98" t="s">
        <v>30</v>
      </c>
      <c r="L98" t="s">
        <v>30</v>
      </c>
      <c r="M98" t="s">
        <v>43</v>
      </c>
      <c r="N98" s="141">
        <v>37</v>
      </c>
      <c r="O98" s="141">
        <v>972580997</v>
      </c>
      <c r="P98" t="s">
        <v>1172</v>
      </c>
      <c r="Q98" t="s">
        <v>4166</v>
      </c>
      <c r="R98" s="140">
        <v>31778</v>
      </c>
      <c r="S98" t="s">
        <v>20546</v>
      </c>
      <c r="T98" t="s">
        <v>20547</v>
      </c>
    </row>
    <row r="99" spans="1:20" x14ac:dyDescent="0.25">
      <c r="A99">
        <v>98</v>
      </c>
      <c r="B99" s="139">
        <v>45478.406053240702</v>
      </c>
      <c r="C99" s="139">
        <v>45478.415335648097</v>
      </c>
      <c r="D99" t="s">
        <v>21101</v>
      </c>
      <c r="E99" t="s">
        <v>21102</v>
      </c>
      <c r="F99" s="141">
        <v>1418780</v>
      </c>
      <c r="G99" t="s">
        <v>8527</v>
      </c>
      <c r="H99" t="s">
        <v>835</v>
      </c>
      <c r="I99" s="141">
        <v>71486097</v>
      </c>
      <c r="J99" t="s">
        <v>21103</v>
      </c>
      <c r="K99" t="s">
        <v>30</v>
      </c>
      <c r="L99" t="s">
        <v>30</v>
      </c>
      <c r="M99" t="s">
        <v>45</v>
      </c>
      <c r="N99" s="141">
        <v>32</v>
      </c>
      <c r="O99" s="141">
        <v>992228089</v>
      </c>
      <c r="P99" t="s">
        <v>1172</v>
      </c>
      <c r="Q99" t="s">
        <v>4166</v>
      </c>
      <c r="R99" s="140">
        <v>33807</v>
      </c>
      <c r="S99" t="s">
        <v>20546</v>
      </c>
      <c r="T99" t="s">
        <v>20548</v>
      </c>
    </row>
    <row r="100" spans="1:20" x14ac:dyDescent="0.25">
      <c r="A100">
        <v>99</v>
      </c>
      <c r="B100" s="139">
        <v>45478.590358796297</v>
      </c>
      <c r="C100" s="139">
        <v>45478.592372685198</v>
      </c>
      <c r="D100" t="s">
        <v>21104</v>
      </c>
      <c r="E100" t="s">
        <v>21105</v>
      </c>
      <c r="F100" s="141">
        <v>1302411</v>
      </c>
      <c r="G100" t="s">
        <v>8522</v>
      </c>
      <c r="H100" t="s">
        <v>836</v>
      </c>
      <c r="I100" s="141">
        <v>75283548</v>
      </c>
      <c r="J100" t="s">
        <v>21106</v>
      </c>
      <c r="K100" t="s">
        <v>30</v>
      </c>
      <c r="L100" t="s">
        <v>30</v>
      </c>
      <c r="M100" t="s">
        <v>918</v>
      </c>
      <c r="N100" s="141">
        <v>21</v>
      </c>
      <c r="O100" s="141">
        <v>922950189</v>
      </c>
      <c r="P100" t="s">
        <v>1172</v>
      </c>
      <c r="Q100" t="s">
        <v>4166</v>
      </c>
      <c r="R100" s="140">
        <v>37502</v>
      </c>
      <c r="S100" t="s">
        <v>20546</v>
      </c>
      <c r="T100" t="s">
        <v>20547</v>
      </c>
    </row>
    <row r="101" spans="1:20" x14ac:dyDescent="0.25">
      <c r="A101">
        <v>100</v>
      </c>
      <c r="B101" s="139">
        <v>45478.666620370401</v>
      </c>
      <c r="C101" s="139">
        <v>45478.673391203702</v>
      </c>
      <c r="D101" t="s">
        <v>21107</v>
      </c>
      <c r="E101" t="s">
        <v>21108</v>
      </c>
      <c r="F101" s="141">
        <v>1411572</v>
      </c>
      <c r="G101" t="s">
        <v>8527</v>
      </c>
      <c r="H101" t="s">
        <v>835</v>
      </c>
      <c r="I101" s="141">
        <v>71329975</v>
      </c>
      <c r="J101" t="s">
        <v>21133</v>
      </c>
      <c r="K101" t="s">
        <v>30</v>
      </c>
      <c r="L101" t="s">
        <v>30</v>
      </c>
      <c r="M101" t="s">
        <v>40</v>
      </c>
      <c r="N101" s="141">
        <v>20</v>
      </c>
      <c r="O101" s="141">
        <v>997125641</v>
      </c>
      <c r="P101" t="s">
        <v>1172</v>
      </c>
      <c r="Q101" t="s">
        <v>4166</v>
      </c>
      <c r="R101" s="140">
        <v>38028</v>
      </c>
      <c r="S101" t="s">
        <v>20546</v>
      </c>
      <c r="T101" t="s">
        <v>20547</v>
      </c>
    </row>
    <row r="102" spans="1:20" x14ac:dyDescent="0.25">
      <c r="A102">
        <v>101</v>
      </c>
      <c r="B102" s="139">
        <v>45478.708923611099</v>
      </c>
      <c r="C102" s="139">
        <v>45478.710694444402</v>
      </c>
      <c r="D102" t="s">
        <v>21109</v>
      </c>
      <c r="E102" t="s">
        <v>21110</v>
      </c>
      <c r="F102" s="141">
        <v>1431917</v>
      </c>
      <c r="G102" t="s">
        <v>8522</v>
      </c>
      <c r="H102" t="s">
        <v>835</v>
      </c>
      <c r="I102" s="141">
        <v>73012442</v>
      </c>
      <c r="J102" t="s">
        <v>21111</v>
      </c>
      <c r="K102" t="s">
        <v>30</v>
      </c>
      <c r="L102" t="s">
        <v>67</v>
      </c>
      <c r="M102" t="s">
        <v>67</v>
      </c>
      <c r="N102" s="141">
        <v>19</v>
      </c>
      <c r="O102" s="141">
        <v>963267946</v>
      </c>
      <c r="P102" t="s">
        <v>1172</v>
      </c>
      <c r="Q102" t="s">
        <v>4166</v>
      </c>
      <c r="R102" s="140">
        <v>45368</v>
      </c>
      <c r="S102" t="s">
        <v>20546</v>
      </c>
      <c r="T102" t="s">
        <v>20548</v>
      </c>
    </row>
    <row r="103" spans="1:20" x14ac:dyDescent="0.25">
      <c r="A103">
        <v>102</v>
      </c>
      <c r="B103" s="139">
        <v>45478.733182870397</v>
      </c>
      <c r="C103" s="139">
        <v>45478.7354513889</v>
      </c>
      <c r="D103" t="s">
        <v>21112</v>
      </c>
      <c r="E103" t="s">
        <v>21113</v>
      </c>
      <c r="F103" s="141">
        <v>1440468</v>
      </c>
      <c r="G103" t="s">
        <v>8522</v>
      </c>
      <c r="H103" t="s">
        <v>835</v>
      </c>
      <c r="I103" s="141">
        <v>76240726</v>
      </c>
      <c r="J103" t="s">
        <v>21114</v>
      </c>
      <c r="K103" t="s">
        <v>30</v>
      </c>
      <c r="L103" t="s">
        <v>67</v>
      </c>
      <c r="M103" t="s">
        <v>94</v>
      </c>
      <c r="N103" s="141">
        <v>19</v>
      </c>
      <c r="O103" s="141">
        <v>922626032</v>
      </c>
      <c r="P103" t="s">
        <v>1172</v>
      </c>
      <c r="Q103" t="s">
        <v>4166</v>
      </c>
      <c r="R103" s="140">
        <v>38294</v>
      </c>
      <c r="S103" t="s">
        <v>20546</v>
      </c>
      <c r="T103" t="s">
        <v>20547</v>
      </c>
    </row>
    <row r="104" spans="1:20" x14ac:dyDescent="0.25">
      <c r="A104">
        <v>103</v>
      </c>
      <c r="B104" s="139">
        <v>45478.934722222199</v>
      </c>
      <c r="C104" s="139">
        <v>45478.936249999999</v>
      </c>
      <c r="D104" t="s">
        <v>21115</v>
      </c>
      <c r="E104" t="s">
        <v>21116</v>
      </c>
      <c r="F104" s="141">
        <v>1386957</v>
      </c>
      <c r="G104" t="s">
        <v>8526</v>
      </c>
      <c r="H104" t="s">
        <v>836</v>
      </c>
      <c r="I104" s="141">
        <v>74951023</v>
      </c>
      <c r="J104" t="s">
        <v>21117</v>
      </c>
      <c r="K104" t="s">
        <v>30</v>
      </c>
      <c r="L104" t="s">
        <v>30</v>
      </c>
      <c r="M104" t="s">
        <v>45</v>
      </c>
      <c r="N104" s="141">
        <v>20</v>
      </c>
      <c r="O104" s="141">
        <v>972188963</v>
      </c>
      <c r="P104" t="s">
        <v>1172</v>
      </c>
      <c r="Q104" t="s">
        <v>4166</v>
      </c>
      <c r="R104" s="140">
        <v>37950</v>
      </c>
      <c r="S104" t="s">
        <v>20546</v>
      </c>
      <c r="T104" t="s">
        <v>20547</v>
      </c>
    </row>
    <row r="105" spans="1:20" x14ac:dyDescent="0.25">
      <c r="A105">
        <v>104</v>
      </c>
      <c r="B105" s="139">
        <v>45478.9347569444</v>
      </c>
      <c r="C105" s="139">
        <v>45478.937071759297</v>
      </c>
      <c r="D105" t="s">
        <v>21118</v>
      </c>
      <c r="E105" t="s">
        <v>21119</v>
      </c>
      <c r="F105" s="141">
        <v>1379183</v>
      </c>
      <c r="G105" t="s">
        <v>8526</v>
      </c>
      <c r="H105" t="s">
        <v>837</v>
      </c>
      <c r="I105" s="141">
        <v>70919190</v>
      </c>
      <c r="J105" t="s">
        <v>21120</v>
      </c>
      <c r="K105" t="s">
        <v>30</v>
      </c>
      <c r="L105" t="s">
        <v>30</v>
      </c>
      <c r="M105" t="s">
        <v>43</v>
      </c>
      <c r="N105" s="141">
        <v>32</v>
      </c>
      <c r="O105" s="141">
        <v>991588104</v>
      </c>
      <c r="P105" t="s">
        <v>1172</v>
      </c>
      <c r="Q105" t="s">
        <v>4166</v>
      </c>
      <c r="R105" s="140">
        <v>33603</v>
      </c>
      <c r="S105" t="s">
        <v>20546</v>
      </c>
      <c r="T105" t="s">
        <v>20547</v>
      </c>
    </row>
    <row r="106" spans="1:20" x14ac:dyDescent="0.25">
      <c r="A106">
        <v>105</v>
      </c>
      <c r="B106" s="139">
        <v>45479.553194444401</v>
      </c>
      <c r="C106" s="139">
        <v>45479.555486111101</v>
      </c>
      <c r="D106" t="s">
        <v>21121</v>
      </c>
      <c r="E106" t="s">
        <v>21122</v>
      </c>
      <c r="F106" s="141">
        <v>1055863</v>
      </c>
      <c r="G106" t="s">
        <v>8528</v>
      </c>
      <c r="H106" t="s">
        <v>836</v>
      </c>
      <c r="I106" s="141">
        <v>74644357</v>
      </c>
      <c r="J106" t="s">
        <v>21123</v>
      </c>
      <c r="K106" t="s">
        <v>30</v>
      </c>
      <c r="L106" t="s">
        <v>30</v>
      </c>
      <c r="M106" t="s">
        <v>45</v>
      </c>
      <c r="N106" s="141">
        <v>25</v>
      </c>
      <c r="O106" s="141">
        <v>920482632</v>
      </c>
      <c r="P106" t="s">
        <v>1172</v>
      </c>
      <c r="Q106" t="s">
        <v>4166</v>
      </c>
      <c r="R106" s="140">
        <v>36319</v>
      </c>
      <c r="S106" t="s">
        <v>20546</v>
      </c>
      <c r="T106" t="s">
        <v>20547</v>
      </c>
    </row>
    <row r="107" spans="1:20" x14ac:dyDescent="0.25">
      <c r="A107">
        <v>106</v>
      </c>
      <c r="B107" s="139">
        <v>45479.829259259299</v>
      </c>
      <c r="C107" s="139">
        <v>45479.830659722204</v>
      </c>
      <c r="D107" t="s">
        <v>21124</v>
      </c>
      <c r="E107" t="s">
        <v>21125</v>
      </c>
      <c r="F107" s="141">
        <v>1442774</v>
      </c>
      <c r="G107" t="s">
        <v>8527</v>
      </c>
      <c r="H107" t="s">
        <v>834</v>
      </c>
      <c r="I107" s="141">
        <v>77222033</v>
      </c>
      <c r="J107" t="s">
        <v>21126</v>
      </c>
      <c r="K107" t="s">
        <v>30</v>
      </c>
      <c r="L107" t="s">
        <v>30</v>
      </c>
      <c r="M107" t="s">
        <v>75</v>
      </c>
      <c r="N107" s="141">
        <v>19</v>
      </c>
      <c r="O107" s="141">
        <v>928102309</v>
      </c>
      <c r="P107" t="s">
        <v>1172</v>
      </c>
      <c r="Q107" t="s">
        <v>4166</v>
      </c>
      <c r="R107" s="140">
        <v>38362</v>
      </c>
      <c r="S107" t="s">
        <v>20546</v>
      </c>
      <c r="T107" t="s">
        <v>20547</v>
      </c>
    </row>
    <row r="108" spans="1:20" x14ac:dyDescent="0.25">
      <c r="A108">
        <v>107</v>
      </c>
      <c r="B108" s="139">
        <v>45479.9854976852</v>
      </c>
      <c r="C108" s="139">
        <v>45479.988599536999</v>
      </c>
      <c r="D108" t="s">
        <v>21127</v>
      </c>
      <c r="E108" t="s">
        <v>21128</v>
      </c>
      <c r="F108" s="141">
        <v>1062168</v>
      </c>
      <c r="G108" t="s">
        <v>8527</v>
      </c>
      <c r="H108" t="s">
        <v>837</v>
      </c>
      <c r="I108" s="141">
        <v>74179232</v>
      </c>
      <c r="J108" t="s">
        <v>21132</v>
      </c>
      <c r="K108" t="s">
        <v>30</v>
      </c>
      <c r="L108" t="s">
        <v>30</v>
      </c>
      <c r="M108" t="s">
        <v>58</v>
      </c>
      <c r="N108" s="141">
        <v>26</v>
      </c>
      <c r="O108" s="141">
        <v>983346562</v>
      </c>
      <c r="P108" t="s">
        <v>1172</v>
      </c>
      <c r="Q108" t="s">
        <v>4166</v>
      </c>
      <c r="R108" s="140">
        <v>35933</v>
      </c>
      <c r="S108" t="s">
        <v>20546</v>
      </c>
      <c r="T108" t="s">
        <v>20547</v>
      </c>
    </row>
    <row r="109" spans="1:20" x14ac:dyDescent="0.25">
      <c r="A109">
        <v>108</v>
      </c>
      <c r="B109" s="139">
        <v>45480.763900462996</v>
      </c>
      <c r="C109" s="139">
        <v>45480.766319444403</v>
      </c>
      <c r="D109" t="s">
        <v>21129</v>
      </c>
      <c r="E109" t="s">
        <v>21130</v>
      </c>
      <c r="F109" s="141">
        <v>1303104</v>
      </c>
      <c r="G109" t="s">
        <v>8527</v>
      </c>
      <c r="H109" t="s">
        <v>837</v>
      </c>
      <c r="I109" s="141">
        <v>76374635</v>
      </c>
      <c r="J109" t="s">
        <v>21131</v>
      </c>
      <c r="K109" t="s">
        <v>30</v>
      </c>
      <c r="L109" t="s">
        <v>31</v>
      </c>
      <c r="M109" t="s">
        <v>92</v>
      </c>
      <c r="N109" s="141">
        <v>21</v>
      </c>
      <c r="O109" s="141">
        <v>903532883</v>
      </c>
      <c r="P109" t="s">
        <v>1172</v>
      </c>
      <c r="Q109" t="s">
        <v>4166</v>
      </c>
      <c r="R109" s="140">
        <v>37726</v>
      </c>
      <c r="S109" t="s">
        <v>20546</v>
      </c>
      <c r="T109" t="s">
        <v>20547</v>
      </c>
    </row>
    <row r="110" spans="1:20" x14ac:dyDescent="0.25">
      <c r="A110">
        <v>109</v>
      </c>
      <c r="B110" s="139">
        <v>45481.750474537002</v>
      </c>
      <c r="C110" s="139">
        <v>45481.753067129597</v>
      </c>
      <c r="D110" t="s">
        <v>21134</v>
      </c>
      <c r="E110" t="s">
        <v>21135</v>
      </c>
      <c r="F110" s="141">
        <v>1478827</v>
      </c>
      <c r="G110" t="s">
        <v>8522</v>
      </c>
      <c r="H110" t="s">
        <v>834</v>
      </c>
      <c r="I110" s="141">
        <v>74832035</v>
      </c>
      <c r="J110" t="s">
        <v>21136</v>
      </c>
      <c r="K110" t="s">
        <v>30</v>
      </c>
      <c r="L110" t="s">
        <v>30</v>
      </c>
      <c r="M110" t="s">
        <v>51</v>
      </c>
      <c r="N110" s="141">
        <v>19</v>
      </c>
      <c r="O110" s="141">
        <v>993420416</v>
      </c>
      <c r="P110" t="s">
        <v>1172</v>
      </c>
      <c r="Q110" t="s">
        <v>4166</v>
      </c>
      <c r="R110" s="140">
        <v>38393</v>
      </c>
      <c r="S110" t="s">
        <v>20546</v>
      </c>
      <c r="T110" t="s">
        <v>20547</v>
      </c>
    </row>
    <row r="111" spans="1:20" x14ac:dyDescent="0.25">
      <c r="A111">
        <v>110</v>
      </c>
      <c r="B111" s="139">
        <v>45481.764710648102</v>
      </c>
      <c r="C111" s="139">
        <v>45481.766712962999</v>
      </c>
      <c r="D111" t="s">
        <v>21137</v>
      </c>
      <c r="E111" t="s">
        <v>21138</v>
      </c>
      <c r="F111" s="141">
        <v>1303406</v>
      </c>
      <c r="G111" t="s">
        <v>8527</v>
      </c>
      <c r="H111" t="s">
        <v>837</v>
      </c>
      <c r="I111" s="141">
        <v>74935044</v>
      </c>
      <c r="J111" t="s">
        <v>21139</v>
      </c>
      <c r="K111" t="s">
        <v>30</v>
      </c>
      <c r="L111" t="s">
        <v>30</v>
      </c>
      <c r="M111" t="s">
        <v>72</v>
      </c>
      <c r="N111" s="141">
        <v>21</v>
      </c>
      <c r="O111" s="141">
        <v>960401068</v>
      </c>
      <c r="P111" t="s">
        <v>1172</v>
      </c>
      <c r="Q111" t="s">
        <v>4166</v>
      </c>
      <c r="R111" s="140">
        <v>37583</v>
      </c>
      <c r="S111" t="s">
        <v>20546</v>
      </c>
      <c r="T111" t="s">
        <v>20547</v>
      </c>
    </row>
    <row r="112" spans="1:20" x14ac:dyDescent="0.25">
      <c r="A112">
        <v>111</v>
      </c>
      <c r="B112" s="139">
        <v>45481.787662037001</v>
      </c>
      <c r="C112" s="139">
        <v>45481.788900462998</v>
      </c>
      <c r="D112" t="s">
        <v>21140</v>
      </c>
      <c r="E112" t="s">
        <v>21141</v>
      </c>
      <c r="F112" s="141">
        <v>1445073</v>
      </c>
      <c r="G112" t="s">
        <v>8526</v>
      </c>
      <c r="H112" t="s">
        <v>835</v>
      </c>
      <c r="I112" s="141">
        <v>74391759</v>
      </c>
      <c r="J112" t="s">
        <v>21142</v>
      </c>
      <c r="K112" t="s">
        <v>30</v>
      </c>
      <c r="L112" t="s">
        <v>30</v>
      </c>
      <c r="M112" t="s">
        <v>45</v>
      </c>
      <c r="N112" s="141">
        <v>18</v>
      </c>
      <c r="O112" s="141">
        <v>942810285</v>
      </c>
      <c r="P112" t="s">
        <v>1172</v>
      </c>
      <c r="Q112" t="s">
        <v>4166</v>
      </c>
      <c r="R112" s="140">
        <v>38800</v>
      </c>
      <c r="S112" t="s">
        <v>20546</v>
      </c>
      <c r="T112" t="s">
        <v>20548</v>
      </c>
    </row>
    <row r="113" spans="1:20" x14ac:dyDescent="0.25">
      <c r="A113">
        <v>112</v>
      </c>
      <c r="B113" s="139">
        <v>45481.799074074101</v>
      </c>
      <c r="C113" s="139">
        <v>45481.802662037</v>
      </c>
      <c r="D113" t="s">
        <v>21143</v>
      </c>
      <c r="E113" t="s">
        <v>21144</v>
      </c>
      <c r="F113" s="141">
        <v>1476131</v>
      </c>
      <c r="G113" t="s">
        <v>8522</v>
      </c>
      <c r="H113" t="s">
        <v>834</v>
      </c>
      <c r="I113" s="141">
        <v>73779667</v>
      </c>
      <c r="J113" t="s">
        <v>21145</v>
      </c>
      <c r="K113" t="s">
        <v>30</v>
      </c>
      <c r="L113" t="s">
        <v>48</v>
      </c>
      <c r="M113" t="s">
        <v>155</v>
      </c>
      <c r="N113" s="141">
        <v>19</v>
      </c>
      <c r="O113" s="141">
        <v>917476653</v>
      </c>
      <c r="P113" t="s">
        <v>1172</v>
      </c>
      <c r="Q113" t="s">
        <v>4166</v>
      </c>
      <c r="R113" s="140">
        <v>38198</v>
      </c>
      <c r="S113" t="s">
        <v>20546</v>
      </c>
      <c r="T113" t="s">
        <v>20547</v>
      </c>
    </row>
    <row r="114" spans="1:20" x14ac:dyDescent="0.25">
      <c r="A114">
        <v>113</v>
      </c>
      <c r="B114" s="139">
        <v>45481.817071759302</v>
      </c>
      <c r="C114" s="139">
        <v>45481.818819444401</v>
      </c>
      <c r="D114" t="s">
        <v>21146</v>
      </c>
      <c r="E114" t="s">
        <v>21147</v>
      </c>
      <c r="F114" s="141">
        <v>1480563</v>
      </c>
      <c r="G114" t="s">
        <v>8522</v>
      </c>
      <c r="H114" t="s">
        <v>834</v>
      </c>
      <c r="I114" s="141">
        <v>62164893</v>
      </c>
      <c r="J114" t="s">
        <v>21148</v>
      </c>
      <c r="K114" t="s">
        <v>30</v>
      </c>
      <c r="L114" t="s">
        <v>30</v>
      </c>
      <c r="M114" t="s">
        <v>43</v>
      </c>
      <c r="N114" s="141">
        <v>19</v>
      </c>
      <c r="O114" s="141">
        <v>993251380</v>
      </c>
      <c r="P114" t="s">
        <v>1172</v>
      </c>
      <c r="Q114" t="s">
        <v>4166</v>
      </c>
      <c r="R114" s="140">
        <v>38371</v>
      </c>
      <c r="S114" t="s">
        <v>20546</v>
      </c>
      <c r="T114" t="s">
        <v>20547</v>
      </c>
    </row>
    <row r="115" spans="1:20" x14ac:dyDescent="0.25">
      <c r="A115">
        <v>114</v>
      </c>
      <c r="B115" s="139">
        <v>45481.870972222197</v>
      </c>
      <c r="C115" s="139">
        <v>45481.873680555596</v>
      </c>
      <c r="D115" t="s">
        <v>21149</v>
      </c>
      <c r="E115" t="s">
        <v>21150</v>
      </c>
      <c r="F115" s="141">
        <v>1423852</v>
      </c>
      <c r="G115" t="s">
        <v>8527</v>
      </c>
      <c r="H115" t="s">
        <v>835</v>
      </c>
      <c r="I115" s="141">
        <v>73987008</v>
      </c>
      <c r="J115" t="s">
        <v>21151</v>
      </c>
      <c r="K115" t="s">
        <v>30</v>
      </c>
      <c r="L115" t="s">
        <v>30</v>
      </c>
      <c r="M115" t="s">
        <v>75</v>
      </c>
      <c r="N115" s="141">
        <v>23</v>
      </c>
      <c r="O115" s="141">
        <v>925392771</v>
      </c>
      <c r="P115" t="s">
        <v>1172</v>
      </c>
      <c r="Q115" t="s">
        <v>4166</v>
      </c>
      <c r="R115" s="140">
        <v>36772</v>
      </c>
      <c r="S115" t="s">
        <v>20546</v>
      </c>
      <c r="T115" t="s">
        <v>20548</v>
      </c>
    </row>
    <row r="116" spans="1:20" x14ac:dyDescent="0.25">
      <c r="A116">
        <v>115</v>
      </c>
      <c r="B116" s="139">
        <v>45481.886666666702</v>
      </c>
      <c r="C116" s="139">
        <v>45481.891516203701</v>
      </c>
      <c r="D116" t="s">
        <v>21152</v>
      </c>
      <c r="E116" t="s">
        <v>21153</v>
      </c>
      <c r="F116" s="141">
        <v>1481761</v>
      </c>
      <c r="G116" t="s">
        <v>8527</v>
      </c>
      <c r="H116" t="s">
        <v>834</v>
      </c>
      <c r="I116" s="141">
        <v>72523504</v>
      </c>
      <c r="J116" t="s">
        <v>21154</v>
      </c>
      <c r="K116" t="s">
        <v>30</v>
      </c>
      <c r="L116" t="s">
        <v>30</v>
      </c>
      <c r="M116" t="s">
        <v>34</v>
      </c>
      <c r="N116" s="141">
        <v>20</v>
      </c>
      <c r="O116" s="141">
        <v>920424167</v>
      </c>
      <c r="P116" t="s">
        <v>1172</v>
      </c>
      <c r="Q116" t="s">
        <v>4166</v>
      </c>
      <c r="R116" s="140">
        <v>38011</v>
      </c>
      <c r="S116" t="s">
        <v>20546</v>
      </c>
      <c r="T116" t="s">
        <v>20547</v>
      </c>
    </row>
    <row r="117" spans="1:20" x14ac:dyDescent="0.25">
      <c r="A117">
        <v>116</v>
      </c>
      <c r="B117" s="139">
        <v>45481.875324074099</v>
      </c>
      <c r="C117" s="139">
        <v>45481.907812500001</v>
      </c>
      <c r="D117" t="s">
        <v>21155</v>
      </c>
      <c r="E117" t="s">
        <v>21156</v>
      </c>
      <c r="F117" s="141">
        <v>1331591</v>
      </c>
      <c r="G117" t="s">
        <v>8527</v>
      </c>
      <c r="H117" t="s">
        <v>837</v>
      </c>
      <c r="I117" s="141">
        <v>74966188</v>
      </c>
      <c r="J117" t="s">
        <v>21157</v>
      </c>
      <c r="K117" t="s">
        <v>30</v>
      </c>
      <c r="L117" t="s">
        <v>30</v>
      </c>
      <c r="M117" t="s">
        <v>75</v>
      </c>
      <c r="N117" s="141">
        <v>20</v>
      </c>
      <c r="O117" s="141">
        <v>978800838</v>
      </c>
      <c r="P117" t="s">
        <v>1172</v>
      </c>
      <c r="Q117" t="s">
        <v>4166</v>
      </c>
      <c r="R117" s="140">
        <v>37832</v>
      </c>
      <c r="S117" t="s">
        <v>20546</v>
      </c>
      <c r="T117" t="s">
        <v>20547</v>
      </c>
    </row>
    <row r="118" spans="1:20" x14ac:dyDescent="0.25">
      <c r="A118">
        <v>117</v>
      </c>
      <c r="B118" s="139">
        <v>45481.916365740697</v>
      </c>
      <c r="C118" s="139">
        <v>45481.917592592603</v>
      </c>
      <c r="D118" t="s">
        <v>21158</v>
      </c>
      <c r="E118" t="s">
        <v>21159</v>
      </c>
      <c r="F118" s="141">
        <v>1407074</v>
      </c>
      <c r="G118" t="s">
        <v>8524</v>
      </c>
      <c r="H118" t="s">
        <v>836</v>
      </c>
      <c r="I118" s="141">
        <v>74846826</v>
      </c>
      <c r="J118" t="s">
        <v>21160</v>
      </c>
      <c r="K118" t="s">
        <v>30</v>
      </c>
      <c r="L118" t="s">
        <v>30</v>
      </c>
      <c r="M118" t="s">
        <v>50</v>
      </c>
      <c r="N118" s="141">
        <v>21</v>
      </c>
      <c r="O118" s="141">
        <v>957397869</v>
      </c>
      <c r="P118" t="s">
        <v>1172</v>
      </c>
      <c r="Q118" t="s">
        <v>4166</v>
      </c>
      <c r="R118" s="140">
        <v>37568</v>
      </c>
      <c r="S118" t="s">
        <v>20546</v>
      </c>
      <c r="T118" t="s">
        <v>20547</v>
      </c>
    </row>
    <row r="119" spans="1:20" x14ac:dyDescent="0.25">
      <c r="A119">
        <v>118</v>
      </c>
      <c r="B119" s="139">
        <v>45481.945138888899</v>
      </c>
      <c r="C119" s="139">
        <v>45481.9465277778</v>
      </c>
      <c r="D119" t="s">
        <v>21161</v>
      </c>
      <c r="E119" t="s">
        <v>21162</v>
      </c>
      <c r="F119" s="141">
        <v>1299207</v>
      </c>
      <c r="G119" t="s">
        <v>8528</v>
      </c>
      <c r="H119" t="s">
        <v>837</v>
      </c>
      <c r="I119" s="141">
        <v>60295869</v>
      </c>
      <c r="J119" t="s">
        <v>21163</v>
      </c>
      <c r="K119" t="s">
        <v>30</v>
      </c>
      <c r="L119" t="s">
        <v>30</v>
      </c>
      <c r="M119" t="s">
        <v>50</v>
      </c>
      <c r="N119" s="141">
        <v>20</v>
      </c>
      <c r="O119" s="141">
        <v>926139329</v>
      </c>
      <c r="P119" t="s">
        <v>1172</v>
      </c>
      <c r="Q119" t="s">
        <v>4166</v>
      </c>
      <c r="R119" s="140">
        <v>37963</v>
      </c>
      <c r="S119" t="s">
        <v>20546</v>
      </c>
      <c r="T119" t="s">
        <v>20548</v>
      </c>
    </row>
    <row r="120" spans="1:20" x14ac:dyDescent="0.25">
      <c r="A120">
        <v>119</v>
      </c>
      <c r="B120" s="139">
        <v>45481.972187500003</v>
      </c>
      <c r="C120" s="139">
        <v>45481.974641203698</v>
      </c>
      <c r="D120" t="s">
        <v>21164</v>
      </c>
      <c r="E120" t="s">
        <v>21165</v>
      </c>
      <c r="F120" s="141">
        <v>1426368</v>
      </c>
      <c r="G120" t="s">
        <v>8527</v>
      </c>
      <c r="H120" t="s">
        <v>835</v>
      </c>
      <c r="I120" s="141">
        <v>74992652</v>
      </c>
      <c r="J120" t="s">
        <v>21166</v>
      </c>
      <c r="K120" t="s">
        <v>30</v>
      </c>
      <c r="L120" t="s">
        <v>67</v>
      </c>
      <c r="M120" t="s">
        <v>81</v>
      </c>
      <c r="N120" s="141">
        <v>18</v>
      </c>
      <c r="O120" s="141">
        <v>923328721</v>
      </c>
      <c r="P120" t="s">
        <v>1172</v>
      </c>
      <c r="Q120" t="s">
        <v>4166</v>
      </c>
      <c r="R120" s="140">
        <v>38573</v>
      </c>
      <c r="S120" t="s">
        <v>20546</v>
      </c>
      <c r="T120" t="s">
        <v>20547</v>
      </c>
    </row>
    <row r="121" spans="1:20" x14ac:dyDescent="0.25">
      <c r="A121">
        <v>120</v>
      </c>
      <c r="B121" s="139">
        <v>45481.957037036998</v>
      </c>
      <c r="C121" s="139">
        <v>45481.983715277798</v>
      </c>
      <c r="D121" t="s">
        <v>21167</v>
      </c>
      <c r="E121" t="s">
        <v>21168</v>
      </c>
      <c r="F121" s="141">
        <v>1432509</v>
      </c>
      <c r="G121" t="s">
        <v>8522</v>
      </c>
      <c r="H121" t="s">
        <v>835</v>
      </c>
      <c r="I121" s="141">
        <v>71137391</v>
      </c>
      <c r="J121" t="s">
        <v>21169</v>
      </c>
      <c r="K121" t="s">
        <v>30</v>
      </c>
      <c r="L121" t="s">
        <v>30</v>
      </c>
      <c r="M121" t="s">
        <v>50</v>
      </c>
      <c r="N121" s="141">
        <v>21</v>
      </c>
      <c r="O121" s="141">
        <v>924758253</v>
      </c>
      <c r="P121" t="s">
        <v>1172</v>
      </c>
      <c r="Q121" t="s">
        <v>4166</v>
      </c>
      <c r="R121" s="140">
        <v>37593</v>
      </c>
      <c r="S121" t="s">
        <v>20546</v>
      </c>
      <c r="T121" t="s">
        <v>20547</v>
      </c>
    </row>
    <row r="122" spans="1:20" x14ac:dyDescent="0.25">
      <c r="A122">
        <v>121</v>
      </c>
      <c r="B122" s="139">
        <v>45482.373414351903</v>
      </c>
      <c r="C122" s="139">
        <v>45482.3757175926</v>
      </c>
      <c r="D122" t="s">
        <v>21170</v>
      </c>
      <c r="E122" t="s">
        <v>21171</v>
      </c>
      <c r="F122" s="141">
        <v>1432448</v>
      </c>
      <c r="G122" t="s">
        <v>8524</v>
      </c>
      <c r="H122" t="s">
        <v>835</v>
      </c>
      <c r="I122" s="141">
        <v>74550735</v>
      </c>
      <c r="J122" t="s">
        <v>21172</v>
      </c>
      <c r="K122" t="s">
        <v>30</v>
      </c>
      <c r="L122" t="s">
        <v>30</v>
      </c>
      <c r="M122" t="s">
        <v>50</v>
      </c>
      <c r="N122" s="141">
        <v>20</v>
      </c>
      <c r="O122" s="141">
        <v>901832867</v>
      </c>
      <c r="P122" t="s">
        <v>1172</v>
      </c>
      <c r="Q122" t="s">
        <v>4166</v>
      </c>
      <c r="R122" s="140">
        <v>37936</v>
      </c>
      <c r="S122" t="s">
        <v>20546</v>
      </c>
      <c r="T122" t="s">
        <v>20547</v>
      </c>
    </row>
    <row r="123" spans="1:20" x14ac:dyDescent="0.25">
      <c r="A123">
        <v>123</v>
      </c>
      <c r="B123" s="139">
        <v>45482.869560185201</v>
      </c>
      <c r="C123" s="139">
        <v>45482.871203703697</v>
      </c>
      <c r="D123" t="s">
        <v>21173</v>
      </c>
      <c r="E123" t="s">
        <v>21174</v>
      </c>
      <c r="F123" s="167">
        <v>1442867</v>
      </c>
      <c r="G123" t="s">
        <v>8525</v>
      </c>
      <c r="H123" t="s">
        <v>836</v>
      </c>
      <c r="I123" s="167">
        <v>71586926</v>
      </c>
      <c r="J123" t="s">
        <v>21175</v>
      </c>
      <c r="K123" t="s">
        <v>30</v>
      </c>
      <c r="L123" t="s">
        <v>30</v>
      </c>
      <c r="M123" t="s">
        <v>58</v>
      </c>
      <c r="N123" s="167">
        <v>26</v>
      </c>
      <c r="O123" s="167">
        <v>994643986</v>
      </c>
      <c r="P123" t="s">
        <v>1172</v>
      </c>
      <c r="Q123" t="s">
        <v>4166</v>
      </c>
      <c r="R123" s="140">
        <v>35801</v>
      </c>
      <c r="S123" t="s">
        <v>20546</v>
      </c>
      <c r="T123" t="s">
        <v>20547</v>
      </c>
    </row>
    <row r="124" spans="1:20" x14ac:dyDescent="0.25">
      <c r="A124">
        <v>124</v>
      </c>
      <c r="B124" s="139">
        <v>45483.400428240697</v>
      </c>
      <c r="C124" s="139">
        <v>45483.404560185198</v>
      </c>
      <c r="D124" t="s">
        <v>21176</v>
      </c>
      <c r="E124" t="s">
        <v>21177</v>
      </c>
      <c r="F124" s="167">
        <v>1343447</v>
      </c>
      <c r="G124" t="s">
        <v>4134</v>
      </c>
      <c r="H124" t="s">
        <v>835</v>
      </c>
      <c r="I124" s="167">
        <v>74550784</v>
      </c>
      <c r="J124" t="s">
        <v>21185</v>
      </c>
      <c r="K124" t="s">
        <v>30</v>
      </c>
      <c r="L124" t="s">
        <v>30</v>
      </c>
      <c r="M124" t="s">
        <v>103</v>
      </c>
      <c r="N124" s="167">
        <v>19</v>
      </c>
      <c r="O124" s="167">
        <v>933238447</v>
      </c>
      <c r="P124" t="s">
        <v>1172</v>
      </c>
      <c r="Q124" t="s">
        <v>4166</v>
      </c>
      <c r="R124" s="140">
        <v>38394</v>
      </c>
      <c r="S124" t="s">
        <v>20546</v>
      </c>
      <c r="T124" t="s">
        <v>20547</v>
      </c>
    </row>
    <row r="125" spans="1:20" x14ac:dyDescent="0.25">
      <c r="A125">
        <v>125</v>
      </c>
      <c r="B125" s="139">
        <v>45483.4249305556</v>
      </c>
      <c r="C125" s="139">
        <v>45483.433194444398</v>
      </c>
      <c r="D125" t="s">
        <v>21178</v>
      </c>
      <c r="E125" t="s">
        <v>21179</v>
      </c>
      <c r="F125" s="167">
        <v>1343451</v>
      </c>
      <c r="G125" t="s">
        <v>4134</v>
      </c>
      <c r="H125" t="s">
        <v>835</v>
      </c>
      <c r="I125" s="167">
        <v>76113990</v>
      </c>
      <c r="J125" t="s">
        <v>21180</v>
      </c>
      <c r="K125" t="s">
        <v>30</v>
      </c>
      <c r="L125" t="s">
        <v>30</v>
      </c>
      <c r="M125" t="s">
        <v>50</v>
      </c>
      <c r="N125" s="167">
        <v>18</v>
      </c>
      <c r="O125" s="167">
        <v>902744692</v>
      </c>
      <c r="P125" t="s">
        <v>1172</v>
      </c>
      <c r="Q125" t="s">
        <v>4166</v>
      </c>
      <c r="R125" s="140">
        <v>38851</v>
      </c>
      <c r="S125" t="s">
        <v>20546</v>
      </c>
      <c r="T125" t="s">
        <v>20547</v>
      </c>
    </row>
    <row r="126" spans="1:20" x14ac:dyDescent="0.25">
      <c r="A126">
        <v>126</v>
      </c>
      <c r="B126" s="139">
        <v>45483.430381944403</v>
      </c>
      <c r="C126" s="139">
        <v>45483.434537036999</v>
      </c>
      <c r="D126" t="s">
        <v>21181</v>
      </c>
      <c r="E126" t="s">
        <v>21182</v>
      </c>
      <c r="F126" s="167">
        <v>1432796</v>
      </c>
      <c r="G126" t="s">
        <v>21188</v>
      </c>
      <c r="H126" t="s">
        <v>834</v>
      </c>
      <c r="I126" s="167">
        <v>74886238</v>
      </c>
      <c r="J126" t="s">
        <v>21186</v>
      </c>
      <c r="K126" t="s">
        <v>30</v>
      </c>
      <c r="L126" t="s">
        <v>30</v>
      </c>
      <c r="M126" t="s">
        <v>72</v>
      </c>
      <c r="N126" s="167">
        <v>19</v>
      </c>
      <c r="O126" s="167">
        <v>981482570</v>
      </c>
      <c r="P126" t="s">
        <v>1172</v>
      </c>
      <c r="Q126" t="s">
        <v>4166</v>
      </c>
      <c r="R126" s="140">
        <v>38312</v>
      </c>
      <c r="S126" t="s">
        <v>20546</v>
      </c>
      <c r="T126" t="s">
        <v>20547</v>
      </c>
    </row>
    <row r="127" spans="1:20" x14ac:dyDescent="0.25">
      <c r="A127">
        <v>127</v>
      </c>
      <c r="B127" s="139">
        <v>45483.401076388902</v>
      </c>
      <c r="C127" s="139">
        <v>45483.440787036998</v>
      </c>
      <c r="D127" t="s">
        <v>21183</v>
      </c>
      <c r="E127" t="s">
        <v>21184</v>
      </c>
      <c r="F127" s="167">
        <v>1343455</v>
      </c>
      <c r="G127" t="s">
        <v>4134</v>
      </c>
      <c r="H127" t="s">
        <v>835</v>
      </c>
      <c r="I127" s="167">
        <v>78077044</v>
      </c>
      <c r="J127" t="s">
        <v>21187</v>
      </c>
      <c r="K127" t="s">
        <v>30</v>
      </c>
      <c r="L127" t="s">
        <v>30</v>
      </c>
      <c r="M127" t="s">
        <v>43</v>
      </c>
      <c r="N127" s="167">
        <v>18</v>
      </c>
      <c r="O127" s="167">
        <v>992703490</v>
      </c>
      <c r="P127" t="s">
        <v>1172</v>
      </c>
      <c r="Q127" t="s">
        <v>4166</v>
      </c>
      <c r="R127" s="140">
        <v>38833</v>
      </c>
      <c r="S127" t="s">
        <v>20546</v>
      </c>
      <c r="T127" t="s">
        <v>20547</v>
      </c>
    </row>
    <row r="128" spans="1:20" x14ac:dyDescent="0.25">
      <c r="A128" s="1"/>
      <c r="B128" s="2"/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2"/>
      <c r="S128" s="1"/>
      <c r="T128" s="1"/>
    </row>
    <row r="129" spans="1:20" x14ac:dyDescent="0.25">
      <c r="A129" s="1"/>
      <c r="B129" s="2"/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2"/>
      <c r="S129" s="1"/>
      <c r="T129" s="1"/>
    </row>
    <row r="130" spans="1:20" x14ac:dyDescent="0.25">
      <c r="A130" s="1"/>
      <c r="B130" s="2"/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2"/>
      <c r="S130" s="1"/>
      <c r="T130" s="1"/>
    </row>
    <row r="131" spans="1:20" x14ac:dyDescent="0.25">
      <c r="A131" s="1"/>
      <c r="B131" s="2"/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2"/>
      <c r="S131" s="1"/>
      <c r="T131" s="1"/>
    </row>
    <row r="132" spans="1:20" x14ac:dyDescent="0.25">
      <c r="A132" s="1"/>
      <c r="B132" s="2"/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2"/>
      <c r="S132" s="1"/>
      <c r="T132" s="1"/>
    </row>
    <row r="133" spans="1:20" x14ac:dyDescent="0.25">
      <c r="A133" s="1"/>
      <c r="B133" s="2"/>
      <c r="C133" s="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2"/>
      <c r="S133" s="1"/>
      <c r="T133" s="1"/>
    </row>
    <row r="134" spans="1:20" x14ac:dyDescent="0.25">
      <c r="A134" s="1"/>
      <c r="B134" s="2"/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2"/>
      <c r="S134" s="1"/>
      <c r="T134" s="1"/>
    </row>
    <row r="135" spans="1:20" x14ac:dyDescent="0.25">
      <c r="A135" s="1"/>
      <c r="B135" s="2"/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2"/>
      <c r="S135" s="1"/>
      <c r="T135" s="1"/>
    </row>
    <row r="136" spans="1:20" x14ac:dyDescent="0.25">
      <c r="A136" s="1"/>
      <c r="B136" s="2"/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2"/>
      <c r="S136" s="1"/>
      <c r="T136" s="1"/>
    </row>
    <row r="137" spans="1:20" x14ac:dyDescent="0.25">
      <c r="A137" s="1"/>
      <c r="B137" s="2"/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2"/>
      <c r="S137" s="1"/>
      <c r="T137" s="1"/>
    </row>
    <row r="138" spans="1:20" x14ac:dyDescent="0.25">
      <c r="A138" s="1"/>
      <c r="B138" s="2"/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2"/>
      <c r="S138" s="1"/>
      <c r="T138" s="1"/>
    </row>
    <row r="139" spans="1:20" x14ac:dyDescent="0.25">
      <c r="A139" s="1"/>
      <c r="B139" s="2"/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2"/>
      <c r="S139" s="1"/>
      <c r="T139" s="1"/>
    </row>
    <row r="140" spans="1:20" x14ac:dyDescent="0.25">
      <c r="A140" s="1"/>
      <c r="B140" s="2"/>
      <c r="C140" s="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2"/>
      <c r="S140" s="1"/>
      <c r="T140" s="1"/>
    </row>
    <row r="141" spans="1:20" x14ac:dyDescent="0.25">
      <c r="A141" s="1"/>
      <c r="B141" s="2"/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2"/>
      <c r="S141" s="1"/>
      <c r="T141" s="1"/>
    </row>
    <row r="142" spans="1:20" x14ac:dyDescent="0.25">
      <c r="A142" s="1"/>
      <c r="B142" s="2"/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2"/>
      <c r="S142" s="1"/>
      <c r="T142" s="1"/>
    </row>
    <row r="143" spans="1:20" x14ac:dyDescent="0.25">
      <c r="A143" s="1"/>
      <c r="B143" s="2"/>
      <c r="C143" s="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2"/>
      <c r="S143" s="1"/>
      <c r="T143" s="1"/>
    </row>
    <row r="144" spans="1:20" x14ac:dyDescent="0.25">
      <c r="A144" s="1"/>
      <c r="B144" s="2"/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2"/>
      <c r="S144" s="1"/>
      <c r="T144" s="1"/>
    </row>
    <row r="145" spans="1:20" x14ac:dyDescent="0.25">
      <c r="A145" s="1"/>
      <c r="B145" s="2"/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2"/>
      <c r="S145" s="1"/>
      <c r="T145" s="1"/>
    </row>
    <row r="146" spans="1:20" x14ac:dyDescent="0.25">
      <c r="A146" s="1"/>
      <c r="B146" s="2"/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2"/>
      <c r="S146" s="1"/>
      <c r="T146" s="1"/>
    </row>
    <row r="147" spans="1:20" x14ac:dyDescent="0.25">
      <c r="A147" s="1"/>
      <c r="B147" s="2"/>
      <c r="C147" s="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2"/>
      <c r="S147" s="1"/>
      <c r="T147" s="1"/>
    </row>
    <row r="148" spans="1:20" x14ac:dyDescent="0.25">
      <c r="A148" s="1"/>
      <c r="B148" s="2"/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2"/>
      <c r="S148" s="1"/>
      <c r="T148" s="1"/>
    </row>
    <row r="149" spans="1:20" x14ac:dyDescent="0.25">
      <c r="A149" s="1"/>
      <c r="B149" s="2"/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2"/>
      <c r="S149" s="1"/>
      <c r="T149" s="1"/>
    </row>
    <row r="150" spans="1:20" x14ac:dyDescent="0.25">
      <c r="A150" s="1"/>
      <c r="B150" s="2"/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2"/>
      <c r="S150" s="1"/>
      <c r="T150" s="1"/>
    </row>
    <row r="151" spans="1:20" x14ac:dyDescent="0.25">
      <c r="A151" s="1"/>
      <c r="B151" s="2"/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2"/>
      <c r="S151" s="1"/>
      <c r="T151" s="1"/>
    </row>
    <row r="152" spans="1:20" x14ac:dyDescent="0.25">
      <c r="A152" s="1"/>
      <c r="B152" s="2"/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2"/>
      <c r="S152" s="1"/>
      <c r="T152" s="1"/>
    </row>
    <row r="153" spans="1:20" x14ac:dyDescent="0.25">
      <c r="A153" s="1"/>
      <c r="B153" s="2"/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2"/>
      <c r="S153" s="1"/>
      <c r="T153" s="1"/>
    </row>
    <row r="154" spans="1:20" x14ac:dyDescent="0.25">
      <c r="A154" s="1"/>
      <c r="B154" s="2"/>
      <c r="C154" s="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2"/>
      <c r="S154" s="1"/>
      <c r="T154" s="1"/>
    </row>
    <row r="155" spans="1:20" x14ac:dyDescent="0.25">
      <c r="A155" s="1"/>
      <c r="B155" s="2"/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2"/>
      <c r="S155" s="1"/>
      <c r="T155" s="1"/>
    </row>
    <row r="156" spans="1:20" x14ac:dyDescent="0.25">
      <c r="A156" s="1"/>
      <c r="B156" s="2"/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2"/>
      <c r="S156" s="1"/>
      <c r="T156" s="1"/>
    </row>
    <row r="157" spans="1:20" x14ac:dyDescent="0.25">
      <c r="A157" s="1"/>
      <c r="B157" s="2"/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2"/>
      <c r="S157" s="1"/>
      <c r="T157" s="1"/>
    </row>
    <row r="158" spans="1:20" x14ac:dyDescent="0.25">
      <c r="A158" s="1"/>
      <c r="B158" s="2"/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2"/>
      <c r="S158" s="1"/>
      <c r="T158" s="1"/>
    </row>
    <row r="159" spans="1:20" x14ac:dyDescent="0.25">
      <c r="A159" s="1"/>
      <c r="B159" s="2"/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2"/>
      <c r="S159" s="1"/>
      <c r="T159" s="1"/>
    </row>
    <row r="160" spans="1:20" x14ac:dyDescent="0.25">
      <c r="A160" s="1"/>
      <c r="B160" s="2"/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2"/>
      <c r="S160" s="1"/>
      <c r="T160" s="1"/>
    </row>
    <row r="161" spans="1:20" x14ac:dyDescent="0.25">
      <c r="A161" s="1"/>
      <c r="B161" s="2"/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2"/>
      <c r="S161" s="1"/>
      <c r="T161" s="1"/>
    </row>
    <row r="162" spans="1:20" x14ac:dyDescent="0.25">
      <c r="A162" s="1"/>
      <c r="B162" s="2"/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2"/>
      <c r="S162" s="1"/>
      <c r="T162" s="1"/>
    </row>
    <row r="163" spans="1:20" x14ac:dyDescent="0.25">
      <c r="A163" s="1"/>
      <c r="B163" s="2"/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2"/>
      <c r="S163" s="1"/>
      <c r="T163" s="1"/>
    </row>
    <row r="164" spans="1:20" x14ac:dyDescent="0.25">
      <c r="A164" s="1"/>
      <c r="B164" s="2"/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2"/>
      <c r="S164" s="1"/>
      <c r="T164" s="1"/>
    </row>
    <row r="165" spans="1:20" x14ac:dyDescent="0.25">
      <c r="A165" s="1"/>
      <c r="B165" s="2"/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2"/>
      <c r="S165" s="1"/>
      <c r="T165" s="1"/>
    </row>
    <row r="166" spans="1:20" x14ac:dyDescent="0.25">
      <c r="A166" s="1"/>
      <c r="B166" s="2"/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2"/>
      <c r="S166" s="1"/>
      <c r="T166" s="1"/>
    </row>
    <row r="167" spans="1:20" x14ac:dyDescent="0.25">
      <c r="A167" s="1"/>
      <c r="B167" s="2"/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2"/>
      <c r="S167" s="1"/>
      <c r="T167" s="1"/>
    </row>
    <row r="168" spans="1:20" x14ac:dyDescent="0.25">
      <c r="A168" s="1"/>
      <c r="B168" s="2"/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2"/>
      <c r="S168" s="1"/>
      <c r="T168" s="1"/>
    </row>
    <row r="169" spans="1:20" x14ac:dyDescent="0.25">
      <c r="A169" s="1"/>
      <c r="B169" s="2"/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2"/>
      <c r="S169" s="1"/>
      <c r="T169" s="1"/>
    </row>
    <row r="170" spans="1:20" x14ac:dyDescent="0.25">
      <c r="A170" s="1"/>
      <c r="B170" s="2"/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2"/>
      <c r="S170" s="1"/>
      <c r="T170" s="1"/>
    </row>
    <row r="171" spans="1:20" x14ac:dyDescent="0.25">
      <c r="A171" s="1"/>
      <c r="B171" s="2"/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2"/>
      <c r="S171" s="1"/>
      <c r="T171" s="1"/>
    </row>
    <row r="172" spans="1:20" x14ac:dyDescent="0.25">
      <c r="A172" s="1"/>
      <c r="B172" s="2"/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2"/>
      <c r="S172" s="1"/>
      <c r="T172" s="1"/>
    </row>
    <row r="173" spans="1:20" x14ac:dyDescent="0.25">
      <c r="A173" s="1"/>
      <c r="B173" s="2"/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2"/>
      <c r="S173" s="1"/>
      <c r="T173" s="1"/>
    </row>
    <row r="174" spans="1:20" x14ac:dyDescent="0.25">
      <c r="A174" s="1"/>
      <c r="B174" s="2"/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2"/>
      <c r="S174" s="1"/>
      <c r="T174" s="1"/>
    </row>
    <row r="175" spans="1:20" x14ac:dyDescent="0.25">
      <c r="A175" s="1"/>
      <c r="B175" s="2"/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2"/>
      <c r="S175" s="1"/>
      <c r="T175" s="1"/>
    </row>
    <row r="176" spans="1:20" x14ac:dyDescent="0.25">
      <c r="A176" s="1"/>
      <c r="B176" s="2"/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2"/>
      <c r="S176" s="1"/>
      <c r="T176" s="1"/>
    </row>
    <row r="177" spans="1:20" x14ac:dyDescent="0.25">
      <c r="A177" s="1"/>
      <c r="B177" s="2"/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2"/>
      <c r="S177" s="1"/>
      <c r="T177" s="1"/>
    </row>
    <row r="178" spans="1:20" x14ac:dyDescent="0.25">
      <c r="A178" s="1"/>
      <c r="B178" s="2"/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2"/>
      <c r="S178" s="1"/>
      <c r="T178" s="1"/>
    </row>
    <row r="179" spans="1:20" x14ac:dyDescent="0.25">
      <c r="A179" s="1"/>
      <c r="B179" s="2"/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2"/>
      <c r="S179" s="1"/>
      <c r="T179" s="1"/>
    </row>
    <row r="180" spans="1:20" x14ac:dyDescent="0.25">
      <c r="A180" s="1"/>
      <c r="B180" s="2"/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2"/>
      <c r="S180" s="1"/>
      <c r="T180" s="1"/>
    </row>
    <row r="181" spans="1:20" x14ac:dyDescent="0.25">
      <c r="A181" s="1"/>
      <c r="B181" s="2"/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2"/>
      <c r="S181" s="1"/>
      <c r="T181" s="1"/>
    </row>
    <row r="182" spans="1:20" x14ac:dyDescent="0.25">
      <c r="A182" s="1"/>
      <c r="B182" s="2"/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2"/>
      <c r="S182" s="1"/>
      <c r="T182" s="1"/>
    </row>
    <row r="183" spans="1:20" x14ac:dyDescent="0.25">
      <c r="A183" s="1"/>
      <c r="B183" s="2"/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2"/>
      <c r="S183" s="1"/>
      <c r="T183" s="1"/>
    </row>
    <row r="184" spans="1:20" x14ac:dyDescent="0.25">
      <c r="A184" s="1"/>
      <c r="B184" s="2"/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2"/>
      <c r="S184" s="1"/>
      <c r="T184" s="1"/>
    </row>
    <row r="185" spans="1:20" x14ac:dyDescent="0.25">
      <c r="A185" s="1"/>
      <c r="B185" s="2"/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2"/>
      <c r="S185" s="1"/>
      <c r="T185" s="1"/>
    </row>
    <row r="186" spans="1:20" x14ac:dyDescent="0.25">
      <c r="A186" s="1"/>
      <c r="B186" s="2"/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2"/>
      <c r="S186" s="1"/>
      <c r="T186" s="1"/>
    </row>
    <row r="187" spans="1:20" x14ac:dyDescent="0.25">
      <c r="A187" s="1"/>
      <c r="B187" s="2"/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2"/>
      <c r="S187" s="1"/>
      <c r="T187" s="1"/>
    </row>
    <row r="188" spans="1:20" x14ac:dyDescent="0.25">
      <c r="A188" s="1"/>
      <c r="B188" s="2"/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2"/>
      <c r="S188" s="1"/>
      <c r="T188" s="1"/>
    </row>
    <row r="189" spans="1:20" x14ac:dyDescent="0.25">
      <c r="A189" s="1"/>
      <c r="B189" s="2"/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2"/>
      <c r="S189" s="1"/>
      <c r="T189" s="1"/>
    </row>
    <row r="190" spans="1:20" x14ac:dyDescent="0.25">
      <c r="A190" s="1"/>
      <c r="B190" s="2"/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2"/>
      <c r="S190" s="1"/>
      <c r="T190" s="1"/>
    </row>
    <row r="191" spans="1:20" x14ac:dyDescent="0.25">
      <c r="A191" s="1"/>
      <c r="B191" s="2"/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2"/>
      <c r="S191" s="1"/>
      <c r="T191" s="1"/>
    </row>
    <row r="192" spans="1:20" x14ac:dyDescent="0.25">
      <c r="A192" s="1"/>
      <c r="B192" s="2"/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2"/>
      <c r="S192" s="1"/>
      <c r="T192" s="1"/>
    </row>
    <row r="193" spans="1:20" x14ac:dyDescent="0.25">
      <c r="A193" s="1"/>
      <c r="B193" s="2"/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2"/>
      <c r="S193" s="1"/>
      <c r="T193" s="1"/>
    </row>
    <row r="194" spans="1:20" x14ac:dyDescent="0.25">
      <c r="A194" s="1"/>
      <c r="B194" s="2"/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2"/>
      <c r="S194" s="1"/>
      <c r="T194" s="1"/>
    </row>
    <row r="195" spans="1:20" x14ac:dyDescent="0.25">
      <c r="A195" s="1"/>
      <c r="B195" s="2"/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2"/>
      <c r="S195" s="1"/>
      <c r="T195" s="1"/>
    </row>
    <row r="196" spans="1:20" x14ac:dyDescent="0.25">
      <c r="A196" s="1"/>
      <c r="B196" s="2"/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2"/>
      <c r="S196" s="1"/>
      <c r="T196" s="1"/>
    </row>
    <row r="197" spans="1:20" x14ac:dyDescent="0.25">
      <c r="A197" s="1"/>
      <c r="B197" s="2"/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2"/>
      <c r="S197" s="1"/>
      <c r="T197" s="1"/>
    </row>
    <row r="198" spans="1:20" x14ac:dyDescent="0.25">
      <c r="A198" s="1"/>
      <c r="B198" s="2"/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2"/>
      <c r="S198" s="1"/>
      <c r="T198" s="1"/>
    </row>
    <row r="199" spans="1:20" x14ac:dyDescent="0.25">
      <c r="A199" s="1"/>
      <c r="B199" s="2"/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2"/>
      <c r="S199" s="1"/>
      <c r="T199" s="1"/>
    </row>
    <row r="200" spans="1:20" x14ac:dyDescent="0.25">
      <c r="A200" s="1"/>
      <c r="B200" s="2"/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2"/>
      <c r="S200" s="1"/>
      <c r="T200" s="1"/>
    </row>
    <row r="201" spans="1:20" x14ac:dyDescent="0.25">
      <c r="A201" s="1"/>
      <c r="B201" s="2"/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2"/>
      <c r="S201" s="1"/>
      <c r="T201" s="1"/>
    </row>
    <row r="202" spans="1:20" x14ac:dyDescent="0.25">
      <c r="A202" s="1"/>
      <c r="B202" s="2"/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2"/>
      <c r="S202" s="1"/>
      <c r="T202" s="1"/>
    </row>
    <row r="203" spans="1:20" x14ac:dyDescent="0.25">
      <c r="A203" s="1"/>
      <c r="B203" s="2"/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2"/>
      <c r="S203" s="1"/>
      <c r="T203" s="1"/>
    </row>
    <row r="204" spans="1:20" x14ac:dyDescent="0.25">
      <c r="A204" s="1"/>
      <c r="B204" s="2"/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2"/>
      <c r="S204" s="1"/>
      <c r="T204" s="1"/>
    </row>
    <row r="205" spans="1:20" x14ac:dyDescent="0.25">
      <c r="A205" s="1"/>
      <c r="B205" s="2"/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2"/>
      <c r="S205" s="1"/>
      <c r="T205" s="1"/>
    </row>
    <row r="206" spans="1:20" x14ac:dyDescent="0.25">
      <c r="A206" s="1"/>
      <c r="B206" s="2"/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2"/>
      <c r="S206" s="1"/>
      <c r="T206" s="1"/>
    </row>
    <row r="207" spans="1:20" x14ac:dyDescent="0.25">
      <c r="A207" s="1"/>
      <c r="B207" s="2"/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2"/>
      <c r="S207" s="1"/>
      <c r="T207" s="1"/>
    </row>
    <row r="208" spans="1:20" x14ac:dyDescent="0.25">
      <c r="A208" s="1"/>
      <c r="B208" s="2"/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2"/>
      <c r="S208" s="1"/>
      <c r="T208" s="1"/>
    </row>
    <row r="209" spans="1:20" x14ac:dyDescent="0.25">
      <c r="A209" s="1"/>
      <c r="B209" s="2"/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2"/>
      <c r="S209" s="1"/>
      <c r="T209" s="1"/>
    </row>
    <row r="210" spans="1:20" x14ac:dyDescent="0.25">
      <c r="A210" s="1"/>
      <c r="B210" s="2"/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2"/>
      <c r="S210" s="1"/>
      <c r="T210" s="1"/>
    </row>
    <row r="211" spans="1:20" x14ac:dyDescent="0.25">
      <c r="A211" s="1"/>
      <c r="B211" s="2"/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2"/>
      <c r="S211" s="1"/>
      <c r="T211" s="1"/>
    </row>
    <row r="212" spans="1:20" x14ac:dyDescent="0.25">
      <c r="A212" s="1"/>
      <c r="B212" s="2"/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2"/>
      <c r="S212" s="1"/>
      <c r="T212" s="1"/>
    </row>
    <row r="213" spans="1:20" x14ac:dyDescent="0.25">
      <c r="A213" s="1"/>
      <c r="B213" s="2"/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2"/>
      <c r="S213" s="1"/>
      <c r="T213" s="1"/>
    </row>
    <row r="214" spans="1:20" x14ac:dyDescent="0.25">
      <c r="A214" s="1"/>
      <c r="B214" s="2"/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2"/>
      <c r="S214" s="1"/>
      <c r="T214" s="1"/>
    </row>
    <row r="215" spans="1:20" x14ac:dyDescent="0.25">
      <c r="A215" s="1"/>
      <c r="B215" s="2"/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2"/>
      <c r="S215" s="1"/>
      <c r="T215" s="1"/>
    </row>
    <row r="216" spans="1:20" x14ac:dyDescent="0.25">
      <c r="A216" s="1"/>
      <c r="B216" s="2"/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2"/>
      <c r="S216" s="1"/>
      <c r="T216" s="1"/>
    </row>
    <row r="217" spans="1:20" x14ac:dyDescent="0.25">
      <c r="A217" s="1"/>
      <c r="B217" s="2"/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2"/>
      <c r="S217" s="1"/>
      <c r="T217" s="1"/>
    </row>
    <row r="218" spans="1:20" x14ac:dyDescent="0.25">
      <c r="A218" s="1"/>
      <c r="B218" s="2"/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2"/>
      <c r="S218" s="1"/>
      <c r="T218" s="1"/>
    </row>
    <row r="219" spans="1:20" x14ac:dyDescent="0.25">
      <c r="A219" s="1"/>
      <c r="B219" s="2"/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2"/>
      <c r="S219" s="1"/>
      <c r="T219" s="1"/>
    </row>
    <row r="220" spans="1:20" x14ac:dyDescent="0.25">
      <c r="A220" s="1"/>
      <c r="B220" s="2"/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2"/>
      <c r="S220" s="1"/>
      <c r="T220" s="1"/>
    </row>
    <row r="221" spans="1:20" x14ac:dyDescent="0.25">
      <c r="A221" s="1"/>
      <c r="B221" s="2"/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2"/>
      <c r="S221" s="1"/>
      <c r="T221" s="1"/>
    </row>
    <row r="222" spans="1:20" x14ac:dyDescent="0.25">
      <c r="A222" s="1"/>
      <c r="B222" s="2"/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2"/>
      <c r="S222" s="1"/>
      <c r="T222" s="1"/>
    </row>
    <row r="223" spans="1:20" x14ac:dyDescent="0.25">
      <c r="A223" s="1"/>
      <c r="B223" s="2"/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2"/>
      <c r="S223" s="1"/>
      <c r="T223" s="1"/>
    </row>
    <row r="224" spans="1:20" x14ac:dyDescent="0.25">
      <c r="A224" s="1"/>
      <c r="B224" s="2"/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2"/>
      <c r="S224" s="1"/>
      <c r="T224" s="1"/>
    </row>
    <row r="225" spans="1:20" x14ac:dyDescent="0.25">
      <c r="A225" s="1"/>
      <c r="B225" s="2"/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2"/>
      <c r="S225" s="1"/>
      <c r="T225" s="1"/>
    </row>
    <row r="226" spans="1:20" x14ac:dyDescent="0.25">
      <c r="A226" s="1"/>
      <c r="B226" s="2"/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2"/>
      <c r="S226" s="1"/>
      <c r="T226" s="1"/>
    </row>
    <row r="227" spans="1:20" x14ac:dyDescent="0.25">
      <c r="A227" s="1"/>
      <c r="B227" s="2"/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2"/>
      <c r="S227" s="1"/>
      <c r="T227" s="1"/>
    </row>
    <row r="228" spans="1:20" x14ac:dyDescent="0.25">
      <c r="A228" s="1"/>
      <c r="B228" s="2"/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2"/>
      <c r="S228" s="1"/>
      <c r="T228" s="1"/>
    </row>
    <row r="229" spans="1:20" x14ac:dyDescent="0.25">
      <c r="A229" s="1"/>
      <c r="B229" s="2"/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2"/>
      <c r="S229" s="1"/>
      <c r="T229" s="1"/>
    </row>
    <row r="230" spans="1:20" x14ac:dyDescent="0.25">
      <c r="A230" s="1"/>
      <c r="B230" s="2"/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2"/>
      <c r="S230" s="1"/>
      <c r="T230" s="1"/>
    </row>
    <row r="231" spans="1:20" x14ac:dyDescent="0.25">
      <c r="A231" s="1"/>
      <c r="B231" s="2"/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2"/>
      <c r="S231" s="1"/>
      <c r="T231" s="1"/>
    </row>
    <row r="232" spans="1:20" x14ac:dyDescent="0.25">
      <c r="A232" s="1"/>
      <c r="B232" s="2"/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2"/>
      <c r="S232" s="1"/>
      <c r="T232" s="1"/>
    </row>
    <row r="233" spans="1:20" x14ac:dyDescent="0.25">
      <c r="A233" s="1"/>
      <c r="B233" s="2"/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2"/>
      <c r="S233" s="1"/>
      <c r="T233" s="1"/>
    </row>
    <row r="234" spans="1:20" x14ac:dyDescent="0.25">
      <c r="A234" s="1"/>
      <c r="B234" s="2"/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2"/>
      <c r="S234" s="1"/>
      <c r="T234" s="1"/>
    </row>
    <row r="235" spans="1:20" x14ac:dyDescent="0.25">
      <c r="A235" s="1"/>
      <c r="B235" s="2"/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2"/>
      <c r="S235" s="1"/>
      <c r="T235" s="1"/>
    </row>
    <row r="236" spans="1:20" x14ac:dyDescent="0.25">
      <c r="A236" s="1"/>
      <c r="B236" s="2"/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2"/>
      <c r="S236" s="1"/>
      <c r="T236" s="1"/>
    </row>
    <row r="237" spans="1:20" x14ac:dyDescent="0.25">
      <c r="A237" s="1"/>
      <c r="B237" s="2"/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2"/>
      <c r="S237" s="1"/>
      <c r="T237" s="1"/>
    </row>
    <row r="238" spans="1:20" x14ac:dyDescent="0.25">
      <c r="A238" s="1"/>
      <c r="B238" s="2"/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2"/>
      <c r="S238" s="1"/>
      <c r="T238" s="1"/>
    </row>
    <row r="239" spans="1:20" x14ac:dyDescent="0.25">
      <c r="A239" s="1"/>
      <c r="B239" s="2"/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2"/>
      <c r="S239" s="1"/>
      <c r="T239" s="1"/>
    </row>
    <row r="240" spans="1:20" x14ac:dyDescent="0.25">
      <c r="A240" s="1"/>
      <c r="B240" s="2"/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2"/>
      <c r="S240" s="1"/>
      <c r="T240" s="1"/>
    </row>
    <row r="241" spans="1:20" x14ac:dyDescent="0.25">
      <c r="A241" s="1"/>
      <c r="B241" s="2"/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2"/>
      <c r="S241" s="1"/>
      <c r="T241" s="1"/>
    </row>
    <row r="242" spans="1:20" x14ac:dyDescent="0.25">
      <c r="A242" s="1"/>
      <c r="B242" s="2"/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2"/>
      <c r="S242" s="1"/>
      <c r="T242" s="1"/>
    </row>
    <row r="243" spans="1:20" x14ac:dyDescent="0.25">
      <c r="A243" s="1"/>
      <c r="B243" s="2"/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2"/>
      <c r="S243" s="1"/>
      <c r="T243" s="1"/>
    </row>
    <row r="244" spans="1:20" x14ac:dyDescent="0.25">
      <c r="A244" s="1"/>
      <c r="B244" s="2"/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2"/>
      <c r="S244" s="1"/>
      <c r="T244" s="1"/>
    </row>
    <row r="245" spans="1:20" x14ac:dyDescent="0.25">
      <c r="A245" s="1"/>
      <c r="B245" s="2"/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2"/>
      <c r="S245" s="1"/>
      <c r="T245" s="1"/>
    </row>
    <row r="246" spans="1:20" x14ac:dyDescent="0.25">
      <c r="A246" s="1"/>
      <c r="B246" s="2"/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2"/>
      <c r="S246" s="1"/>
      <c r="T246" s="1"/>
    </row>
    <row r="247" spans="1:20" x14ac:dyDescent="0.25">
      <c r="A247" s="1"/>
      <c r="B247" s="2"/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2"/>
      <c r="S247" s="1"/>
      <c r="T247" s="1"/>
    </row>
    <row r="248" spans="1:20" x14ac:dyDescent="0.25">
      <c r="A248" s="1"/>
      <c r="B248" s="2"/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2"/>
      <c r="S248" s="1"/>
      <c r="T248" s="1"/>
    </row>
    <row r="249" spans="1:20" x14ac:dyDescent="0.25">
      <c r="A249" s="1"/>
      <c r="B249" s="2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2"/>
      <c r="S249" s="1"/>
      <c r="T249" s="1"/>
    </row>
    <row r="250" spans="1:20" x14ac:dyDescent="0.25">
      <c r="A250" s="1"/>
      <c r="B250" s="2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2"/>
      <c r="S250" s="1"/>
      <c r="T250" s="1"/>
    </row>
    <row r="251" spans="1:20" x14ac:dyDescent="0.25">
      <c r="A251" s="1"/>
      <c r="B251" s="2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2"/>
      <c r="S251" s="1"/>
      <c r="T251" s="1"/>
    </row>
    <row r="252" spans="1:20" x14ac:dyDescent="0.25">
      <c r="A252" s="1"/>
      <c r="B252" s="2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2"/>
      <c r="S252" s="1"/>
      <c r="T252" s="1"/>
    </row>
    <row r="253" spans="1:20" x14ac:dyDescent="0.25">
      <c r="A253" s="1"/>
      <c r="B253" s="2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2"/>
      <c r="S253" s="1"/>
      <c r="T253" s="1"/>
    </row>
    <row r="254" spans="1:20" x14ac:dyDescent="0.25">
      <c r="A254" s="1"/>
      <c r="B254" s="2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2"/>
      <c r="S254" s="1"/>
      <c r="T254" s="1"/>
    </row>
    <row r="255" spans="1:20" x14ac:dyDescent="0.25">
      <c r="A255" s="1"/>
      <c r="B255" s="2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2"/>
      <c r="S255" s="1"/>
      <c r="T255" s="1"/>
    </row>
    <row r="256" spans="1:20" x14ac:dyDescent="0.25">
      <c r="A256" s="1"/>
      <c r="B256" s="2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2"/>
      <c r="S256" s="1"/>
      <c r="T256" s="1"/>
    </row>
    <row r="257" spans="1:20" x14ac:dyDescent="0.25">
      <c r="A257" s="1"/>
      <c r="B257" s="2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2"/>
      <c r="S257" s="1"/>
      <c r="T257" s="1"/>
    </row>
    <row r="258" spans="1:20" x14ac:dyDescent="0.25">
      <c r="A258" s="1"/>
      <c r="B258" s="2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2"/>
      <c r="S258" s="1"/>
      <c r="T258" s="1"/>
    </row>
    <row r="259" spans="1:20" x14ac:dyDescent="0.25">
      <c r="A259" s="1"/>
      <c r="B259" s="2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2"/>
      <c r="S259" s="1"/>
      <c r="T259" s="1"/>
    </row>
    <row r="260" spans="1:20" x14ac:dyDescent="0.25">
      <c r="A260" s="1"/>
      <c r="B260" s="2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2"/>
      <c r="S260" s="1"/>
      <c r="T260" s="1"/>
    </row>
    <row r="261" spans="1:20" x14ac:dyDescent="0.25">
      <c r="A261" s="1"/>
      <c r="B261" s="2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2"/>
      <c r="S261" s="1"/>
      <c r="T261" s="1"/>
    </row>
    <row r="262" spans="1:20" x14ac:dyDescent="0.25">
      <c r="A262" s="1"/>
      <c r="B262" s="2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2"/>
      <c r="S262" s="1"/>
      <c r="T262" s="1"/>
    </row>
    <row r="263" spans="1:20" x14ac:dyDescent="0.25">
      <c r="A263" s="1"/>
      <c r="B263" s="2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2"/>
      <c r="S263" s="1"/>
      <c r="T263" s="1"/>
    </row>
    <row r="264" spans="1:20" x14ac:dyDescent="0.25">
      <c r="A264" s="1"/>
      <c r="B264" s="2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2"/>
      <c r="S264" s="1"/>
      <c r="T264" s="1"/>
    </row>
    <row r="265" spans="1:20" x14ac:dyDescent="0.25">
      <c r="A265" s="1"/>
      <c r="B265" s="2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2"/>
      <c r="S265" s="1"/>
      <c r="T265" s="1"/>
    </row>
    <row r="266" spans="1:20" x14ac:dyDescent="0.25">
      <c r="A266" s="1"/>
      <c r="B266" s="2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2"/>
      <c r="S266" s="1"/>
      <c r="T266" s="1"/>
    </row>
    <row r="267" spans="1:20" x14ac:dyDescent="0.25">
      <c r="A267" s="1"/>
      <c r="B267" s="2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2"/>
      <c r="S267" s="1"/>
      <c r="T267" s="1"/>
    </row>
    <row r="268" spans="1:20" x14ac:dyDescent="0.25">
      <c r="A268" s="1"/>
      <c r="B268" s="2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2"/>
      <c r="S268" s="1"/>
      <c r="T268" s="1"/>
    </row>
    <row r="269" spans="1:20" x14ac:dyDescent="0.25">
      <c r="A269" s="1"/>
      <c r="B269" s="2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2"/>
      <c r="S269" s="1"/>
      <c r="T269" s="1"/>
    </row>
    <row r="270" spans="1:20" x14ac:dyDescent="0.25">
      <c r="A270" s="1"/>
      <c r="B270" s="2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2"/>
      <c r="S270" s="1"/>
      <c r="T270" s="1"/>
    </row>
    <row r="271" spans="1:20" x14ac:dyDescent="0.25">
      <c r="A271" s="1"/>
      <c r="B271" s="2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2"/>
      <c r="S271" s="1"/>
      <c r="T271" s="1"/>
    </row>
    <row r="272" spans="1:20" x14ac:dyDescent="0.25">
      <c r="A272" s="1"/>
      <c r="B272" s="2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2"/>
      <c r="S272" s="1"/>
      <c r="T272" s="1"/>
    </row>
    <row r="273" spans="1:20" x14ac:dyDescent="0.25">
      <c r="A273" s="1"/>
      <c r="B273" s="2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2"/>
      <c r="S273" s="1"/>
      <c r="T273" s="1"/>
    </row>
    <row r="274" spans="1:20" x14ac:dyDescent="0.25">
      <c r="A274" s="1"/>
      <c r="B274" s="2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2"/>
      <c r="S274" s="1"/>
      <c r="T274" s="1"/>
    </row>
    <row r="275" spans="1:20" x14ac:dyDescent="0.25">
      <c r="A275" s="1"/>
      <c r="B275" s="2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2"/>
      <c r="S275" s="1"/>
      <c r="T275" s="1"/>
    </row>
    <row r="276" spans="1:20" x14ac:dyDescent="0.25">
      <c r="A276" s="1"/>
      <c r="B276" s="2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2"/>
      <c r="S276" s="1"/>
      <c r="T276" s="1"/>
    </row>
    <row r="277" spans="1:20" x14ac:dyDescent="0.25">
      <c r="A277" s="1"/>
      <c r="B277" s="2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2"/>
      <c r="S277" s="1"/>
      <c r="T277" s="1"/>
    </row>
    <row r="278" spans="1:20" x14ac:dyDescent="0.25">
      <c r="A278" s="1"/>
      <c r="B278" s="2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2"/>
      <c r="S278" s="1"/>
      <c r="T278" s="1"/>
    </row>
    <row r="279" spans="1:20" x14ac:dyDescent="0.25">
      <c r="A279" s="1"/>
      <c r="B279" s="2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2"/>
      <c r="S279" s="1"/>
      <c r="T279" s="1"/>
    </row>
    <row r="280" spans="1:20" x14ac:dyDescent="0.25">
      <c r="A280" s="1"/>
      <c r="B280" s="2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2"/>
      <c r="S280" s="1"/>
      <c r="T280" s="1"/>
    </row>
    <row r="281" spans="1:20" x14ac:dyDescent="0.25">
      <c r="A281" s="1"/>
      <c r="B281" s="2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2"/>
      <c r="S281" s="1"/>
      <c r="T281" s="1"/>
    </row>
    <row r="282" spans="1:20" x14ac:dyDescent="0.25">
      <c r="A282" s="1"/>
      <c r="B282" s="2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2"/>
      <c r="S282" s="1"/>
      <c r="T282" s="1"/>
    </row>
    <row r="283" spans="1:20" x14ac:dyDescent="0.25">
      <c r="A283" s="1"/>
      <c r="B283" s="2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2"/>
      <c r="S283" s="1"/>
      <c r="T283" s="1"/>
    </row>
    <row r="284" spans="1:20" x14ac:dyDescent="0.25">
      <c r="A284" s="1"/>
      <c r="B284" s="2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2"/>
      <c r="S284" s="1"/>
      <c r="T284" s="1"/>
    </row>
    <row r="285" spans="1:20" x14ac:dyDescent="0.25">
      <c r="A285" s="1"/>
      <c r="B285" s="2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2"/>
      <c r="S285" s="1"/>
      <c r="T285" s="1"/>
    </row>
    <row r="286" spans="1:20" x14ac:dyDescent="0.25">
      <c r="A286" s="1"/>
      <c r="B286" s="2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2"/>
      <c r="S286" s="1"/>
      <c r="T286" s="1"/>
    </row>
    <row r="287" spans="1:20" x14ac:dyDescent="0.25">
      <c r="A287" s="1"/>
      <c r="B287" s="2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2"/>
      <c r="S287" s="1"/>
      <c r="T287" s="1"/>
    </row>
    <row r="288" spans="1:20" x14ac:dyDescent="0.25">
      <c r="A288" s="1"/>
      <c r="B288" s="2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2"/>
      <c r="S288" s="1"/>
      <c r="T288" s="1"/>
    </row>
    <row r="289" spans="1:20" x14ac:dyDescent="0.25">
      <c r="A289" s="1"/>
      <c r="B289" s="2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2"/>
      <c r="S289" s="1"/>
      <c r="T289" s="1"/>
    </row>
    <row r="290" spans="1:20" x14ac:dyDescent="0.25">
      <c r="A290" s="1"/>
      <c r="B290" s="2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2"/>
      <c r="S290" s="1"/>
      <c r="T290" s="1"/>
    </row>
    <row r="291" spans="1:20" x14ac:dyDescent="0.25">
      <c r="A291" s="1"/>
      <c r="B291" s="2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2"/>
      <c r="S291" s="1"/>
      <c r="T291" s="1"/>
    </row>
    <row r="292" spans="1:20" x14ac:dyDescent="0.25">
      <c r="A292" s="1"/>
      <c r="B292" s="2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2"/>
      <c r="S292" s="1"/>
      <c r="T292" s="1"/>
    </row>
    <row r="293" spans="1:20" x14ac:dyDescent="0.25">
      <c r="A293" s="1"/>
      <c r="B293" s="2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2"/>
      <c r="S293" s="1"/>
      <c r="T293" s="1"/>
    </row>
    <row r="294" spans="1:20" x14ac:dyDescent="0.25">
      <c r="A294" s="1"/>
      <c r="B294" s="2"/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2"/>
      <c r="S294" s="1"/>
      <c r="T294" s="1"/>
    </row>
    <row r="295" spans="1:20" x14ac:dyDescent="0.25">
      <c r="A295" s="1"/>
      <c r="B295" s="2"/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2"/>
      <c r="S295" s="1"/>
      <c r="T295" s="1"/>
    </row>
    <row r="296" spans="1:20" x14ac:dyDescent="0.25">
      <c r="A296" s="1"/>
      <c r="B296" s="2"/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2"/>
      <c r="S296" s="1"/>
      <c r="T296" s="1"/>
    </row>
    <row r="297" spans="1:20" x14ac:dyDescent="0.25">
      <c r="A297" s="1"/>
      <c r="B297" s="2"/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2"/>
      <c r="S297" s="1"/>
      <c r="T297" s="1"/>
    </row>
    <row r="298" spans="1:20" x14ac:dyDescent="0.25">
      <c r="A298" s="1"/>
      <c r="B298" s="2"/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2"/>
      <c r="S298" s="1"/>
      <c r="T298" s="1"/>
    </row>
    <row r="299" spans="1:20" x14ac:dyDescent="0.25">
      <c r="A299" s="1"/>
      <c r="B299" s="2"/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2"/>
      <c r="S299" s="1"/>
      <c r="T299" s="1"/>
    </row>
    <row r="300" spans="1:20" x14ac:dyDescent="0.25">
      <c r="A300" s="1"/>
      <c r="B300" s="2"/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2"/>
      <c r="S300" s="1"/>
      <c r="T300" s="1"/>
    </row>
    <row r="301" spans="1:20" x14ac:dyDescent="0.25">
      <c r="A301" s="1"/>
      <c r="B301" s="2"/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2"/>
      <c r="S301" s="1"/>
      <c r="T301" s="1"/>
    </row>
    <row r="302" spans="1:20" x14ac:dyDescent="0.25">
      <c r="A302" s="1"/>
      <c r="B302" s="2"/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2"/>
      <c r="S302" s="1"/>
      <c r="T302" s="1"/>
    </row>
    <row r="303" spans="1:20" x14ac:dyDescent="0.25">
      <c r="A303" s="1"/>
      <c r="B303" s="2"/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2"/>
      <c r="S303" s="1"/>
      <c r="T303" s="1"/>
    </row>
    <row r="304" spans="1:20" x14ac:dyDescent="0.25">
      <c r="A304" s="1"/>
      <c r="B304" s="2"/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2"/>
      <c r="S304" s="1"/>
      <c r="T304" s="1"/>
    </row>
    <row r="305" spans="1:20" x14ac:dyDescent="0.25">
      <c r="A305" s="1"/>
      <c r="B305" s="2"/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2"/>
      <c r="S305" s="1"/>
      <c r="T305" s="1"/>
    </row>
    <row r="306" spans="1:20" x14ac:dyDescent="0.25">
      <c r="A306" s="1"/>
      <c r="B306" s="2"/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2"/>
      <c r="S306" s="1"/>
      <c r="T306" s="1"/>
    </row>
    <row r="307" spans="1:20" x14ac:dyDescent="0.25">
      <c r="A307" s="1"/>
      <c r="B307" s="2"/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2"/>
      <c r="S307" s="1"/>
      <c r="T307" s="1"/>
    </row>
    <row r="308" spans="1:20" x14ac:dyDescent="0.25">
      <c r="A308" s="1"/>
      <c r="B308" s="2"/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2"/>
      <c r="S308" s="1"/>
      <c r="T308" s="1"/>
    </row>
    <row r="309" spans="1:20" x14ac:dyDescent="0.25">
      <c r="A309" s="1"/>
      <c r="B309" s="2"/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2"/>
      <c r="S309" s="1"/>
      <c r="T309" s="1"/>
    </row>
    <row r="310" spans="1:20" x14ac:dyDescent="0.25">
      <c r="A310" s="1"/>
      <c r="B310" s="2"/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2"/>
      <c r="S310" s="1"/>
      <c r="T310" s="1"/>
    </row>
    <row r="311" spans="1:20" x14ac:dyDescent="0.25">
      <c r="A311" s="1"/>
      <c r="B311" s="2"/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2"/>
      <c r="S311" s="1"/>
      <c r="T311" s="1"/>
    </row>
    <row r="312" spans="1:20" x14ac:dyDescent="0.25">
      <c r="A312" s="1"/>
      <c r="B312" s="2"/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2"/>
      <c r="S312" s="1"/>
      <c r="T312" s="1"/>
    </row>
    <row r="313" spans="1:20" x14ac:dyDescent="0.25">
      <c r="A313" s="1"/>
      <c r="B313" s="2"/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2"/>
      <c r="S313" s="1"/>
      <c r="T313" s="1"/>
    </row>
    <row r="314" spans="1:20" x14ac:dyDescent="0.25">
      <c r="A314" s="1"/>
      <c r="B314" s="2"/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2"/>
      <c r="S314" s="1"/>
      <c r="T314" s="1"/>
    </row>
    <row r="315" spans="1:20" x14ac:dyDescent="0.25">
      <c r="A315" s="1"/>
      <c r="B315" s="2"/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2"/>
      <c r="S315" s="1"/>
      <c r="T315" s="1"/>
    </row>
    <row r="316" spans="1:20" x14ac:dyDescent="0.25">
      <c r="A316" s="1"/>
      <c r="B316" s="2"/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2"/>
      <c r="S316" s="1"/>
      <c r="T316" s="1"/>
    </row>
    <row r="317" spans="1:20" x14ac:dyDescent="0.25">
      <c r="A317" s="1"/>
      <c r="B317" s="2"/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2"/>
      <c r="S317" s="1"/>
      <c r="T317" s="1"/>
    </row>
    <row r="318" spans="1:20" x14ac:dyDescent="0.25">
      <c r="A318" s="1"/>
      <c r="B318" s="2"/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2"/>
      <c r="S318" s="1"/>
      <c r="T318" s="1"/>
    </row>
    <row r="319" spans="1:20" x14ac:dyDescent="0.25">
      <c r="A319" s="1"/>
      <c r="B319" s="2"/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2"/>
      <c r="S319" s="1"/>
      <c r="T319" s="1"/>
    </row>
    <row r="320" spans="1:20" x14ac:dyDescent="0.25">
      <c r="A320" s="1"/>
      <c r="B320" s="2"/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2"/>
      <c r="S320" s="1"/>
      <c r="T320" s="1"/>
    </row>
    <row r="321" spans="1:20" x14ac:dyDescent="0.25">
      <c r="A321" s="1"/>
      <c r="B321" s="2"/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2"/>
      <c r="S321" s="1"/>
      <c r="T321" s="1"/>
    </row>
    <row r="322" spans="1:20" x14ac:dyDescent="0.25">
      <c r="A322" s="1"/>
      <c r="B322" s="2"/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2"/>
      <c r="S322" s="1"/>
      <c r="T322" s="1"/>
    </row>
    <row r="323" spans="1:20" x14ac:dyDescent="0.25">
      <c r="A323" s="1"/>
      <c r="B323" s="2"/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2"/>
      <c r="S323" s="1"/>
      <c r="T323" s="1"/>
    </row>
    <row r="324" spans="1:20" x14ac:dyDescent="0.25">
      <c r="A324" s="1"/>
      <c r="B324" s="2"/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2"/>
      <c r="S324" s="1"/>
      <c r="T324" s="1"/>
    </row>
    <row r="325" spans="1:20" x14ac:dyDescent="0.25">
      <c r="A325" s="1"/>
      <c r="B325" s="2"/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2"/>
      <c r="S325" s="1"/>
      <c r="T325" s="1"/>
    </row>
    <row r="326" spans="1:20" x14ac:dyDescent="0.25">
      <c r="A326" s="1"/>
      <c r="B326" s="2"/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2"/>
      <c r="S326" s="1"/>
      <c r="T326" s="1"/>
    </row>
    <row r="327" spans="1:20" x14ac:dyDescent="0.25">
      <c r="A327" s="1"/>
      <c r="B327" s="2"/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2"/>
      <c r="S327" s="1"/>
      <c r="T327" s="1"/>
    </row>
    <row r="328" spans="1:20" x14ac:dyDescent="0.25">
      <c r="A328" s="1"/>
      <c r="B328" s="2"/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2"/>
      <c r="S328" s="1"/>
      <c r="T328" s="1"/>
    </row>
    <row r="329" spans="1:20" x14ac:dyDescent="0.25">
      <c r="A329" s="1"/>
      <c r="B329" s="2"/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2"/>
      <c r="S329" s="1"/>
      <c r="T329" s="1"/>
    </row>
    <row r="330" spans="1:20" x14ac:dyDescent="0.25">
      <c r="A330" s="1"/>
      <c r="B330" s="2"/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2"/>
      <c r="S330" s="1"/>
      <c r="T330" s="1"/>
    </row>
    <row r="331" spans="1:20" x14ac:dyDescent="0.25">
      <c r="A331" s="1"/>
      <c r="B331" s="2"/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2"/>
      <c r="S331" s="1"/>
      <c r="T331" s="1"/>
    </row>
    <row r="332" spans="1:20" x14ac:dyDescent="0.25">
      <c r="A332" s="1"/>
      <c r="B332" s="2"/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2"/>
      <c r="S332" s="1"/>
      <c r="T332" s="1"/>
    </row>
    <row r="333" spans="1:20" x14ac:dyDescent="0.25">
      <c r="A333" s="1"/>
      <c r="B333" s="2"/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2"/>
      <c r="S333" s="1"/>
      <c r="T333" s="1"/>
    </row>
    <row r="334" spans="1:20" x14ac:dyDescent="0.25">
      <c r="A334" s="1"/>
      <c r="B334" s="2"/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2"/>
      <c r="S334" s="1"/>
      <c r="T334" s="1"/>
    </row>
    <row r="335" spans="1:20" x14ac:dyDescent="0.25">
      <c r="A335" s="1"/>
      <c r="B335" s="2"/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2"/>
      <c r="S335" s="1"/>
      <c r="T335" s="1"/>
    </row>
    <row r="336" spans="1:20" x14ac:dyDescent="0.25">
      <c r="A336" s="1"/>
      <c r="B336" s="2"/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2"/>
      <c r="S336" s="1"/>
      <c r="T336" s="1"/>
    </row>
    <row r="337" spans="1:20" x14ac:dyDescent="0.25">
      <c r="A337" s="1"/>
      <c r="B337" s="2"/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2"/>
      <c r="S337" s="1"/>
      <c r="T337" s="1"/>
    </row>
    <row r="338" spans="1:20" x14ac:dyDescent="0.25">
      <c r="A338" s="1"/>
      <c r="B338" s="2"/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2"/>
      <c r="S338" s="1"/>
      <c r="T338" s="1"/>
    </row>
    <row r="339" spans="1:20" x14ac:dyDescent="0.25">
      <c r="A339" s="1"/>
      <c r="B339" s="2"/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2"/>
      <c r="S339" s="1"/>
      <c r="T339" s="1"/>
    </row>
    <row r="340" spans="1:20" x14ac:dyDescent="0.25">
      <c r="A340" s="1"/>
      <c r="B340" s="2"/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2"/>
      <c r="S340" s="1"/>
      <c r="T340" s="1"/>
    </row>
    <row r="341" spans="1:20" x14ac:dyDescent="0.25">
      <c r="A341" s="1"/>
      <c r="B341" s="2"/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2"/>
      <c r="S341" s="1"/>
      <c r="T341" s="1"/>
    </row>
    <row r="342" spans="1:20" x14ac:dyDescent="0.25">
      <c r="A342" s="1"/>
      <c r="B342" s="2"/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2"/>
      <c r="S342" s="1"/>
      <c r="T342" s="1"/>
    </row>
    <row r="343" spans="1:20" x14ac:dyDescent="0.25">
      <c r="A343" s="1"/>
      <c r="B343" s="2"/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2"/>
      <c r="S343" s="1"/>
      <c r="T343" s="1"/>
    </row>
    <row r="344" spans="1:20" x14ac:dyDescent="0.25">
      <c r="A344" s="1"/>
      <c r="B344" s="2"/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2"/>
      <c r="S344" s="1"/>
      <c r="T344" s="1"/>
    </row>
    <row r="345" spans="1:20" x14ac:dyDescent="0.25">
      <c r="A345" s="1"/>
      <c r="B345" s="2"/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2"/>
      <c r="S345" s="1"/>
      <c r="T345" s="1"/>
    </row>
    <row r="346" spans="1:20" x14ac:dyDescent="0.25">
      <c r="A346" s="1"/>
      <c r="B346" s="2"/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2"/>
      <c r="S346" s="1"/>
      <c r="T346" s="1"/>
    </row>
    <row r="347" spans="1:20" x14ac:dyDescent="0.25">
      <c r="A347" s="1"/>
      <c r="B347" s="2"/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2"/>
      <c r="S347" s="1"/>
      <c r="T347" s="1"/>
    </row>
    <row r="348" spans="1:20" x14ac:dyDescent="0.25">
      <c r="A348" s="1"/>
      <c r="B348" s="2"/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2"/>
      <c r="S348" s="1"/>
      <c r="T348" s="1"/>
    </row>
    <row r="349" spans="1:20" x14ac:dyDescent="0.25">
      <c r="A349" s="1"/>
      <c r="B349" s="2"/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2"/>
      <c r="S349" s="1"/>
      <c r="T349" s="1"/>
    </row>
    <row r="350" spans="1:20" x14ac:dyDescent="0.25">
      <c r="A350" s="1"/>
      <c r="B350" s="2"/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2"/>
      <c r="S350" s="1"/>
      <c r="T350" s="1"/>
    </row>
    <row r="351" spans="1:20" x14ac:dyDescent="0.25">
      <c r="A351" s="1"/>
      <c r="B351" s="2"/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2"/>
      <c r="S351" s="1"/>
      <c r="T351" s="1"/>
    </row>
    <row r="352" spans="1:20" x14ac:dyDescent="0.25">
      <c r="A352" s="1"/>
      <c r="B352" s="2"/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2"/>
      <c r="S352" s="1"/>
      <c r="T352" s="1"/>
    </row>
    <row r="353" spans="1:20" x14ac:dyDescent="0.25">
      <c r="A353" s="1"/>
      <c r="B353" s="2"/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2"/>
      <c r="S353" s="1"/>
      <c r="T353" s="1"/>
    </row>
    <row r="354" spans="1:20" x14ac:dyDescent="0.25">
      <c r="A354" s="1"/>
      <c r="B354" s="2"/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2"/>
      <c r="S354" s="1"/>
      <c r="T354" s="1"/>
    </row>
    <row r="355" spans="1:20" x14ac:dyDescent="0.25">
      <c r="A355" s="1"/>
      <c r="B355" s="2"/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2"/>
      <c r="S355" s="1"/>
      <c r="T355" s="1"/>
    </row>
    <row r="356" spans="1:20" x14ac:dyDescent="0.25">
      <c r="A356" s="1"/>
      <c r="B356" s="2"/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2"/>
      <c r="S356" s="1"/>
      <c r="T356" s="1"/>
    </row>
    <row r="357" spans="1:20" x14ac:dyDescent="0.25">
      <c r="A357" s="1"/>
      <c r="B357" s="2"/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2"/>
      <c r="S357" s="1"/>
      <c r="T357" s="1"/>
    </row>
    <row r="358" spans="1:20" x14ac:dyDescent="0.25">
      <c r="A358" s="1"/>
      <c r="B358" s="2"/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2"/>
      <c r="S358" s="1"/>
      <c r="T358" s="1"/>
    </row>
    <row r="359" spans="1:20" x14ac:dyDescent="0.25">
      <c r="A359" s="1"/>
      <c r="B359" s="2"/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2"/>
      <c r="S359" s="1"/>
      <c r="T359" s="1"/>
    </row>
    <row r="360" spans="1:20" x14ac:dyDescent="0.25">
      <c r="A360" s="1"/>
      <c r="B360" s="2"/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2"/>
      <c r="S360" s="1"/>
      <c r="T360" s="1"/>
    </row>
    <row r="361" spans="1:20" x14ac:dyDescent="0.25">
      <c r="A361" s="1"/>
      <c r="B361" s="2"/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2"/>
      <c r="S361" s="1"/>
      <c r="T361" s="1"/>
    </row>
    <row r="362" spans="1:20" x14ac:dyDescent="0.25">
      <c r="A362" s="1"/>
      <c r="B362" s="2"/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2"/>
      <c r="S362" s="1"/>
      <c r="T362" s="1"/>
    </row>
    <row r="363" spans="1:20" x14ac:dyDescent="0.25">
      <c r="A363" s="1"/>
      <c r="B363" s="2"/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2"/>
      <c r="S363" s="1"/>
      <c r="T363" s="1"/>
    </row>
    <row r="364" spans="1:20" x14ac:dyDescent="0.25">
      <c r="A364" s="1"/>
      <c r="B364" s="2"/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2"/>
      <c r="S364" s="1"/>
      <c r="T364" s="1"/>
    </row>
    <row r="365" spans="1:20" x14ac:dyDescent="0.25">
      <c r="A365" s="1"/>
      <c r="B365" s="2"/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2"/>
      <c r="S365" s="1"/>
      <c r="T365" s="1"/>
    </row>
    <row r="366" spans="1:20" x14ac:dyDescent="0.25">
      <c r="A366" s="1"/>
      <c r="B366" s="2"/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2"/>
      <c r="S366" s="1"/>
      <c r="T366" s="1"/>
    </row>
    <row r="367" spans="1:20" x14ac:dyDescent="0.25">
      <c r="A367" s="1"/>
      <c r="B367" s="2"/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2"/>
      <c r="S367" s="1"/>
      <c r="T367" s="1"/>
    </row>
    <row r="368" spans="1:20" x14ac:dyDescent="0.25">
      <c r="A368" s="1"/>
      <c r="B368" s="2"/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2"/>
      <c r="S368" s="1"/>
      <c r="T368" s="1"/>
    </row>
    <row r="369" spans="1:20" x14ac:dyDescent="0.25">
      <c r="A369" s="1"/>
      <c r="B369" s="2"/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2"/>
      <c r="S369" s="1"/>
      <c r="T369" s="1"/>
    </row>
    <row r="370" spans="1:20" x14ac:dyDescent="0.25">
      <c r="A370" s="1"/>
      <c r="B370" s="2"/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2"/>
      <c r="S370" s="1"/>
      <c r="T370" s="1"/>
    </row>
    <row r="371" spans="1:20" x14ac:dyDescent="0.25">
      <c r="A371" s="1"/>
      <c r="B371" s="2"/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2"/>
      <c r="S371" s="1"/>
      <c r="T371" s="1"/>
    </row>
    <row r="372" spans="1:20" x14ac:dyDescent="0.25">
      <c r="A372" s="1"/>
      <c r="B372" s="2"/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2"/>
      <c r="S372" s="1"/>
      <c r="T372" s="1"/>
    </row>
    <row r="373" spans="1:20" x14ac:dyDescent="0.25">
      <c r="A373" s="1"/>
      <c r="B373" s="2"/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2"/>
      <c r="S373" s="1"/>
      <c r="T373" s="1"/>
    </row>
    <row r="374" spans="1:20" x14ac:dyDescent="0.25">
      <c r="A374" s="1"/>
      <c r="B374" s="2"/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2"/>
      <c r="S374" s="1"/>
      <c r="T374" s="1"/>
    </row>
    <row r="375" spans="1:20" x14ac:dyDescent="0.25">
      <c r="A375" s="1"/>
      <c r="B375" s="2"/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2"/>
      <c r="S375" s="1"/>
      <c r="T375" s="1"/>
    </row>
    <row r="376" spans="1:20" x14ac:dyDescent="0.25">
      <c r="A376" s="1"/>
      <c r="B376" s="2"/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2"/>
      <c r="S376" s="1"/>
      <c r="T376" s="1"/>
    </row>
    <row r="377" spans="1:20" x14ac:dyDescent="0.25">
      <c r="A377" s="1"/>
      <c r="B377" s="2"/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2"/>
      <c r="S377" s="1"/>
      <c r="T377" s="1"/>
    </row>
    <row r="378" spans="1:20" x14ac:dyDescent="0.25">
      <c r="A378" s="1"/>
      <c r="B378" s="2"/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2"/>
      <c r="S378" s="1"/>
      <c r="T378" s="1"/>
    </row>
    <row r="379" spans="1:20" x14ac:dyDescent="0.25">
      <c r="A379" s="1"/>
      <c r="B379" s="2"/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2"/>
      <c r="S379" s="1"/>
      <c r="T379" s="1"/>
    </row>
    <row r="380" spans="1:20" x14ac:dyDescent="0.25">
      <c r="A380" s="1"/>
      <c r="B380" s="2"/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2"/>
      <c r="S380" s="1"/>
      <c r="T380" s="1"/>
    </row>
    <row r="381" spans="1:20" x14ac:dyDescent="0.25">
      <c r="A381" s="1"/>
      <c r="B381" s="2"/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2"/>
      <c r="S381" s="1"/>
      <c r="T381" s="1"/>
    </row>
    <row r="382" spans="1:20" x14ac:dyDescent="0.25">
      <c r="A382" s="1"/>
      <c r="B382" s="2"/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2"/>
      <c r="S382" s="1"/>
      <c r="T382" s="1"/>
    </row>
    <row r="383" spans="1:20" x14ac:dyDescent="0.25">
      <c r="A383" s="1"/>
      <c r="B383" s="2"/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2"/>
      <c r="S383" s="1"/>
      <c r="T383" s="1"/>
    </row>
    <row r="384" spans="1:20" x14ac:dyDescent="0.25">
      <c r="A384" s="1"/>
      <c r="B384" s="2"/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2"/>
      <c r="S384" s="1"/>
      <c r="T384" s="1"/>
    </row>
    <row r="385" spans="1:20" x14ac:dyDescent="0.25">
      <c r="A385" s="1"/>
      <c r="B385" s="2"/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2"/>
      <c r="S385" s="1"/>
      <c r="T385" s="1"/>
    </row>
    <row r="386" spans="1:20" x14ac:dyDescent="0.25">
      <c r="A386" s="1"/>
      <c r="B386" s="2"/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2"/>
      <c r="S386" s="1"/>
      <c r="T386" s="1"/>
    </row>
    <row r="387" spans="1:20" x14ac:dyDescent="0.25">
      <c r="A387" s="1"/>
      <c r="B387" s="2"/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2"/>
      <c r="S387" s="1"/>
      <c r="T387" s="1"/>
    </row>
    <row r="388" spans="1:20" x14ac:dyDescent="0.25">
      <c r="A388" s="1"/>
      <c r="B388" s="2"/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2"/>
      <c r="S388" s="1"/>
      <c r="T388" s="1"/>
    </row>
    <row r="389" spans="1:20" x14ac:dyDescent="0.25">
      <c r="A389" s="1"/>
      <c r="B389" s="2"/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2"/>
      <c r="S389" s="1"/>
      <c r="T389" s="1"/>
    </row>
    <row r="390" spans="1:20" x14ac:dyDescent="0.25">
      <c r="A390" s="1"/>
      <c r="B390" s="2"/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2"/>
      <c r="S390" s="1"/>
      <c r="T390" s="1"/>
    </row>
    <row r="391" spans="1:20" x14ac:dyDescent="0.25">
      <c r="A391" s="1"/>
      <c r="B391" s="2"/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2"/>
      <c r="S391" s="1"/>
      <c r="T391" s="1"/>
    </row>
    <row r="392" spans="1:20" x14ac:dyDescent="0.25">
      <c r="A392" s="1"/>
      <c r="B392" s="2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2"/>
      <c r="S392" s="1"/>
      <c r="T392" s="1"/>
    </row>
    <row r="393" spans="1:20" x14ac:dyDescent="0.25">
      <c r="A393" s="1"/>
      <c r="B393" s="2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2"/>
      <c r="S393" s="1"/>
      <c r="T393" s="1"/>
    </row>
    <row r="394" spans="1:20" x14ac:dyDescent="0.25">
      <c r="A394" s="1"/>
      <c r="B394" s="2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2"/>
      <c r="S394" s="1"/>
      <c r="T394" s="1"/>
    </row>
    <row r="395" spans="1:20" x14ac:dyDescent="0.25">
      <c r="A395" s="1"/>
      <c r="B395" s="2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2"/>
      <c r="S395" s="1"/>
      <c r="T395" s="1"/>
    </row>
    <row r="396" spans="1:20" x14ac:dyDescent="0.25">
      <c r="A396" s="1"/>
      <c r="B396" s="2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2"/>
      <c r="S396" s="1"/>
      <c r="T396" s="1"/>
    </row>
    <row r="397" spans="1:20" x14ac:dyDescent="0.25">
      <c r="A397" s="1"/>
      <c r="B397" s="2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2"/>
      <c r="S397" s="1"/>
      <c r="T397" s="1"/>
    </row>
    <row r="398" spans="1:20" x14ac:dyDescent="0.25">
      <c r="A398" s="1"/>
      <c r="B398" s="2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2"/>
      <c r="S398" s="1"/>
      <c r="T398" s="1"/>
    </row>
    <row r="399" spans="1:20" x14ac:dyDescent="0.25">
      <c r="A399" s="1"/>
      <c r="B399" s="2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2"/>
      <c r="S399" s="1"/>
      <c r="T399" s="1"/>
    </row>
    <row r="400" spans="1:20" x14ac:dyDescent="0.25">
      <c r="A400" s="1"/>
      <c r="B400" s="2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2"/>
      <c r="S400" s="1"/>
      <c r="T400" s="1"/>
    </row>
    <row r="401" spans="1:20" x14ac:dyDescent="0.25">
      <c r="A401" s="1"/>
      <c r="B401" s="2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2"/>
      <c r="S401" s="1"/>
      <c r="T401" s="1"/>
    </row>
    <row r="402" spans="1:20" x14ac:dyDescent="0.25">
      <c r="A402" s="1"/>
      <c r="B402" s="2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2"/>
      <c r="S402" s="1"/>
      <c r="T402" s="1"/>
    </row>
    <row r="403" spans="1:20" x14ac:dyDescent="0.25">
      <c r="A403" s="1"/>
      <c r="B403" s="2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2"/>
      <c r="S403" s="1"/>
      <c r="T403" s="1"/>
    </row>
    <row r="404" spans="1:20" x14ac:dyDescent="0.25">
      <c r="A404" s="1"/>
      <c r="B404" s="2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2"/>
      <c r="S404" s="1"/>
      <c r="T404" s="1"/>
    </row>
    <row r="405" spans="1:20" x14ac:dyDescent="0.25">
      <c r="A405" s="1"/>
      <c r="B405" s="2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2"/>
      <c r="S405" s="1"/>
      <c r="T405" s="1"/>
    </row>
    <row r="406" spans="1:20" x14ac:dyDescent="0.25">
      <c r="A406" s="1"/>
      <c r="B406" s="2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2"/>
      <c r="S406" s="1"/>
      <c r="T406" s="1"/>
    </row>
    <row r="407" spans="1:20" x14ac:dyDescent="0.25">
      <c r="A407" s="1"/>
      <c r="B407" s="2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2"/>
      <c r="S407" s="1"/>
      <c r="T407" s="1"/>
    </row>
    <row r="408" spans="1:20" x14ac:dyDescent="0.25">
      <c r="A408" s="1"/>
      <c r="B408" s="2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2"/>
      <c r="S408" s="1"/>
      <c r="T408" s="1"/>
    </row>
    <row r="409" spans="1:20" x14ac:dyDescent="0.25">
      <c r="A409" s="1"/>
      <c r="B409" s="2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2"/>
      <c r="S409" s="1"/>
      <c r="T409" s="1"/>
    </row>
    <row r="410" spans="1:20" x14ac:dyDescent="0.25">
      <c r="A410" s="1"/>
      <c r="B410" s="2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2"/>
      <c r="S410" s="1"/>
      <c r="T410" s="1"/>
    </row>
    <row r="411" spans="1:20" x14ac:dyDescent="0.25">
      <c r="A411" s="1"/>
      <c r="B411" s="2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2"/>
      <c r="S411" s="1"/>
      <c r="T411" s="1"/>
    </row>
    <row r="412" spans="1:20" x14ac:dyDescent="0.25">
      <c r="A412" s="1"/>
      <c r="B412" s="2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2"/>
      <c r="S412" s="1"/>
      <c r="T412" s="1"/>
    </row>
    <row r="413" spans="1:20" x14ac:dyDescent="0.25">
      <c r="A413" s="1"/>
      <c r="B413" s="2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2"/>
      <c r="S413" s="1"/>
      <c r="T413" s="1"/>
    </row>
    <row r="414" spans="1:20" x14ac:dyDescent="0.25">
      <c r="A414" s="1"/>
      <c r="B414" s="2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2"/>
      <c r="S414" s="1"/>
      <c r="T414" s="1"/>
    </row>
    <row r="415" spans="1:20" x14ac:dyDescent="0.25">
      <c r="A415" s="1"/>
      <c r="B415" s="2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2"/>
      <c r="S415" s="1"/>
      <c r="T415" s="1"/>
    </row>
    <row r="416" spans="1:20" x14ac:dyDescent="0.25">
      <c r="A416" s="1"/>
      <c r="B416" s="2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2"/>
      <c r="S416" s="1"/>
      <c r="T416" s="1"/>
    </row>
    <row r="417" spans="1:20" x14ac:dyDescent="0.25">
      <c r="A417" s="1"/>
      <c r="B417" s="2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2"/>
      <c r="S417" s="1"/>
      <c r="T417" s="1"/>
    </row>
    <row r="418" spans="1:20" x14ac:dyDescent="0.25">
      <c r="A418" s="1"/>
      <c r="B418" s="2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2"/>
      <c r="S418" s="1"/>
      <c r="T418" s="1"/>
    </row>
    <row r="419" spans="1:20" x14ac:dyDescent="0.25">
      <c r="A419" s="1"/>
      <c r="B419" s="2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2"/>
      <c r="S419" s="1"/>
      <c r="T419" s="1"/>
    </row>
    <row r="420" spans="1:20" x14ac:dyDescent="0.25">
      <c r="A420" s="1"/>
      <c r="B420" s="2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2"/>
      <c r="S420" s="1"/>
      <c r="T420" s="1"/>
    </row>
    <row r="421" spans="1:20" x14ac:dyDescent="0.25">
      <c r="A421" s="1"/>
      <c r="B421" s="2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2"/>
      <c r="S421" s="1"/>
      <c r="T421" s="1"/>
    </row>
    <row r="422" spans="1:20" x14ac:dyDescent="0.25">
      <c r="A422" s="1"/>
      <c r="B422" s="2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2"/>
      <c r="S422" s="1"/>
      <c r="T422" s="1"/>
    </row>
    <row r="423" spans="1:20" x14ac:dyDescent="0.25">
      <c r="A423" s="1"/>
      <c r="B423" s="2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2"/>
      <c r="S423" s="1"/>
      <c r="T423" s="1"/>
    </row>
    <row r="424" spans="1:20" x14ac:dyDescent="0.25">
      <c r="A424" s="1"/>
      <c r="B424" s="2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2"/>
      <c r="S424" s="1"/>
      <c r="T424" s="1"/>
    </row>
    <row r="425" spans="1:20" x14ac:dyDescent="0.25">
      <c r="A425" s="1"/>
      <c r="B425" s="2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2"/>
      <c r="S425" s="1"/>
      <c r="T425" s="1"/>
    </row>
    <row r="426" spans="1:20" x14ac:dyDescent="0.25">
      <c r="A426" s="1"/>
      <c r="B426" s="2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2"/>
      <c r="S426" s="1"/>
      <c r="T426" s="1"/>
    </row>
    <row r="427" spans="1:20" x14ac:dyDescent="0.25">
      <c r="A427" s="1"/>
      <c r="B427" s="2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2"/>
      <c r="S427" s="1"/>
      <c r="T427" s="1"/>
    </row>
    <row r="428" spans="1:20" x14ac:dyDescent="0.25">
      <c r="A428" s="1"/>
      <c r="B428" s="2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2"/>
      <c r="S428" s="1"/>
      <c r="T428" s="1"/>
    </row>
    <row r="429" spans="1:20" x14ac:dyDescent="0.25">
      <c r="A429" s="1"/>
      <c r="B429" s="2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2"/>
      <c r="S429" s="1"/>
      <c r="T429" s="1"/>
    </row>
    <row r="430" spans="1:20" x14ac:dyDescent="0.25">
      <c r="A430" s="1"/>
      <c r="B430" s="2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2"/>
      <c r="S430" s="1"/>
      <c r="T430" s="1"/>
    </row>
    <row r="431" spans="1:20" x14ac:dyDescent="0.25">
      <c r="A431" s="1"/>
      <c r="B431" s="2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2"/>
      <c r="S431" s="1"/>
      <c r="T431" s="1"/>
    </row>
    <row r="432" spans="1:20" x14ac:dyDescent="0.25">
      <c r="A432" s="1"/>
      <c r="B432" s="2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2"/>
      <c r="S432" s="1"/>
      <c r="T432" s="1"/>
    </row>
    <row r="433" spans="1:20" x14ac:dyDescent="0.25">
      <c r="A433" s="1"/>
      <c r="B433" s="2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2"/>
      <c r="S433" s="1"/>
      <c r="T433" s="1"/>
    </row>
    <row r="434" spans="1:20" x14ac:dyDescent="0.25">
      <c r="A434" s="1"/>
      <c r="B434" s="2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2"/>
      <c r="S434" s="1"/>
      <c r="T434" s="1"/>
    </row>
    <row r="435" spans="1:20" x14ac:dyDescent="0.25">
      <c r="A435" s="1"/>
      <c r="B435" s="2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2"/>
      <c r="S435" s="1"/>
      <c r="T435" s="1"/>
    </row>
    <row r="436" spans="1:20" x14ac:dyDescent="0.25">
      <c r="A436" s="1"/>
      <c r="B436" s="2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2"/>
      <c r="S436" s="1"/>
      <c r="T436" s="1"/>
    </row>
    <row r="437" spans="1:20" x14ac:dyDescent="0.25">
      <c r="A437" s="1"/>
      <c r="B437" s="2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2"/>
      <c r="S437" s="1"/>
      <c r="T437" s="1"/>
    </row>
    <row r="438" spans="1:20" x14ac:dyDescent="0.25">
      <c r="A438" s="1"/>
      <c r="B438" s="2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2"/>
      <c r="S438" s="1"/>
      <c r="T438" s="1"/>
    </row>
    <row r="439" spans="1:20" x14ac:dyDescent="0.25">
      <c r="A439" s="1"/>
      <c r="B439" s="2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2"/>
      <c r="S439" s="1"/>
      <c r="T439" s="1"/>
    </row>
    <row r="440" spans="1:20" x14ac:dyDescent="0.25">
      <c r="A440" s="1"/>
      <c r="B440" s="2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2"/>
      <c r="S440" s="1"/>
      <c r="T440" s="1"/>
    </row>
    <row r="441" spans="1:20" x14ac:dyDescent="0.25">
      <c r="A441" s="1"/>
      <c r="B441" s="2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2"/>
      <c r="S441" s="1"/>
      <c r="T441" s="1"/>
    </row>
    <row r="442" spans="1:20" x14ac:dyDescent="0.25">
      <c r="A442" s="1"/>
      <c r="B442" s="2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2"/>
      <c r="S442" s="1"/>
      <c r="T442" s="1"/>
    </row>
    <row r="443" spans="1:20" x14ac:dyDescent="0.25">
      <c r="A443" s="1"/>
      <c r="B443" s="2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2"/>
      <c r="S443" s="1"/>
      <c r="T443" s="1"/>
    </row>
    <row r="444" spans="1:20" x14ac:dyDescent="0.25">
      <c r="A444" s="1"/>
      <c r="B444" s="2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2"/>
      <c r="S444" s="1"/>
      <c r="T444" s="1"/>
    </row>
    <row r="445" spans="1:20" x14ac:dyDescent="0.25">
      <c r="A445" s="1"/>
      <c r="B445" s="2"/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2"/>
      <c r="S445" s="1"/>
      <c r="T445" s="1"/>
    </row>
    <row r="446" spans="1:20" x14ac:dyDescent="0.25">
      <c r="A446" s="1"/>
      <c r="B446" s="2"/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2"/>
      <c r="S446" s="1"/>
      <c r="T446" s="1"/>
    </row>
    <row r="447" spans="1:20" x14ac:dyDescent="0.25">
      <c r="A447" s="1"/>
      <c r="B447" s="2"/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2"/>
      <c r="S447" s="1"/>
      <c r="T447" s="1"/>
    </row>
    <row r="448" spans="1:20" x14ac:dyDescent="0.25">
      <c r="A448" s="1"/>
      <c r="B448" s="2"/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2"/>
      <c r="S448" s="1"/>
      <c r="T448" s="1"/>
    </row>
    <row r="449" spans="1:20" x14ac:dyDescent="0.25">
      <c r="A449" s="1"/>
      <c r="B449" s="2"/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2"/>
      <c r="S449" s="1"/>
      <c r="T449" s="1"/>
    </row>
    <row r="450" spans="1:20" x14ac:dyDescent="0.25">
      <c r="A450" s="1"/>
      <c r="B450" s="2"/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2"/>
      <c r="S450" s="1"/>
      <c r="T450" s="1"/>
    </row>
    <row r="451" spans="1:20" x14ac:dyDescent="0.25">
      <c r="A451" s="1"/>
      <c r="B451" s="2"/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2"/>
      <c r="S451" s="1"/>
      <c r="T451" s="1"/>
    </row>
    <row r="452" spans="1:20" x14ac:dyDescent="0.25">
      <c r="A452" s="1"/>
      <c r="B452" s="2"/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2"/>
      <c r="S452" s="1"/>
      <c r="T452" s="1"/>
    </row>
    <row r="453" spans="1:20" x14ac:dyDescent="0.25">
      <c r="A453" s="1"/>
      <c r="B453" s="2"/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2"/>
      <c r="S453" s="1"/>
      <c r="T453" s="1"/>
    </row>
    <row r="454" spans="1:20" x14ac:dyDescent="0.25">
      <c r="A454" s="1"/>
      <c r="B454" s="2"/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2"/>
      <c r="S454" s="1"/>
      <c r="T454" s="1"/>
    </row>
    <row r="455" spans="1:20" x14ac:dyDescent="0.25">
      <c r="A455" s="1"/>
      <c r="B455" s="2"/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2"/>
      <c r="S455" s="1"/>
      <c r="T455" s="1"/>
    </row>
    <row r="456" spans="1:20" x14ac:dyDescent="0.25">
      <c r="A456" s="1"/>
      <c r="B456" s="2"/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2"/>
      <c r="S456" s="1"/>
      <c r="T456" s="1"/>
    </row>
    <row r="457" spans="1:20" x14ac:dyDescent="0.25">
      <c r="A457" s="1"/>
      <c r="B457" s="2"/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2"/>
      <c r="S457" s="1"/>
      <c r="T457" s="1"/>
    </row>
    <row r="458" spans="1:20" x14ac:dyDescent="0.25">
      <c r="A458" s="1"/>
      <c r="B458" s="2"/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2"/>
      <c r="S458" s="1"/>
      <c r="T458" s="1"/>
    </row>
    <row r="459" spans="1:20" x14ac:dyDescent="0.25">
      <c r="A459" s="1"/>
      <c r="B459" s="2"/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2"/>
      <c r="S459" s="1"/>
      <c r="T459" s="1"/>
    </row>
    <row r="460" spans="1:20" x14ac:dyDescent="0.25">
      <c r="A460" s="1"/>
      <c r="B460" s="2"/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2"/>
      <c r="S460" s="1"/>
      <c r="T460" s="1"/>
    </row>
    <row r="461" spans="1:20" x14ac:dyDescent="0.25">
      <c r="A461" s="1"/>
      <c r="B461" s="2"/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2"/>
      <c r="S461" s="1"/>
      <c r="T461" s="1"/>
    </row>
    <row r="462" spans="1:20" x14ac:dyDescent="0.25">
      <c r="A462" s="1"/>
      <c r="B462" s="2"/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2"/>
      <c r="S462" s="1"/>
      <c r="T462" s="1"/>
    </row>
    <row r="463" spans="1:20" x14ac:dyDescent="0.25">
      <c r="A463" s="1"/>
      <c r="B463" s="2"/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2"/>
      <c r="S463" s="1"/>
      <c r="T463" s="1"/>
    </row>
    <row r="464" spans="1:20" x14ac:dyDescent="0.25">
      <c r="A464" s="1"/>
      <c r="B464" s="2"/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2"/>
      <c r="S464" s="1"/>
      <c r="T464" s="1"/>
    </row>
    <row r="465" spans="1:20" x14ac:dyDescent="0.25">
      <c r="A465" s="1"/>
      <c r="B465" s="2"/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2"/>
      <c r="S465" s="1"/>
      <c r="T465" s="1"/>
    </row>
    <row r="466" spans="1:20" x14ac:dyDescent="0.25">
      <c r="A466" s="1"/>
      <c r="B466" s="2"/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2"/>
      <c r="S466" s="1"/>
      <c r="T466" s="1"/>
    </row>
    <row r="467" spans="1:20" x14ac:dyDescent="0.25">
      <c r="A467" s="1"/>
      <c r="B467" s="2"/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2"/>
      <c r="S467" s="1"/>
      <c r="T467" s="1"/>
    </row>
    <row r="468" spans="1:20" x14ac:dyDescent="0.25">
      <c r="A468" s="1"/>
      <c r="B468" s="2"/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2"/>
      <c r="S468" s="1"/>
      <c r="T468" s="1"/>
    </row>
    <row r="469" spans="1:20" x14ac:dyDescent="0.25">
      <c r="A469" s="1"/>
      <c r="B469" s="2"/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2"/>
      <c r="S469" s="1"/>
      <c r="T469" s="1"/>
    </row>
    <row r="470" spans="1:20" x14ac:dyDescent="0.25">
      <c r="A470" s="1"/>
      <c r="B470" s="2"/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2"/>
      <c r="S470" s="1"/>
      <c r="T470" s="1"/>
    </row>
    <row r="471" spans="1:20" x14ac:dyDescent="0.25">
      <c r="A471" s="1"/>
      <c r="B471" s="2"/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2"/>
      <c r="S471" s="1"/>
      <c r="T471" s="1"/>
    </row>
    <row r="472" spans="1:20" x14ac:dyDescent="0.25">
      <c r="A472" s="1"/>
      <c r="B472" s="2"/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2"/>
      <c r="S472" s="1"/>
      <c r="T472" s="1"/>
    </row>
    <row r="473" spans="1:20" x14ac:dyDescent="0.25">
      <c r="A473" s="1"/>
      <c r="B473" s="2"/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2"/>
      <c r="S473" s="1"/>
      <c r="T473" s="1"/>
    </row>
    <row r="474" spans="1:20" x14ac:dyDescent="0.25">
      <c r="A474" s="1"/>
      <c r="B474" s="2"/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2"/>
      <c r="S474" s="1"/>
      <c r="T474" s="1"/>
    </row>
    <row r="475" spans="1:20" x14ac:dyDescent="0.25">
      <c r="A475" s="1"/>
      <c r="B475" s="2"/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2"/>
      <c r="S475" s="1"/>
      <c r="T475" s="1"/>
    </row>
    <row r="476" spans="1:20" x14ac:dyDescent="0.25">
      <c r="A476" s="1"/>
      <c r="B476" s="2"/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2"/>
      <c r="S476" s="1"/>
      <c r="T476" s="1"/>
    </row>
    <row r="477" spans="1:20" x14ac:dyDescent="0.25">
      <c r="A477" s="1"/>
      <c r="B477" s="2"/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2"/>
      <c r="S477" s="1"/>
      <c r="T477" s="1"/>
    </row>
    <row r="478" spans="1:20" x14ac:dyDescent="0.25">
      <c r="A478" s="1"/>
      <c r="B478" s="2"/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2"/>
      <c r="S478" s="1"/>
      <c r="T478" s="1"/>
    </row>
    <row r="479" spans="1:20" x14ac:dyDescent="0.25">
      <c r="A479" s="1"/>
      <c r="B479" s="2"/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2"/>
      <c r="S479" s="1"/>
      <c r="T479" s="1"/>
    </row>
    <row r="480" spans="1:20" x14ac:dyDescent="0.25">
      <c r="A480" s="1"/>
      <c r="B480" s="2"/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2"/>
      <c r="S480" s="1"/>
      <c r="T480" s="1"/>
    </row>
    <row r="481" spans="1:20" x14ac:dyDescent="0.25">
      <c r="A481" s="1"/>
      <c r="B481" s="2"/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2"/>
      <c r="S481" s="1"/>
      <c r="T481" s="1"/>
    </row>
    <row r="482" spans="1:20" x14ac:dyDescent="0.25">
      <c r="A482" s="1"/>
      <c r="B482" s="2"/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2"/>
      <c r="S482" s="1"/>
      <c r="T482" s="1"/>
    </row>
    <row r="483" spans="1:20" x14ac:dyDescent="0.25">
      <c r="A483" s="1"/>
      <c r="B483" s="2"/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2"/>
      <c r="S483" s="1"/>
      <c r="T483" s="1"/>
    </row>
    <row r="484" spans="1:20" x14ac:dyDescent="0.25">
      <c r="A484" s="1"/>
      <c r="B484" s="2"/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2"/>
      <c r="S484" s="1"/>
      <c r="T484" s="1"/>
    </row>
    <row r="485" spans="1:20" x14ac:dyDescent="0.25">
      <c r="A485" s="1"/>
      <c r="B485" s="2"/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2"/>
      <c r="S485" s="1"/>
      <c r="T485" s="1"/>
    </row>
    <row r="486" spans="1:20" x14ac:dyDescent="0.25">
      <c r="A486" s="1"/>
      <c r="B486" s="2"/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2"/>
      <c r="S486" s="1"/>
      <c r="T486" s="1"/>
    </row>
    <row r="487" spans="1:20" x14ac:dyDescent="0.25">
      <c r="A487" s="1"/>
      <c r="B487" s="2"/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2"/>
      <c r="S487" s="1"/>
      <c r="T487" s="1"/>
    </row>
    <row r="488" spans="1:20" x14ac:dyDescent="0.25">
      <c r="A488" s="1"/>
      <c r="B488" s="2"/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2"/>
      <c r="S488" s="1"/>
      <c r="T488" s="1"/>
    </row>
    <row r="489" spans="1:20" x14ac:dyDescent="0.25">
      <c r="A489" s="1"/>
      <c r="B489" s="2"/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2"/>
      <c r="S489" s="1"/>
      <c r="T489" s="1"/>
    </row>
    <row r="490" spans="1:20" x14ac:dyDescent="0.25">
      <c r="A490" s="1"/>
      <c r="B490" s="2"/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2"/>
      <c r="S490" s="1"/>
      <c r="T490" s="1"/>
    </row>
    <row r="491" spans="1:20" x14ac:dyDescent="0.25">
      <c r="A491" s="1"/>
      <c r="B491" s="2"/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2"/>
      <c r="S491" s="1"/>
      <c r="T491" s="1"/>
    </row>
    <row r="492" spans="1:20" x14ac:dyDescent="0.25">
      <c r="A492" s="1"/>
      <c r="B492" s="2"/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2"/>
      <c r="S492" s="1"/>
      <c r="T492" s="1"/>
    </row>
    <row r="493" spans="1:20" x14ac:dyDescent="0.25">
      <c r="A493" s="1"/>
      <c r="B493" s="2"/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2"/>
      <c r="S493" s="1"/>
      <c r="T493" s="1"/>
    </row>
    <row r="494" spans="1:20" x14ac:dyDescent="0.25">
      <c r="A494" s="1"/>
      <c r="B494" s="2"/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2"/>
      <c r="S494" s="1"/>
      <c r="T494" s="1"/>
    </row>
    <row r="495" spans="1:20" x14ac:dyDescent="0.25">
      <c r="A495" s="1"/>
      <c r="B495" s="2"/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2"/>
      <c r="S495" s="1"/>
      <c r="T495" s="1"/>
    </row>
    <row r="496" spans="1:20" x14ac:dyDescent="0.25">
      <c r="A496" s="1"/>
      <c r="B496" s="2"/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2"/>
      <c r="S496" s="1"/>
      <c r="T496" s="1"/>
    </row>
    <row r="497" spans="1:20" x14ac:dyDescent="0.25">
      <c r="A497" s="1"/>
      <c r="B497" s="2"/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2"/>
      <c r="S497" s="1"/>
      <c r="T497" s="1"/>
    </row>
    <row r="498" spans="1:20" x14ac:dyDescent="0.25">
      <c r="A498" s="1"/>
      <c r="B498" s="2"/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2"/>
      <c r="S498" s="1"/>
      <c r="T498" s="1"/>
    </row>
    <row r="499" spans="1:20" x14ac:dyDescent="0.25">
      <c r="A499" s="1"/>
      <c r="B499" s="2"/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2"/>
      <c r="S499" s="1"/>
      <c r="T499" s="1"/>
    </row>
    <row r="500" spans="1:20" x14ac:dyDescent="0.25">
      <c r="A500" s="1"/>
      <c r="B500" s="2"/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2"/>
      <c r="S500" s="1"/>
      <c r="T500" s="1"/>
    </row>
    <row r="501" spans="1:20" x14ac:dyDescent="0.25">
      <c r="A501" s="1"/>
      <c r="B501" s="2"/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2"/>
      <c r="S501" s="1"/>
      <c r="T501" s="1"/>
    </row>
    <row r="502" spans="1:20" x14ac:dyDescent="0.25">
      <c r="A502" s="1"/>
      <c r="B502" s="2"/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2"/>
      <c r="S502" s="1"/>
      <c r="T502" s="1"/>
    </row>
    <row r="503" spans="1:20" x14ac:dyDescent="0.25">
      <c r="A503" s="1"/>
      <c r="B503" s="2"/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2"/>
      <c r="S503" s="1"/>
      <c r="T503" s="1"/>
    </row>
    <row r="504" spans="1:20" x14ac:dyDescent="0.25">
      <c r="A504" s="1"/>
      <c r="B504" s="2"/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2"/>
      <c r="S504" s="1"/>
      <c r="T504" s="1"/>
    </row>
    <row r="505" spans="1:20" x14ac:dyDescent="0.25">
      <c r="A505" s="1"/>
      <c r="B505" s="2"/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2"/>
      <c r="S505" s="1"/>
      <c r="T505" s="1"/>
    </row>
    <row r="506" spans="1:20" x14ac:dyDescent="0.25">
      <c r="A506" s="1"/>
      <c r="B506" s="2"/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2"/>
      <c r="S506" s="1"/>
      <c r="T506" s="1"/>
    </row>
    <row r="507" spans="1:20" x14ac:dyDescent="0.25">
      <c r="A507" s="1"/>
      <c r="B507" s="2"/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2"/>
      <c r="S507" s="1"/>
      <c r="T507" s="1"/>
    </row>
    <row r="508" spans="1:20" x14ac:dyDescent="0.25">
      <c r="A508" s="1"/>
      <c r="B508" s="2"/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2"/>
      <c r="S508" s="1"/>
      <c r="T508" s="1"/>
    </row>
    <row r="509" spans="1:20" x14ac:dyDescent="0.25">
      <c r="A509" s="1"/>
      <c r="B509" s="2"/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2"/>
      <c r="S509" s="1"/>
      <c r="T509" s="1"/>
    </row>
    <row r="510" spans="1:20" x14ac:dyDescent="0.25">
      <c r="A510" s="1"/>
      <c r="B510" s="2"/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2"/>
      <c r="S510" s="1"/>
      <c r="T510" s="1"/>
    </row>
    <row r="511" spans="1:20" x14ac:dyDescent="0.25">
      <c r="A511" s="1"/>
      <c r="B511" s="2"/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2"/>
      <c r="S511" s="1"/>
      <c r="T511" s="1"/>
    </row>
    <row r="512" spans="1:20" x14ac:dyDescent="0.25">
      <c r="A512" s="1"/>
      <c r="B512" s="2"/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2"/>
      <c r="S512" s="1"/>
      <c r="T512" s="1"/>
    </row>
    <row r="513" spans="1:20" x14ac:dyDescent="0.25">
      <c r="A513" s="1"/>
      <c r="B513" s="2"/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2"/>
      <c r="S513" s="1"/>
      <c r="T513" s="1"/>
    </row>
    <row r="514" spans="1:20" x14ac:dyDescent="0.25">
      <c r="A514" s="1"/>
      <c r="B514" s="2"/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2"/>
      <c r="S514" s="1"/>
      <c r="T514" s="1"/>
    </row>
    <row r="515" spans="1:20" x14ac:dyDescent="0.25">
      <c r="A515" s="1"/>
      <c r="B515" s="2"/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2"/>
      <c r="S515" s="1"/>
      <c r="T515" s="1"/>
    </row>
    <row r="516" spans="1:20" x14ac:dyDescent="0.25">
      <c r="A516" s="1"/>
      <c r="B516" s="2"/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2"/>
      <c r="S516" s="1"/>
      <c r="T516" s="1"/>
    </row>
    <row r="517" spans="1:20" x14ac:dyDescent="0.25">
      <c r="A517" s="1"/>
      <c r="B517" s="2"/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2"/>
      <c r="S517" s="1"/>
      <c r="T517" s="1"/>
    </row>
    <row r="518" spans="1:20" x14ac:dyDescent="0.25">
      <c r="A518" s="1"/>
      <c r="B518" s="2"/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2"/>
      <c r="S518" s="1"/>
      <c r="T518" s="1"/>
    </row>
    <row r="519" spans="1:20" x14ac:dyDescent="0.25">
      <c r="A519" s="1"/>
      <c r="B519" s="2"/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2"/>
      <c r="S519" s="1"/>
      <c r="T519" s="1"/>
    </row>
    <row r="520" spans="1:20" x14ac:dyDescent="0.25">
      <c r="A520" s="1"/>
      <c r="B520" s="2"/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2"/>
      <c r="S520" s="1"/>
      <c r="T520" s="1"/>
    </row>
    <row r="521" spans="1:20" x14ac:dyDescent="0.25">
      <c r="A521" s="1"/>
      <c r="B521" s="2"/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2"/>
      <c r="S521" s="1"/>
      <c r="T521" s="1"/>
    </row>
    <row r="522" spans="1:20" x14ac:dyDescent="0.25">
      <c r="A522" s="1"/>
      <c r="B522" s="2"/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2"/>
      <c r="S522" s="1"/>
      <c r="T522" s="1"/>
    </row>
    <row r="523" spans="1:20" x14ac:dyDescent="0.25">
      <c r="A523" s="1"/>
      <c r="B523" s="2"/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2"/>
      <c r="S523" s="1"/>
      <c r="T523" s="1"/>
    </row>
    <row r="524" spans="1:20" x14ac:dyDescent="0.25">
      <c r="A524" s="1"/>
      <c r="B524" s="2"/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2"/>
      <c r="S524" s="1"/>
      <c r="T524" s="1"/>
    </row>
    <row r="525" spans="1:20" x14ac:dyDescent="0.25">
      <c r="A525" s="1"/>
      <c r="B525" s="2"/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2"/>
      <c r="S525" s="1"/>
      <c r="T525" s="1"/>
    </row>
    <row r="526" spans="1:20" x14ac:dyDescent="0.25">
      <c r="A526" s="1"/>
      <c r="B526" s="2"/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2"/>
      <c r="S526" s="1"/>
      <c r="T526" s="1"/>
    </row>
    <row r="527" spans="1:20" x14ac:dyDescent="0.25">
      <c r="A527" s="1"/>
      <c r="B527" s="2"/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2"/>
      <c r="S527" s="1"/>
      <c r="T527" s="1"/>
    </row>
    <row r="528" spans="1:20" x14ac:dyDescent="0.25">
      <c r="A528" s="1"/>
      <c r="B528" s="2"/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2"/>
      <c r="S528" s="1"/>
      <c r="T528" s="1"/>
    </row>
    <row r="529" spans="1:20" x14ac:dyDescent="0.25">
      <c r="A529" s="1"/>
      <c r="B529" s="2"/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2"/>
      <c r="S529" s="1"/>
      <c r="T529" s="1"/>
    </row>
    <row r="530" spans="1:20" x14ac:dyDescent="0.25">
      <c r="A530" s="1"/>
      <c r="B530" s="2"/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2"/>
      <c r="S530" s="1"/>
      <c r="T530" s="1"/>
    </row>
    <row r="531" spans="1:20" x14ac:dyDescent="0.25">
      <c r="A531" s="1"/>
      <c r="B531" s="2"/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2"/>
      <c r="S531" s="1"/>
      <c r="T531" s="1"/>
    </row>
    <row r="532" spans="1:20" x14ac:dyDescent="0.25">
      <c r="A532" s="1"/>
      <c r="B532" s="2"/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2"/>
      <c r="S532" s="1"/>
      <c r="T532" s="1"/>
    </row>
    <row r="533" spans="1:20" x14ac:dyDescent="0.25">
      <c r="A533" s="1"/>
      <c r="B533" s="2"/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2"/>
      <c r="S533" s="1"/>
      <c r="T533" s="1"/>
    </row>
    <row r="534" spans="1:20" x14ac:dyDescent="0.25">
      <c r="A534" s="1"/>
      <c r="B534" s="2"/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2"/>
      <c r="S534" s="1"/>
      <c r="T534" s="1"/>
    </row>
    <row r="535" spans="1:20" x14ac:dyDescent="0.25">
      <c r="A535" s="1"/>
      <c r="B535" s="2"/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2"/>
      <c r="S535" s="1"/>
      <c r="T535" s="1"/>
    </row>
    <row r="536" spans="1:20" x14ac:dyDescent="0.25">
      <c r="A536" s="1"/>
      <c r="B536" s="2"/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2"/>
      <c r="S536" s="1"/>
      <c r="T536" s="1"/>
    </row>
    <row r="537" spans="1:20" x14ac:dyDescent="0.25">
      <c r="A537" s="1"/>
      <c r="B537" s="2"/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2"/>
      <c r="S537" s="1"/>
      <c r="T537" s="1"/>
    </row>
    <row r="538" spans="1:20" x14ac:dyDescent="0.25">
      <c r="A538" s="1"/>
      <c r="B538" s="2"/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2"/>
      <c r="S538" s="1"/>
      <c r="T538" s="1"/>
    </row>
    <row r="539" spans="1:20" x14ac:dyDescent="0.25">
      <c r="A539" s="1"/>
      <c r="B539" s="2"/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2"/>
      <c r="S539" s="1"/>
      <c r="T539" s="1"/>
    </row>
    <row r="540" spans="1:20" x14ac:dyDescent="0.25">
      <c r="A540" s="1"/>
      <c r="B540" s="2"/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2"/>
      <c r="S540" s="1"/>
      <c r="T540" s="1"/>
    </row>
    <row r="541" spans="1:20" x14ac:dyDescent="0.25">
      <c r="A541" s="1"/>
      <c r="B541" s="2"/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2"/>
      <c r="S541" s="1"/>
      <c r="T541" s="1"/>
    </row>
    <row r="542" spans="1:20" x14ac:dyDescent="0.25">
      <c r="A542" s="1"/>
      <c r="B542" s="2"/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2"/>
      <c r="S542" s="1"/>
      <c r="T542" s="1"/>
    </row>
    <row r="543" spans="1:20" x14ac:dyDescent="0.25">
      <c r="A543" s="1"/>
      <c r="B543" s="2"/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2"/>
      <c r="S543" s="1"/>
      <c r="T543" s="1"/>
    </row>
    <row r="544" spans="1:20" x14ac:dyDescent="0.25">
      <c r="A544" s="1"/>
      <c r="B544" s="2"/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2"/>
      <c r="S544" s="1"/>
      <c r="T544" s="1"/>
    </row>
    <row r="545" spans="1:20" x14ac:dyDescent="0.25">
      <c r="A545" s="1"/>
      <c r="B545" s="2"/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2"/>
      <c r="S545" s="1"/>
      <c r="T545" s="1"/>
    </row>
    <row r="546" spans="1:20" x14ac:dyDescent="0.25">
      <c r="A546" s="1"/>
      <c r="B546" s="2"/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2"/>
      <c r="S546" s="1"/>
      <c r="T546" s="1"/>
    </row>
    <row r="547" spans="1:20" x14ac:dyDescent="0.25">
      <c r="A547" s="1"/>
      <c r="B547" s="2"/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2"/>
      <c r="S547" s="1"/>
      <c r="T547" s="1"/>
    </row>
    <row r="548" spans="1:20" x14ac:dyDescent="0.25">
      <c r="A548" s="1"/>
      <c r="B548" s="2"/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2"/>
      <c r="S548" s="1"/>
      <c r="T548" s="1"/>
    </row>
    <row r="549" spans="1:20" x14ac:dyDescent="0.25">
      <c r="A549" s="1"/>
      <c r="B549" s="2"/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2"/>
      <c r="S549" s="1"/>
      <c r="T549" s="1"/>
    </row>
    <row r="550" spans="1:20" x14ac:dyDescent="0.25">
      <c r="A550" s="1"/>
      <c r="B550" s="2"/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2"/>
      <c r="S550" s="1"/>
      <c r="T550" s="1"/>
    </row>
    <row r="551" spans="1:20" x14ac:dyDescent="0.25">
      <c r="A551" s="1"/>
      <c r="B551" s="2"/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2"/>
      <c r="S551" s="1"/>
      <c r="T551" s="1"/>
    </row>
    <row r="552" spans="1:20" x14ac:dyDescent="0.25">
      <c r="A552" s="1"/>
      <c r="B552" s="2"/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2"/>
      <c r="S552" s="1"/>
      <c r="T552" s="1"/>
    </row>
    <row r="553" spans="1:20" x14ac:dyDescent="0.25">
      <c r="A553" s="1"/>
      <c r="B553" s="2"/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2"/>
      <c r="S553" s="1"/>
      <c r="T553" s="1"/>
    </row>
    <row r="554" spans="1:20" x14ac:dyDescent="0.25">
      <c r="A554" s="1"/>
      <c r="B554" s="2"/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2"/>
      <c r="S554" s="1"/>
      <c r="T554" s="1"/>
    </row>
    <row r="555" spans="1:20" x14ac:dyDescent="0.25">
      <c r="A555" s="1"/>
      <c r="B555" s="2"/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2"/>
      <c r="S555" s="1"/>
      <c r="T555" s="1"/>
    </row>
    <row r="556" spans="1:20" x14ac:dyDescent="0.25">
      <c r="A556" s="1"/>
      <c r="B556" s="2"/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2"/>
      <c r="S556" s="1"/>
      <c r="T556" s="1"/>
    </row>
    <row r="557" spans="1:20" x14ac:dyDescent="0.25">
      <c r="A557" s="1"/>
      <c r="B557" s="2"/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2"/>
      <c r="S557" s="1"/>
      <c r="T557" s="1"/>
    </row>
    <row r="558" spans="1:20" x14ac:dyDescent="0.25">
      <c r="A558" s="1"/>
      <c r="B558" s="2"/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2"/>
      <c r="S558" s="1"/>
      <c r="T558" s="1"/>
    </row>
    <row r="559" spans="1:20" x14ac:dyDescent="0.25">
      <c r="A559" s="1"/>
      <c r="B559" s="2"/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2"/>
      <c r="S559" s="1"/>
      <c r="T559" s="1"/>
    </row>
    <row r="560" spans="1:20" x14ac:dyDescent="0.25">
      <c r="A560" s="1"/>
      <c r="B560" s="2"/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2"/>
      <c r="S560" s="1"/>
      <c r="T560" s="1"/>
    </row>
    <row r="561" spans="1:20" x14ac:dyDescent="0.25">
      <c r="A561" s="1"/>
      <c r="B561" s="2"/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2"/>
      <c r="S561" s="1"/>
      <c r="T561" s="1"/>
    </row>
    <row r="562" spans="1:20" x14ac:dyDescent="0.25">
      <c r="A562" s="1"/>
      <c r="B562" s="2"/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2"/>
      <c r="S562" s="1"/>
      <c r="T562" s="1"/>
    </row>
    <row r="563" spans="1:20" x14ac:dyDescent="0.25">
      <c r="A563" s="1"/>
      <c r="B563" s="2"/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2"/>
      <c r="S563" s="1"/>
      <c r="T563" s="1"/>
    </row>
    <row r="564" spans="1:20" x14ac:dyDescent="0.25">
      <c r="A564" s="1"/>
      <c r="B564" s="2"/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2"/>
      <c r="S564" s="1"/>
      <c r="T564" s="1"/>
    </row>
    <row r="565" spans="1:20" x14ac:dyDescent="0.25">
      <c r="A565" s="1"/>
      <c r="B565" s="2"/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2"/>
      <c r="S565" s="1"/>
      <c r="T565" s="1"/>
    </row>
    <row r="566" spans="1:20" x14ac:dyDescent="0.25">
      <c r="A566" s="1"/>
      <c r="B566" s="2"/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2"/>
      <c r="S566" s="1"/>
      <c r="T566" s="1"/>
    </row>
    <row r="567" spans="1:20" x14ac:dyDescent="0.25">
      <c r="A567" s="1"/>
      <c r="B567" s="2"/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2"/>
      <c r="S567" s="1"/>
      <c r="T567" s="1"/>
    </row>
    <row r="568" spans="1:20" x14ac:dyDescent="0.25">
      <c r="A568" s="1"/>
      <c r="B568" s="2"/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2"/>
      <c r="S568" s="1"/>
      <c r="T568" s="1"/>
    </row>
    <row r="569" spans="1:20" x14ac:dyDescent="0.25">
      <c r="A569" s="1"/>
      <c r="B569" s="2"/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2"/>
      <c r="S569" s="1"/>
      <c r="T569" s="1"/>
    </row>
    <row r="570" spans="1:20" x14ac:dyDescent="0.25">
      <c r="A570" s="1"/>
      <c r="B570" s="2"/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2"/>
      <c r="S570" s="1"/>
      <c r="T570" s="1"/>
    </row>
    <row r="571" spans="1:20" x14ac:dyDescent="0.25">
      <c r="A571" s="1"/>
      <c r="B571" s="2"/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2"/>
      <c r="S571" s="1"/>
      <c r="T571" s="1"/>
    </row>
    <row r="572" spans="1:20" x14ac:dyDescent="0.25">
      <c r="A572" s="1"/>
      <c r="B572" s="2"/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2"/>
      <c r="S572" s="1"/>
      <c r="T572" s="1"/>
    </row>
    <row r="573" spans="1:20" x14ac:dyDescent="0.25">
      <c r="A573" s="1"/>
      <c r="B573" s="2"/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2"/>
      <c r="S573" s="1"/>
      <c r="T573" s="1"/>
    </row>
    <row r="574" spans="1:20" x14ac:dyDescent="0.25">
      <c r="A574" s="1"/>
      <c r="B574" s="2"/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2"/>
      <c r="S574" s="1"/>
      <c r="T574" s="1"/>
    </row>
    <row r="575" spans="1:20" x14ac:dyDescent="0.25">
      <c r="A575" s="1"/>
      <c r="B575" s="2"/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2"/>
      <c r="S575" s="1"/>
      <c r="T575" s="1"/>
    </row>
    <row r="576" spans="1:20" x14ac:dyDescent="0.25">
      <c r="A576" s="1"/>
      <c r="B576" s="2"/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2"/>
      <c r="S576" s="1"/>
      <c r="T576" s="1"/>
    </row>
    <row r="577" spans="1:20" x14ac:dyDescent="0.25">
      <c r="A577" s="1"/>
      <c r="B577" s="2"/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2"/>
      <c r="S577" s="1"/>
      <c r="T577" s="1"/>
    </row>
    <row r="578" spans="1:20" x14ac:dyDescent="0.25">
      <c r="A578" s="1"/>
      <c r="B578" s="2"/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2"/>
      <c r="S578" s="1"/>
      <c r="T578" s="1"/>
    </row>
    <row r="579" spans="1:20" x14ac:dyDescent="0.25">
      <c r="A579" s="1"/>
      <c r="B579" s="2"/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2"/>
      <c r="S579" s="1"/>
      <c r="T579" s="1"/>
    </row>
    <row r="580" spans="1:20" x14ac:dyDescent="0.25">
      <c r="A580" s="1"/>
      <c r="B580" s="2"/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2"/>
      <c r="S580" s="1"/>
      <c r="T580" s="1"/>
    </row>
    <row r="581" spans="1:20" x14ac:dyDescent="0.25">
      <c r="A581" s="1"/>
      <c r="B581" s="2"/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2"/>
      <c r="S581" s="1"/>
      <c r="T581" s="1"/>
    </row>
    <row r="582" spans="1:20" x14ac:dyDescent="0.25">
      <c r="A582" s="1"/>
      <c r="B582" s="2"/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2"/>
      <c r="S582" s="1"/>
      <c r="T582" s="1"/>
    </row>
    <row r="583" spans="1:20" x14ac:dyDescent="0.25">
      <c r="A583" s="1"/>
      <c r="B583" s="2"/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2"/>
      <c r="S583" s="1"/>
      <c r="T583" s="1"/>
    </row>
    <row r="584" spans="1:20" x14ac:dyDescent="0.25">
      <c r="A584" s="1"/>
      <c r="B584" s="2"/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2"/>
      <c r="S584" s="1"/>
      <c r="T584" s="1"/>
    </row>
    <row r="585" spans="1:20" x14ac:dyDescent="0.25">
      <c r="A585" s="1"/>
      <c r="B585" s="2"/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2"/>
      <c r="S585" s="1"/>
      <c r="T585" s="1"/>
    </row>
    <row r="586" spans="1:20" x14ac:dyDescent="0.25">
      <c r="A586" s="1"/>
      <c r="B586" s="2"/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2"/>
      <c r="S586" s="1"/>
      <c r="T586" s="1"/>
    </row>
    <row r="587" spans="1:20" x14ac:dyDescent="0.25">
      <c r="A587" s="1"/>
      <c r="B587" s="2"/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2"/>
      <c r="S587" s="1"/>
      <c r="T587" s="1"/>
    </row>
    <row r="588" spans="1:20" x14ac:dyDescent="0.25">
      <c r="A588" s="1"/>
      <c r="B588" s="2"/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2"/>
      <c r="S588" s="1"/>
      <c r="T588" s="1"/>
    </row>
    <row r="589" spans="1:20" x14ac:dyDescent="0.25">
      <c r="A589" s="1"/>
      <c r="B589" s="2"/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2"/>
      <c r="S589" s="1"/>
      <c r="T589" s="1"/>
    </row>
    <row r="590" spans="1:20" x14ac:dyDescent="0.25">
      <c r="A590" s="1"/>
      <c r="B590" s="2"/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2"/>
      <c r="S590" s="1"/>
      <c r="T590" s="1"/>
    </row>
    <row r="591" spans="1:20" x14ac:dyDescent="0.25">
      <c r="A591" s="1"/>
      <c r="B591" s="2"/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2"/>
      <c r="S591" s="1"/>
      <c r="T591" s="1"/>
    </row>
    <row r="592" spans="1:20" x14ac:dyDescent="0.25">
      <c r="A592" s="1"/>
      <c r="B592" s="2"/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2"/>
      <c r="S592" s="1"/>
      <c r="T592" s="1"/>
    </row>
    <row r="593" spans="1:20" x14ac:dyDescent="0.25">
      <c r="A593" s="1"/>
      <c r="B593" s="2"/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2"/>
      <c r="S593" s="1"/>
      <c r="T593" s="1"/>
    </row>
    <row r="594" spans="1:20" x14ac:dyDescent="0.25">
      <c r="A594" s="1"/>
      <c r="B594" s="2"/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2"/>
      <c r="S594" s="1"/>
      <c r="T594" s="1"/>
    </row>
    <row r="595" spans="1:20" x14ac:dyDescent="0.25">
      <c r="A595" s="1"/>
      <c r="B595" s="2"/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2"/>
      <c r="S595" s="1"/>
      <c r="T595" s="1"/>
    </row>
    <row r="596" spans="1:20" x14ac:dyDescent="0.25">
      <c r="A596" s="1"/>
      <c r="B596" s="2"/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2"/>
      <c r="S596" s="1"/>
      <c r="T596" s="1"/>
    </row>
    <row r="597" spans="1:20" x14ac:dyDescent="0.25">
      <c r="A597" s="1"/>
      <c r="B597" s="2"/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2"/>
      <c r="S597" s="1"/>
      <c r="T597" s="1"/>
    </row>
    <row r="598" spans="1:20" x14ac:dyDescent="0.25">
      <c r="A598" s="1"/>
      <c r="B598" s="2"/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2"/>
      <c r="S598" s="1"/>
      <c r="T598" s="1"/>
    </row>
    <row r="599" spans="1:20" x14ac:dyDescent="0.25">
      <c r="A599" s="1"/>
      <c r="B599" s="2"/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2"/>
      <c r="S599" s="1"/>
      <c r="T599" s="1"/>
    </row>
    <row r="600" spans="1:20" x14ac:dyDescent="0.25">
      <c r="A600" s="1"/>
      <c r="B600" s="2"/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2"/>
      <c r="S600" s="1"/>
      <c r="T600" s="1"/>
    </row>
    <row r="601" spans="1:20" x14ac:dyDescent="0.25">
      <c r="A601" s="1"/>
      <c r="B601" s="2"/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2"/>
      <c r="S601" s="1"/>
      <c r="T601" s="1"/>
    </row>
    <row r="602" spans="1:20" x14ac:dyDescent="0.25">
      <c r="A602" s="1"/>
      <c r="B602" s="2"/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2"/>
      <c r="S602" s="1"/>
      <c r="T602" s="1"/>
    </row>
    <row r="603" spans="1:20" x14ac:dyDescent="0.25">
      <c r="A603" s="1"/>
      <c r="B603" s="2"/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2"/>
      <c r="S603" s="1"/>
      <c r="T603" s="1"/>
    </row>
    <row r="604" spans="1:20" x14ac:dyDescent="0.25">
      <c r="A604" s="1"/>
      <c r="B604" s="2"/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2"/>
      <c r="S604" s="1"/>
      <c r="T604" s="1"/>
    </row>
    <row r="605" spans="1:20" x14ac:dyDescent="0.25">
      <c r="A605" s="1"/>
      <c r="B605" s="2"/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2"/>
      <c r="S605" s="1"/>
      <c r="T605" s="1"/>
    </row>
    <row r="606" spans="1:20" x14ac:dyDescent="0.25">
      <c r="A606" s="1"/>
      <c r="B606" s="2"/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2"/>
      <c r="S606" s="1"/>
      <c r="T606" s="1"/>
    </row>
    <row r="607" spans="1:20" x14ac:dyDescent="0.25">
      <c r="A607" s="1"/>
      <c r="B607" s="2"/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2"/>
      <c r="S607" s="1"/>
      <c r="T607" s="1"/>
    </row>
    <row r="608" spans="1:20" x14ac:dyDescent="0.25">
      <c r="A608" s="1"/>
      <c r="B608" s="2"/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2"/>
      <c r="S608" s="1"/>
      <c r="T608" s="1"/>
    </row>
    <row r="609" spans="1:20" x14ac:dyDescent="0.25">
      <c r="A609" s="1"/>
      <c r="B609" s="2"/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2"/>
      <c r="S609" s="1"/>
      <c r="T609" s="1"/>
    </row>
    <row r="610" spans="1:20" x14ac:dyDescent="0.25">
      <c r="A610" s="1"/>
      <c r="B610" s="2"/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2"/>
      <c r="S610" s="1"/>
      <c r="T610" s="1"/>
    </row>
    <row r="611" spans="1:20" s="11" customFormat="1" x14ac:dyDescent="0.25">
      <c r="B611" s="118"/>
      <c r="C611" s="118"/>
      <c r="R611" s="2"/>
      <c r="S611" s="1"/>
      <c r="T611" s="1"/>
    </row>
    <row r="612" spans="1:20" x14ac:dyDescent="0.25">
      <c r="A612" s="1"/>
      <c r="B612" s="2"/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2"/>
      <c r="S612" s="1"/>
      <c r="T612" s="1"/>
    </row>
    <row r="613" spans="1:20" x14ac:dyDescent="0.25">
      <c r="A613" s="1"/>
      <c r="B613" s="2"/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2"/>
      <c r="S613" s="1"/>
      <c r="T613" s="1"/>
    </row>
    <row r="614" spans="1:20" x14ac:dyDescent="0.25">
      <c r="A614" s="1"/>
      <c r="B614" s="2"/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2"/>
      <c r="S614" s="1"/>
      <c r="T614" s="1"/>
    </row>
    <row r="615" spans="1:20" x14ac:dyDescent="0.25">
      <c r="A615" s="1"/>
      <c r="B615" s="2"/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2"/>
      <c r="S615" s="1"/>
      <c r="T615" s="1"/>
    </row>
    <row r="616" spans="1:20" x14ac:dyDescent="0.25">
      <c r="A616" s="1"/>
      <c r="B616" s="2"/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2"/>
      <c r="S616" s="1"/>
      <c r="T616" s="1"/>
    </row>
    <row r="617" spans="1:20" x14ac:dyDescent="0.25">
      <c r="A617" s="1"/>
      <c r="B617" s="2"/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2"/>
      <c r="S617" s="1"/>
      <c r="T617" s="1"/>
    </row>
    <row r="618" spans="1:20" x14ac:dyDescent="0.25">
      <c r="A618" s="1"/>
      <c r="B618" s="2"/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2"/>
      <c r="S618" s="1"/>
      <c r="T618" s="1"/>
    </row>
    <row r="619" spans="1:20" x14ac:dyDescent="0.25">
      <c r="A619" s="1"/>
      <c r="B619" s="2"/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2"/>
      <c r="S619" s="1"/>
      <c r="T619" s="1"/>
    </row>
    <row r="620" spans="1:20" x14ac:dyDescent="0.25">
      <c r="A620" s="1"/>
      <c r="B620" s="2"/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2"/>
      <c r="S620" s="1"/>
      <c r="T620" s="1"/>
    </row>
    <row r="621" spans="1:20" x14ac:dyDescent="0.25">
      <c r="A621" s="1"/>
      <c r="B621" s="2"/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2"/>
      <c r="S621" s="1"/>
      <c r="T621" s="1"/>
    </row>
    <row r="622" spans="1:20" x14ac:dyDescent="0.25">
      <c r="A622" s="1"/>
      <c r="B622" s="2"/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2"/>
      <c r="S622" s="1"/>
      <c r="T622" s="1"/>
    </row>
    <row r="623" spans="1:20" x14ac:dyDescent="0.25">
      <c r="A623" s="1"/>
      <c r="B623" s="2"/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2"/>
      <c r="S623" s="1"/>
      <c r="T623" s="1"/>
    </row>
    <row r="624" spans="1:20" x14ac:dyDescent="0.25">
      <c r="A624" s="1"/>
      <c r="B624" s="2"/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2"/>
      <c r="S624" s="1"/>
      <c r="T624" s="1"/>
    </row>
    <row r="625" spans="1:20" x14ac:dyDescent="0.25">
      <c r="A625" s="1"/>
      <c r="B625" s="2"/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2"/>
      <c r="S625" s="1"/>
      <c r="T625" s="1"/>
    </row>
    <row r="626" spans="1:20" x14ac:dyDescent="0.25">
      <c r="A626" s="1"/>
      <c r="B626" s="2"/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2"/>
      <c r="S626" s="1"/>
      <c r="T626" s="1"/>
    </row>
    <row r="627" spans="1:20" x14ac:dyDescent="0.25">
      <c r="A627" s="1"/>
      <c r="B627" s="2"/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2"/>
      <c r="S627" s="1"/>
      <c r="T627" s="1"/>
    </row>
    <row r="628" spans="1:20" x14ac:dyDescent="0.25">
      <c r="A628" s="1"/>
      <c r="B628" s="2"/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2"/>
      <c r="S628" s="1"/>
      <c r="T628" s="1"/>
    </row>
    <row r="629" spans="1:20" x14ac:dyDescent="0.25">
      <c r="A629" s="1"/>
      <c r="B629" s="2"/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2"/>
      <c r="S629" s="1"/>
      <c r="T629" s="1"/>
    </row>
    <row r="630" spans="1:20" x14ac:dyDescent="0.25">
      <c r="A630" s="1"/>
      <c r="B630" s="2"/>
      <c r="C630" s="2"/>
      <c r="D630" s="1"/>
      <c r="E630" s="1"/>
      <c r="F630" s="89"/>
      <c r="G630" s="1"/>
      <c r="H630" s="1"/>
      <c r="I630" s="89"/>
      <c r="J630" s="1"/>
      <c r="K630" s="1"/>
      <c r="L630" s="1"/>
      <c r="M630" s="1"/>
      <c r="N630" s="89"/>
      <c r="O630" s="89"/>
      <c r="P630" s="1"/>
      <c r="Q630" s="1"/>
      <c r="R630" s="2"/>
      <c r="S630" s="1"/>
      <c r="T630" s="1"/>
    </row>
    <row r="631" spans="1:20" x14ac:dyDescent="0.25">
      <c r="A631" s="1"/>
      <c r="B631" s="2"/>
      <c r="C631" s="2"/>
      <c r="D631" s="1"/>
      <c r="E631" s="1"/>
      <c r="F631" s="89"/>
      <c r="G631" s="1"/>
      <c r="H631" s="1"/>
      <c r="I631" s="89"/>
      <c r="J631" s="1"/>
      <c r="K631" s="1"/>
      <c r="L631" s="1"/>
      <c r="M631" s="1"/>
      <c r="N631" s="89"/>
      <c r="O631" s="89"/>
      <c r="P631" s="1"/>
      <c r="Q631" s="1"/>
      <c r="R631" s="2"/>
      <c r="S631" s="1"/>
      <c r="T631" s="1"/>
    </row>
    <row r="632" spans="1:20" x14ac:dyDescent="0.25">
      <c r="A632" s="1"/>
      <c r="B632" s="2"/>
      <c r="C632" s="2"/>
      <c r="D632" s="1"/>
      <c r="E632" s="1"/>
      <c r="F632" s="89"/>
      <c r="G632" s="1"/>
      <c r="H632" s="1"/>
      <c r="I632" s="89"/>
      <c r="J632" s="1"/>
      <c r="K632" s="1"/>
      <c r="L632" s="1"/>
      <c r="M632" s="1"/>
      <c r="N632" s="89"/>
      <c r="O632" s="89"/>
      <c r="P632" s="1"/>
      <c r="Q632" s="1"/>
      <c r="R632" s="2"/>
      <c r="S632" s="1"/>
      <c r="T632" s="1"/>
    </row>
    <row r="633" spans="1:20" x14ac:dyDescent="0.25">
      <c r="A633" s="1"/>
      <c r="B633" s="2"/>
      <c r="C633" s="2"/>
      <c r="D633" s="1"/>
      <c r="E633" s="1"/>
      <c r="F633" s="89"/>
      <c r="G633" s="1"/>
      <c r="H633" s="1"/>
      <c r="I633" s="89"/>
      <c r="J633" s="1"/>
      <c r="K633" s="1"/>
      <c r="L633" s="1"/>
      <c r="M633" s="1"/>
      <c r="N633" s="89"/>
      <c r="O633" s="89"/>
      <c r="P633" s="1"/>
      <c r="Q633" s="1"/>
      <c r="R633" s="2"/>
      <c r="S633" s="1"/>
      <c r="T633" s="1"/>
    </row>
    <row r="634" spans="1:20" x14ac:dyDescent="0.25">
      <c r="A634" s="1"/>
      <c r="B634" s="2"/>
      <c r="C634" s="2"/>
      <c r="D634" s="1"/>
      <c r="E634" s="1"/>
      <c r="F634" s="89"/>
      <c r="G634" s="1"/>
      <c r="H634" s="1"/>
      <c r="I634" s="89"/>
      <c r="J634" s="1"/>
      <c r="K634" s="1"/>
      <c r="L634" s="1"/>
      <c r="M634" s="1"/>
      <c r="N634" s="89"/>
      <c r="O634" s="89"/>
      <c r="P634" s="1"/>
      <c r="Q634" s="1"/>
      <c r="R634" s="2"/>
      <c r="S634" s="1"/>
      <c r="T634" s="1"/>
    </row>
    <row r="635" spans="1:20" x14ac:dyDescent="0.25">
      <c r="A635" s="1"/>
      <c r="B635" s="2"/>
      <c r="C635" s="2"/>
      <c r="D635" s="1"/>
      <c r="E635" s="1"/>
      <c r="F635" s="89"/>
      <c r="G635" s="1"/>
      <c r="H635" s="1"/>
      <c r="I635" s="89"/>
      <c r="J635" s="1"/>
      <c r="K635" s="1"/>
      <c r="L635" s="1"/>
      <c r="M635" s="1"/>
      <c r="N635" s="89"/>
      <c r="O635" s="89"/>
      <c r="P635" s="1"/>
      <c r="Q635" s="1"/>
      <c r="R635" s="2"/>
      <c r="S635" s="1"/>
      <c r="T635" s="1"/>
    </row>
    <row r="636" spans="1:20" x14ac:dyDescent="0.25">
      <c r="A636" s="1"/>
      <c r="B636" s="2"/>
      <c r="C636" s="2"/>
      <c r="D636" s="1"/>
      <c r="E636" s="1"/>
      <c r="F636" s="89"/>
      <c r="G636" s="1"/>
      <c r="H636" s="1"/>
      <c r="I636" s="89"/>
      <c r="J636" s="1"/>
      <c r="K636" s="1"/>
      <c r="L636" s="1"/>
      <c r="M636" s="1"/>
      <c r="N636" s="89"/>
      <c r="O636" s="89"/>
      <c r="P636" s="1"/>
      <c r="Q636" s="1"/>
      <c r="R636" s="2"/>
      <c r="S636" s="1"/>
      <c r="T636" s="1"/>
    </row>
    <row r="637" spans="1:20" x14ac:dyDescent="0.25">
      <c r="A637" s="1"/>
      <c r="B637" s="2"/>
      <c r="C637" s="2"/>
      <c r="D637" s="1"/>
      <c r="E637" s="1"/>
      <c r="F637" s="89"/>
      <c r="G637" s="1"/>
      <c r="H637" s="1"/>
      <c r="I637" s="89"/>
      <c r="J637" s="1"/>
      <c r="K637" s="1"/>
      <c r="L637" s="1"/>
      <c r="M637" s="1"/>
      <c r="N637" s="89"/>
      <c r="O637" s="89"/>
      <c r="P637" s="1"/>
      <c r="Q637" s="1"/>
      <c r="R637" s="2"/>
      <c r="S637" s="1"/>
      <c r="T637" s="1"/>
    </row>
    <row r="638" spans="1:20" x14ac:dyDescent="0.25">
      <c r="A638" s="1"/>
      <c r="B638" s="2"/>
      <c r="C638" s="2"/>
      <c r="D638" s="1"/>
      <c r="E638" s="1"/>
      <c r="F638" s="89"/>
      <c r="G638" s="1"/>
      <c r="H638" s="1"/>
      <c r="I638" s="89"/>
      <c r="J638" s="1"/>
      <c r="K638" s="1"/>
      <c r="L638" s="1"/>
      <c r="M638" s="1"/>
      <c r="N638" s="89"/>
      <c r="O638" s="89"/>
      <c r="P638" s="1"/>
      <c r="Q638" s="1"/>
      <c r="R638" s="2"/>
      <c r="S638" s="1"/>
      <c r="T638" s="1"/>
    </row>
    <row r="639" spans="1:20" x14ac:dyDescent="0.25">
      <c r="A639" s="1"/>
      <c r="B639" s="2"/>
      <c r="C639" s="2"/>
      <c r="D639" s="1"/>
      <c r="E639" s="1"/>
      <c r="F639" s="89"/>
      <c r="G639" s="1"/>
      <c r="H639" s="1"/>
      <c r="I639" s="89"/>
      <c r="J639" s="1"/>
      <c r="K639" s="1"/>
      <c r="L639" s="1"/>
      <c r="M639" s="1"/>
      <c r="N639" s="89"/>
      <c r="O639" s="89"/>
      <c r="P639" s="1"/>
      <c r="Q639" s="1"/>
      <c r="R639" s="2"/>
      <c r="S639" s="1"/>
      <c r="T639" s="1"/>
    </row>
    <row r="640" spans="1:20" x14ac:dyDescent="0.25">
      <c r="A640" s="1"/>
      <c r="B640" s="2"/>
      <c r="C640" s="2"/>
      <c r="D640" s="1"/>
      <c r="E640" s="1"/>
      <c r="F640" s="89"/>
      <c r="G640" s="1"/>
      <c r="H640" s="1"/>
      <c r="I640" s="89"/>
      <c r="J640" s="1"/>
      <c r="K640" s="1"/>
      <c r="L640" s="1"/>
      <c r="M640" s="1"/>
      <c r="N640" s="89"/>
      <c r="O640" s="89"/>
      <c r="P640" s="1"/>
      <c r="Q640" s="1"/>
      <c r="R640" s="2"/>
      <c r="S640" s="1"/>
      <c r="T640" s="1"/>
    </row>
    <row r="641" spans="1:20" x14ac:dyDescent="0.25">
      <c r="A641" s="1"/>
      <c r="B641" s="2"/>
      <c r="C641" s="2"/>
      <c r="D641" s="1"/>
      <c r="E641" s="1"/>
      <c r="F641" s="89"/>
      <c r="G641" s="1"/>
      <c r="H641" s="1"/>
      <c r="I641" s="89"/>
      <c r="J641" s="1"/>
      <c r="K641" s="1"/>
      <c r="L641" s="1"/>
      <c r="M641" s="1"/>
      <c r="N641" s="89"/>
      <c r="O641" s="89"/>
      <c r="P641" s="1"/>
      <c r="Q641" s="1"/>
      <c r="R641" s="2"/>
      <c r="S641" s="1"/>
      <c r="T641" s="1"/>
    </row>
    <row r="642" spans="1:20" x14ac:dyDescent="0.25">
      <c r="A642" s="1"/>
      <c r="B642" s="2"/>
      <c r="C642" s="2"/>
      <c r="D642" s="1"/>
      <c r="E642" s="1"/>
      <c r="F642" s="89"/>
      <c r="G642" s="1"/>
      <c r="H642" s="1"/>
      <c r="I642" s="89"/>
      <c r="J642" s="1"/>
      <c r="K642" s="1"/>
      <c r="L642" s="1"/>
      <c r="M642" s="1"/>
      <c r="N642" s="89"/>
      <c r="O642" s="89"/>
      <c r="P642" s="1"/>
      <c r="Q642" s="1"/>
      <c r="R642" s="2"/>
      <c r="S642" s="1"/>
      <c r="T642" s="1"/>
    </row>
    <row r="643" spans="1:20" x14ac:dyDescent="0.25">
      <c r="A643" s="1"/>
      <c r="B643" s="2"/>
      <c r="C643" s="2"/>
      <c r="D643" s="1"/>
      <c r="E643" s="1"/>
      <c r="F643" s="89"/>
      <c r="G643" s="1"/>
      <c r="H643" s="1"/>
      <c r="I643" s="89"/>
      <c r="J643" s="1"/>
      <c r="K643" s="1"/>
      <c r="L643" s="1"/>
      <c r="M643" s="1"/>
      <c r="N643" s="89"/>
      <c r="O643" s="89"/>
      <c r="P643" s="1"/>
      <c r="Q643" s="1"/>
      <c r="R643" s="2"/>
      <c r="S643" s="1"/>
      <c r="T643" s="1"/>
    </row>
    <row r="644" spans="1:20" x14ac:dyDescent="0.25">
      <c r="A644" s="1"/>
      <c r="B644" s="2"/>
      <c r="C644" s="2"/>
      <c r="D644" s="1"/>
      <c r="E644" s="1"/>
      <c r="F644" s="89"/>
      <c r="G644" s="1"/>
      <c r="H644" s="1"/>
      <c r="I644" s="89"/>
      <c r="J644" s="1"/>
      <c r="K644" s="1"/>
      <c r="L644" s="1"/>
      <c r="M644" s="1"/>
      <c r="N644" s="89"/>
      <c r="O644" s="89"/>
      <c r="P644" s="1"/>
      <c r="Q644" s="1"/>
      <c r="R644" s="2"/>
      <c r="S644" s="1"/>
      <c r="T644" s="1"/>
    </row>
    <row r="645" spans="1:20" x14ac:dyDescent="0.25">
      <c r="A645" s="1"/>
      <c r="B645" s="2"/>
      <c r="C645" s="2"/>
      <c r="D645" s="1"/>
      <c r="E645" s="1"/>
      <c r="F645" s="89"/>
      <c r="G645" s="1"/>
      <c r="H645" s="1"/>
      <c r="I645" s="89"/>
      <c r="J645" s="1"/>
      <c r="K645" s="1"/>
      <c r="L645" s="1"/>
      <c r="M645" s="1"/>
      <c r="N645" s="89"/>
      <c r="O645" s="89"/>
      <c r="P645" s="1"/>
      <c r="Q645" s="1"/>
      <c r="R645" s="2"/>
      <c r="S645" s="1"/>
      <c r="T645" s="1"/>
    </row>
    <row r="646" spans="1:20" x14ac:dyDescent="0.25">
      <c r="A646" s="1"/>
      <c r="B646" s="2"/>
      <c r="C646" s="2"/>
      <c r="D646" s="1"/>
      <c r="E646" s="1"/>
      <c r="F646" s="89"/>
      <c r="G646" s="1"/>
      <c r="H646" s="1"/>
      <c r="I646" s="89"/>
      <c r="J646" s="1"/>
      <c r="K646" s="1"/>
      <c r="L646" s="1"/>
      <c r="M646" s="1"/>
      <c r="N646" s="89"/>
      <c r="O646" s="89"/>
      <c r="P646" s="1"/>
      <c r="Q646" s="1"/>
      <c r="R646" s="2"/>
      <c r="S646" s="1"/>
      <c r="T646" s="1"/>
    </row>
    <row r="647" spans="1:20" x14ac:dyDescent="0.25">
      <c r="A647" s="1"/>
      <c r="B647" s="2"/>
      <c r="C647" s="2"/>
      <c r="D647" s="1"/>
      <c r="E647" s="1"/>
      <c r="F647" s="89"/>
      <c r="G647" s="1"/>
      <c r="H647" s="1"/>
      <c r="I647" s="89"/>
      <c r="J647" s="1"/>
      <c r="K647" s="1"/>
      <c r="L647" s="1"/>
      <c r="M647" s="1"/>
      <c r="N647" s="89"/>
      <c r="O647" s="89"/>
      <c r="P647" s="1"/>
      <c r="Q647" s="1"/>
      <c r="R647" s="2"/>
      <c r="S647" s="1"/>
      <c r="T647" s="1"/>
    </row>
    <row r="648" spans="1:20" x14ac:dyDescent="0.25">
      <c r="A648" s="1"/>
      <c r="B648" s="2"/>
      <c r="C648" s="2"/>
      <c r="D648" s="1"/>
      <c r="E648" s="1"/>
      <c r="F648" s="89"/>
      <c r="G648" s="1"/>
      <c r="H648" s="1"/>
      <c r="I648" s="89"/>
      <c r="J648" s="1"/>
      <c r="K648" s="1"/>
      <c r="L648" s="1"/>
      <c r="M648" s="1"/>
      <c r="N648" s="89"/>
      <c r="O648" s="89"/>
      <c r="P648" s="1"/>
      <c r="Q648" s="1"/>
      <c r="R648" s="2"/>
      <c r="S648" s="1"/>
      <c r="T648" s="1"/>
    </row>
    <row r="649" spans="1:20" x14ac:dyDescent="0.25">
      <c r="A649" s="1"/>
      <c r="B649" s="2"/>
      <c r="C649" s="2"/>
      <c r="D649" s="1"/>
      <c r="E649" s="1"/>
      <c r="F649" s="89"/>
      <c r="G649" s="1"/>
      <c r="H649" s="1"/>
      <c r="I649" s="89"/>
      <c r="J649" s="1"/>
      <c r="K649" s="1"/>
      <c r="L649" s="1"/>
      <c r="M649" s="1"/>
      <c r="N649" s="89"/>
      <c r="O649" s="89"/>
      <c r="P649" s="1"/>
      <c r="Q649" s="1"/>
      <c r="R649" s="2"/>
      <c r="S649" s="1"/>
      <c r="T649" s="1"/>
    </row>
    <row r="650" spans="1:20" x14ac:dyDescent="0.25">
      <c r="A650" s="1"/>
      <c r="B650" s="2"/>
      <c r="C650" s="2"/>
      <c r="D650" s="1"/>
      <c r="E650" s="1"/>
      <c r="F650" s="89"/>
      <c r="G650" s="1"/>
      <c r="H650" s="1"/>
      <c r="I650" s="89"/>
      <c r="J650" s="1"/>
      <c r="K650" s="1"/>
      <c r="L650" s="1"/>
      <c r="M650" s="1"/>
      <c r="N650" s="89"/>
      <c r="O650" s="89"/>
      <c r="P650" s="1"/>
      <c r="Q650" s="1"/>
      <c r="R650" s="2"/>
      <c r="S650" s="1"/>
      <c r="T650" s="1"/>
    </row>
    <row r="651" spans="1:20" x14ac:dyDescent="0.25">
      <c r="A651" s="1"/>
      <c r="B651" s="2"/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2"/>
      <c r="S651" s="1"/>
      <c r="T651" s="1"/>
    </row>
    <row r="652" spans="1:20" x14ac:dyDescent="0.25">
      <c r="A652" s="1"/>
      <c r="B652" s="2"/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2"/>
      <c r="S652" s="1"/>
      <c r="T652" s="1"/>
    </row>
    <row r="653" spans="1:20" x14ac:dyDescent="0.25">
      <c r="A653" s="1"/>
      <c r="B653" s="2"/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2"/>
      <c r="S653" s="1"/>
      <c r="T653" s="1"/>
    </row>
    <row r="654" spans="1:20" x14ac:dyDescent="0.25">
      <c r="A654" s="1"/>
      <c r="B654" s="2"/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2"/>
      <c r="S654" s="1"/>
      <c r="T654" s="1"/>
    </row>
    <row r="655" spans="1:20" x14ac:dyDescent="0.25">
      <c r="A655" s="1"/>
      <c r="B655" s="2"/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2"/>
      <c r="S655" s="1"/>
      <c r="T655" s="1"/>
    </row>
    <row r="656" spans="1:20" x14ac:dyDescent="0.25">
      <c r="A656" s="1"/>
      <c r="B656" s="2"/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2"/>
      <c r="S656" s="1"/>
      <c r="T656" s="1"/>
    </row>
    <row r="657" spans="1:20" x14ac:dyDescent="0.25">
      <c r="A657" s="1"/>
      <c r="B657" s="2"/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2"/>
      <c r="S657" s="1"/>
      <c r="T657" s="1"/>
    </row>
    <row r="658" spans="1:20" x14ac:dyDescent="0.25">
      <c r="A658" s="1"/>
      <c r="B658" s="2"/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2"/>
      <c r="S658" s="1"/>
      <c r="T658" s="1"/>
    </row>
    <row r="659" spans="1:20" x14ac:dyDescent="0.25">
      <c r="A659" s="1"/>
      <c r="B659" s="2"/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2"/>
      <c r="S659" s="1"/>
      <c r="T659" s="1"/>
    </row>
    <row r="660" spans="1:20" x14ac:dyDescent="0.25">
      <c r="A660" s="1"/>
      <c r="B660" s="2"/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2"/>
      <c r="S660" s="1"/>
      <c r="T660" s="1"/>
    </row>
    <row r="661" spans="1:20" x14ac:dyDescent="0.25">
      <c r="A661" s="1"/>
      <c r="B661" s="2"/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2"/>
      <c r="S661" s="1"/>
      <c r="T661" s="1"/>
    </row>
    <row r="662" spans="1:20" x14ac:dyDescent="0.25">
      <c r="A662" s="1"/>
      <c r="B662" s="2"/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2"/>
      <c r="S662" s="1"/>
      <c r="T662" s="1"/>
    </row>
    <row r="663" spans="1:20" x14ac:dyDescent="0.25">
      <c r="A663" s="1"/>
      <c r="B663" s="2"/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2"/>
      <c r="S663" s="1"/>
      <c r="T663" s="1"/>
    </row>
    <row r="664" spans="1:20" x14ac:dyDescent="0.25">
      <c r="A664" s="1"/>
      <c r="B664" s="2"/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2"/>
      <c r="S664" s="1"/>
      <c r="T664" s="1"/>
    </row>
    <row r="665" spans="1:20" x14ac:dyDescent="0.25">
      <c r="A665" s="1"/>
      <c r="B665" s="2"/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2"/>
      <c r="S665" s="1"/>
      <c r="T665" s="1"/>
    </row>
    <row r="666" spans="1:20" x14ac:dyDescent="0.25">
      <c r="A666" s="1"/>
      <c r="B666" s="2"/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2"/>
      <c r="S666" s="1"/>
      <c r="T666" s="1"/>
    </row>
    <row r="667" spans="1:20" x14ac:dyDescent="0.25">
      <c r="A667" s="1"/>
      <c r="B667" s="2"/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2"/>
      <c r="S667" s="1"/>
      <c r="T667" s="1"/>
    </row>
    <row r="668" spans="1:20" x14ac:dyDescent="0.25">
      <c r="A668" s="1"/>
      <c r="B668" s="2"/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2"/>
      <c r="S668" s="1"/>
      <c r="T668" s="1"/>
    </row>
    <row r="669" spans="1:20" x14ac:dyDescent="0.25">
      <c r="A669" s="1"/>
      <c r="B669" s="2"/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2"/>
      <c r="S669" s="1"/>
      <c r="T669" s="1"/>
    </row>
    <row r="670" spans="1:20" x14ac:dyDescent="0.25">
      <c r="A670" s="1"/>
      <c r="B670" s="2"/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2"/>
      <c r="S670" s="1"/>
      <c r="T670" s="1"/>
    </row>
    <row r="671" spans="1:20" x14ac:dyDescent="0.25">
      <c r="A671" s="1"/>
      <c r="B671" s="2"/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2"/>
      <c r="S671" s="1"/>
      <c r="T671" s="1"/>
    </row>
    <row r="672" spans="1:20" x14ac:dyDescent="0.25">
      <c r="A672" s="1"/>
      <c r="B672" s="2"/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2"/>
      <c r="S672" s="1"/>
      <c r="T672" s="1"/>
    </row>
    <row r="673" spans="1:20" x14ac:dyDescent="0.25">
      <c r="A673" s="1"/>
      <c r="B673" s="2"/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2"/>
      <c r="S673" s="1"/>
      <c r="T673" s="1"/>
    </row>
    <row r="674" spans="1:20" x14ac:dyDescent="0.25">
      <c r="A674" s="1"/>
      <c r="B674" s="2"/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2"/>
      <c r="S674" s="1"/>
      <c r="T674" s="1"/>
    </row>
    <row r="675" spans="1:20" x14ac:dyDescent="0.25">
      <c r="A675" s="1"/>
      <c r="B675" s="2"/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2"/>
      <c r="S675" s="1"/>
      <c r="T675" s="1"/>
    </row>
    <row r="676" spans="1:20" x14ac:dyDescent="0.25">
      <c r="A676" s="1"/>
      <c r="B676" s="2"/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2"/>
      <c r="S676" s="1"/>
      <c r="T676" s="1"/>
    </row>
    <row r="677" spans="1:20" x14ac:dyDescent="0.25">
      <c r="A677" s="1"/>
      <c r="B677" s="2"/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2"/>
      <c r="S677" s="1"/>
      <c r="T677" s="1"/>
    </row>
    <row r="678" spans="1:20" x14ac:dyDescent="0.25">
      <c r="A678" s="1"/>
      <c r="B678" s="2"/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2"/>
      <c r="S678" s="1"/>
      <c r="T678" s="1"/>
    </row>
    <row r="679" spans="1:20" x14ac:dyDescent="0.25">
      <c r="A679" s="1"/>
      <c r="B679" s="2"/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2"/>
      <c r="S679" s="1"/>
      <c r="T679" s="1"/>
    </row>
    <row r="680" spans="1:20" x14ac:dyDescent="0.25">
      <c r="A680" s="1"/>
      <c r="B680" s="2"/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2"/>
      <c r="S680" s="1"/>
      <c r="T680" s="1"/>
    </row>
    <row r="681" spans="1:20" x14ac:dyDescent="0.25">
      <c r="A681" s="1"/>
      <c r="B681" s="2"/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2"/>
      <c r="S681" s="1"/>
      <c r="T681" s="1"/>
    </row>
    <row r="682" spans="1:20" x14ac:dyDescent="0.25">
      <c r="A682" s="1"/>
      <c r="B682" s="2"/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2"/>
      <c r="S682" s="1"/>
      <c r="T682" s="1"/>
    </row>
    <row r="683" spans="1:20" x14ac:dyDescent="0.25">
      <c r="A683" s="1"/>
      <c r="B683" s="2"/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2"/>
      <c r="S683" s="1"/>
      <c r="T683" s="1"/>
    </row>
    <row r="684" spans="1:20" x14ac:dyDescent="0.25">
      <c r="A684" s="1"/>
      <c r="B684" s="2"/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2"/>
      <c r="S684" s="1"/>
      <c r="T684" s="1"/>
    </row>
    <row r="685" spans="1:20" x14ac:dyDescent="0.25">
      <c r="A685" s="1"/>
      <c r="B685" s="2"/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2"/>
      <c r="S685" s="1"/>
      <c r="T685" s="1"/>
    </row>
    <row r="686" spans="1:20" x14ac:dyDescent="0.25">
      <c r="A686" s="1"/>
      <c r="B686" s="2"/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2"/>
      <c r="S686" s="1"/>
      <c r="T686" s="1"/>
    </row>
    <row r="687" spans="1:20" x14ac:dyDescent="0.25">
      <c r="A687" s="1"/>
      <c r="B687" s="2"/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2"/>
      <c r="S687" s="1"/>
      <c r="T687" s="1"/>
    </row>
    <row r="688" spans="1:20" x14ac:dyDescent="0.25">
      <c r="A688" s="1"/>
      <c r="B688" s="2"/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2"/>
      <c r="S688" s="1"/>
      <c r="T688" s="1"/>
    </row>
    <row r="689" spans="1:20" x14ac:dyDescent="0.25">
      <c r="A689" s="1"/>
      <c r="B689" s="2"/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2"/>
      <c r="S689" s="1"/>
      <c r="T689" s="1"/>
    </row>
    <row r="690" spans="1:20" x14ac:dyDescent="0.25">
      <c r="A690" s="1"/>
      <c r="B690" s="2"/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2"/>
      <c r="S690" s="1"/>
      <c r="T690" s="1"/>
    </row>
    <row r="691" spans="1:20" x14ac:dyDescent="0.25">
      <c r="A691" s="1"/>
      <c r="B691" s="2"/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2"/>
      <c r="S691" s="1"/>
      <c r="T691" s="1"/>
    </row>
    <row r="692" spans="1:20" x14ac:dyDescent="0.25">
      <c r="A692" s="1"/>
      <c r="B692" s="2"/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2"/>
      <c r="S692" s="1"/>
      <c r="T692" s="1"/>
    </row>
    <row r="693" spans="1:20" x14ac:dyDescent="0.25">
      <c r="A693" s="1"/>
      <c r="B693" s="2"/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2"/>
      <c r="S693" s="1"/>
      <c r="T693" s="1"/>
    </row>
    <row r="694" spans="1:20" x14ac:dyDescent="0.25">
      <c r="A694" s="1"/>
      <c r="B694" s="2"/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2"/>
      <c r="S694" s="1"/>
      <c r="T694" s="1"/>
    </row>
    <row r="695" spans="1:20" x14ac:dyDescent="0.25">
      <c r="A695" s="1"/>
      <c r="B695" s="2"/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2"/>
      <c r="S695" s="1"/>
      <c r="T695" s="1"/>
    </row>
    <row r="696" spans="1:20" x14ac:dyDescent="0.25">
      <c r="A696" s="1"/>
      <c r="B696" s="2"/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2"/>
      <c r="S696" s="1"/>
      <c r="T696" s="1"/>
    </row>
    <row r="697" spans="1:20" x14ac:dyDescent="0.25">
      <c r="A697" s="1"/>
      <c r="B697" s="2"/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2"/>
      <c r="S697" s="1"/>
      <c r="T697" s="1"/>
    </row>
    <row r="698" spans="1:20" x14ac:dyDescent="0.25">
      <c r="A698" s="1"/>
      <c r="B698" s="2"/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2"/>
      <c r="S698" s="1"/>
      <c r="T698" s="1"/>
    </row>
    <row r="699" spans="1:20" x14ac:dyDescent="0.25">
      <c r="A699" s="1"/>
      <c r="B699" s="2"/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2"/>
      <c r="S699" s="1"/>
      <c r="T699" s="1"/>
    </row>
    <row r="700" spans="1:20" x14ac:dyDescent="0.25">
      <c r="A700" s="1"/>
      <c r="B700" s="2"/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2"/>
      <c r="S700" s="1"/>
      <c r="T700" s="1"/>
    </row>
    <row r="701" spans="1:20" x14ac:dyDescent="0.25">
      <c r="A701" s="1"/>
      <c r="B701" s="2"/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2"/>
      <c r="S701" s="1"/>
      <c r="T701" s="1"/>
    </row>
    <row r="702" spans="1:20" x14ac:dyDescent="0.25">
      <c r="A702" s="1"/>
      <c r="B702" s="2"/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2"/>
      <c r="S702" s="1"/>
      <c r="T702" s="1"/>
    </row>
    <row r="703" spans="1:20" x14ac:dyDescent="0.25">
      <c r="A703" s="1"/>
      <c r="B703" s="2"/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2"/>
      <c r="S703" s="1"/>
      <c r="T703" s="1"/>
    </row>
    <row r="704" spans="1:20" x14ac:dyDescent="0.25">
      <c r="A704" s="1"/>
      <c r="B704" s="2"/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2"/>
      <c r="S704" s="1"/>
      <c r="T704" s="1"/>
    </row>
    <row r="705" spans="1:20" x14ac:dyDescent="0.25">
      <c r="A705" s="1"/>
      <c r="B705" s="2"/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2"/>
      <c r="S705" s="1"/>
      <c r="T705" s="1"/>
    </row>
    <row r="706" spans="1:20" x14ac:dyDescent="0.25">
      <c r="A706" s="1"/>
      <c r="B706" s="2"/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2"/>
      <c r="S706" s="1"/>
      <c r="T706" s="1"/>
    </row>
    <row r="707" spans="1:20" x14ac:dyDescent="0.25">
      <c r="A707" s="1"/>
      <c r="B707" s="2"/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2"/>
      <c r="S707" s="1"/>
      <c r="T707" s="1"/>
    </row>
    <row r="708" spans="1:20" x14ac:dyDescent="0.25">
      <c r="A708" s="1"/>
      <c r="B708" s="2"/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2"/>
      <c r="S708" s="1"/>
      <c r="T708" s="1"/>
    </row>
    <row r="709" spans="1:20" x14ac:dyDescent="0.25">
      <c r="A709" s="1"/>
      <c r="B709" s="2"/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2"/>
      <c r="S709" s="1"/>
      <c r="T709" s="1"/>
    </row>
    <row r="710" spans="1:20" x14ac:dyDescent="0.25">
      <c r="A710" s="1"/>
      <c r="B710" s="2"/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2"/>
      <c r="S710" s="1"/>
      <c r="T710" s="1"/>
    </row>
    <row r="711" spans="1:20" x14ac:dyDescent="0.25">
      <c r="A711" s="1"/>
      <c r="B711" s="2"/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2"/>
      <c r="S711" s="1"/>
      <c r="T711" s="1"/>
    </row>
    <row r="712" spans="1:20" x14ac:dyDescent="0.25">
      <c r="A712" s="1"/>
      <c r="B712" s="2"/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2"/>
      <c r="S712" s="1"/>
      <c r="T712" s="1"/>
    </row>
    <row r="713" spans="1:20" x14ac:dyDescent="0.25">
      <c r="A713" s="1"/>
      <c r="B713" s="2"/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2"/>
      <c r="S713" s="1"/>
      <c r="T713" s="1"/>
    </row>
    <row r="714" spans="1:20" x14ac:dyDescent="0.25">
      <c r="A714" s="1"/>
      <c r="B714" s="2"/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2"/>
      <c r="S714" s="1"/>
      <c r="T714" s="1"/>
    </row>
    <row r="715" spans="1:20" x14ac:dyDescent="0.25">
      <c r="A715" s="1"/>
      <c r="B715" s="2"/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2"/>
      <c r="S715" s="1"/>
      <c r="T715" s="1"/>
    </row>
    <row r="716" spans="1:20" x14ac:dyDescent="0.25">
      <c r="A716" s="1"/>
      <c r="B716" s="2"/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2"/>
      <c r="S716" s="1"/>
      <c r="T716" s="1"/>
    </row>
    <row r="717" spans="1:20" x14ac:dyDescent="0.25">
      <c r="A717" s="1"/>
      <c r="B717" s="2"/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2"/>
      <c r="S717" s="1"/>
      <c r="T717" s="1"/>
    </row>
    <row r="718" spans="1:20" x14ac:dyDescent="0.25">
      <c r="A718" s="1"/>
      <c r="B718" s="2"/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2"/>
      <c r="S718" s="1"/>
      <c r="T718" s="1"/>
    </row>
    <row r="719" spans="1:20" x14ac:dyDescent="0.25">
      <c r="A719" s="1"/>
      <c r="B719" s="2"/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2"/>
      <c r="S719" s="1"/>
      <c r="T719" s="1"/>
    </row>
    <row r="720" spans="1:20" x14ac:dyDescent="0.25">
      <c r="A720" s="1"/>
      <c r="B720" s="2"/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2"/>
      <c r="S720" s="1"/>
      <c r="T720" s="1"/>
    </row>
    <row r="721" spans="1:20" x14ac:dyDescent="0.25">
      <c r="A721" s="1"/>
      <c r="B721" s="2"/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2"/>
      <c r="S721" s="1"/>
      <c r="T721" s="1"/>
    </row>
    <row r="722" spans="1:20" x14ac:dyDescent="0.25">
      <c r="A722" s="1"/>
      <c r="B722" s="2"/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2"/>
      <c r="S722" s="1"/>
      <c r="T722" s="1"/>
    </row>
    <row r="723" spans="1:20" x14ac:dyDescent="0.25">
      <c r="A723" s="1"/>
      <c r="B723" s="2"/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2"/>
      <c r="S723" s="1"/>
      <c r="T723" s="1"/>
    </row>
    <row r="724" spans="1:20" x14ac:dyDescent="0.25">
      <c r="A724" s="1"/>
      <c r="B724" s="2"/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2"/>
      <c r="S724" s="1"/>
      <c r="T724" s="1"/>
    </row>
    <row r="725" spans="1:20" x14ac:dyDescent="0.25">
      <c r="A725" s="1"/>
      <c r="B725" s="2"/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2"/>
      <c r="S725" s="1"/>
      <c r="T725" s="1"/>
    </row>
    <row r="726" spans="1:20" x14ac:dyDescent="0.25">
      <c r="A726" s="1"/>
      <c r="B726" s="2"/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2"/>
      <c r="S726" s="1"/>
      <c r="T726" s="1"/>
    </row>
    <row r="727" spans="1:20" x14ac:dyDescent="0.25">
      <c r="A727" s="1"/>
      <c r="B727" s="2"/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2"/>
      <c r="S727" s="1"/>
      <c r="T727" s="1"/>
    </row>
    <row r="728" spans="1:20" x14ac:dyDescent="0.25">
      <c r="A728" s="1"/>
      <c r="B728" s="2"/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2"/>
      <c r="S728" s="1"/>
      <c r="T728" s="1"/>
    </row>
    <row r="729" spans="1:20" x14ac:dyDescent="0.25">
      <c r="A729" s="1"/>
      <c r="B729" s="2"/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2"/>
      <c r="S729" s="1"/>
      <c r="T729" s="1"/>
    </row>
    <row r="730" spans="1:20" x14ac:dyDescent="0.25">
      <c r="A730" s="1"/>
      <c r="B730" s="2"/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2"/>
      <c r="S730" s="1"/>
      <c r="T730" s="1"/>
    </row>
    <row r="731" spans="1:20" x14ac:dyDescent="0.25">
      <c r="A731" s="1"/>
      <c r="B731" s="2"/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2"/>
      <c r="S731" s="1"/>
      <c r="T731" s="1"/>
    </row>
    <row r="732" spans="1:20" x14ac:dyDescent="0.25">
      <c r="A732" s="1"/>
      <c r="B732" s="2"/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2"/>
      <c r="S732" s="1"/>
      <c r="T732" s="1"/>
    </row>
    <row r="733" spans="1:20" x14ac:dyDescent="0.25">
      <c r="A733" s="1"/>
      <c r="B733" s="2"/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2"/>
      <c r="S733" s="1"/>
      <c r="T733" s="1"/>
    </row>
    <row r="734" spans="1:20" x14ac:dyDescent="0.25">
      <c r="A734" s="1"/>
      <c r="B734" s="2"/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2"/>
      <c r="S734" s="1"/>
      <c r="T734" s="1"/>
    </row>
    <row r="735" spans="1:20" x14ac:dyDescent="0.25">
      <c r="A735" s="1"/>
      <c r="B735" s="2"/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2"/>
      <c r="S735" s="1"/>
      <c r="T735" s="1"/>
    </row>
    <row r="736" spans="1:20" x14ac:dyDescent="0.25">
      <c r="A736" s="1"/>
      <c r="B736" s="2"/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2"/>
      <c r="S736" s="1"/>
      <c r="T736" s="1"/>
    </row>
    <row r="737" spans="1:20" x14ac:dyDescent="0.25">
      <c r="A737" s="1"/>
      <c r="B737" s="2"/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2"/>
      <c r="S737" s="1"/>
      <c r="T737" s="1"/>
    </row>
    <row r="738" spans="1:20" x14ac:dyDescent="0.25">
      <c r="A738" s="1"/>
      <c r="B738" s="2"/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2"/>
      <c r="S738" s="1"/>
      <c r="T738" s="1"/>
    </row>
    <row r="739" spans="1:20" x14ac:dyDescent="0.25">
      <c r="A739" s="1"/>
      <c r="B739" s="2"/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2"/>
      <c r="S739" s="1"/>
      <c r="T739" s="1"/>
    </row>
    <row r="740" spans="1:20" x14ac:dyDescent="0.25">
      <c r="A740" s="1"/>
      <c r="B740" s="2"/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2"/>
      <c r="S740" s="1"/>
      <c r="T740" s="1"/>
    </row>
    <row r="741" spans="1:20" x14ac:dyDescent="0.25">
      <c r="A741" s="1"/>
      <c r="B741" s="2"/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2"/>
      <c r="S741" s="1"/>
      <c r="T741" s="1"/>
    </row>
    <row r="742" spans="1:20" x14ac:dyDescent="0.25">
      <c r="A742" s="1"/>
      <c r="B742" s="2"/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2"/>
      <c r="S742" s="1"/>
      <c r="T742" s="1"/>
    </row>
    <row r="743" spans="1:20" x14ac:dyDescent="0.25">
      <c r="A743" s="1"/>
      <c r="B743" s="2"/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2"/>
      <c r="S743" s="1"/>
      <c r="T743" s="1"/>
    </row>
    <row r="744" spans="1:20" x14ac:dyDescent="0.25">
      <c r="A744" s="1"/>
      <c r="B744" s="2"/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2"/>
      <c r="S744" s="1"/>
      <c r="T744" s="1"/>
    </row>
    <row r="745" spans="1:20" x14ac:dyDescent="0.25">
      <c r="A745" s="1"/>
      <c r="B745" s="2"/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2"/>
      <c r="S745" s="1"/>
      <c r="T745" s="1"/>
    </row>
    <row r="746" spans="1:20" x14ac:dyDescent="0.25">
      <c r="A746" s="1"/>
      <c r="B746" s="2"/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2"/>
      <c r="S746" s="1"/>
      <c r="T746" s="1"/>
    </row>
    <row r="747" spans="1:20" x14ac:dyDescent="0.25">
      <c r="A747" s="1"/>
      <c r="B747" s="2"/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2"/>
      <c r="S747" s="1"/>
      <c r="T747" s="1"/>
    </row>
    <row r="748" spans="1:20" x14ac:dyDescent="0.25">
      <c r="A748" s="1"/>
      <c r="B748" s="2"/>
      <c r="C748" s="2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2"/>
      <c r="S748" s="1"/>
      <c r="T748" s="1"/>
    </row>
    <row r="749" spans="1:20" x14ac:dyDescent="0.25">
      <c r="A749" s="1"/>
      <c r="B749" s="2"/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2"/>
      <c r="S749" s="1"/>
      <c r="T749" s="1"/>
    </row>
    <row r="750" spans="1:20" x14ac:dyDescent="0.25">
      <c r="A750" s="1"/>
      <c r="B750" s="2"/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2"/>
      <c r="S750" s="1"/>
      <c r="T750" s="1"/>
    </row>
    <row r="751" spans="1:20" x14ac:dyDescent="0.25">
      <c r="A751" s="1"/>
      <c r="B751" s="2"/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2"/>
      <c r="S751" s="1"/>
      <c r="T751" s="1"/>
    </row>
    <row r="752" spans="1:20" x14ac:dyDescent="0.25">
      <c r="A752" s="1"/>
      <c r="B752" s="2"/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2"/>
      <c r="S752" s="1"/>
      <c r="T752" s="1"/>
    </row>
    <row r="753" spans="1:20" x14ac:dyDescent="0.25">
      <c r="A753" s="1"/>
      <c r="B753" s="2"/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2"/>
      <c r="S753" s="1"/>
      <c r="T753" s="1"/>
    </row>
    <row r="754" spans="1:20" x14ac:dyDescent="0.25">
      <c r="A754" s="1"/>
      <c r="B754" s="2"/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2"/>
      <c r="S754" s="1"/>
      <c r="T754" s="1"/>
    </row>
    <row r="755" spans="1:20" x14ac:dyDescent="0.25">
      <c r="A755" s="1"/>
      <c r="B755" s="2"/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2"/>
      <c r="S755" s="1"/>
      <c r="T755" s="1"/>
    </row>
    <row r="756" spans="1:20" x14ac:dyDescent="0.25">
      <c r="A756" s="1"/>
      <c r="B756" s="2"/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2"/>
      <c r="S756" s="1"/>
      <c r="T756" s="1"/>
    </row>
    <row r="757" spans="1:20" x14ac:dyDescent="0.25">
      <c r="A757" s="1"/>
      <c r="B757" s="2"/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2"/>
      <c r="S757" s="1"/>
      <c r="T757" s="1"/>
    </row>
    <row r="758" spans="1:20" x14ac:dyDescent="0.25">
      <c r="A758" s="1"/>
      <c r="B758" s="2"/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2"/>
      <c r="S758" s="1"/>
      <c r="T758" s="1"/>
    </row>
    <row r="759" spans="1:20" x14ac:dyDescent="0.25">
      <c r="A759" s="1"/>
      <c r="B759" s="2"/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2"/>
      <c r="S759" s="1"/>
      <c r="T759" s="1"/>
    </row>
    <row r="760" spans="1:20" x14ac:dyDescent="0.25">
      <c r="A760" s="1"/>
      <c r="B760" s="2"/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2"/>
      <c r="S760" s="1"/>
      <c r="T760" s="1"/>
    </row>
    <row r="761" spans="1:20" x14ac:dyDescent="0.25">
      <c r="A761" s="1"/>
      <c r="B761" s="2"/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2"/>
      <c r="S761" s="1"/>
      <c r="T761" s="1"/>
    </row>
    <row r="762" spans="1:20" x14ac:dyDescent="0.25">
      <c r="A762" s="1"/>
      <c r="B762" s="2"/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2"/>
      <c r="S762" s="1"/>
      <c r="T762" s="1"/>
    </row>
    <row r="763" spans="1:20" x14ac:dyDescent="0.25">
      <c r="A763" s="1"/>
      <c r="B763" s="2"/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2"/>
      <c r="S763" s="1"/>
      <c r="T763" s="1"/>
    </row>
    <row r="764" spans="1:20" x14ac:dyDescent="0.25">
      <c r="A764" s="1"/>
      <c r="B764" s="2"/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2"/>
      <c r="S764" s="1"/>
      <c r="T764" s="1"/>
    </row>
    <row r="765" spans="1:20" x14ac:dyDescent="0.25">
      <c r="A765" s="1"/>
      <c r="B765" s="2"/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2"/>
      <c r="S765" s="1"/>
      <c r="T765" s="1"/>
    </row>
    <row r="766" spans="1:20" x14ac:dyDescent="0.25">
      <c r="A766" s="1"/>
      <c r="B766" s="2"/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2"/>
      <c r="S766" s="1"/>
      <c r="T766" s="1"/>
    </row>
    <row r="767" spans="1:20" x14ac:dyDescent="0.25">
      <c r="A767" s="1"/>
      <c r="B767" s="2"/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2"/>
      <c r="S767" s="1"/>
      <c r="T767" s="1"/>
    </row>
    <row r="768" spans="1:20" x14ac:dyDescent="0.25">
      <c r="A768" s="1"/>
      <c r="B768" s="2"/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2"/>
      <c r="S768" s="1"/>
      <c r="T768" s="1"/>
    </row>
    <row r="769" spans="1:20" x14ac:dyDescent="0.25">
      <c r="A769" s="1"/>
      <c r="B769" s="2"/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2"/>
      <c r="S769" s="1"/>
      <c r="T769" s="1"/>
    </row>
    <row r="770" spans="1:20" x14ac:dyDescent="0.25">
      <c r="A770" s="1"/>
      <c r="B770" s="2"/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2"/>
      <c r="S770" s="1"/>
      <c r="T770" s="1"/>
    </row>
    <row r="771" spans="1:20" x14ac:dyDescent="0.25">
      <c r="A771" s="1"/>
      <c r="B771" s="2"/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2"/>
      <c r="S771" s="1"/>
      <c r="T771" s="1"/>
    </row>
    <row r="772" spans="1:20" x14ac:dyDescent="0.25">
      <c r="A772" s="1"/>
      <c r="B772" s="2"/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2"/>
      <c r="S772" s="1"/>
      <c r="T772" s="1"/>
    </row>
    <row r="773" spans="1:20" x14ac:dyDescent="0.25">
      <c r="A773" s="1"/>
      <c r="B773" s="2"/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2"/>
      <c r="S773" s="1"/>
      <c r="T773" s="1"/>
    </row>
    <row r="774" spans="1:20" x14ac:dyDescent="0.25">
      <c r="A774" s="1"/>
      <c r="B774" s="2"/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2"/>
      <c r="S774" s="1"/>
      <c r="T774" s="1"/>
    </row>
    <row r="775" spans="1:20" x14ac:dyDescent="0.25">
      <c r="A775" s="1"/>
      <c r="B775" s="2"/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2"/>
      <c r="S775" s="1"/>
      <c r="T775" s="1"/>
    </row>
    <row r="776" spans="1:20" x14ac:dyDescent="0.25">
      <c r="A776" s="1"/>
      <c r="B776" s="2"/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2"/>
      <c r="S776" s="1"/>
      <c r="T776" s="1"/>
    </row>
    <row r="777" spans="1:20" x14ac:dyDescent="0.25">
      <c r="A777" s="1"/>
      <c r="B777" s="2"/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2"/>
      <c r="S777" s="1"/>
      <c r="T777" s="1"/>
    </row>
    <row r="778" spans="1:20" x14ac:dyDescent="0.25">
      <c r="A778" s="1"/>
      <c r="B778" s="2"/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2"/>
      <c r="S778" s="1"/>
      <c r="T778" s="1"/>
    </row>
    <row r="779" spans="1:20" x14ac:dyDescent="0.25">
      <c r="A779" s="1"/>
      <c r="B779" s="2"/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2"/>
      <c r="S779" s="1"/>
      <c r="T779" s="1"/>
    </row>
    <row r="780" spans="1:20" x14ac:dyDescent="0.25">
      <c r="A780" s="1"/>
      <c r="B780" s="2"/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2"/>
      <c r="S780" s="1"/>
      <c r="T780" s="1"/>
    </row>
    <row r="781" spans="1:20" x14ac:dyDescent="0.25">
      <c r="A781" s="1"/>
      <c r="B781" s="2"/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2"/>
      <c r="S781" s="1"/>
      <c r="T781" s="1"/>
    </row>
    <row r="782" spans="1:20" x14ac:dyDescent="0.25">
      <c r="A782" s="1"/>
      <c r="B782" s="2"/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2"/>
      <c r="S782" s="1"/>
      <c r="T782" s="1"/>
    </row>
    <row r="783" spans="1:20" x14ac:dyDescent="0.25">
      <c r="A783" s="1"/>
      <c r="B783" s="2"/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2"/>
      <c r="S783" s="1"/>
      <c r="T783" s="1"/>
    </row>
    <row r="784" spans="1:20" x14ac:dyDescent="0.25">
      <c r="A784" s="1"/>
      <c r="B784" s="2"/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2"/>
      <c r="S784" s="1"/>
      <c r="T784" s="1"/>
    </row>
    <row r="785" spans="1:20" x14ac:dyDescent="0.25">
      <c r="A785" s="1"/>
      <c r="B785" s="2"/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2"/>
      <c r="S785" s="1"/>
      <c r="T785" s="1"/>
    </row>
    <row r="786" spans="1:20" x14ac:dyDescent="0.25">
      <c r="A786" s="1"/>
      <c r="B786" s="2"/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2"/>
      <c r="S786" s="1"/>
      <c r="T786" s="1"/>
    </row>
    <row r="787" spans="1:20" x14ac:dyDescent="0.25">
      <c r="A787" s="1"/>
      <c r="B787" s="2"/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2"/>
      <c r="S787" s="1"/>
      <c r="T787" s="1"/>
    </row>
    <row r="788" spans="1:20" x14ac:dyDescent="0.25">
      <c r="A788" s="1"/>
      <c r="B788" s="2"/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2"/>
      <c r="S788" s="1"/>
      <c r="T788" s="1"/>
    </row>
    <row r="789" spans="1:20" x14ac:dyDescent="0.25">
      <c r="A789" s="1"/>
      <c r="B789" s="2"/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2"/>
      <c r="S789" s="1"/>
      <c r="T789" s="1"/>
    </row>
    <row r="790" spans="1:20" x14ac:dyDescent="0.25">
      <c r="A790" s="1"/>
      <c r="B790" s="2"/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2"/>
      <c r="S790" s="1"/>
      <c r="T790" s="1"/>
    </row>
    <row r="791" spans="1:20" x14ac:dyDescent="0.25">
      <c r="A791" s="1"/>
      <c r="B791" s="2"/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2"/>
      <c r="S791" s="1"/>
      <c r="T791" s="1"/>
    </row>
    <row r="792" spans="1:20" x14ac:dyDescent="0.25">
      <c r="A792" s="1"/>
      <c r="B792" s="2"/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2"/>
      <c r="S792" s="1"/>
      <c r="T792" s="1"/>
    </row>
    <row r="793" spans="1:20" x14ac:dyDescent="0.25">
      <c r="A793" s="1"/>
      <c r="B793" s="2"/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2"/>
      <c r="S793" s="1"/>
      <c r="T793" s="1"/>
    </row>
    <row r="794" spans="1:20" x14ac:dyDescent="0.25">
      <c r="A794" s="1"/>
      <c r="B794" s="2"/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2"/>
      <c r="S794" s="1"/>
      <c r="T794" s="1"/>
    </row>
    <row r="795" spans="1:20" x14ac:dyDescent="0.25">
      <c r="A795" s="1"/>
      <c r="B795" s="2"/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2"/>
      <c r="S795" s="1"/>
      <c r="T795" s="1"/>
    </row>
    <row r="796" spans="1:20" x14ac:dyDescent="0.25">
      <c r="A796" s="1"/>
      <c r="B796" s="2"/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2"/>
      <c r="S796" s="1"/>
      <c r="T796" s="1"/>
    </row>
    <row r="797" spans="1:20" x14ac:dyDescent="0.25">
      <c r="A797" s="1"/>
      <c r="B797" s="2"/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2"/>
      <c r="S797" s="1"/>
      <c r="T797" s="1"/>
    </row>
    <row r="798" spans="1:20" x14ac:dyDescent="0.25">
      <c r="A798" s="1"/>
      <c r="B798" s="2"/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2"/>
      <c r="S798" s="1"/>
      <c r="T798" s="1"/>
    </row>
    <row r="799" spans="1:20" x14ac:dyDescent="0.25">
      <c r="A799" s="1"/>
      <c r="B799" s="2"/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2"/>
      <c r="S799" s="1"/>
      <c r="T799" s="1"/>
    </row>
    <row r="800" spans="1:20" x14ac:dyDescent="0.25">
      <c r="A800" s="1"/>
      <c r="B800" s="2"/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2"/>
      <c r="S800" s="1"/>
      <c r="T800" s="1"/>
    </row>
    <row r="801" spans="1:20" x14ac:dyDescent="0.25">
      <c r="A801" s="1"/>
      <c r="B801" s="2"/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2"/>
      <c r="S801" s="1"/>
      <c r="T801" s="1"/>
    </row>
    <row r="802" spans="1:20" x14ac:dyDescent="0.25">
      <c r="A802" s="1"/>
      <c r="B802" s="2"/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2"/>
      <c r="S802" s="1"/>
      <c r="T802" s="1"/>
    </row>
    <row r="803" spans="1:20" x14ac:dyDescent="0.25">
      <c r="A803" s="1"/>
      <c r="B803" s="2"/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2"/>
      <c r="S803" s="1"/>
      <c r="T803" s="1"/>
    </row>
    <row r="804" spans="1:20" x14ac:dyDescent="0.25">
      <c r="A804" s="1"/>
      <c r="B804" s="2"/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2"/>
      <c r="S804" s="1"/>
      <c r="T804" s="1"/>
    </row>
    <row r="805" spans="1:20" x14ac:dyDescent="0.25">
      <c r="A805" s="1"/>
      <c r="B805" s="2"/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2"/>
      <c r="S805" s="1"/>
      <c r="T805" s="1"/>
    </row>
    <row r="806" spans="1:20" x14ac:dyDescent="0.25">
      <c r="A806" s="1"/>
      <c r="B806" s="2"/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2"/>
      <c r="S806" s="1"/>
      <c r="T806" s="1"/>
    </row>
    <row r="807" spans="1:20" x14ac:dyDescent="0.25">
      <c r="A807" s="1"/>
      <c r="B807" s="2"/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2"/>
      <c r="S807" s="1"/>
      <c r="T807" s="1"/>
    </row>
    <row r="808" spans="1:20" x14ac:dyDescent="0.25">
      <c r="A808" s="1"/>
      <c r="B808" s="2"/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2"/>
      <c r="S808" s="1"/>
      <c r="T808" s="1"/>
    </row>
    <row r="809" spans="1:20" x14ac:dyDescent="0.25">
      <c r="A809" s="1"/>
      <c r="B809" s="2"/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2"/>
      <c r="S809" s="1"/>
      <c r="T809" s="1"/>
    </row>
    <row r="810" spans="1:20" x14ac:dyDescent="0.25">
      <c r="A810" s="1"/>
      <c r="B810" s="2"/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2"/>
      <c r="S810" s="1"/>
      <c r="T810" s="1"/>
    </row>
    <row r="811" spans="1:20" x14ac:dyDescent="0.25">
      <c r="A811" s="1"/>
      <c r="B811" s="2"/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2"/>
      <c r="S811" s="1"/>
      <c r="T811" s="1"/>
    </row>
    <row r="812" spans="1:20" x14ac:dyDescent="0.25">
      <c r="A812" s="1"/>
      <c r="B812" s="2"/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2"/>
      <c r="S812" s="1"/>
      <c r="T812" s="1"/>
    </row>
    <row r="813" spans="1:20" x14ac:dyDescent="0.25">
      <c r="A813" s="1"/>
      <c r="B813" s="2"/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2"/>
      <c r="S813" s="1"/>
      <c r="T813" s="1"/>
    </row>
    <row r="814" spans="1:20" x14ac:dyDescent="0.25">
      <c r="A814" s="1"/>
      <c r="B814" s="2"/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2"/>
      <c r="S814" s="1"/>
      <c r="T814" s="1"/>
    </row>
    <row r="815" spans="1:20" x14ac:dyDescent="0.25">
      <c r="A815" s="1"/>
      <c r="B815" s="2"/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2"/>
      <c r="S815" s="1"/>
      <c r="T815" s="1"/>
    </row>
    <row r="816" spans="1:20" x14ac:dyDescent="0.25">
      <c r="A816" s="1"/>
      <c r="B816" s="2"/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2"/>
      <c r="S816" s="1"/>
      <c r="T816" s="1"/>
    </row>
    <row r="817" spans="1:20" x14ac:dyDescent="0.25">
      <c r="A817" s="1"/>
      <c r="B817" s="2"/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2"/>
      <c r="S817" s="1"/>
      <c r="T817" s="1"/>
    </row>
    <row r="818" spans="1:20" x14ac:dyDescent="0.25">
      <c r="A818" s="1"/>
      <c r="B818" s="2"/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2"/>
      <c r="S818" s="1"/>
      <c r="T818" s="1"/>
    </row>
    <row r="819" spans="1:20" x14ac:dyDescent="0.25">
      <c r="A819" s="1"/>
      <c r="B819" s="2"/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2"/>
      <c r="S819" s="1"/>
      <c r="T819" s="1"/>
    </row>
    <row r="820" spans="1:20" x14ac:dyDescent="0.25">
      <c r="A820" s="1"/>
      <c r="B820" s="2"/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2"/>
      <c r="S820" s="1"/>
      <c r="T820" s="1"/>
    </row>
    <row r="821" spans="1:20" x14ac:dyDescent="0.25">
      <c r="A821" s="1"/>
      <c r="B821" s="2"/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2"/>
      <c r="S821" s="1"/>
      <c r="T821" s="1"/>
    </row>
    <row r="822" spans="1:20" x14ac:dyDescent="0.25">
      <c r="A822" s="1"/>
      <c r="B822" s="2"/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2"/>
      <c r="S822" s="1"/>
      <c r="T822" s="1"/>
    </row>
    <row r="823" spans="1:20" x14ac:dyDescent="0.25">
      <c r="A823" s="1"/>
      <c r="B823" s="2"/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2"/>
      <c r="S823" s="1"/>
      <c r="T823" s="1"/>
    </row>
    <row r="824" spans="1:20" x14ac:dyDescent="0.25">
      <c r="A824" s="1"/>
      <c r="B824" s="2"/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2"/>
      <c r="S824" s="1"/>
      <c r="T824" s="1"/>
    </row>
    <row r="825" spans="1:20" x14ac:dyDescent="0.25">
      <c r="A825" s="1"/>
      <c r="B825" s="2"/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2"/>
      <c r="S825" s="1"/>
      <c r="T825" s="1"/>
    </row>
    <row r="826" spans="1:20" x14ac:dyDescent="0.25">
      <c r="A826" s="1"/>
      <c r="B826" s="2"/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2"/>
      <c r="S826" s="1"/>
      <c r="T826" s="1"/>
    </row>
    <row r="827" spans="1:20" x14ac:dyDescent="0.25">
      <c r="A827" s="1"/>
      <c r="B827" s="2"/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2"/>
      <c r="S827" s="1"/>
      <c r="T827" s="1"/>
    </row>
    <row r="828" spans="1:20" x14ac:dyDescent="0.25">
      <c r="A828" s="1"/>
      <c r="B828" s="2"/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2"/>
      <c r="S828" s="1"/>
      <c r="T828" s="1"/>
    </row>
    <row r="829" spans="1:20" x14ac:dyDescent="0.25">
      <c r="A829" s="1"/>
      <c r="B829" s="2"/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2"/>
      <c r="S829" s="1"/>
      <c r="T829" s="1"/>
    </row>
    <row r="830" spans="1:20" x14ac:dyDescent="0.25">
      <c r="A830" s="1"/>
      <c r="B830" s="2"/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2"/>
      <c r="S830" s="1"/>
      <c r="T830" s="1"/>
    </row>
    <row r="831" spans="1:20" x14ac:dyDescent="0.25">
      <c r="A831" s="1"/>
      <c r="B831" s="2"/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2"/>
      <c r="S831" s="1"/>
      <c r="T831" s="1"/>
    </row>
    <row r="832" spans="1:20" x14ac:dyDescent="0.25">
      <c r="A832" s="1"/>
      <c r="B832" s="2"/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2"/>
      <c r="S832" s="1"/>
      <c r="T832" s="1"/>
    </row>
    <row r="833" spans="1:20" x14ac:dyDescent="0.25">
      <c r="A833" s="1"/>
      <c r="B833" s="2"/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2"/>
      <c r="S833" s="1"/>
      <c r="T833" s="1"/>
    </row>
    <row r="834" spans="1:20" x14ac:dyDescent="0.25">
      <c r="A834" s="1"/>
      <c r="B834" s="2"/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2"/>
      <c r="S834" s="1"/>
      <c r="T834" s="1"/>
    </row>
    <row r="835" spans="1:20" x14ac:dyDescent="0.25">
      <c r="A835" s="1"/>
      <c r="B835" s="2"/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2"/>
      <c r="S835" s="1"/>
      <c r="T835" s="1"/>
    </row>
    <row r="836" spans="1:20" x14ac:dyDescent="0.25">
      <c r="A836" s="1"/>
      <c r="B836" s="2"/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2"/>
      <c r="S836" s="1"/>
      <c r="T836" s="1"/>
    </row>
    <row r="837" spans="1:20" x14ac:dyDescent="0.25">
      <c r="A837" s="1"/>
      <c r="B837" s="2"/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2"/>
      <c r="S837" s="1"/>
      <c r="T837" s="1"/>
    </row>
    <row r="838" spans="1:20" x14ac:dyDescent="0.25">
      <c r="A838" s="1"/>
      <c r="B838" s="2"/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2"/>
      <c r="S838" s="1"/>
      <c r="T838" s="1"/>
    </row>
    <row r="839" spans="1:20" x14ac:dyDescent="0.25">
      <c r="A839" s="1"/>
      <c r="B839" s="2"/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2"/>
      <c r="S839" s="1"/>
      <c r="T839" s="1"/>
    </row>
    <row r="840" spans="1:20" x14ac:dyDescent="0.25">
      <c r="A840" s="1"/>
      <c r="B840" s="2"/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2"/>
      <c r="S840" s="1"/>
      <c r="T840" s="1"/>
    </row>
    <row r="841" spans="1:20" x14ac:dyDescent="0.25">
      <c r="A841" s="1"/>
      <c r="B841" s="2"/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2"/>
      <c r="S841" s="1"/>
      <c r="T841" s="1"/>
    </row>
    <row r="842" spans="1:20" x14ac:dyDescent="0.25">
      <c r="A842" s="1"/>
      <c r="B842" s="2"/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2"/>
      <c r="S842" s="1"/>
      <c r="T842" s="1"/>
    </row>
    <row r="843" spans="1:20" x14ac:dyDescent="0.25">
      <c r="A843" s="1"/>
      <c r="B843" s="2"/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2"/>
      <c r="S843" s="1"/>
      <c r="T843" s="1"/>
    </row>
    <row r="844" spans="1:20" x14ac:dyDescent="0.25">
      <c r="A844" s="1"/>
      <c r="B844" s="2"/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2"/>
      <c r="S844" s="1"/>
      <c r="T844" s="1"/>
    </row>
    <row r="845" spans="1:20" x14ac:dyDescent="0.25">
      <c r="A845" s="1"/>
      <c r="B845" s="2"/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2"/>
      <c r="S845" s="1"/>
      <c r="T845" s="1"/>
    </row>
    <row r="846" spans="1:20" x14ac:dyDescent="0.25">
      <c r="A846" s="1"/>
      <c r="B846" s="2"/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2"/>
      <c r="S846" s="1"/>
      <c r="T846" s="1"/>
    </row>
    <row r="847" spans="1:20" x14ac:dyDescent="0.25">
      <c r="A847" s="1"/>
      <c r="B847" s="2"/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2"/>
      <c r="S847" s="1"/>
      <c r="T847" s="1"/>
    </row>
    <row r="848" spans="1:20" x14ac:dyDescent="0.25">
      <c r="A848" s="1"/>
      <c r="B848" s="2"/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2"/>
      <c r="S848" s="1"/>
      <c r="T848" s="1"/>
    </row>
    <row r="849" spans="1:20" x14ac:dyDescent="0.25">
      <c r="A849" s="1"/>
      <c r="B849" s="2"/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2"/>
      <c r="S849" s="1"/>
      <c r="T849" s="1"/>
    </row>
    <row r="850" spans="1:20" x14ac:dyDescent="0.25">
      <c r="A850" s="1"/>
      <c r="B850" s="2"/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2"/>
      <c r="S850" s="1"/>
      <c r="T850" s="1"/>
    </row>
    <row r="851" spans="1:20" x14ac:dyDescent="0.25">
      <c r="A851" s="1"/>
      <c r="B851" s="2"/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2"/>
      <c r="S851" s="1"/>
      <c r="T851" s="1"/>
    </row>
    <row r="852" spans="1:20" x14ac:dyDescent="0.25">
      <c r="A852" s="1"/>
      <c r="B852" s="2"/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2"/>
      <c r="S852" s="1"/>
      <c r="T852" s="1"/>
    </row>
    <row r="853" spans="1:20" x14ac:dyDescent="0.25">
      <c r="A853" s="1"/>
      <c r="B853" s="2"/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2"/>
      <c r="S853" s="1"/>
      <c r="T853" s="1"/>
    </row>
    <row r="854" spans="1:20" x14ac:dyDescent="0.25">
      <c r="A854" s="1"/>
      <c r="B854" s="2"/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2"/>
      <c r="S854" s="1"/>
      <c r="T854" s="1"/>
    </row>
    <row r="855" spans="1:20" x14ac:dyDescent="0.25">
      <c r="A855" s="1"/>
      <c r="B855" s="2"/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2"/>
      <c r="S855" s="1"/>
      <c r="T855" s="1"/>
    </row>
    <row r="856" spans="1:20" x14ac:dyDescent="0.25">
      <c r="A856" s="1"/>
      <c r="B856" s="2"/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2"/>
      <c r="S856" s="1"/>
      <c r="T856" s="1"/>
    </row>
    <row r="857" spans="1:20" x14ac:dyDescent="0.25">
      <c r="A857" s="1"/>
      <c r="B857" s="2"/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2"/>
      <c r="S857" s="1"/>
      <c r="T857" s="1"/>
    </row>
    <row r="858" spans="1:20" x14ac:dyDescent="0.25">
      <c r="A858" s="1"/>
      <c r="B858" s="2"/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2"/>
      <c r="S858" s="1"/>
      <c r="T858" s="1"/>
    </row>
    <row r="859" spans="1:20" x14ac:dyDescent="0.25">
      <c r="A859" s="1"/>
      <c r="B859" s="2"/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2"/>
      <c r="S859" s="1"/>
      <c r="T859" s="1"/>
    </row>
    <row r="860" spans="1:20" x14ac:dyDescent="0.25">
      <c r="A860" s="1"/>
      <c r="B860" s="2"/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2"/>
      <c r="S860" s="1"/>
      <c r="T860" s="1"/>
    </row>
    <row r="861" spans="1:20" x14ac:dyDescent="0.25">
      <c r="A861" s="1"/>
      <c r="B861" s="2"/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2"/>
      <c r="S861" s="1"/>
      <c r="T861" s="1"/>
    </row>
    <row r="862" spans="1:20" x14ac:dyDescent="0.25">
      <c r="A862" s="1"/>
      <c r="B862" s="2"/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2"/>
      <c r="S862" s="1"/>
      <c r="T862" s="1"/>
    </row>
    <row r="863" spans="1:20" x14ac:dyDescent="0.25">
      <c r="A863" s="1"/>
      <c r="B863" s="2"/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2"/>
      <c r="S863" s="1"/>
      <c r="T863" s="1"/>
    </row>
    <row r="864" spans="1:20" x14ac:dyDescent="0.25">
      <c r="A864" s="1"/>
      <c r="B864" s="2"/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2"/>
      <c r="S864" s="1"/>
      <c r="T864" s="1"/>
    </row>
    <row r="865" spans="1:20" x14ac:dyDescent="0.25">
      <c r="A865" s="1"/>
      <c r="B865" s="2"/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2"/>
      <c r="S865" s="1"/>
      <c r="T865" s="1"/>
    </row>
    <row r="866" spans="1:20" x14ac:dyDescent="0.25">
      <c r="A866" s="1"/>
      <c r="B866" s="2"/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2"/>
      <c r="S866" s="1"/>
      <c r="T866" s="1"/>
    </row>
    <row r="867" spans="1:20" x14ac:dyDescent="0.25">
      <c r="A867" s="1"/>
      <c r="B867" s="2"/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2"/>
      <c r="S867" s="1"/>
      <c r="T867" s="1"/>
    </row>
    <row r="868" spans="1:20" x14ac:dyDescent="0.25">
      <c r="A868" s="1"/>
      <c r="B868" s="2"/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2"/>
      <c r="S868" s="1"/>
      <c r="T868" s="1"/>
    </row>
    <row r="869" spans="1:20" x14ac:dyDescent="0.25">
      <c r="A869" s="1"/>
      <c r="B869" s="2"/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2"/>
      <c r="S869" s="1"/>
      <c r="T869" s="1"/>
    </row>
    <row r="870" spans="1:20" x14ac:dyDescent="0.25">
      <c r="A870" s="1"/>
      <c r="B870" s="2"/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2"/>
      <c r="S870" s="1"/>
      <c r="T870" s="1"/>
    </row>
    <row r="871" spans="1:20" x14ac:dyDescent="0.25">
      <c r="A871" s="1"/>
      <c r="B871" s="2"/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2"/>
      <c r="S871" s="1"/>
      <c r="T871" s="1"/>
    </row>
    <row r="872" spans="1:20" x14ac:dyDescent="0.25">
      <c r="A872" s="1"/>
      <c r="B872" s="2"/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2"/>
      <c r="S872" s="1"/>
      <c r="T872" s="1"/>
    </row>
    <row r="873" spans="1:20" x14ac:dyDescent="0.25">
      <c r="A873" s="1"/>
      <c r="B873" s="2"/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2"/>
      <c r="S873" s="1"/>
      <c r="T873" s="1"/>
    </row>
    <row r="874" spans="1:20" x14ac:dyDescent="0.25">
      <c r="A874" s="1"/>
      <c r="B874" s="2"/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2"/>
      <c r="S874" s="1"/>
      <c r="T874" s="1"/>
    </row>
    <row r="875" spans="1:20" x14ac:dyDescent="0.25">
      <c r="A875" s="1"/>
      <c r="B875" s="2"/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2"/>
      <c r="S875" s="1"/>
      <c r="T875" s="1"/>
    </row>
    <row r="876" spans="1:20" x14ac:dyDescent="0.25">
      <c r="A876" s="1"/>
      <c r="B876" s="2"/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2"/>
      <c r="S876" s="1"/>
      <c r="T876" s="1"/>
    </row>
    <row r="877" spans="1:20" x14ac:dyDescent="0.25">
      <c r="A877" s="1"/>
      <c r="B877" s="2"/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2"/>
      <c r="S877" s="1"/>
      <c r="T877" s="1"/>
    </row>
    <row r="878" spans="1:20" x14ac:dyDescent="0.25">
      <c r="A878" s="1"/>
      <c r="B878" s="2"/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2"/>
      <c r="S878" s="1"/>
      <c r="T878" s="1"/>
    </row>
    <row r="879" spans="1:20" x14ac:dyDescent="0.25">
      <c r="A879" s="1"/>
      <c r="B879" s="2"/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2"/>
      <c r="S879" s="1"/>
      <c r="T879" s="1"/>
    </row>
    <row r="880" spans="1:20" x14ac:dyDescent="0.25">
      <c r="A880" s="1"/>
      <c r="B880" s="2"/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2"/>
      <c r="S880" s="1"/>
      <c r="T880" s="1"/>
    </row>
    <row r="881" spans="1:20" x14ac:dyDescent="0.25">
      <c r="A881" s="1"/>
      <c r="B881" s="2"/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2"/>
      <c r="S881" s="1"/>
      <c r="T881" s="1"/>
    </row>
    <row r="882" spans="1:20" x14ac:dyDescent="0.25">
      <c r="A882" s="1"/>
      <c r="B882" s="2"/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2"/>
      <c r="S882" s="1"/>
      <c r="T882" s="1"/>
    </row>
    <row r="883" spans="1:20" x14ac:dyDescent="0.25">
      <c r="A883" s="1"/>
      <c r="B883" s="2"/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2"/>
      <c r="S883" s="1"/>
      <c r="T883" s="1"/>
    </row>
    <row r="884" spans="1:20" x14ac:dyDescent="0.25">
      <c r="A884" s="1"/>
      <c r="B884" s="2"/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2"/>
      <c r="S884" s="1"/>
      <c r="T884" s="1"/>
    </row>
    <row r="885" spans="1:20" x14ac:dyDescent="0.25">
      <c r="A885" s="1"/>
      <c r="B885" s="2"/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2"/>
      <c r="S885" s="1"/>
      <c r="T885" s="1"/>
    </row>
    <row r="886" spans="1:20" x14ac:dyDescent="0.25">
      <c r="A886" s="1"/>
      <c r="B886" s="2"/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2"/>
      <c r="S886" s="1"/>
      <c r="T886" s="1"/>
    </row>
    <row r="887" spans="1:20" x14ac:dyDescent="0.25">
      <c r="A887" s="1"/>
      <c r="B887" s="2"/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2"/>
      <c r="S887" s="1"/>
      <c r="T887" s="1"/>
    </row>
    <row r="888" spans="1:20" x14ac:dyDescent="0.25">
      <c r="A888" s="1"/>
      <c r="B888" s="2"/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2"/>
      <c r="S888" s="1"/>
      <c r="T888" s="1"/>
    </row>
    <row r="889" spans="1:20" x14ac:dyDescent="0.25">
      <c r="A889" s="1"/>
      <c r="B889" s="2"/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2"/>
      <c r="S889" s="1"/>
      <c r="T889" s="1"/>
    </row>
    <row r="890" spans="1:20" x14ac:dyDescent="0.25">
      <c r="A890" s="1"/>
      <c r="B890" s="2"/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2"/>
      <c r="S890" s="1"/>
      <c r="T890" s="1"/>
    </row>
    <row r="891" spans="1:20" x14ac:dyDescent="0.25">
      <c r="A891" s="1"/>
      <c r="B891" s="2"/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2"/>
      <c r="S891" s="1"/>
      <c r="T891" s="1"/>
    </row>
    <row r="892" spans="1:20" x14ac:dyDescent="0.25">
      <c r="A892" s="1"/>
      <c r="B892" s="2"/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2"/>
      <c r="S892" s="1"/>
      <c r="T892" s="1"/>
    </row>
    <row r="893" spans="1:20" x14ac:dyDescent="0.25">
      <c r="A893" s="1"/>
      <c r="B893" s="2"/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2"/>
      <c r="S893" s="1"/>
      <c r="T893" s="1"/>
    </row>
    <row r="894" spans="1:20" x14ac:dyDescent="0.25">
      <c r="A894" s="1"/>
      <c r="B894" s="2"/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2"/>
      <c r="S894" s="1"/>
      <c r="T894" s="1"/>
    </row>
    <row r="895" spans="1:20" x14ac:dyDescent="0.25">
      <c r="A895" s="1"/>
      <c r="B895" s="2"/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2"/>
      <c r="S895" s="1"/>
      <c r="T895" s="1"/>
    </row>
    <row r="896" spans="1:20" x14ac:dyDescent="0.25">
      <c r="A896" s="1"/>
      <c r="B896" s="2"/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2"/>
      <c r="S896" s="1"/>
      <c r="T896" s="1"/>
    </row>
    <row r="897" spans="1:20" x14ac:dyDescent="0.25">
      <c r="A897" s="1"/>
      <c r="B897" s="2"/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2"/>
      <c r="S897" s="1"/>
      <c r="T897" s="1"/>
    </row>
    <row r="898" spans="1:20" x14ac:dyDescent="0.25">
      <c r="A898" s="1"/>
      <c r="B898" s="2"/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2"/>
      <c r="S898" s="1"/>
      <c r="T898" s="1"/>
    </row>
    <row r="899" spans="1:20" x14ac:dyDescent="0.25">
      <c r="A899" s="1"/>
      <c r="B899" s="2"/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2"/>
      <c r="S899" s="1"/>
      <c r="T899" s="1"/>
    </row>
    <row r="900" spans="1:20" x14ac:dyDescent="0.25">
      <c r="A900" s="1"/>
      <c r="B900" s="2"/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2"/>
      <c r="S900" s="1"/>
      <c r="T900" s="1"/>
    </row>
    <row r="901" spans="1:20" x14ac:dyDescent="0.25">
      <c r="A901" s="1"/>
      <c r="B901" s="2"/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2"/>
      <c r="S901" s="1"/>
      <c r="T901" s="1"/>
    </row>
    <row r="902" spans="1:20" x14ac:dyDescent="0.25">
      <c r="A902" s="1"/>
      <c r="B902" s="2"/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2"/>
      <c r="S902" s="1"/>
      <c r="T902" s="1"/>
    </row>
    <row r="903" spans="1:20" x14ac:dyDescent="0.25">
      <c r="A903" s="1"/>
      <c r="B903" s="2"/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2"/>
      <c r="S903" s="1"/>
      <c r="T903" s="1"/>
    </row>
    <row r="904" spans="1:20" x14ac:dyDescent="0.25">
      <c r="A904" s="1"/>
      <c r="B904" s="2"/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2"/>
      <c r="S904" s="1"/>
      <c r="T904" s="1"/>
    </row>
    <row r="905" spans="1:20" x14ac:dyDescent="0.25">
      <c r="A905" s="1"/>
      <c r="B905" s="2"/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2"/>
      <c r="S905" s="1"/>
      <c r="T905" s="1"/>
    </row>
    <row r="906" spans="1:20" x14ac:dyDescent="0.25">
      <c r="A906" s="1"/>
      <c r="B906" s="2"/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2"/>
      <c r="S906" s="1"/>
      <c r="T906" s="1"/>
    </row>
    <row r="907" spans="1:20" x14ac:dyDescent="0.25">
      <c r="A907" s="1"/>
      <c r="B907" s="2"/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2"/>
      <c r="S907" s="1"/>
      <c r="T907" s="1"/>
    </row>
    <row r="908" spans="1:20" x14ac:dyDescent="0.25">
      <c r="A908" s="1"/>
      <c r="B908" s="2"/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2"/>
      <c r="S908" s="1"/>
      <c r="T908" s="1"/>
    </row>
    <row r="909" spans="1:20" x14ac:dyDescent="0.25">
      <c r="A909" s="1"/>
      <c r="B909" s="2"/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2"/>
      <c r="S909" s="1"/>
      <c r="T909" s="1"/>
    </row>
    <row r="910" spans="1:20" x14ac:dyDescent="0.25">
      <c r="A910" s="1"/>
      <c r="B910" s="2"/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2"/>
      <c r="S910" s="1"/>
      <c r="T910" s="1"/>
    </row>
    <row r="911" spans="1:20" x14ac:dyDescent="0.25">
      <c r="A911" s="1"/>
      <c r="B911" s="2"/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2"/>
      <c r="S911" s="1"/>
      <c r="T911" s="1"/>
    </row>
    <row r="912" spans="1:20" x14ac:dyDescent="0.25">
      <c r="A912" s="1"/>
      <c r="B912" s="2"/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2"/>
      <c r="S912" s="1"/>
      <c r="T912" s="1"/>
    </row>
    <row r="913" spans="1:20" x14ac:dyDescent="0.25">
      <c r="A913" s="1"/>
      <c r="B913" s="2"/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2"/>
      <c r="S913" s="1"/>
      <c r="T913" s="1"/>
    </row>
    <row r="914" spans="1:20" x14ac:dyDescent="0.25">
      <c r="A914" s="1"/>
      <c r="B914" s="2"/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2"/>
      <c r="S914" s="1"/>
      <c r="T914" s="1"/>
    </row>
    <row r="915" spans="1:20" x14ac:dyDescent="0.25">
      <c r="A915" s="1"/>
      <c r="B915" s="2"/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2"/>
      <c r="S915" s="1"/>
      <c r="T915" s="1"/>
    </row>
    <row r="916" spans="1:20" x14ac:dyDescent="0.25">
      <c r="A916" s="1"/>
      <c r="B916" s="2"/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2"/>
      <c r="S916" s="1"/>
      <c r="T916" s="1"/>
    </row>
    <row r="917" spans="1:20" x14ac:dyDescent="0.25">
      <c r="A917" s="1"/>
      <c r="B917" s="2"/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2"/>
      <c r="S917" s="1"/>
      <c r="T917" s="1"/>
    </row>
    <row r="918" spans="1:20" x14ac:dyDescent="0.25">
      <c r="A918" s="1"/>
      <c r="B918" s="2"/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2"/>
      <c r="S918" s="1"/>
      <c r="T918" s="1"/>
    </row>
    <row r="919" spans="1:20" x14ac:dyDescent="0.25">
      <c r="A919" s="1"/>
      <c r="B919" s="2"/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2"/>
      <c r="S919" s="1"/>
      <c r="T919" s="1"/>
    </row>
    <row r="920" spans="1:20" x14ac:dyDescent="0.25">
      <c r="A920" s="1"/>
      <c r="B920" s="2"/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2"/>
      <c r="S920" s="1"/>
      <c r="T920" s="1"/>
    </row>
    <row r="921" spans="1:20" x14ac:dyDescent="0.25">
      <c r="A921" s="1"/>
      <c r="B921" s="2"/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2"/>
      <c r="S921" s="1"/>
      <c r="T921" s="1"/>
    </row>
    <row r="922" spans="1:20" x14ac:dyDescent="0.25">
      <c r="A922" s="1"/>
      <c r="B922" s="2"/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2"/>
      <c r="S922" s="1"/>
      <c r="T922" s="1"/>
    </row>
    <row r="923" spans="1:20" x14ac:dyDescent="0.25">
      <c r="A923" s="1"/>
      <c r="B923" s="2"/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2"/>
      <c r="S923" s="1"/>
      <c r="T923" s="1"/>
    </row>
    <row r="924" spans="1:20" x14ac:dyDescent="0.25">
      <c r="A924" s="1"/>
      <c r="B924" s="2"/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2"/>
      <c r="S924" s="1"/>
      <c r="T924" s="1"/>
    </row>
    <row r="925" spans="1:20" x14ac:dyDescent="0.25">
      <c r="A925" s="1"/>
      <c r="B925" s="2"/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2"/>
      <c r="S925" s="1"/>
      <c r="T925" s="1"/>
    </row>
    <row r="926" spans="1:20" x14ac:dyDescent="0.25">
      <c r="A926" s="1"/>
      <c r="B926" s="2"/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2"/>
      <c r="S926" s="1"/>
      <c r="T926" s="1"/>
    </row>
    <row r="927" spans="1:20" x14ac:dyDescent="0.25">
      <c r="A927" s="1"/>
      <c r="B927" s="2"/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2"/>
      <c r="S927" s="1"/>
      <c r="T927" s="1"/>
    </row>
    <row r="928" spans="1:20" x14ac:dyDescent="0.25">
      <c r="A928" s="1"/>
      <c r="B928" s="2"/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2"/>
      <c r="S928" s="1"/>
      <c r="T928" s="1"/>
    </row>
    <row r="929" spans="1:20" x14ac:dyDescent="0.25">
      <c r="A929" s="1"/>
      <c r="B929" s="2"/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2"/>
      <c r="S929" s="1"/>
      <c r="T929" s="1"/>
    </row>
    <row r="930" spans="1:20" x14ac:dyDescent="0.25">
      <c r="A930" s="1"/>
      <c r="B930" s="2"/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2"/>
      <c r="S930" s="1"/>
      <c r="T930" s="1"/>
    </row>
    <row r="931" spans="1:20" x14ac:dyDescent="0.25">
      <c r="A931" s="1"/>
      <c r="B931" s="2"/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2"/>
      <c r="S931" s="1"/>
      <c r="T931" s="1"/>
    </row>
    <row r="932" spans="1:20" x14ac:dyDescent="0.25">
      <c r="A932" s="1"/>
      <c r="B932" s="2"/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2"/>
      <c r="S932" s="1"/>
      <c r="T932" s="1"/>
    </row>
    <row r="933" spans="1:20" x14ac:dyDescent="0.25">
      <c r="A933" s="1"/>
      <c r="B933" s="2"/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2"/>
      <c r="S933" s="1"/>
      <c r="T933" s="1"/>
    </row>
    <row r="934" spans="1:20" x14ac:dyDescent="0.25">
      <c r="A934" s="1"/>
      <c r="B934" s="2"/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2"/>
      <c r="S934" s="1"/>
      <c r="T934" s="1"/>
    </row>
    <row r="935" spans="1:20" x14ac:dyDescent="0.25">
      <c r="A935" s="1"/>
      <c r="B935" s="2"/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2"/>
      <c r="S935" s="1"/>
      <c r="T935" s="1"/>
    </row>
    <row r="936" spans="1:20" x14ac:dyDescent="0.25">
      <c r="A936" s="1"/>
      <c r="B936" s="2"/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2"/>
      <c r="S936" s="1"/>
      <c r="T936" s="1"/>
    </row>
    <row r="937" spans="1:20" x14ac:dyDescent="0.25">
      <c r="A937" s="1"/>
      <c r="B937" s="2"/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2"/>
      <c r="S937" s="1"/>
      <c r="T937" s="1"/>
    </row>
    <row r="938" spans="1:20" x14ac:dyDescent="0.25">
      <c r="A938" s="1"/>
      <c r="B938" s="2"/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2"/>
      <c r="S938" s="1"/>
      <c r="T938" s="1"/>
    </row>
    <row r="939" spans="1:20" x14ac:dyDescent="0.25">
      <c r="A939" s="1"/>
      <c r="B939" s="2"/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2"/>
      <c r="S939" s="1"/>
      <c r="T939" s="1"/>
    </row>
    <row r="940" spans="1:20" x14ac:dyDescent="0.25">
      <c r="A940" s="1"/>
      <c r="B940" s="2"/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2"/>
      <c r="S940" s="1"/>
      <c r="T940" s="1"/>
    </row>
    <row r="941" spans="1:20" x14ac:dyDescent="0.25">
      <c r="A941" s="1"/>
      <c r="B941" s="2"/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2"/>
      <c r="S941" s="1"/>
      <c r="T941" s="1"/>
    </row>
    <row r="942" spans="1:20" x14ac:dyDescent="0.25">
      <c r="A942" s="1"/>
      <c r="B942" s="2"/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2"/>
      <c r="S942" s="1"/>
      <c r="T942" s="1"/>
    </row>
    <row r="943" spans="1:20" x14ac:dyDescent="0.25">
      <c r="A943" s="1"/>
      <c r="B943" s="2"/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2"/>
      <c r="S943" s="1"/>
      <c r="T943" s="1"/>
    </row>
    <row r="944" spans="1:20" x14ac:dyDescent="0.25">
      <c r="A944" s="1"/>
      <c r="B944" s="2"/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2"/>
      <c r="S944" s="1"/>
      <c r="T944" s="1"/>
    </row>
    <row r="945" spans="1:20" x14ac:dyDescent="0.25">
      <c r="A945" s="1"/>
      <c r="B945" s="2"/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2"/>
      <c r="S945" s="1"/>
      <c r="T945" s="1"/>
    </row>
    <row r="946" spans="1:20" x14ac:dyDescent="0.25">
      <c r="A946" s="1"/>
      <c r="B946" s="2"/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2"/>
      <c r="S946" s="1"/>
      <c r="T946" s="1"/>
    </row>
    <row r="947" spans="1:20" x14ac:dyDescent="0.25">
      <c r="A947" s="1"/>
      <c r="B947" s="2"/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2"/>
      <c r="S947" s="1"/>
      <c r="T947" s="1"/>
    </row>
    <row r="948" spans="1:20" x14ac:dyDescent="0.25">
      <c r="A948" s="1"/>
      <c r="B948" s="2"/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2"/>
      <c r="S948" s="1"/>
      <c r="T948" s="1"/>
    </row>
    <row r="949" spans="1:20" x14ac:dyDescent="0.25">
      <c r="A949" s="1"/>
      <c r="B949" s="2"/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2"/>
      <c r="S949" s="1"/>
      <c r="T949" s="1"/>
    </row>
    <row r="950" spans="1:20" x14ac:dyDescent="0.25">
      <c r="A950" s="1"/>
      <c r="B950" s="2"/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2"/>
      <c r="S950" s="1"/>
      <c r="T950" s="1"/>
    </row>
    <row r="951" spans="1:20" x14ac:dyDescent="0.25">
      <c r="A951" s="1"/>
      <c r="B951" s="2"/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2"/>
      <c r="S951" s="1"/>
      <c r="T951" s="1"/>
    </row>
    <row r="952" spans="1:20" x14ac:dyDescent="0.25">
      <c r="A952" s="1"/>
      <c r="B952" s="2"/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2"/>
      <c r="S952" s="1"/>
      <c r="T952" s="1"/>
    </row>
    <row r="953" spans="1:20" x14ac:dyDescent="0.25">
      <c r="A953" s="1"/>
      <c r="B953" s="2"/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2"/>
      <c r="S953" s="1"/>
      <c r="T953" s="1"/>
    </row>
    <row r="954" spans="1:20" x14ac:dyDescent="0.25">
      <c r="A954" s="1"/>
      <c r="B954" s="2"/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2"/>
      <c r="S954" s="1"/>
      <c r="T954" s="1"/>
    </row>
    <row r="955" spans="1:20" x14ac:dyDescent="0.25">
      <c r="A955" s="1"/>
      <c r="B955" s="2"/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2"/>
      <c r="S955" s="1"/>
      <c r="T955" s="1"/>
    </row>
    <row r="956" spans="1:20" x14ac:dyDescent="0.25">
      <c r="A956" s="1"/>
      <c r="B956" s="2"/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2"/>
      <c r="S956" s="1"/>
      <c r="T956" s="1"/>
    </row>
    <row r="957" spans="1:20" x14ac:dyDescent="0.25">
      <c r="A957" s="1"/>
      <c r="B957" s="2"/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2"/>
      <c r="S957" s="1"/>
      <c r="T957" s="1"/>
    </row>
    <row r="958" spans="1:20" x14ac:dyDescent="0.25">
      <c r="A958" s="1"/>
      <c r="B958" s="2"/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2"/>
      <c r="S958" s="1"/>
      <c r="T958" s="1"/>
    </row>
    <row r="959" spans="1:20" x14ac:dyDescent="0.25">
      <c r="A959" s="1"/>
      <c r="B959" s="2"/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2"/>
      <c r="S959" s="1"/>
      <c r="T959" s="1"/>
    </row>
    <row r="960" spans="1:20" x14ac:dyDescent="0.25">
      <c r="A960" s="1"/>
      <c r="B960" s="2"/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2"/>
      <c r="S960" s="1"/>
      <c r="T960" s="1"/>
    </row>
    <row r="961" spans="1:20" x14ac:dyDescent="0.25">
      <c r="A961" s="1"/>
      <c r="B961" s="2"/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2"/>
      <c r="S961" s="1"/>
      <c r="T961" s="1"/>
    </row>
    <row r="962" spans="1:20" x14ac:dyDescent="0.25">
      <c r="A962" s="1"/>
      <c r="B962" s="2"/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2"/>
      <c r="S962" s="1"/>
      <c r="T962" s="1"/>
    </row>
    <row r="963" spans="1:20" x14ac:dyDescent="0.25">
      <c r="A963" s="1"/>
      <c r="B963" s="2"/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2"/>
      <c r="S963" s="1"/>
      <c r="T963" s="1"/>
    </row>
    <row r="964" spans="1:20" x14ac:dyDescent="0.25">
      <c r="A964" s="1"/>
      <c r="B964" s="2"/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2"/>
      <c r="S964" s="1"/>
      <c r="T964" s="1"/>
    </row>
    <row r="965" spans="1:20" x14ac:dyDescent="0.25">
      <c r="A965" s="1"/>
      <c r="B965" s="2"/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2"/>
      <c r="S965" s="1"/>
      <c r="T965" s="1"/>
    </row>
    <row r="966" spans="1:20" x14ac:dyDescent="0.25">
      <c r="A966" s="1"/>
      <c r="B966" s="2"/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2"/>
      <c r="S966" s="1"/>
      <c r="T966" s="1"/>
    </row>
    <row r="967" spans="1:20" x14ac:dyDescent="0.25">
      <c r="A967" s="1"/>
      <c r="B967" s="2"/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2"/>
      <c r="S967" s="1"/>
      <c r="T967" s="1"/>
    </row>
    <row r="968" spans="1:20" x14ac:dyDescent="0.25">
      <c r="A968" s="1"/>
      <c r="B968" s="2"/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2"/>
      <c r="S968" s="1"/>
      <c r="T968" s="1"/>
    </row>
    <row r="969" spans="1:20" x14ac:dyDescent="0.25">
      <c r="A969" s="1"/>
      <c r="B969" s="2"/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2"/>
      <c r="S969" s="1"/>
      <c r="T969" s="1"/>
    </row>
    <row r="970" spans="1:20" x14ac:dyDescent="0.25">
      <c r="A970" s="1"/>
      <c r="B970" s="2"/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2"/>
      <c r="S970" s="1"/>
      <c r="T970" s="1"/>
    </row>
    <row r="971" spans="1:20" x14ac:dyDescent="0.25">
      <c r="A971" s="1"/>
      <c r="B971" s="2"/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2"/>
      <c r="S971" s="1"/>
      <c r="T971" s="1"/>
    </row>
    <row r="972" spans="1:20" x14ac:dyDescent="0.25">
      <c r="A972" s="1"/>
      <c r="B972" s="2"/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2"/>
      <c r="S972" s="1"/>
      <c r="T972" s="1"/>
    </row>
    <row r="973" spans="1:20" x14ac:dyDescent="0.25">
      <c r="A973" s="1"/>
      <c r="B973" s="2"/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2"/>
      <c r="S973" s="1"/>
      <c r="T973" s="1"/>
    </row>
    <row r="974" spans="1:20" x14ac:dyDescent="0.25">
      <c r="A974" s="1"/>
      <c r="B974" s="2"/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2"/>
      <c r="S974" s="1"/>
      <c r="T974" s="1"/>
    </row>
    <row r="975" spans="1:20" x14ac:dyDescent="0.25">
      <c r="A975" s="1"/>
      <c r="B975" s="2"/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2"/>
      <c r="S975" s="1"/>
      <c r="T975" s="1"/>
    </row>
    <row r="976" spans="1:20" x14ac:dyDescent="0.25">
      <c r="A976" s="1"/>
      <c r="B976" s="2"/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2"/>
      <c r="S976" s="1"/>
      <c r="T976" s="1"/>
    </row>
    <row r="977" spans="1:20" x14ac:dyDescent="0.25">
      <c r="A977" s="1"/>
      <c r="B977" s="2"/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2"/>
      <c r="S977" s="1"/>
      <c r="T977" s="1"/>
    </row>
    <row r="978" spans="1:20" x14ac:dyDescent="0.25">
      <c r="A978" s="1"/>
      <c r="B978" s="2"/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2"/>
      <c r="S978" s="1"/>
      <c r="T978" s="1"/>
    </row>
    <row r="979" spans="1:20" x14ac:dyDescent="0.25">
      <c r="A979" s="1"/>
      <c r="B979" s="2"/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2"/>
      <c r="S979" s="1"/>
      <c r="T979" s="1"/>
    </row>
    <row r="980" spans="1:20" x14ac:dyDescent="0.25">
      <c r="A980" s="1"/>
      <c r="B980" s="2"/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2"/>
      <c r="S980" s="1"/>
      <c r="T980" s="1"/>
    </row>
    <row r="981" spans="1:20" x14ac:dyDescent="0.25">
      <c r="A981" s="1"/>
      <c r="B981" s="2"/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2"/>
      <c r="S981" s="1"/>
      <c r="T981" s="1"/>
    </row>
    <row r="982" spans="1:20" x14ac:dyDescent="0.25">
      <c r="A982" s="1"/>
      <c r="B982" s="2"/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2"/>
      <c r="S982" s="1"/>
      <c r="T982" s="1"/>
    </row>
    <row r="983" spans="1:20" x14ac:dyDescent="0.25">
      <c r="A983" s="1"/>
      <c r="B983" s="2"/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2"/>
      <c r="S983" s="1"/>
      <c r="T983" s="1"/>
    </row>
    <row r="984" spans="1:20" x14ac:dyDescent="0.25">
      <c r="A984" s="1"/>
      <c r="B984" s="2"/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2"/>
      <c r="S984" s="1"/>
      <c r="T984" s="1"/>
    </row>
    <row r="985" spans="1:20" x14ac:dyDescent="0.25">
      <c r="A985" s="1"/>
      <c r="B985" s="2"/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2"/>
      <c r="S985" s="1"/>
      <c r="T985" s="1"/>
    </row>
    <row r="986" spans="1:20" x14ac:dyDescent="0.25">
      <c r="A986" s="1"/>
      <c r="B986" s="2"/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2"/>
      <c r="S986" s="1"/>
      <c r="T986" s="1"/>
    </row>
    <row r="987" spans="1:20" x14ac:dyDescent="0.25">
      <c r="A987" s="1"/>
      <c r="B987" s="2"/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2"/>
      <c r="S987" s="1"/>
      <c r="T987" s="1"/>
    </row>
    <row r="988" spans="1:20" x14ac:dyDescent="0.25">
      <c r="A988" s="1"/>
      <c r="B988" s="2"/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2"/>
      <c r="S988" s="1"/>
      <c r="T988" s="1"/>
    </row>
    <row r="989" spans="1:20" x14ac:dyDescent="0.25">
      <c r="A989" s="1"/>
      <c r="B989" s="2"/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2"/>
      <c r="S989" s="1"/>
      <c r="T989" s="1"/>
    </row>
    <row r="990" spans="1:20" x14ac:dyDescent="0.25">
      <c r="A990" s="1"/>
      <c r="B990" s="2"/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2"/>
      <c r="S990" s="1"/>
      <c r="T990" s="1"/>
    </row>
    <row r="991" spans="1:20" x14ac:dyDescent="0.25">
      <c r="A991" s="1"/>
      <c r="B991" s="2"/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2"/>
      <c r="S991" s="1"/>
      <c r="T991" s="1"/>
    </row>
    <row r="992" spans="1:20" x14ac:dyDescent="0.25">
      <c r="A992" s="1"/>
      <c r="B992" s="2"/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2"/>
      <c r="S992" s="1"/>
      <c r="T992" s="1"/>
    </row>
    <row r="993" spans="1:20" x14ac:dyDescent="0.25">
      <c r="A993" s="1"/>
      <c r="B993" s="2"/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2"/>
      <c r="S993" s="1"/>
      <c r="T993" s="1"/>
    </row>
    <row r="994" spans="1:20" x14ac:dyDescent="0.25">
      <c r="A994" s="1"/>
      <c r="B994" s="2"/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2"/>
      <c r="S994" s="1"/>
      <c r="T994" s="1"/>
    </row>
    <row r="995" spans="1:20" x14ac:dyDescent="0.25">
      <c r="A995" s="1"/>
      <c r="B995" s="2"/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2"/>
      <c r="S995" s="1"/>
      <c r="T995" s="1"/>
    </row>
    <row r="996" spans="1:20" x14ac:dyDescent="0.25">
      <c r="A996" s="1"/>
      <c r="B996" s="2"/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2"/>
      <c r="S996" s="1"/>
      <c r="T996" s="1"/>
    </row>
    <row r="997" spans="1:20" x14ac:dyDescent="0.25">
      <c r="A997" s="1"/>
      <c r="B997" s="2"/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2"/>
      <c r="S997" s="1"/>
      <c r="T997" s="1"/>
    </row>
    <row r="998" spans="1:20" x14ac:dyDescent="0.25">
      <c r="A998" s="1"/>
      <c r="B998" s="2"/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2"/>
      <c r="S998" s="1"/>
      <c r="T998" s="1"/>
    </row>
    <row r="999" spans="1:20" x14ac:dyDescent="0.25">
      <c r="A999" s="1"/>
      <c r="B999" s="2"/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2"/>
      <c r="S999" s="1"/>
      <c r="T999" s="1"/>
    </row>
    <row r="1000" spans="1:20" x14ac:dyDescent="0.25">
      <c r="A1000" s="1"/>
      <c r="B1000" s="2"/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2"/>
      <c r="S1000" s="1"/>
      <c r="T1000" s="1"/>
    </row>
    <row r="1001" spans="1:20" x14ac:dyDescent="0.25">
      <c r="A1001" s="1"/>
      <c r="B1001" s="2"/>
      <c r="C1001" s="2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2"/>
      <c r="S1001" s="1"/>
      <c r="T1001" s="1"/>
    </row>
    <row r="1002" spans="1:20" x14ac:dyDescent="0.25">
      <c r="A1002" s="1"/>
      <c r="B1002" s="2"/>
      <c r="C1002" s="2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2"/>
      <c r="S1002" s="1"/>
      <c r="T1002" s="1"/>
    </row>
    <row r="1003" spans="1:20" x14ac:dyDescent="0.25">
      <c r="A1003" s="1"/>
      <c r="B1003" s="2"/>
      <c r="C1003" s="2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2"/>
      <c r="S1003" s="1"/>
      <c r="T1003" s="1"/>
    </row>
    <row r="1004" spans="1:20" x14ac:dyDescent="0.25">
      <c r="A1004" s="1"/>
      <c r="B1004" s="2"/>
      <c r="C1004" s="2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2"/>
      <c r="S1004" s="1"/>
      <c r="T1004" s="1"/>
    </row>
    <row r="1005" spans="1:20" x14ac:dyDescent="0.25">
      <c r="A1005" s="1"/>
      <c r="B1005" s="2"/>
      <c r="C1005" s="2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2"/>
      <c r="S1005" s="1"/>
      <c r="T1005" s="1"/>
    </row>
    <row r="1006" spans="1:20" x14ac:dyDescent="0.25">
      <c r="A1006" s="1"/>
      <c r="B1006" s="2"/>
      <c r="C1006" s="2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2"/>
      <c r="S1006" s="1"/>
      <c r="T1006" s="1"/>
    </row>
    <row r="1007" spans="1:20" x14ac:dyDescent="0.25">
      <c r="A1007" s="1"/>
      <c r="B1007" s="2"/>
      <c r="C1007" s="2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2"/>
      <c r="S1007" s="1"/>
      <c r="T1007" s="1"/>
    </row>
    <row r="1008" spans="1:20" x14ac:dyDescent="0.25">
      <c r="A1008" s="1"/>
      <c r="B1008" s="2"/>
      <c r="C1008" s="2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2"/>
      <c r="S1008" s="1"/>
      <c r="T1008" s="1"/>
    </row>
    <row r="1009" spans="1:20" x14ac:dyDescent="0.25">
      <c r="A1009" s="1"/>
      <c r="B1009" s="2"/>
      <c r="C1009" s="2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2"/>
      <c r="S1009" s="1"/>
      <c r="T1009" s="1"/>
    </row>
    <row r="1010" spans="1:20" x14ac:dyDescent="0.25">
      <c r="A1010" s="1"/>
      <c r="B1010" s="2"/>
      <c r="C1010" s="2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2"/>
      <c r="S1010" s="1"/>
      <c r="T1010" s="1"/>
    </row>
    <row r="1011" spans="1:20" x14ac:dyDescent="0.25">
      <c r="A1011" s="1"/>
      <c r="B1011" s="2"/>
      <c r="C1011" s="2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2"/>
      <c r="S1011" s="1"/>
      <c r="T1011" s="1"/>
    </row>
    <row r="1012" spans="1:20" x14ac:dyDescent="0.25">
      <c r="A1012" s="1"/>
      <c r="B1012" s="2"/>
      <c r="C1012" s="2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2"/>
      <c r="S1012" s="1"/>
      <c r="T1012" s="1"/>
    </row>
    <row r="1013" spans="1:20" x14ac:dyDescent="0.25">
      <c r="A1013" s="1"/>
      <c r="B1013" s="2"/>
      <c r="C1013" s="2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2"/>
      <c r="S1013" s="1"/>
      <c r="T1013" s="1"/>
    </row>
    <row r="1014" spans="1:20" x14ac:dyDescent="0.25">
      <c r="A1014" s="1"/>
      <c r="B1014" s="2"/>
      <c r="C1014" s="2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2"/>
      <c r="S1014" s="1"/>
      <c r="T1014" s="1"/>
    </row>
    <row r="1015" spans="1:20" x14ac:dyDescent="0.25">
      <c r="A1015" s="1"/>
      <c r="B1015" s="2"/>
      <c r="C1015" s="2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2"/>
      <c r="S1015" s="1"/>
      <c r="T1015" s="1"/>
    </row>
    <row r="1016" spans="1:20" x14ac:dyDescent="0.25">
      <c r="A1016" s="1"/>
      <c r="B1016" s="2"/>
      <c r="C1016" s="2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2"/>
      <c r="S1016" s="1"/>
      <c r="T1016" s="1"/>
    </row>
    <row r="1017" spans="1:20" x14ac:dyDescent="0.25">
      <c r="A1017" s="1"/>
      <c r="B1017" s="2"/>
      <c r="C1017" s="2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2"/>
      <c r="S1017" s="1"/>
      <c r="T1017" s="1"/>
    </row>
    <row r="1018" spans="1:20" x14ac:dyDescent="0.25">
      <c r="A1018" s="1"/>
      <c r="B1018" s="2"/>
      <c r="C1018" s="2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2"/>
      <c r="S1018" s="1"/>
      <c r="T1018" s="1"/>
    </row>
    <row r="1019" spans="1:20" x14ac:dyDescent="0.25">
      <c r="A1019" s="1"/>
      <c r="B1019" s="2"/>
      <c r="C1019" s="2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2"/>
      <c r="S1019" s="1"/>
      <c r="T1019" s="1"/>
    </row>
    <row r="1020" spans="1:20" x14ac:dyDescent="0.25">
      <c r="A1020" s="1"/>
      <c r="B1020" s="2"/>
      <c r="C1020" s="2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2"/>
      <c r="S1020" s="1"/>
      <c r="T1020" s="1"/>
    </row>
    <row r="1021" spans="1:20" x14ac:dyDescent="0.25">
      <c r="A1021" s="1"/>
      <c r="B1021" s="2"/>
      <c r="C1021" s="2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2"/>
      <c r="S1021" s="1"/>
      <c r="T1021" s="1"/>
    </row>
    <row r="1022" spans="1:20" x14ac:dyDescent="0.25">
      <c r="A1022" s="1"/>
      <c r="B1022" s="2"/>
      <c r="C1022" s="2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2"/>
      <c r="S1022" s="1"/>
      <c r="T1022" s="1"/>
    </row>
    <row r="1023" spans="1:20" x14ac:dyDescent="0.25">
      <c r="A1023" s="1"/>
      <c r="B1023" s="2"/>
      <c r="C1023" s="2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2"/>
      <c r="S1023" s="1"/>
      <c r="T1023" s="1"/>
    </row>
    <row r="1024" spans="1:20" x14ac:dyDescent="0.25">
      <c r="A1024" s="1"/>
      <c r="B1024" s="2"/>
      <c r="C1024" s="2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2"/>
      <c r="S1024" s="1"/>
      <c r="T1024" s="1"/>
    </row>
    <row r="1025" spans="1:20" x14ac:dyDescent="0.25">
      <c r="A1025" s="1"/>
      <c r="B1025" s="2"/>
      <c r="C1025" s="2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2"/>
      <c r="S1025" s="1"/>
      <c r="T1025" s="1"/>
    </row>
    <row r="1026" spans="1:20" x14ac:dyDescent="0.25">
      <c r="A1026" s="1"/>
      <c r="B1026" s="2"/>
      <c r="C1026" s="2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2"/>
      <c r="S1026" s="1"/>
      <c r="T1026" s="1"/>
    </row>
    <row r="1027" spans="1:20" x14ac:dyDescent="0.25">
      <c r="A1027" s="1"/>
      <c r="B1027" s="2"/>
      <c r="C1027" s="2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2"/>
      <c r="S1027" s="1"/>
      <c r="T1027" s="1"/>
    </row>
    <row r="1028" spans="1:20" x14ac:dyDescent="0.25">
      <c r="A1028" s="1"/>
      <c r="B1028" s="2"/>
      <c r="C1028" s="2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2"/>
      <c r="S1028" s="1"/>
      <c r="T1028" s="1"/>
    </row>
    <row r="1029" spans="1:20" x14ac:dyDescent="0.25">
      <c r="A1029" s="1"/>
      <c r="B1029" s="2"/>
      <c r="C1029" s="2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2"/>
      <c r="S1029" s="1"/>
      <c r="T1029" s="1"/>
    </row>
    <row r="1030" spans="1:20" x14ac:dyDescent="0.25">
      <c r="A1030" s="1"/>
      <c r="B1030" s="2"/>
      <c r="C1030" s="2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2"/>
      <c r="S1030" s="1"/>
      <c r="T1030" s="1"/>
    </row>
    <row r="1031" spans="1:20" x14ac:dyDescent="0.25">
      <c r="A1031" s="1"/>
      <c r="B1031" s="2"/>
      <c r="C1031" s="2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2"/>
      <c r="S1031" s="1"/>
      <c r="T1031" s="1"/>
    </row>
    <row r="1032" spans="1:20" x14ac:dyDescent="0.25">
      <c r="A1032" s="1"/>
      <c r="B1032" s="2"/>
      <c r="C1032" s="2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2"/>
      <c r="S1032" s="1"/>
      <c r="T1032" s="1"/>
    </row>
    <row r="1033" spans="1:20" x14ac:dyDescent="0.25">
      <c r="A1033" s="1"/>
      <c r="B1033" s="2"/>
      <c r="C1033" s="2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2"/>
      <c r="S1033" s="1"/>
      <c r="T1033" s="1"/>
    </row>
    <row r="1034" spans="1:20" x14ac:dyDescent="0.25">
      <c r="A1034" s="1"/>
      <c r="B1034" s="2"/>
      <c r="C1034" s="2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2"/>
      <c r="S1034" s="1"/>
      <c r="T1034" s="1"/>
    </row>
    <row r="1035" spans="1:20" x14ac:dyDescent="0.25">
      <c r="A1035" s="1"/>
      <c r="B1035" s="2"/>
      <c r="C1035" s="2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2"/>
      <c r="S1035" s="1"/>
      <c r="T1035" s="1"/>
    </row>
    <row r="1036" spans="1:20" x14ac:dyDescent="0.25">
      <c r="A1036" s="1"/>
      <c r="B1036" s="2"/>
      <c r="C1036" s="2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2"/>
      <c r="S1036" s="1"/>
      <c r="T1036" s="1"/>
    </row>
    <row r="1037" spans="1:20" x14ac:dyDescent="0.25">
      <c r="A1037" s="1"/>
      <c r="B1037" s="2"/>
      <c r="C1037" s="2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2"/>
      <c r="S1037" s="1"/>
      <c r="T1037" s="1"/>
    </row>
    <row r="1038" spans="1:20" x14ac:dyDescent="0.25">
      <c r="A1038" s="1"/>
      <c r="B1038" s="2"/>
      <c r="C1038" s="2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2"/>
      <c r="S1038" s="1"/>
      <c r="T1038" s="1"/>
    </row>
    <row r="1039" spans="1:20" x14ac:dyDescent="0.25">
      <c r="A1039" s="1"/>
      <c r="B1039" s="2"/>
      <c r="C1039" s="2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2"/>
      <c r="S1039" s="1"/>
      <c r="T1039" s="1"/>
    </row>
    <row r="1040" spans="1:20" x14ac:dyDescent="0.25">
      <c r="A1040" s="1"/>
      <c r="B1040" s="2"/>
      <c r="C1040" s="2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2"/>
      <c r="S1040" s="1"/>
      <c r="T1040" s="1"/>
    </row>
    <row r="1041" spans="1:20" x14ac:dyDescent="0.25">
      <c r="A1041" s="1"/>
      <c r="B1041" s="2"/>
      <c r="C1041" s="2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2"/>
      <c r="S1041" s="1"/>
      <c r="T1041" s="1"/>
    </row>
    <row r="1042" spans="1:20" x14ac:dyDescent="0.25">
      <c r="A1042" s="1"/>
      <c r="B1042" s="2"/>
      <c r="C1042" s="2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2"/>
      <c r="S1042" s="1"/>
      <c r="T1042" s="1"/>
    </row>
    <row r="1043" spans="1:20" x14ac:dyDescent="0.25">
      <c r="A1043" s="1"/>
      <c r="B1043" s="2"/>
      <c r="C1043" s="2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2"/>
      <c r="S1043" s="1"/>
      <c r="T1043" s="1"/>
    </row>
    <row r="1044" spans="1:20" x14ac:dyDescent="0.25">
      <c r="A1044" s="1"/>
      <c r="B1044" s="2"/>
      <c r="C1044" s="2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2"/>
      <c r="S1044" s="1"/>
      <c r="T1044" s="1"/>
    </row>
    <row r="1045" spans="1:20" x14ac:dyDescent="0.25">
      <c r="A1045" s="1"/>
      <c r="B1045" s="2"/>
      <c r="C1045" s="2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2"/>
      <c r="S1045" s="1"/>
      <c r="T1045" s="1"/>
    </row>
    <row r="1046" spans="1:20" x14ac:dyDescent="0.25">
      <c r="A1046" s="1"/>
      <c r="B1046" s="2"/>
      <c r="C1046" s="2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2"/>
      <c r="S1046" s="1"/>
      <c r="T1046" s="1"/>
    </row>
    <row r="1047" spans="1:20" x14ac:dyDescent="0.25">
      <c r="A1047" s="1"/>
      <c r="B1047" s="2"/>
      <c r="C1047" s="2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2"/>
      <c r="S1047" s="1"/>
      <c r="T1047" s="1"/>
    </row>
    <row r="1048" spans="1:20" x14ac:dyDescent="0.25">
      <c r="A1048" s="1"/>
      <c r="B1048" s="2"/>
      <c r="C1048" s="2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2"/>
      <c r="S1048" s="1"/>
      <c r="T1048" s="1"/>
    </row>
    <row r="1049" spans="1:20" x14ac:dyDescent="0.25">
      <c r="A1049" s="1"/>
      <c r="B1049" s="2"/>
      <c r="C1049" s="2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2"/>
      <c r="S1049" s="1"/>
      <c r="T1049" s="1"/>
    </row>
    <row r="1050" spans="1:20" x14ac:dyDescent="0.25">
      <c r="A1050" s="1"/>
      <c r="B1050" s="2"/>
      <c r="C1050" s="2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2"/>
      <c r="S1050" s="1"/>
      <c r="T1050" s="1"/>
    </row>
    <row r="1051" spans="1:20" x14ac:dyDescent="0.25">
      <c r="A1051" s="1"/>
      <c r="B1051" s="2"/>
      <c r="C1051" s="2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2"/>
      <c r="S1051" s="1"/>
      <c r="T1051" s="1"/>
    </row>
    <row r="1052" spans="1:20" x14ac:dyDescent="0.25">
      <c r="A1052" s="1"/>
      <c r="B1052" s="2"/>
      <c r="C1052" s="2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2"/>
      <c r="S1052" s="1"/>
      <c r="T1052" s="1"/>
    </row>
    <row r="1053" spans="1:20" x14ac:dyDescent="0.25">
      <c r="A1053" s="1"/>
      <c r="B1053" s="2"/>
      <c r="C1053" s="2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2"/>
      <c r="S1053" s="1"/>
      <c r="T1053" s="1"/>
    </row>
    <row r="1054" spans="1:20" x14ac:dyDescent="0.25">
      <c r="A1054" s="1"/>
      <c r="B1054" s="2"/>
      <c r="C1054" s="2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2"/>
      <c r="S1054" s="1"/>
      <c r="T1054" s="1"/>
    </row>
    <row r="1055" spans="1:20" x14ac:dyDescent="0.25">
      <c r="A1055" s="1"/>
      <c r="B1055" s="2"/>
      <c r="C1055" s="2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2"/>
      <c r="S1055" s="1"/>
      <c r="T1055" s="1"/>
    </row>
    <row r="1056" spans="1:20" x14ac:dyDescent="0.25">
      <c r="A1056" s="1"/>
      <c r="B1056" s="2"/>
      <c r="C1056" s="2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2"/>
      <c r="S1056" s="1"/>
      <c r="T1056" s="1"/>
    </row>
    <row r="1057" spans="1:20" x14ac:dyDescent="0.25">
      <c r="A1057" s="1"/>
      <c r="B1057" s="2"/>
      <c r="C1057" s="2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2"/>
      <c r="S1057" s="1"/>
      <c r="T1057" s="1"/>
    </row>
    <row r="1058" spans="1:20" x14ac:dyDescent="0.25">
      <c r="A1058" s="1"/>
      <c r="B1058" s="2"/>
      <c r="C1058" s="2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2"/>
      <c r="S1058" s="1"/>
      <c r="T1058" s="1"/>
    </row>
    <row r="1059" spans="1:20" x14ac:dyDescent="0.25">
      <c r="A1059" s="1"/>
      <c r="B1059" s="2"/>
      <c r="C1059" s="2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2"/>
      <c r="S1059" s="1"/>
      <c r="T1059" s="1"/>
    </row>
    <row r="1060" spans="1:20" x14ac:dyDescent="0.25">
      <c r="A1060" s="1"/>
      <c r="B1060" s="2"/>
      <c r="C1060" s="2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2"/>
      <c r="S1060" s="1"/>
      <c r="T1060" s="1"/>
    </row>
    <row r="1061" spans="1:20" x14ac:dyDescent="0.25">
      <c r="A1061" s="1"/>
      <c r="B1061" s="2"/>
      <c r="C1061" s="2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2"/>
      <c r="S1061" s="1"/>
      <c r="T1061" s="1"/>
    </row>
    <row r="1062" spans="1:20" x14ac:dyDescent="0.25">
      <c r="A1062" s="1"/>
      <c r="B1062" s="2"/>
      <c r="C1062" s="2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2"/>
      <c r="S1062" s="1"/>
      <c r="T1062" s="1"/>
    </row>
    <row r="1063" spans="1:20" x14ac:dyDescent="0.25">
      <c r="A1063" s="1"/>
      <c r="B1063" s="2"/>
      <c r="C1063" s="2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2"/>
      <c r="S1063" s="1"/>
      <c r="T1063" s="1"/>
    </row>
    <row r="1064" spans="1:20" x14ac:dyDescent="0.25">
      <c r="A1064" s="1"/>
      <c r="B1064" s="2"/>
      <c r="C1064" s="2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2"/>
      <c r="S1064" s="1"/>
      <c r="T1064" s="1"/>
    </row>
    <row r="1065" spans="1:20" x14ac:dyDescent="0.25">
      <c r="A1065" s="1"/>
      <c r="B1065" s="2"/>
      <c r="C1065" s="2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2"/>
      <c r="S1065" s="1"/>
      <c r="T1065" s="1"/>
    </row>
    <row r="1066" spans="1:20" x14ac:dyDescent="0.25">
      <c r="A1066" s="1"/>
      <c r="B1066" s="2"/>
      <c r="C1066" s="2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2"/>
      <c r="S1066" s="1"/>
      <c r="T1066" s="1"/>
    </row>
    <row r="1067" spans="1:20" x14ac:dyDescent="0.25">
      <c r="A1067" s="1"/>
      <c r="B1067" s="2"/>
      <c r="C1067" s="2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2"/>
      <c r="S1067" s="1"/>
      <c r="T1067" s="1"/>
    </row>
    <row r="1068" spans="1:20" x14ac:dyDescent="0.25">
      <c r="A1068" s="1"/>
      <c r="B1068" s="2"/>
      <c r="C1068" s="2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2"/>
      <c r="S1068" s="1"/>
      <c r="T1068" s="1"/>
    </row>
    <row r="1069" spans="1:20" x14ac:dyDescent="0.25">
      <c r="A1069" s="1"/>
      <c r="B1069" s="2"/>
      <c r="C1069" s="2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2"/>
      <c r="S1069" s="1"/>
      <c r="T1069" s="1"/>
    </row>
    <row r="1070" spans="1:20" x14ac:dyDescent="0.25">
      <c r="A1070" s="1"/>
      <c r="B1070" s="2"/>
      <c r="C1070" s="2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2"/>
      <c r="S1070" s="1"/>
      <c r="T1070" s="1"/>
    </row>
    <row r="1071" spans="1:20" x14ac:dyDescent="0.25">
      <c r="A1071" s="1"/>
      <c r="B1071" s="2"/>
      <c r="C1071" s="2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2"/>
      <c r="S1071" s="1"/>
      <c r="T1071" s="1"/>
    </row>
    <row r="1072" spans="1:20" x14ac:dyDescent="0.25">
      <c r="A1072" s="1"/>
      <c r="B1072" s="2"/>
      <c r="C1072" s="2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2"/>
      <c r="S1072" s="1"/>
      <c r="T1072" s="1"/>
    </row>
    <row r="1073" spans="1:20" x14ac:dyDescent="0.25">
      <c r="A1073" s="1"/>
      <c r="B1073" s="2"/>
      <c r="C1073" s="2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2"/>
      <c r="S1073" s="1"/>
      <c r="T1073" s="1"/>
    </row>
    <row r="1074" spans="1:20" x14ac:dyDescent="0.25">
      <c r="A1074" s="1"/>
      <c r="B1074" s="2"/>
      <c r="C1074" s="2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2"/>
      <c r="S1074" s="1"/>
      <c r="T1074" s="1"/>
    </row>
    <row r="1075" spans="1:20" x14ac:dyDescent="0.25">
      <c r="A1075" s="1"/>
      <c r="B1075" s="2"/>
      <c r="C1075" s="2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2"/>
      <c r="S1075" s="1"/>
      <c r="T1075" s="1"/>
    </row>
    <row r="1076" spans="1:20" x14ac:dyDescent="0.25">
      <c r="A1076" s="1"/>
      <c r="B1076" s="2"/>
      <c r="C1076" s="2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2"/>
      <c r="S1076" s="1"/>
      <c r="T1076" s="1"/>
    </row>
    <row r="1077" spans="1:20" x14ac:dyDescent="0.25">
      <c r="A1077" s="1"/>
      <c r="B1077" s="2"/>
      <c r="C1077" s="2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2"/>
      <c r="S1077" s="1"/>
      <c r="T1077" s="1"/>
    </row>
    <row r="1078" spans="1:20" x14ac:dyDescent="0.25">
      <c r="A1078" s="1"/>
      <c r="B1078" s="2"/>
      <c r="C1078" s="2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2"/>
      <c r="S1078" s="1"/>
      <c r="T1078" s="1"/>
    </row>
    <row r="1079" spans="1:20" x14ac:dyDescent="0.25">
      <c r="A1079" s="1"/>
      <c r="B1079" s="2"/>
      <c r="C1079" s="2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2"/>
      <c r="S1079" s="1"/>
      <c r="T1079" s="1"/>
    </row>
    <row r="1080" spans="1:20" x14ac:dyDescent="0.25">
      <c r="A1080" s="1"/>
      <c r="B1080" s="2"/>
      <c r="C1080" s="2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2"/>
      <c r="S1080" s="1"/>
      <c r="T1080" s="1"/>
    </row>
    <row r="1081" spans="1:20" x14ac:dyDescent="0.25">
      <c r="A1081" s="1"/>
      <c r="B1081" s="2"/>
      <c r="C1081" s="2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2"/>
      <c r="S1081" s="1"/>
      <c r="T1081" s="1"/>
    </row>
    <row r="1082" spans="1:20" x14ac:dyDescent="0.25">
      <c r="A1082" s="1"/>
      <c r="B1082" s="2"/>
      <c r="C1082" s="2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2"/>
      <c r="S1082" s="1"/>
      <c r="T1082" s="1"/>
    </row>
    <row r="1083" spans="1:20" x14ac:dyDescent="0.25">
      <c r="A1083" s="1"/>
      <c r="B1083" s="2"/>
      <c r="C1083" s="2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2"/>
      <c r="S1083" s="1"/>
      <c r="T1083" s="1"/>
    </row>
    <row r="1084" spans="1:20" x14ac:dyDescent="0.25">
      <c r="A1084" s="1"/>
      <c r="B1084" s="2"/>
      <c r="C1084" s="2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2"/>
      <c r="S1084" s="1"/>
      <c r="T1084" s="1"/>
    </row>
    <row r="1085" spans="1:20" x14ac:dyDescent="0.25">
      <c r="A1085" s="1"/>
      <c r="B1085" s="2"/>
      <c r="C1085" s="2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2"/>
      <c r="S1085" s="1"/>
      <c r="T1085" s="1"/>
    </row>
    <row r="1086" spans="1:20" x14ac:dyDescent="0.25">
      <c r="A1086" s="1"/>
      <c r="B1086" s="2"/>
      <c r="C1086" s="2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2"/>
      <c r="S1086" s="1"/>
      <c r="T1086" s="1"/>
    </row>
    <row r="1087" spans="1:20" x14ac:dyDescent="0.25">
      <c r="A1087" s="1"/>
      <c r="B1087" s="2"/>
      <c r="C1087" s="2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2"/>
      <c r="S1087" s="1"/>
      <c r="T1087" s="1"/>
    </row>
    <row r="1088" spans="1:20" x14ac:dyDescent="0.25">
      <c r="A1088" s="1"/>
      <c r="B1088" s="2"/>
      <c r="C1088" s="2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2"/>
      <c r="S1088" s="1"/>
      <c r="T1088" s="1"/>
    </row>
    <row r="1089" spans="1:20" x14ac:dyDescent="0.25">
      <c r="A1089" s="1"/>
      <c r="B1089" s="2"/>
      <c r="C1089" s="2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2"/>
      <c r="S1089" s="1"/>
      <c r="T1089" s="1"/>
    </row>
    <row r="1090" spans="1:20" x14ac:dyDescent="0.25">
      <c r="A1090" s="1"/>
      <c r="B1090" s="2"/>
      <c r="C1090" s="2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2"/>
      <c r="S1090" s="1"/>
      <c r="T1090" s="1"/>
    </row>
    <row r="1091" spans="1:20" x14ac:dyDescent="0.25">
      <c r="A1091" s="1"/>
      <c r="B1091" s="2"/>
      <c r="C1091" s="2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2"/>
      <c r="S1091" s="1"/>
      <c r="T1091" s="1"/>
    </row>
    <row r="1092" spans="1:20" x14ac:dyDescent="0.25">
      <c r="A1092" s="1"/>
      <c r="B1092" s="2"/>
      <c r="C1092" s="2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2"/>
      <c r="S1092" s="1"/>
      <c r="T1092" s="1"/>
    </row>
    <row r="1093" spans="1:20" x14ac:dyDescent="0.25">
      <c r="A1093" s="1"/>
      <c r="B1093" s="2"/>
      <c r="C1093" s="2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2"/>
      <c r="S1093" s="1"/>
      <c r="T1093" s="1"/>
    </row>
    <row r="1094" spans="1:20" x14ac:dyDescent="0.25">
      <c r="A1094" s="1"/>
      <c r="B1094" s="2"/>
      <c r="C1094" s="2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2"/>
      <c r="S1094" s="1"/>
      <c r="T1094" s="1"/>
    </row>
    <row r="1095" spans="1:20" x14ac:dyDescent="0.25">
      <c r="A1095" s="1"/>
      <c r="B1095" s="2"/>
      <c r="C1095" s="2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2"/>
      <c r="S1095" s="1"/>
      <c r="T1095" s="1"/>
    </row>
    <row r="1096" spans="1:20" x14ac:dyDescent="0.25">
      <c r="A1096" s="1"/>
      <c r="B1096" s="2"/>
      <c r="C1096" s="2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2"/>
      <c r="S1096" s="1"/>
      <c r="T1096" s="1"/>
    </row>
    <row r="1097" spans="1:20" x14ac:dyDescent="0.25">
      <c r="A1097" s="1"/>
      <c r="B1097" s="2"/>
      <c r="C1097" s="2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2"/>
      <c r="S1097" s="1"/>
      <c r="T1097" s="1"/>
    </row>
    <row r="1098" spans="1:20" x14ac:dyDescent="0.25">
      <c r="A1098" s="1"/>
      <c r="B1098" s="2"/>
      <c r="C1098" s="2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2"/>
      <c r="S1098" s="1"/>
      <c r="T1098" s="1"/>
    </row>
    <row r="1099" spans="1:20" x14ac:dyDescent="0.25">
      <c r="A1099" s="1"/>
      <c r="B1099" s="2"/>
      <c r="C1099" s="2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2"/>
      <c r="S1099" s="1"/>
      <c r="T1099" s="1"/>
    </row>
    <row r="1100" spans="1:20" x14ac:dyDescent="0.25">
      <c r="A1100" s="1"/>
      <c r="B1100" s="2"/>
      <c r="C1100" s="2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2"/>
      <c r="S1100" s="1"/>
      <c r="T1100" s="1"/>
    </row>
    <row r="1101" spans="1:20" x14ac:dyDescent="0.25">
      <c r="A1101" s="1"/>
      <c r="B1101" s="2"/>
      <c r="C1101" s="2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2"/>
      <c r="S1101" s="1"/>
      <c r="T1101" s="1"/>
    </row>
    <row r="1102" spans="1:20" x14ac:dyDescent="0.25">
      <c r="A1102" s="1"/>
      <c r="B1102" s="2"/>
      <c r="C1102" s="2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2"/>
      <c r="S1102" s="1"/>
      <c r="T1102" s="1"/>
    </row>
    <row r="1103" spans="1:20" x14ac:dyDescent="0.25">
      <c r="A1103" s="1"/>
      <c r="B1103" s="2"/>
      <c r="C1103" s="2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2"/>
      <c r="S1103" s="1"/>
      <c r="T1103" s="1"/>
    </row>
    <row r="1104" spans="1:20" x14ac:dyDescent="0.25">
      <c r="A1104" s="1"/>
      <c r="B1104" s="2"/>
      <c r="C1104" s="2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2"/>
      <c r="S1104" s="1"/>
      <c r="T1104" s="1"/>
    </row>
    <row r="1105" spans="1:20" x14ac:dyDescent="0.25">
      <c r="A1105" s="1"/>
      <c r="B1105" s="2"/>
      <c r="C1105" s="2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2"/>
      <c r="S1105" s="1"/>
      <c r="T1105" s="1"/>
    </row>
    <row r="1106" spans="1:20" x14ac:dyDescent="0.25">
      <c r="A1106" s="1"/>
      <c r="B1106" s="2"/>
      <c r="C1106" s="2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2"/>
      <c r="S1106" s="1"/>
      <c r="T1106" s="1"/>
    </row>
    <row r="1107" spans="1:20" x14ac:dyDescent="0.25">
      <c r="A1107" s="1"/>
      <c r="B1107" s="2"/>
      <c r="C1107" s="2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2"/>
      <c r="S1107" s="1"/>
      <c r="T1107" s="1"/>
    </row>
    <row r="1108" spans="1:20" x14ac:dyDescent="0.25">
      <c r="A1108" s="1"/>
      <c r="B1108" s="2"/>
      <c r="C1108" s="2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2"/>
      <c r="S1108" s="1"/>
      <c r="T1108" s="1"/>
    </row>
    <row r="1109" spans="1:20" x14ac:dyDescent="0.25">
      <c r="A1109" s="1"/>
      <c r="B1109" s="2"/>
      <c r="C1109" s="2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2"/>
      <c r="S1109" s="1"/>
      <c r="T1109" s="1"/>
    </row>
    <row r="1110" spans="1:20" x14ac:dyDescent="0.25">
      <c r="A1110" s="1"/>
      <c r="B1110" s="2"/>
      <c r="C1110" s="2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2"/>
      <c r="S1110" s="1"/>
      <c r="T1110" s="1"/>
    </row>
    <row r="1111" spans="1:20" x14ac:dyDescent="0.25">
      <c r="A1111" s="1"/>
      <c r="B1111" s="2"/>
      <c r="C1111" s="2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2"/>
      <c r="S1111" s="1"/>
      <c r="T1111" s="1"/>
    </row>
    <row r="1112" spans="1:20" x14ac:dyDescent="0.25">
      <c r="A1112" s="1"/>
      <c r="B1112" s="2"/>
      <c r="C1112" s="2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2"/>
      <c r="S1112" s="1"/>
      <c r="T1112" s="1"/>
    </row>
    <row r="1113" spans="1:20" x14ac:dyDescent="0.25">
      <c r="A1113" s="1"/>
      <c r="B1113" s="2"/>
      <c r="C1113" s="2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2"/>
      <c r="S1113" s="1"/>
      <c r="T1113" s="1"/>
    </row>
    <row r="1114" spans="1:20" x14ac:dyDescent="0.25">
      <c r="A1114" s="1"/>
      <c r="B1114" s="2"/>
      <c r="C1114" s="2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2"/>
      <c r="S1114" s="1"/>
      <c r="T1114" s="1"/>
    </row>
    <row r="1115" spans="1:20" x14ac:dyDescent="0.25">
      <c r="A1115" s="1"/>
      <c r="B1115" s="2"/>
      <c r="C1115" s="2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2"/>
      <c r="S1115" s="1"/>
      <c r="T1115" s="1"/>
    </row>
    <row r="1116" spans="1:20" x14ac:dyDescent="0.25">
      <c r="A1116" s="1"/>
      <c r="B1116" s="2"/>
      <c r="C1116" s="2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2"/>
      <c r="S1116" s="1"/>
      <c r="T1116" s="1"/>
    </row>
    <row r="1117" spans="1:20" x14ac:dyDescent="0.25">
      <c r="A1117" s="1"/>
      <c r="B1117" s="2"/>
      <c r="C1117" s="2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2"/>
      <c r="S1117" s="1"/>
      <c r="T1117" s="1"/>
    </row>
    <row r="1118" spans="1:20" x14ac:dyDescent="0.25">
      <c r="A1118" s="1"/>
      <c r="B1118" s="2"/>
      <c r="C1118" s="2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2"/>
      <c r="S1118" s="1"/>
      <c r="T1118" s="1"/>
    </row>
    <row r="1119" spans="1:20" x14ac:dyDescent="0.25">
      <c r="A1119" s="1"/>
      <c r="B1119" s="2"/>
      <c r="C1119" s="2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2"/>
      <c r="S1119" s="1"/>
      <c r="T1119" s="1"/>
    </row>
    <row r="1120" spans="1:20" x14ac:dyDescent="0.25">
      <c r="A1120" s="1"/>
      <c r="B1120" s="2"/>
      <c r="C1120" s="2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2"/>
      <c r="S1120" s="1"/>
      <c r="T1120" s="1"/>
    </row>
    <row r="1121" spans="1:20" x14ac:dyDescent="0.25">
      <c r="A1121" s="1"/>
      <c r="B1121" s="2"/>
      <c r="C1121" s="2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2"/>
      <c r="S1121" s="1"/>
      <c r="T1121" s="1"/>
    </row>
    <row r="1122" spans="1:20" x14ac:dyDescent="0.25">
      <c r="A1122" s="1"/>
      <c r="B1122" s="2"/>
      <c r="C1122" s="2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2"/>
      <c r="S1122" s="1"/>
      <c r="T1122" s="1"/>
    </row>
    <row r="1123" spans="1:20" x14ac:dyDescent="0.25">
      <c r="A1123" s="1"/>
      <c r="B1123" s="2"/>
      <c r="C1123" s="2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2"/>
      <c r="S1123" s="1"/>
      <c r="T1123" s="1"/>
    </row>
    <row r="1124" spans="1:20" x14ac:dyDescent="0.25">
      <c r="A1124" s="1"/>
      <c r="B1124" s="2"/>
      <c r="C1124" s="2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2"/>
      <c r="S1124" s="1"/>
      <c r="T1124" s="1"/>
    </row>
    <row r="1125" spans="1:20" x14ac:dyDescent="0.25">
      <c r="A1125" s="1"/>
      <c r="B1125" s="2"/>
      <c r="C1125" s="2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2"/>
      <c r="S1125" s="1"/>
      <c r="T1125" s="1"/>
    </row>
    <row r="1126" spans="1:20" x14ac:dyDescent="0.25">
      <c r="A1126" s="1"/>
      <c r="B1126" s="2"/>
      <c r="C1126" s="2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2"/>
      <c r="S1126" s="1"/>
      <c r="T1126" s="1"/>
    </row>
    <row r="1127" spans="1:20" x14ac:dyDescent="0.25">
      <c r="A1127" s="1"/>
      <c r="B1127" s="2"/>
      <c r="C1127" s="2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2"/>
      <c r="S1127" s="1"/>
      <c r="T1127" s="1"/>
    </row>
    <row r="1128" spans="1:20" x14ac:dyDescent="0.25">
      <c r="A1128" s="1"/>
      <c r="B1128" s="2"/>
      <c r="C1128" s="2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2"/>
      <c r="S1128" s="1"/>
      <c r="T1128" s="1"/>
    </row>
    <row r="1129" spans="1:20" x14ac:dyDescent="0.25">
      <c r="A1129" s="1"/>
      <c r="B1129" s="2"/>
      <c r="C1129" s="2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2"/>
      <c r="S1129" s="1"/>
      <c r="T1129" s="1"/>
    </row>
    <row r="1130" spans="1:20" x14ac:dyDescent="0.25">
      <c r="A1130" s="1"/>
      <c r="B1130" s="2"/>
      <c r="C1130" s="2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2"/>
      <c r="S1130" s="1"/>
      <c r="T1130" s="1"/>
    </row>
    <row r="1131" spans="1:20" x14ac:dyDescent="0.25">
      <c r="A1131" s="1"/>
      <c r="B1131" s="2"/>
      <c r="C1131" s="2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2"/>
      <c r="S1131" s="1"/>
      <c r="T1131" s="1"/>
    </row>
    <row r="1132" spans="1:20" x14ac:dyDescent="0.25">
      <c r="A1132" s="1"/>
      <c r="B1132" s="2"/>
      <c r="C1132" s="2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2"/>
      <c r="S1132" s="1"/>
      <c r="T1132" s="1"/>
    </row>
    <row r="1133" spans="1:20" x14ac:dyDescent="0.25">
      <c r="A1133" s="1"/>
      <c r="B1133" s="2"/>
      <c r="C1133" s="2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2"/>
      <c r="S1133" s="1"/>
      <c r="T1133" s="1"/>
    </row>
    <row r="1134" spans="1:20" x14ac:dyDescent="0.25">
      <c r="A1134" s="1"/>
      <c r="B1134" s="2"/>
      <c r="C1134" s="2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2"/>
      <c r="S1134" s="1"/>
      <c r="T1134" s="1"/>
    </row>
    <row r="1135" spans="1:20" x14ac:dyDescent="0.25">
      <c r="A1135" s="1"/>
      <c r="B1135" s="2"/>
      <c r="C1135" s="2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2"/>
      <c r="S1135" s="1"/>
      <c r="T1135" s="1"/>
    </row>
    <row r="1136" spans="1:20" x14ac:dyDescent="0.25">
      <c r="A1136" s="1"/>
      <c r="B1136" s="2"/>
      <c r="C1136" s="2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2"/>
      <c r="S1136" s="1"/>
      <c r="T1136" s="1"/>
    </row>
    <row r="1137" spans="1:20" x14ac:dyDescent="0.25">
      <c r="A1137" s="1"/>
      <c r="B1137" s="2"/>
      <c r="C1137" s="2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2"/>
      <c r="S1137" s="1"/>
      <c r="T1137" s="1"/>
    </row>
    <row r="1138" spans="1:20" x14ac:dyDescent="0.25">
      <c r="A1138" s="1"/>
      <c r="B1138" s="2"/>
      <c r="C1138" s="2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2"/>
      <c r="S1138" s="1"/>
      <c r="T1138" s="1"/>
    </row>
    <row r="1139" spans="1:20" x14ac:dyDescent="0.25">
      <c r="A1139" s="1"/>
      <c r="B1139" s="2"/>
      <c r="C1139" s="2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2"/>
      <c r="S1139" s="1"/>
      <c r="T1139" s="1"/>
    </row>
    <row r="1140" spans="1:20" x14ac:dyDescent="0.25">
      <c r="A1140" s="1"/>
      <c r="B1140" s="2"/>
      <c r="C1140" s="2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2"/>
      <c r="S1140" s="1"/>
      <c r="T1140" s="1"/>
    </row>
    <row r="1141" spans="1:20" x14ac:dyDescent="0.25">
      <c r="A1141" s="1"/>
      <c r="B1141" s="2"/>
      <c r="C1141" s="2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2"/>
      <c r="S1141" s="1"/>
      <c r="T1141" s="1"/>
    </row>
    <row r="1142" spans="1:20" x14ac:dyDescent="0.25">
      <c r="A1142" s="1"/>
      <c r="B1142" s="2"/>
      <c r="C1142" s="2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2"/>
      <c r="S1142" s="1"/>
      <c r="T1142" s="1"/>
    </row>
    <row r="1143" spans="1:20" x14ac:dyDescent="0.25">
      <c r="A1143" s="1"/>
      <c r="B1143" s="2"/>
      <c r="C1143" s="2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2"/>
      <c r="S1143" s="1"/>
      <c r="T1143" s="1"/>
    </row>
    <row r="1144" spans="1:20" x14ac:dyDescent="0.25">
      <c r="A1144" s="1"/>
      <c r="B1144" s="2"/>
      <c r="C1144" s="2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2"/>
      <c r="S1144" s="1"/>
      <c r="T1144" s="1"/>
    </row>
    <row r="1145" spans="1:20" x14ac:dyDescent="0.25">
      <c r="A1145" s="1"/>
      <c r="B1145" s="2"/>
      <c r="C1145" s="2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2"/>
      <c r="S1145" s="1"/>
      <c r="T1145" s="1"/>
    </row>
    <row r="1146" spans="1:20" x14ac:dyDescent="0.25">
      <c r="A1146" s="1"/>
      <c r="B1146" s="2"/>
      <c r="C1146" s="2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2"/>
      <c r="S1146" s="1"/>
      <c r="T1146" s="1"/>
    </row>
    <row r="1147" spans="1:20" x14ac:dyDescent="0.25">
      <c r="A1147" s="1"/>
      <c r="B1147" s="2"/>
      <c r="C1147" s="2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2"/>
      <c r="S1147" s="1"/>
      <c r="T1147" s="1"/>
    </row>
    <row r="1148" spans="1:20" x14ac:dyDescent="0.25">
      <c r="A1148" s="1"/>
      <c r="B1148" s="2"/>
      <c r="C1148" s="2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2"/>
      <c r="S1148" s="1"/>
      <c r="T1148" s="1"/>
    </row>
    <row r="1149" spans="1:20" x14ac:dyDescent="0.25">
      <c r="A1149" s="1"/>
      <c r="B1149" s="2"/>
      <c r="C1149" s="2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2"/>
      <c r="S1149" s="1"/>
      <c r="T1149" s="1"/>
    </row>
    <row r="1150" spans="1:20" x14ac:dyDescent="0.25">
      <c r="A1150" s="1"/>
      <c r="B1150" s="2"/>
      <c r="C1150" s="2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2"/>
      <c r="S1150" s="1"/>
      <c r="T1150" s="1"/>
    </row>
    <row r="1151" spans="1:20" x14ac:dyDescent="0.25">
      <c r="A1151" s="1"/>
      <c r="B1151" s="2"/>
      <c r="C1151" s="2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2"/>
      <c r="S1151" s="1"/>
      <c r="T1151" s="1"/>
    </row>
    <row r="1152" spans="1:20" x14ac:dyDescent="0.25">
      <c r="A1152" s="1"/>
      <c r="B1152" s="2"/>
      <c r="C1152" s="2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2"/>
      <c r="S1152" s="1"/>
      <c r="T1152" s="1"/>
    </row>
    <row r="1153" spans="1:20" x14ac:dyDescent="0.25">
      <c r="A1153" s="1"/>
      <c r="B1153" s="2"/>
      <c r="C1153" s="2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2"/>
      <c r="S1153" s="1"/>
      <c r="T1153" s="1"/>
    </row>
    <row r="1154" spans="1:20" x14ac:dyDescent="0.25">
      <c r="A1154" s="1"/>
      <c r="B1154" s="2"/>
      <c r="C1154" s="2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2"/>
      <c r="S1154" s="1"/>
      <c r="T1154" s="1"/>
    </row>
    <row r="1155" spans="1:20" x14ac:dyDescent="0.25">
      <c r="A1155" s="1"/>
      <c r="B1155" s="2"/>
      <c r="C1155" s="2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2"/>
      <c r="S1155" s="1"/>
      <c r="T1155" s="1"/>
    </row>
    <row r="1156" spans="1:20" x14ac:dyDescent="0.25">
      <c r="A1156" s="1"/>
      <c r="B1156" s="2"/>
      <c r="C1156" s="2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2"/>
      <c r="S1156" s="1"/>
      <c r="T1156" s="1"/>
    </row>
    <row r="1157" spans="1:20" x14ac:dyDescent="0.25">
      <c r="A1157" s="1"/>
      <c r="B1157" s="2"/>
      <c r="C1157" s="2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2"/>
      <c r="S1157" s="1"/>
      <c r="T1157" s="1"/>
    </row>
    <row r="1158" spans="1:20" x14ac:dyDescent="0.25">
      <c r="A1158" s="1"/>
      <c r="B1158" s="2"/>
      <c r="C1158" s="2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2"/>
      <c r="S1158" s="1"/>
      <c r="T1158" s="1"/>
    </row>
    <row r="1159" spans="1:20" x14ac:dyDescent="0.25">
      <c r="A1159" s="1"/>
      <c r="B1159" s="2"/>
      <c r="C1159" s="2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2"/>
      <c r="S1159" s="1"/>
      <c r="T1159" s="1"/>
    </row>
    <row r="1160" spans="1:20" x14ac:dyDescent="0.25">
      <c r="A1160" s="1"/>
      <c r="B1160" s="2"/>
      <c r="C1160" s="2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2"/>
      <c r="S1160" s="1"/>
      <c r="T1160" s="1"/>
    </row>
    <row r="1161" spans="1:20" x14ac:dyDescent="0.25">
      <c r="A1161" s="1"/>
      <c r="B1161" s="2"/>
      <c r="C1161" s="2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2"/>
      <c r="S1161" s="1"/>
      <c r="T1161" s="1"/>
    </row>
    <row r="1162" spans="1:20" x14ac:dyDescent="0.25">
      <c r="A1162" s="1"/>
      <c r="B1162" s="2"/>
      <c r="C1162" s="2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2"/>
      <c r="S1162" s="1"/>
      <c r="T1162" s="1"/>
    </row>
    <row r="1163" spans="1:20" x14ac:dyDescent="0.25">
      <c r="A1163" s="1"/>
      <c r="B1163" s="2"/>
      <c r="C1163" s="2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2"/>
      <c r="S1163" s="1"/>
      <c r="T1163" s="1"/>
    </row>
    <row r="1164" spans="1:20" x14ac:dyDescent="0.25">
      <c r="A1164" s="1"/>
      <c r="B1164" s="2"/>
      <c r="C1164" s="2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2"/>
      <c r="S1164" s="1"/>
      <c r="T1164" s="1"/>
    </row>
    <row r="1165" spans="1:20" x14ac:dyDescent="0.25">
      <c r="A1165" s="1"/>
      <c r="B1165" s="2"/>
      <c r="C1165" s="2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2"/>
      <c r="S1165" s="1"/>
      <c r="T1165" s="1"/>
    </row>
    <row r="1166" spans="1:20" x14ac:dyDescent="0.25">
      <c r="A1166" s="1"/>
      <c r="B1166" s="2"/>
      <c r="C1166" s="2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2"/>
      <c r="S1166" s="1"/>
      <c r="T1166" s="1"/>
    </row>
    <row r="1167" spans="1:20" x14ac:dyDescent="0.25">
      <c r="A1167" s="1"/>
      <c r="B1167" s="2"/>
      <c r="C1167" s="2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2"/>
      <c r="S1167" s="1"/>
      <c r="T1167" s="1"/>
    </row>
    <row r="1168" spans="1:20" x14ac:dyDescent="0.25">
      <c r="A1168" s="1"/>
      <c r="B1168" s="2"/>
      <c r="C1168" s="2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2"/>
      <c r="S1168" s="1"/>
      <c r="T1168" s="1"/>
    </row>
    <row r="1169" spans="1:20" x14ac:dyDescent="0.25">
      <c r="A1169" s="1"/>
      <c r="B1169" s="2"/>
      <c r="C1169" s="2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2"/>
      <c r="S1169" s="1"/>
      <c r="T1169" s="1"/>
    </row>
    <row r="1170" spans="1:20" x14ac:dyDescent="0.25">
      <c r="A1170" s="1"/>
      <c r="B1170" s="2"/>
      <c r="C1170" s="2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2"/>
      <c r="S1170" s="1"/>
      <c r="T1170" s="1"/>
    </row>
    <row r="1171" spans="1:20" x14ac:dyDescent="0.25">
      <c r="A1171" s="1"/>
      <c r="B1171" s="2"/>
      <c r="C1171" s="2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2"/>
      <c r="S1171" s="1"/>
      <c r="T1171" s="1"/>
    </row>
    <row r="1172" spans="1:20" x14ac:dyDescent="0.25">
      <c r="A1172" s="1"/>
      <c r="B1172" s="2"/>
      <c r="C1172" s="2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2"/>
      <c r="S1172" s="1"/>
      <c r="T1172" s="1"/>
    </row>
    <row r="1173" spans="1:20" x14ac:dyDescent="0.25">
      <c r="A1173" s="1"/>
      <c r="B1173" s="2"/>
      <c r="C1173" s="2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2"/>
      <c r="S1173" s="1"/>
      <c r="T1173" s="1"/>
    </row>
    <row r="1174" spans="1:20" x14ac:dyDescent="0.25">
      <c r="A1174" s="1"/>
      <c r="B1174" s="2"/>
      <c r="C1174" s="2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2"/>
      <c r="S1174" s="1"/>
      <c r="T1174" s="1"/>
    </row>
    <row r="1175" spans="1:20" x14ac:dyDescent="0.25">
      <c r="A1175" s="1"/>
      <c r="B1175" s="2"/>
      <c r="C1175" s="2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2"/>
      <c r="S1175" s="1"/>
      <c r="T1175" s="1"/>
    </row>
    <row r="1176" spans="1:20" x14ac:dyDescent="0.25">
      <c r="A1176" s="1"/>
      <c r="B1176" s="2"/>
      <c r="C1176" s="2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2"/>
      <c r="S1176" s="1"/>
      <c r="T1176" s="1"/>
    </row>
    <row r="1177" spans="1:20" x14ac:dyDescent="0.25">
      <c r="A1177" s="1"/>
      <c r="B1177" s="2"/>
      <c r="C1177" s="2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2"/>
      <c r="S1177" s="1"/>
      <c r="T1177" s="1"/>
    </row>
    <row r="1178" spans="1:20" x14ac:dyDescent="0.25">
      <c r="A1178" s="1"/>
      <c r="B1178" s="2"/>
      <c r="C1178" s="2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2"/>
      <c r="S1178" s="1"/>
      <c r="T1178" s="1"/>
    </row>
    <row r="1179" spans="1:20" x14ac:dyDescent="0.25">
      <c r="A1179" s="1"/>
      <c r="B1179" s="2"/>
      <c r="C1179" s="2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2"/>
      <c r="S1179" s="1"/>
      <c r="T1179" s="1"/>
    </row>
    <row r="1180" spans="1:20" x14ac:dyDescent="0.25">
      <c r="A1180" s="1"/>
      <c r="B1180" s="2"/>
      <c r="C1180" s="2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2"/>
      <c r="S1180" s="1"/>
      <c r="T1180" s="1"/>
    </row>
    <row r="1181" spans="1:20" x14ac:dyDescent="0.25">
      <c r="A1181" s="1"/>
      <c r="B1181" s="2"/>
      <c r="C1181" s="2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2"/>
      <c r="S1181" s="1"/>
      <c r="T1181" s="1"/>
    </row>
    <row r="1182" spans="1:20" x14ac:dyDescent="0.25">
      <c r="A1182" s="1"/>
      <c r="B1182" s="2"/>
      <c r="C1182" s="2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2"/>
      <c r="S1182" s="1"/>
      <c r="T1182" s="1"/>
    </row>
    <row r="1183" spans="1:20" x14ac:dyDescent="0.25">
      <c r="A1183" s="1"/>
      <c r="B1183" s="2"/>
      <c r="C1183" s="2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2"/>
      <c r="S1183" s="1"/>
      <c r="T1183" s="1"/>
    </row>
    <row r="1184" spans="1:20" x14ac:dyDescent="0.25">
      <c r="A1184" s="1"/>
      <c r="B1184" s="2"/>
      <c r="C1184" s="2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2"/>
      <c r="S1184" s="1"/>
      <c r="T1184" s="1"/>
    </row>
    <row r="1185" spans="1:20" x14ac:dyDescent="0.25">
      <c r="A1185" s="1"/>
      <c r="B1185" s="2"/>
      <c r="C1185" s="2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2"/>
      <c r="S1185" s="1"/>
      <c r="T1185" s="1"/>
    </row>
    <row r="1186" spans="1:20" x14ac:dyDescent="0.25">
      <c r="A1186" s="1"/>
      <c r="B1186" s="2"/>
      <c r="C1186" s="2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2"/>
      <c r="S1186" s="1"/>
      <c r="T1186" s="1"/>
    </row>
    <row r="1187" spans="1:20" x14ac:dyDescent="0.25">
      <c r="A1187" s="1"/>
      <c r="B1187" s="2"/>
      <c r="C1187" s="2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2"/>
      <c r="S1187" s="1"/>
      <c r="T1187" s="1"/>
    </row>
    <row r="1188" spans="1:20" x14ac:dyDescent="0.25">
      <c r="A1188" s="1"/>
      <c r="B1188" s="2"/>
      <c r="C1188" s="2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2"/>
      <c r="S1188" s="1"/>
      <c r="T1188" s="1"/>
    </row>
    <row r="1189" spans="1:20" x14ac:dyDescent="0.25">
      <c r="A1189" s="1"/>
      <c r="B1189" s="2"/>
      <c r="C1189" s="2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2"/>
      <c r="S1189" s="1"/>
      <c r="T1189" s="1"/>
    </row>
    <row r="1190" spans="1:20" x14ac:dyDescent="0.25">
      <c r="A1190" s="1"/>
      <c r="B1190" s="2"/>
      <c r="C1190" s="2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2"/>
      <c r="S1190" s="1"/>
      <c r="T1190" s="1"/>
    </row>
    <row r="1191" spans="1:20" x14ac:dyDescent="0.25">
      <c r="A1191" s="1"/>
      <c r="B1191" s="2"/>
      <c r="C1191" s="2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2"/>
      <c r="S1191" s="1"/>
      <c r="T1191" s="1"/>
    </row>
    <row r="1192" spans="1:20" x14ac:dyDescent="0.25">
      <c r="A1192" s="1"/>
      <c r="B1192" s="2"/>
      <c r="C1192" s="2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2"/>
      <c r="S1192" s="1"/>
      <c r="T1192" s="1"/>
    </row>
    <row r="1193" spans="1:20" x14ac:dyDescent="0.25">
      <c r="A1193" s="1"/>
      <c r="B1193" s="2"/>
      <c r="C1193" s="2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2"/>
      <c r="S1193" s="1"/>
      <c r="T1193" s="1"/>
    </row>
    <row r="1194" spans="1:20" x14ac:dyDescent="0.25">
      <c r="A1194" s="1"/>
      <c r="B1194" s="2"/>
      <c r="C1194" s="2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2"/>
      <c r="S1194" s="1"/>
      <c r="T1194" s="1"/>
    </row>
    <row r="1195" spans="1:20" x14ac:dyDescent="0.25">
      <c r="A1195" s="1"/>
      <c r="B1195" s="2"/>
      <c r="C1195" s="2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2"/>
      <c r="S1195" s="1"/>
      <c r="T1195" s="1"/>
    </row>
    <row r="1196" spans="1:20" x14ac:dyDescent="0.25">
      <c r="A1196" s="1"/>
      <c r="B1196" s="2"/>
      <c r="C1196" s="2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2"/>
      <c r="S1196" s="1"/>
      <c r="T1196" s="1"/>
    </row>
    <row r="1197" spans="1:20" x14ac:dyDescent="0.25">
      <c r="A1197" s="1"/>
      <c r="B1197" s="2"/>
      <c r="C1197" s="2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2"/>
      <c r="S1197" s="1"/>
      <c r="T1197" s="1"/>
    </row>
    <row r="1198" spans="1:20" x14ac:dyDescent="0.25">
      <c r="A1198" s="1"/>
      <c r="B1198" s="2"/>
      <c r="C1198" s="2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2"/>
      <c r="S1198" s="1"/>
      <c r="T1198" s="1"/>
    </row>
    <row r="1199" spans="1:20" x14ac:dyDescent="0.25">
      <c r="A1199" s="1"/>
      <c r="B1199" s="2"/>
      <c r="C1199" s="2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2"/>
      <c r="S1199" s="1"/>
      <c r="T1199" s="1"/>
    </row>
    <row r="1200" spans="1:20" x14ac:dyDescent="0.25">
      <c r="A1200" s="1"/>
      <c r="B1200" s="2"/>
      <c r="C1200" s="2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2"/>
      <c r="S1200" s="1"/>
      <c r="T1200" s="1"/>
    </row>
    <row r="1201" spans="1:20" x14ac:dyDescent="0.25">
      <c r="A1201" s="1"/>
      <c r="B1201" s="2"/>
      <c r="C1201" s="2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2"/>
      <c r="S1201" s="1"/>
      <c r="T1201" s="1"/>
    </row>
    <row r="1202" spans="1:20" x14ac:dyDescent="0.25">
      <c r="A1202" s="1"/>
      <c r="B1202" s="2"/>
      <c r="C1202" s="2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2"/>
      <c r="S1202" s="1"/>
      <c r="T1202" s="1"/>
    </row>
    <row r="1203" spans="1:20" x14ac:dyDescent="0.25">
      <c r="A1203" s="1"/>
      <c r="B1203" s="2"/>
      <c r="C1203" s="2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2"/>
      <c r="S1203" s="1"/>
      <c r="T1203" s="1"/>
    </row>
    <row r="1204" spans="1:20" x14ac:dyDescent="0.25">
      <c r="A1204" s="1"/>
      <c r="B1204" s="2"/>
      <c r="C1204" s="2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2"/>
      <c r="S1204" s="1"/>
      <c r="T1204" s="1"/>
    </row>
    <row r="1205" spans="1:20" x14ac:dyDescent="0.25">
      <c r="A1205" s="1"/>
      <c r="B1205" s="2"/>
      <c r="C1205" s="2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2"/>
      <c r="S1205" s="1"/>
      <c r="T1205" s="1"/>
    </row>
    <row r="1206" spans="1:20" x14ac:dyDescent="0.25">
      <c r="A1206" s="1"/>
      <c r="B1206" s="2"/>
      <c r="C1206" s="2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2"/>
      <c r="S1206" s="1"/>
      <c r="T1206" s="1"/>
    </row>
    <row r="1207" spans="1:20" x14ac:dyDescent="0.25">
      <c r="A1207" s="1"/>
      <c r="B1207" s="2"/>
      <c r="C1207" s="2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2"/>
      <c r="S1207" s="1"/>
      <c r="T1207" s="1"/>
    </row>
    <row r="1208" spans="1:20" x14ac:dyDescent="0.25">
      <c r="A1208" s="1"/>
      <c r="B1208" s="2"/>
      <c r="C1208" s="2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2"/>
      <c r="S1208" s="1"/>
      <c r="T1208" s="1"/>
    </row>
    <row r="1209" spans="1:20" x14ac:dyDescent="0.25">
      <c r="A1209" s="1"/>
      <c r="B1209" s="2"/>
      <c r="C1209" s="2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2"/>
      <c r="S1209" s="1"/>
      <c r="T1209" s="1"/>
    </row>
    <row r="1210" spans="1:20" x14ac:dyDescent="0.25">
      <c r="A1210" s="1"/>
      <c r="B1210" s="2"/>
      <c r="C1210" s="2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2"/>
      <c r="S1210" s="1"/>
      <c r="T1210" s="1"/>
    </row>
    <row r="1211" spans="1:20" x14ac:dyDescent="0.25">
      <c r="A1211" s="1"/>
      <c r="B1211" s="2"/>
      <c r="C1211" s="2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2"/>
      <c r="S1211" s="1"/>
      <c r="T1211" s="1"/>
    </row>
    <row r="1212" spans="1:20" x14ac:dyDescent="0.25">
      <c r="A1212" s="1"/>
      <c r="B1212" s="2"/>
      <c r="C1212" s="2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2"/>
      <c r="S1212" s="1"/>
      <c r="T1212" s="1"/>
    </row>
    <row r="1213" spans="1:20" x14ac:dyDescent="0.25">
      <c r="A1213" s="1"/>
      <c r="B1213" s="2"/>
      <c r="C1213" s="2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2"/>
      <c r="S1213" s="1"/>
      <c r="T1213" s="1"/>
    </row>
    <row r="1214" spans="1:20" x14ac:dyDescent="0.25">
      <c r="A1214" s="1"/>
      <c r="B1214" s="2"/>
      <c r="C1214" s="2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2"/>
      <c r="S1214" s="1"/>
      <c r="T1214" s="1"/>
    </row>
    <row r="1215" spans="1:20" x14ac:dyDescent="0.25">
      <c r="A1215" s="1"/>
      <c r="B1215" s="2"/>
      <c r="C1215" s="2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2"/>
      <c r="S1215" s="1"/>
      <c r="T1215" s="1"/>
    </row>
    <row r="1216" spans="1:20" x14ac:dyDescent="0.25">
      <c r="A1216" s="1"/>
      <c r="B1216" s="2"/>
      <c r="C1216" s="2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2"/>
      <c r="S1216" s="1"/>
      <c r="T1216" s="1"/>
    </row>
    <row r="1217" spans="1:20" x14ac:dyDescent="0.25">
      <c r="A1217" s="1"/>
      <c r="B1217" s="2"/>
      <c r="C1217" s="2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2"/>
      <c r="S1217" s="1"/>
      <c r="T1217" s="1"/>
    </row>
    <row r="1218" spans="1:20" x14ac:dyDescent="0.25">
      <c r="A1218" s="1"/>
      <c r="B1218" s="2"/>
      <c r="C1218" s="2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2"/>
      <c r="S1218" s="1"/>
      <c r="T1218" s="1"/>
    </row>
    <row r="1219" spans="1:20" x14ac:dyDescent="0.25">
      <c r="A1219" s="1"/>
      <c r="B1219" s="2"/>
      <c r="C1219" s="2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2"/>
      <c r="S1219" s="1"/>
      <c r="T1219" s="1"/>
    </row>
    <row r="1220" spans="1:20" x14ac:dyDescent="0.25">
      <c r="A1220" s="1"/>
      <c r="B1220" s="2"/>
      <c r="C1220" s="2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2"/>
      <c r="S1220" s="1"/>
      <c r="T1220" s="1"/>
    </row>
    <row r="1221" spans="1:20" x14ac:dyDescent="0.25">
      <c r="A1221" s="1"/>
      <c r="B1221" s="2"/>
      <c r="C1221" s="2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2"/>
      <c r="S1221" s="1"/>
      <c r="T1221" s="1"/>
    </row>
    <row r="1222" spans="1:20" x14ac:dyDescent="0.25">
      <c r="A1222" s="1"/>
      <c r="B1222" s="2"/>
      <c r="C1222" s="2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2"/>
      <c r="S1222" s="1"/>
      <c r="T1222" s="1"/>
    </row>
    <row r="1223" spans="1:20" x14ac:dyDescent="0.25">
      <c r="A1223" s="1"/>
      <c r="B1223" s="2"/>
      <c r="C1223" s="2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2"/>
      <c r="S1223" s="1"/>
      <c r="T1223" s="1"/>
    </row>
    <row r="1224" spans="1:20" x14ac:dyDescent="0.25">
      <c r="A1224" s="1"/>
      <c r="B1224" s="2"/>
      <c r="C1224" s="2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2"/>
      <c r="S1224" s="1"/>
      <c r="T1224" s="1"/>
    </row>
    <row r="1225" spans="1:20" x14ac:dyDescent="0.25">
      <c r="A1225" s="1"/>
      <c r="B1225" s="2"/>
      <c r="C1225" s="2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2"/>
      <c r="S1225" s="1"/>
      <c r="T1225" s="1"/>
    </row>
    <row r="1226" spans="1:20" x14ac:dyDescent="0.25">
      <c r="A1226" s="1"/>
      <c r="B1226" s="2"/>
      <c r="C1226" s="2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2"/>
      <c r="S1226" s="1"/>
      <c r="T1226" s="1"/>
    </row>
    <row r="1227" spans="1:20" x14ac:dyDescent="0.25">
      <c r="A1227" s="1"/>
      <c r="B1227" s="2"/>
      <c r="C1227" s="2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2"/>
      <c r="S1227" s="1"/>
      <c r="T1227" s="1"/>
    </row>
    <row r="1228" spans="1:20" x14ac:dyDescent="0.25">
      <c r="A1228" s="1"/>
      <c r="B1228" s="2"/>
      <c r="C1228" s="2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2"/>
      <c r="S1228" s="1"/>
      <c r="T1228" s="1"/>
    </row>
    <row r="1229" spans="1:20" x14ac:dyDescent="0.25">
      <c r="A1229" s="1"/>
      <c r="B1229" s="2"/>
      <c r="C1229" s="2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2"/>
      <c r="S1229" s="1"/>
      <c r="T1229" s="1"/>
    </row>
    <row r="1230" spans="1:20" x14ac:dyDescent="0.25">
      <c r="A1230" s="1"/>
      <c r="B1230" s="2"/>
      <c r="C1230" s="2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2"/>
      <c r="S1230" s="1"/>
      <c r="T1230" s="1"/>
    </row>
    <row r="1231" spans="1:20" x14ac:dyDescent="0.25">
      <c r="A1231" s="1"/>
      <c r="B1231" s="2"/>
      <c r="C1231" s="2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2"/>
      <c r="S1231" s="1"/>
      <c r="T1231" s="1"/>
    </row>
    <row r="1232" spans="1:20" x14ac:dyDescent="0.25">
      <c r="A1232" s="1"/>
      <c r="B1232" s="2"/>
      <c r="C1232" s="2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2"/>
      <c r="S1232" s="1"/>
      <c r="T1232" s="1"/>
    </row>
    <row r="1233" spans="1:20" x14ac:dyDescent="0.25">
      <c r="A1233" s="1"/>
      <c r="B1233" s="2"/>
      <c r="C1233" s="2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2"/>
      <c r="S1233" s="1"/>
      <c r="T1233" s="1"/>
    </row>
    <row r="1234" spans="1:20" x14ac:dyDescent="0.25">
      <c r="A1234" s="1"/>
      <c r="B1234" s="2"/>
      <c r="C1234" s="2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2"/>
      <c r="S1234" s="1"/>
      <c r="T1234" s="1"/>
    </row>
    <row r="1235" spans="1:20" x14ac:dyDescent="0.25">
      <c r="A1235" s="1"/>
      <c r="B1235" s="2"/>
      <c r="C1235" s="2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2"/>
      <c r="S1235" s="1"/>
      <c r="T1235" s="1"/>
    </row>
    <row r="1236" spans="1:20" x14ac:dyDescent="0.25">
      <c r="A1236" s="1"/>
      <c r="B1236" s="2"/>
      <c r="C1236" s="2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2"/>
      <c r="S1236" s="1"/>
      <c r="T1236" s="1"/>
    </row>
    <row r="1237" spans="1:20" x14ac:dyDescent="0.25">
      <c r="A1237" s="1"/>
      <c r="B1237" s="2"/>
      <c r="C1237" s="2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2"/>
      <c r="S1237" s="1"/>
      <c r="T1237" s="1"/>
    </row>
    <row r="1238" spans="1:20" x14ac:dyDescent="0.25">
      <c r="A1238" s="1"/>
      <c r="B1238" s="2"/>
      <c r="C1238" s="2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2"/>
      <c r="S1238" s="1"/>
      <c r="T1238" s="1"/>
    </row>
    <row r="1239" spans="1:20" x14ac:dyDescent="0.25">
      <c r="A1239" s="1"/>
      <c r="B1239" s="2"/>
      <c r="C1239" s="2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2"/>
      <c r="S1239" s="1"/>
      <c r="T1239" s="1"/>
    </row>
    <row r="1240" spans="1:20" x14ac:dyDescent="0.25">
      <c r="A1240" s="1"/>
      <c r="B1240" s="2"/>
      <c r="C1240" s="2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2"/>
      <c r="S1240" s="1"/>
      <c r="T1240" s="1"/>
    </row>
    <row r="1241" spans="1:20" x14ac:dyDescent="0.25">
      <c r="A1241" s="1"/>
      <c r="B1241" s="2"/>
      <c r="C1241" s="2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2"/>
      <c r="S1241" s="1"/>
      <c r="T1241" s="1"/>
    </row>
    <row r="1242" spans="1:20" x14ac:dyDescent="0.25">
      <c r="A1242" s="1"/>
      <c r="B1242" s="2"/>
      <c r="C1242" s="2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2"/>
      <c r="S1242" s="1"/>
      <c r="T1242" s="1"/>
    </row>
    <row r="1243" spans="1:20" x14ac:dyDescent="0.25">
      <c r="A1243" s="1"/>
      <c r="B1243" s="2"/>
      <c r="C1243" s="2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2"/>
      <c r="S1243" s="1"/>
      <c r="T1243" s="1"/>
    </row>
    <row r="1244" spans="1:20" x14ac:dyDescent="0.25">
      <c r="A1244" s="1"/>
      <c r="B1244" s="2"/>
      <c r="C1244" s="2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2"/>
      <c r="S1244" s="1"/>
      <c r="T1244" s="1"/>
    </row>
    <row r="1245" spans="1:20" x14ac:dyDescent="0.25">
      <c r="A1245" s="1"/>
      <c r="B1245" s="2"/>
      <c r="C1245" s="2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2"/>
      <c r="S1245" s="1"/>
      <c r="T1245" s="1"/>
    </row>
    <row r="1246" spans="1:20" x14ac:dyDescent="0.25">
      <c r="A1246" s="1"/>
      <c r="B1246" s="2"/>
      <c r="C1246" s="2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2"/>
      <c r="S1246" s="1"/>
      <c r="T1246" s="1"/>
    </row>
    <row r="1247" spans="1:20" x14ac:dyDescent="0.25">
      <c r="A1247" s="1"/>
      <c r="B1247" s="2"/>
      <c r="C1247" s="2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2"/>
      <c r="S1247" s="1"/>
      <c r="T1247" s="1"/>
    </row>
    <row r="1248" spans="1:20" x14ac:dyDescent="0.25">
      <c r="A1248" s="1"/>
      <c r="B1248" s="2"/>
      <c r="C1248" s="2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2"/>
      <c r="S1248" s="1"/>
      <c r="T1248" s="1"/>
    </row>
    <row r="1249" spans="1:20" x14ac:dyDescent="0.25">
      <c r="A1249" s="1"/>
      <c r="B1249" s="2"/>
      <c r="C1249" s="2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2"/>
      <c r="S1249" s="1"/>
      <c r="T1249" s="1"/>
    </row>
    <row r="1250" spans="1:20" x14ac:dyDescent="0.25">
      <c r="A1250" s="1"/>
      <c r="B1250" s="2"/>
      <c r="C1250" s="2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2"/>
      <c r="S1250" s="1"/>
      <c r="T1250" s="1"/>
    </row>
    <row r="1251" spans="1:20" x14ac:dyDescent="0.25">
      <c r="A1251" s="1"/>
      <c r="B1251" s="2"/>
      <c r="C1251" s="2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2"/>
      <c r="S1251" s="1"/>
      <c r="T1251" s="1"/>
    </row>
    <row r="1252" spans="1:20" x14ac:dyDescent="0.25">
      <c r="A1252" s="1"/>
      <c r="B1252" s="2"/>
      <c r="C1252" s="2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2"/>
      <c r="S1252" s="1"/>
      <c r="T1252" s="1"/>
    </row>
    <row r="1253" spans="1:20" x14ac:dyDescent="0.25">
      <c r="A1253" s="1"/>
      <c r="B1253" s="2"/>
      <c r="C1253" s="2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2"/>
      <c r="S1253" s="1"/>
      <c r="T1253" s="1"/>
    </row>
    <row r="1254" spans="1:20" x14ac:dyDescent="0.25">
      <c r="A1254" s="1"/>
      <c r="B1254" s="2"/>
      <c r="C1254" s="2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2"/>
      <c r="S1254" s="1"/>
      <c r="T1254" s="1"/>
    </row>
    <row r="1255" spans="1:20" x14ac:dyDescent="0.25">
      <c r="A1255" s="1"/>
      <c r="B1255" s="2"/>
      <c r="C1255" s="2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2"/>
      <c r="S1255" s="1"/>
      <c r="T1255" s="1"/>
    </row>
    <row r="1256" spans="1:20" x14ac:dyDescent="0.25">
      <c r="A1256" s="1"/>
      <c r="B1256" s="2"/>
      <c r="C1256" s="2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2"/>
      <c r="S1256" s="1"/>
      <c r="T1256" s="1"/>
    </row>
    <row r="1257" spans="1:20" x14ac:dyDescent="0.25">
      <c r="A1257" s="1"/>
      <c r="B1257" s="2"/>
      <c r="C1257" s="2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2"/>
      <c r="S1257" s="1"/>
      <c r="T1257" s="1"/>
    </row>
    <row r="1258" spans="1:20" x14ac:dyDescent="0.25">
      <c r="A1258" s="1"/>
      <c r="B1258" s="2"/>
      <c r="C1258" s="2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2"/>
      <c r="S1258" s="1"/>
      <c r="T1258" s="1"/>
    </row>
    <row r="1259" spans="1:20" x14ac:dyDescent="0.25">
      <c r="A1259" s="1"/>
      <c r="B1259" s="2"/>
      <c r="C1259" s="2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2"/>
      <c r="S1259" s="1"/>
      <c r="T1259" s="1"/>
    </row>
    <row r="1260" spans="1:20" x14ac:dyDescent="0.25">
      <c r="A1260" s="1"/>
      <c r="B1260" s="2"/>
      <c r="C1260" s="2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2"/>
      <c r="S1260" s="1"/>
      <c r="T1260" s="1"/>
    </row>
    <row r="1261" spans="1:20" x14ac:dyDescent="0.25">
      <c r="A1261" s="1"/>
      <c r="B1261" s="2"/>
      <c r="C1261" s="2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2"/>
      <c r="S1261" s="1"/>
      <c r="T1261" s="1"/>
    </row>
    <row r="1262" spans="1:20" x14ac:dyDescent="0.25">
      <c r="A1262" s="1"/>
      <c r="B1262" s="2"/>
      <c r="C1262" s="2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2"/>
      <c r="S1262" s="1"/>
      <c r="T1262" s="1"/>
    </row>
    <row r="1263" spans="1:20" x14ac:dyDescent="0.25">
      <c r="A1263" s="1"/>
      <c r="B1263" s="2"/>
      <c r="C1263" s="2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2"/>
      <c r="S1263" s="1"/>
      <c r="T1263" s="1"/>
    </row>
    <row r="1264" spans="1:20" x14ac:dyDescent="0.25">
      <c r="A1264" s="1"/>
      <c r="B1264" s="2"/>
      <c r="C1264" s="2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2"/>
      <c r="S1264" s="1"/>
      <c r="T1264" s="1"/>
    </row>
    <row r="1265" spans="1:20" x14ac:dyDescent="0.25">
      <c r="A1265" s="1"/>
      <c r="B1265" s="2"/>
      <c r="C1265" s="2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2"/>
      <c r="S1265" s="1"/>
      <c r="T1265" s="1"/>
    </row>
    <row r="1266" spans="1:20" x14ac:dyDescent="0.25">
      <c r="A1266" s="1"/>
      <c r="B1266" s="2"/>
      <c r="C1266" s="2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2"/>
      <c r="S1266" s="1"/>
      <c r="T1266" s="1"/>
    </row>
    <row r="1267" spans="1:20" x14ac:dyDescent="0.25">
      <c r="A1267" s="1"/>
      <c r="B1267" s="2"/>
      <c r="C1267" s="2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2"/>
      <c r="S1267" s="1"/>
      <c r="T1267" s="1"/>
    </row>
    <row r="1268" spans="1:20" x14ac:dyDescent="0.25">
      <c r="A1268" s="1"/>
      <c r="B1268" s="2"/>
      <c r="C1268" s="2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2"/>
      <c r="S1268" s="1"/>
      <c r="T1268" s="1"/>
    </row>
    <row r="1269" spans="1:20" x14ac:dyDescent="0.25">
      <c r="A1269" s="1"/>
      <c r="B1269" s="2"/>
      <c r="C1269" s="2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2"/>
      <c r="S1269" s="1"/>
      <c r="T1269" s="1"/>
    </row>
    <row r="1270" spans="1:20" x14ac:dyDescent="0.25">
      <c r="A1270" s="1"/>
      <c r="B1270" s="2"/>
      <c r="C1270" s="2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2"/>
      <c r="S1270" s="1"/>
      <c r="T1270" s="1"/>
    </row>
    <row r="1271" spans="1:20" x14ac:dyDescent="0.25">
      <c r="A1271" s="1"/>
      <c r="B1271" s="2"/>
      <c r="C1271" s="2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2"/>
      <c r="S1271" s="1"/>
      <c r="T1271" s="1"/>
    </row>
    <row r="1272" spans="1:20" x14ac:dyDescent="0.25">
      <c r="A1272" s="1"/>
      <c r="B1272" s="2"/>
      <c r="C1272" s="2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2"/>
      <c r="S1272" s="1"/>
      <c r="T1272" s="1"/>
    </row>
    <row r="1273" spans="1:20" x14ac:dyDescent="0.25">
      <c r="A1273" s="1"/>
      <c r="B1273" s="2"/>
      <c r="C1273" s="2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2"/>
      <c r="S1273" s="1"/>
      <c r="T1273" s="1"/>
    </row>
    <row r="1274" spans="1:20" x14ac:dyDescent="0.25">
      <c r="A1274" s="1"/>
      <c r="B1274" s="2"/>
      <c r="C1274" s="2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2"/>
      <c r="S1274" s="1"/>
      <c r="T1274" s="1"/>
    </row>
    <row r="1275" spans="1:20" x14ac:dyDescent="0.25">
      <c r="A1275" s="1"/>
      <c r="B1275" s="2"/>
      <c r="C1275" s="2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2"/>
      <c r="S1275" s="1"/>
      <c r="T1275" s="1"/>
    </row>
    <row r="1276" spans="1:20" x14ac:dyDescent="0.25">
      <c r="A1276" s="1"/>
      <c r="B1276" s="2"/>
      <c r="C1276" s="2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2"/>
      <c r="S1276" s="1"/>
      <c r="T1276" s="1"/>
    </row>
    <row r="1277" spans="1:20" x14ac:dyDescent="0.25">
      <c r="A1277" s="1"/>
      <c r="B1277" s="2"/>
      <c r="C1277" s="2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2"/>
      <c r="S1277" s="1"/>
      <c r="T1277" s="1"/>
    </row>
    <row r="1278" spans="1:20" x14ac:dyDescent="0.25">
      <c r="A1278" s="1"/>
      <c r="B1278" s="2"/>
      <c r="C1278" s="2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2"/>
      <c r="S1278" s="1"/>
      <c r="T1278" s="1"/>
    </row>
    <row r="1279" spans="1:20" x14ac:dyDescent="0.25">
      <c r="A1279" s="1"/>
      <c r="B1279" s="2"/>
      <c r="C1279" s="2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2"/>
      <c r="S1279" s="1"/>
      <c r="T1279" s="1"/>
    </row>
    <row r="1280" spans="1:20" x14ac:dyDescent="0.25">
      <c r="A1280" s="1"/>
      <c r="B1280" s="2"/>
      <c r="C1280" s="2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2"/>
      <c r="S1280" s="1"/>
      <c r="T1280" s="1"/>
    </row>
    <row r="1281" spans="1:20" x14ac:dyDescent="0.25">
      <c r="A1281" s="1"/>
      <c r="B1281" s="2"/>
      <c r="C1281" s="2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2"/>
      <c r="S1281" s="1"/>
      <c r="T1281" s="1"/>
    </row>
    <row r="1282" spans="1:20" x14ac:dyDescent="0.25">
      <c r="A1282" s="1"/>
      <c r="B1282" s="2"/>
      <c r="C1282" s="2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2"/>
      <c r="S1282" s="1"/>
      <c r="T1282" s="1"/>
    </row>
    <row r="1283" spans="1:20" x14ac:dyDescent="0.25">
      <c r="A1283" s="1"/>
      <c r="B1283" s="2"/>
      <c r="C1283" s="2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2"/>
      <c r="S1283" s="1"/>
      <c r="T1283" s="1"/>
    </row>
    <row r="1284" spans="1:20" x14ac:dyDescent="0.25">
      <c r="A1284" s="1"/>
      <c r="B1284" s="2"/>
      <c r="C1284" s="2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2"/>
      <c r="S1284" s="1"/>
      <c r="T1284" s="1"/>
    </row>
    <row r="1285" spans="1:20" x14ac:dyDescent="0.25">
      <c r="A1285" s="1"/>
      <c r="B1285" s="2"/>
      <c r="C1285" s="2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2"/>
      <c r="S1285" s="1"/>
      <c r="T1285" s="1"/>
    </row>
    <row r="1286" spans="1:20" x14ac:dyDescent="0.25">
      <c r="A1286" s="1"/>
      <c r="B1286" s="2"/>
      <c r="C1286" s="2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2"/>
      <c r="S1286" s="1"/>
      <c r="T1286" s="1"/>
    </row>
    <row r="1287" spans="1:20" x14ac:dyDescent="0.25">
      <c r="A1287" s="1"/>
      <c r="B1287" s="2"/>
      <c r="C1287" s="2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2"/>
      <c r="S1287" s="1"/>
      <c r="T1287" s="1"/>
    </row>
    <row r="1288" spans="1:20" x14ac:dyDescent="0.25">
      <c r="A1288" s="1"/>
      <c r="B1288" s="2"/>
      <c r="C1288" s="2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2"/>
      <c r="S1288" s="1"/>
      <c r="T1288" s="1"/>
    </row>
    <row r="1289" spans="1:20" x14ac:dyDescent="0.25">
      <c r="A1289" s="1"/>
      <c r="B1289" s="2"/>
      <c r="C1289" s="2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2"/>
      <c r="S1289" s="1"/>
      <c r="T1289" s="1"/>
    </row>
    <row r="1290" spans="1:20" x14ac:dyDescent="0.25">
      <c r="A1290" s="1"/>
      <c r="B1290" s="2"/>
      <c r="C1290" s="2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2"/>
      <c r="S1290" s="1"/>
      <c r="T1290" s="1"/>
    </row>
    <row r="1291" spans="1:20" x14ac:dyDescent="0.25">
      <c r="A1291" s="1"/>
      <c r="B1291" s="2"/>
      <c r="C1291" s="2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2"/>
      <c r="S1291" s="1"/>
      <c r="T1291" s="1"/>
    </row>
    <row r="1292" spans="1:20" x14ac:dyDescent="0.25">
      <c r="A1292" s="1"/>
      <c r="B1292" s="2"/>
      <c r="C1292" s="2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2"/>
      <c r="S1292" s="1"/>
      <c r="T1292" s="1"/>
    </row>
    <row r="1293" spans="1:20" x14ac:dyDescent="0.25">
      <c r="A1293" s="1"/>
      <c r="B1293" s="2"/>
      <c r="C1293" s="2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2"/>
      <c r="S1293" s="1"/>
      <c r="T1293" s="1"/>
    </row>
    <row r="1294" spans="1:20" x14ac:dyDescent="0.25">
      <c r="A1294" s="1"/>
      <c r="B1294" s="2"/>
      <c r="C1294" s="2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2"/>
      <c r="S1294" s="1"/>
      <c r="T1294" s="1"/>
    </row>
    <row r="1295" spans="1:20" x14ac:dyDescent="0.25">
      <c r="A1295" s="1"/>
      <c r="B1295" s="2"/>
      <c r="C1295" s="2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2"/>
      <c r="S1295" s="1"/>
      <c r="T1295" s="1"/>
    </row>
    <row r="1296" spans="1:20" x14ac:dyDescent="0.25">
      <c r="A1296" s="1"/>
      <c r="B1296" s="2"/>
      <c r="C1296" s="2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2"/>
      <c r="S1296" s="1"/>
      <c r="T1296" s="1"/>
    </row>
    <row r="1297" spans="1:20" x14ac:dyDescent="0.25">
      <c r="A1297" s="1"/>
      <c r="B1297" s="2"/>
      <c r="C1297" s="2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2"/>
      <c r="S1297" s="1"/>
      <c r="T1297" s="1"/>
    </row>
    <row r="1298" spans="1:20" x14ac:dyDescent="0.25">
      <c r="A1298" s="1"/>
      <c r="B1298" s="2"/>
      <c r="C1298" s="2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2"/>
      <c r="S1298" s="1"/>
      <c r="T1298" s="1"/>
    </row>
    <row r="1299" spans="1:20" x14ac:dyDescent="0.25">
      <c r="A1299" s="1"/>
      <c r="B1299" s="2"/>
      <c r="C1299" s="2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2"/>
      <c r="S1299" s="1"/>
      <c r="T1299" s="1"/>
    </row>
    <row r="1300" spans="1:20" x14ac:dyDescent="0.25">
      <c r="A1300" s="1"/>
      <c r="B1300" s="2"/>
      <c r="C1300" s="2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2"/>
      <c r="S1300" s="1"/>
      <c r="T1300" s="1"/>
    </row>
    <row r="1301" spans="1:20" x14ac:dyDescent="0.25">
      <c r="A1301" s="1"/>
      <c r="B1301" s="2"/>
      <c r="C1301" s="2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2"/>
      <c r="S1301" s="1"/>
      <c r="T1301" s="1"/>
    </row>
    <row r="1302" spans="1:20" x14ac:dyDescent="0.25">
      <c r="A1302" s="1"/>
      <c r="B1302" s="2"/>
      <c r="C1302" s="2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2"/>
      <c r="S1302" s="1"/>
      <c r="T1302" s="1"/>
    </row>
    <row r="1303" spans="1:20" x14ac:dyDescent="0.25">
      <c r="A1303" s="1"/>
      <c r="B1303" s="2"/>
      <c r="C1303" s="2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2"/>
      <c r="S1303" s="1"/>
      <c r="T1303" s="1"/>
    </row>
    <row r="1304" spans="1:20" x14ac:dyDescent="0.25">
      <c r="A1304" s="1"/>
      <c r="B1304" s="2"/>
      <c r="C1304" s="2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2"/>
      <c r="S1304" s="1"/>
      <c r="T1304" s="1"/>
    </row>
    <row r="1305" spans="1:20" x14ac:dyDescent="0.25">
      <c r="A1305" s="1"/>
      <c r="B1305" s="2"/>
      <c r="C1305" s="2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2"/>
      <c r="S1305" s="1"/>
      <c r="T1305" s="1"/>
    </row>
    <row r="1306" spans="1:20" x14ac:dyDescent="0.25">
      <c r="A1306" s="1"/>
      <c r="B1306" s="2"/>
      <c r="C1306" s="2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2"/>
      <c r="S1306" s="1"/>
      <c r="T1306" s="1"/>
    </row>
    <row r="1307" spans="1:20" x14ac:dyDescent="0.25">
      <c r="A1307" s="1"/>
      <c r="B1307" s="2"/>
      <c r="C1307" s="2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2"/>
      <c r="S1307" s="1"/>
      <c r="T1307" s="1"/>
    </row>
    <row r="1308" spans="1:20" x14ac:dyDescent="0.25">
      <c r="A1308" s="1"/>
      <c r="B1308" s="2"/>
      <c r="C1308" s="2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2"/>
      <c r="S1308" s="1"/>
      <c r="T1308" s="1"/>
    </row>
    <row r="1309" spans="1:20" x14ac:dyDescent="0.25">
      <c r="A1309" s="1"/>
      <c r="B1309" s="2"/>
      <c r="C1309" s="2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2"/>
      <c r="S1309" s="1"/>
      <c r="T1309" s="1"/>
    </row>
    <row r="1310" spans="1:20" x14ac:dyDescent="0.25">
      <c r="A1310" s="1"/>
      <c r="B1310" s="2"/>
      <c r="C1310" s="2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2"/>
      <c r="S1310" s="1"/>
      <c r="T1310" s="1"/>
    </row>
    <row r="1311" spans="1:20" x14ac:dyDescent="0.25">
      <c r="A1311" s="1"/>
      <c r="B1311" s="2"/>
      <c r="C1311" s="2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2"/>
      <c r="S1311" s="1"/>
      <c r="T1311" s="1"/>
    </row>
    <row r="1312" spans="1:20" x14ac:dyDescent="0.25">
      <c r="A1312" s="1"/>
      <c r="B1312" s="2"/>
      <c r="C1312" s="2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2"/>
      <c r="S1312" s="1"/>
      <c r="T1312" s="1"/>
    </row>
    <row r="1313" spans="1:20" x14ac:dyDescent="0.25">
      <c r="A1313" s="1"/>
      <c r="B1313" s="2"/>
      <c r="C1313" s="2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2"/>
      <c r="S1313" s="1"/>
      <c r="T1313" s="1"/>
    </row>
    <row r="1314" spans="1:20" x14ac:dyDescent="0.25">
      <c r="A1314" s="1"/>
      <c r="B1314" s="2"/>
      <c r="C1314" s="2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2"/>
      <c r="S1314" s="1"/>
      <c r="T1314" s="1"/>
    </row>
    <row r="1315" spans="1:20" x14ac:dyDescent="0.25">
      <c r="A1315" s="1"/>
      <c r="B1315" s="2"/>
      <c r="C1315" s="2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2"/>
      <c r="S1315" s="1"/>
      <c r="T1315" s="1"/>
    </row>
    <row r="1316" spans="1:20" x14ac:dyDescent="0.25">
      <c r="A1316" s="1"/>
      <c r="B1316" s="2"/>
      <c r="C1316" s="2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2"/>
      <c r="S1316" s="1"/>
      <c r="T1316" s="1"/>
    </row>
    <row r="1317" spans="1:20" x14ac:dyDescent="0.25">
      <c r="A1317" s="1"/>
      <c r="B1317" s="2"/>
      <c r="C1317" s="2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2"/>
      <c r="S1317" s="1"/>
      <c r="T1317" s="1"/>
    </row>
    <row r="1318" spans="1:20" x14ac:dyDescent="0.25">
      <c r="A1318" s="1"/>
      <c r="B1318" s="2"/>
      <c r="C1318" s="2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2"/>
      <c r="S1318" s="1"/>
      <c r="T1318" s="1"/>
    </row>
    <row r="1319" spans="1:20" x14ac:dyDescent="0.25">
      <c r="A1319" s="1"/>
      <c r="B1319" s="2"/>
      <c r="C1319" s="2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2"/>
      <c r="S1319" s="1"/>
      <c r="T1319" s="1"/>
    </row>
    <row r="1320" spans="1:20" x14ac:dyDescent="0.25">
      <c r="A1320" s="1"/>
      <c r="B1320" s="2"/>
      <c r="C1320" s="2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2"/>
      <c r="S1320" s="1"/>
      <c r="T1320" s="1"/>
    </row>
    <row r="1321" spans="1:20" x14ac:dyDescent="0.25">
      <c r="A1321" s="1"/>
      <c r="B1321" s="2"/>
      <c r="C1321" s="2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2"/>
      <c r="S1321" s="1"/>
      <c r="T1321" s="1"/>
    </row>
    <row r="1322" spans="1:20" x14ac:dyDescent="0.25">
      <c r="A1322" s="1"/>
      <c r="B1322" s="2"/>
      <c r="C1322" s="2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2"/>
      <c r="S1322" s="1"/>
      <c r="T1322" s="1"/>
    </row>
    <row r="1323" spans="1:20" x14ac:dyDescent="0.25">
      <c r="A1323" s="1"/>
      <c r="B1323" s="2"/>
      <c r="C1323" s="2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2"/>
      <c r="S1323" s="1"/>
      <c r="T1323" s="1"/>
    </row>
    <row r="1324" spans="1:20" x14ac:dyDescent="0.25">
      <c r="A1324" s="1"/>
      <c r="B1324" s="2"/>
      <c r="C1324" s="2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2"/>
      <c r="S1324" s="1"/>
      <c r="T1324" s="1"/>
    </row>
    <row r="1325" spans="1:20" x14ac:dyDescent="0.25">
      <c r="A1325" s="1"/>
      <c r="B1325" s="2"/>
      <c r="C1325" s="2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2"/>
      <c r="S1325" s="1"/>
      <c r="T1325" s="1"/>
    </row>
    <row r="1326" spans="1:20" x14ac:dyDescent="0.25">
      <c r="A1326" s="1"/>
      <c r="B1326" s="2"/>
      <c r="C1326" s="2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2"/>
      <c r="S1326" s="1"/>
      <c r="T1326" s="1"/>
    </row>
    <row r="1327" spans="1:20" x14ac:dyDescent="0.25">
      <c r="A1327" s="1"/>
      <c r="B1327" s="2"/>
      <c r="C1327" s="2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2"/>
      <c r="S1327" s="1"/>
      <c r="T1327" s="1"/>
    </row>
    <row r="1328" spans="1:20" x14ac:dyDescent="0.25">
      <c r="A1328" s="1"/>
      <c r="B1328" s="2"/>
      <c r="C1328" s="2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2"/>
      <c r="S1328" s="1"/>
      <c r="T1328" s="1"/>
    </row>
    <row r="1329" spans="1:20" x14ac:dyDescent="0.25">
      <c r="A1329" s="1"/>
      <c r="B1329" s="2"/>
      <c r="C1329" s="2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2"/>
      <c r="S1329" s="1"/>
      <c r="T1329" s="1"/>
    </row>
    <row r="1330" spans="1:20" x14ac:dyDescent="0.25">
      <c r="A1330" s="1"/>
      <c r="B1330" s="2"/>
      <c r="C1330" s="2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2"/>
      <c r="S1330" s="1"/>
      <c r="T1330" s="1"/>
    </row>
    <row r="1331" spans="1:20" x14ac:dyDescent="0.25">
      <c r="A1331" s="1"/>
      <c r="B1331" s="2"/>
      <c r="C1331" s="2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2"/>
      <c r="S1331" s="1"/>
      <c r="T1331" s="1"/>
    </row>
    <row r="1332" spans="1:20" x14ac:dyDescent="0.25">
      <c r="A1332" s="1"/>
      <c r="B1332" s="2"/>
      <c r="C1332" s="2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2"/>
      <c r="S1332" s="1"/>
      <c r="T1332" s="1"/>
    </row>
    <row r="1333" spans="1:20" x14ac:dyDescent="0.25">
      <c r="A1333" s="1"/>
      <c r="B1333" s="2"/>
      <c r="C1333" s="2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2"/>
      <c r="S1333" s="1"/>
      <c r="T1333" s="1"/>
    </row>
    <row r="1334" spans="1:20" x14ac:dyDescent="0.25">
      <c r="A1334" s="1"/>
      <c r="B1334" s="2"/>
      <c r="C1334" s="2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2"/>
      <c r="S1334" s="1"/>
      <c r="T1334" s="1"/>
    </row>
    <row r="1335" spans="1:20" x14ac:dyDescent="0.25">
      <c r="A1335" s="1"/>
      <c r="B1335" s="2"/>
      <c r="C1335" s="2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2"/>
      <c r="S1335" s="1"/>
      <c r="T1335" s="1"/>
    </row>
    <row r="1336" spans="1:20" x14ac:dyDescent="0.25">
      <c r="A1336" s="1"/>
      <c r="B1336" s="2"/>
      <c r="C1336" s="2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2"/>
      <c r="S1336" s="1"/>
      <c r="T1336" s="1"/>
    </row>
    <row r="1337" spans="1:20" x14ac:dyDescent="0.25">
      <c r="A1337" s="1"/>
      <c r="B1337" s="2"/>
      <c r="C1337" s="2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2"/>
      <c r="S1337" s="1"/>
      <c r="T1337" s="1"/>
    </row>
    <row r="1338" spans="1:20" x14ac:dyDescent="0.25">
      <c r="A1338" s="1"/>
      <c r="B1338" s="2"/>
      <c r="C1338" s="2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2"/>
      <c r="S1338" s="1"/>
      <c r="T1338" s="1"/>
    </row>
    <row r="1339" spans="1:20" x14ac:dyDescent="0.25">
      <c r="A1339" s="1"/>
      <c r="B1339" s="2"/>
      <c r="C1339" s="2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2"/>
      <c r="S1339" s="1"/>
      <c r="T1339" s="1"/>
    </row>
    <row r="1340" spans="1:20" x14ac:dyDescent="0.25">
      <c r="A1340" s="1"/>
      <c r="B1340" s="2"/>
      <c r="C1340" s="2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2"/>
      <c r="S1340" s="1"/>
      <c r="T1340" s="1"/>
    </row>
    <row r="1341" spans="1:20" x14ac:dyDescent="0.25">
      <c r="A1341" s="1"/>
      <c r="B1341" s="2"/>
      <c r="C1341" s="2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2"/>
      <c r="S1341" s="1"/>
      <c r="T1341" s="1"/>
    </row>
    <row r="1342" spans="1:20" x14ac:dyDescent="0.25">
      <c r="A1342" s="1"/>
      <c r="B1342" s="2"/>
      <c r="C1342" s="2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2"/>
      <c r="S1342" s="1"/>
      <c r="T1342" s="1"/>
    </row>
    <row r="1343" spans="1:20" x14ac:dyDescent="0.25">
      <c r="A1343" s="1"/>
      <c r="B1343" s="2"/>
      <c r="C1343" s="2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2"/>
      <c r="S1343" s="1"/>
      <c r="T1343" s="1"/>
    </row>
    <row r="1344" spans="1:20" x14ac:dyDescent="0.25">
      <c r="A1344" s="1"/>
      <c r="B1344" s="2"/>
      <c r="C1344" s="2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2"/>
      <c r="S1344" s="1"/>
      <c r="T1344" s="1"/>
    </row>
    <row r="1345" spans="1:20" x14ac:dyDescent="0.25">
      <c r="A1345" s="1"/>
      <c r="B1345" s="2"/>
      <c r="C1345" s="2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2"/>
      <c r="S1345" s="1"/>
      <c r="T1345" s="1"/>
    </row>
    <row r="1346" spans="1:20" x14ac:dyDescent="0.25">
      <c r="A1346" s="1"/>
      <c r="B1346" s="2"/>
      <c r="C1346" s="2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2"/>
      <c r="S1346" s="1"/>
      <c r="T1346" s="1"/>
    </row>
    <row r="1347" spans="1:20" x14ac:dyDescent="0.25">
      <c r="A1347" s="1"/>
      <c r="B1347" s="2"/>
      <c r="C1347" s="2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2"/>
      <c r="S1347" s="1"/>
      <c r="T1347" s="1"/>
    </row>
    <row r="1348" spans="1:20" x14ac:dyDescent="0.25">
      <c r="A1348" s="1"/>
      <c r="B1348" s="2"/>
      <c r="C1348" s="2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2"/>
      <c r="S1348" s="1"/>
      <c r="T1348" s="1"/>
    </row>
    <row r="1349" spans="1:20" x14ac:dyDescent="0.25">
      <c r="A1349" s="1"/>
      <c r="B1349" s="2"/>
      <c r="C1349" s="2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2"/>
      <c r="S1349" s="1"/>
      <c r="T1349" s="1"/>
    </row>
    <row r="1350" spans="1:20" x14ac:dyDescent="0.25">
      <c r="A1350" s="1"/>
      <c r="B1350" s="2"/>
      <c r="C1350" s="2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2"/>
      <c r="S1350" s="1"/>
      <c r="T1350" s="1"/>
    </row>
    <row r="1351" spans="1:20" x14ac:dyDescent="0.25">
      <c r="A1351" s="1"/>
      <c r="B1351" s="2"/>
      <c r="C1351" s="2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2"/>
      <c r="S1351" s="1"/>
      <c r="T1351" s="1"/>
    </row>
    <row r="1352" spans="1:20" x14ac:dyDescent="0.25">
      <c r="A1352" s="1"/>
      <c r="B1352" s="2"/>
      <c r="C1352" s="2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2"/>
      <c r="S1352" s="1"/>
      <c r="T1352" s="1"/>
    </row>
    <row r="1353" spans="1:20" x14ac:dyDescent="0.25">
      <c r="A1353" s="1"/>
      <c r="B1353" s="2"/>
      <c r="C1353" s="2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2"/>
      <c r="S1353" s="1"/>
      <c r="T1353" s="1"/>
    </row>
    <row r="1354" spans="1:20" x14ac:dyDescent="0.25">
      <c r="A1354" s="1"/>
      <c r="B1354" s="2"/>
      <c r="C1354" s="2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2"/>
      <c r="S1354" s="1"/>
      <c r="T1354" s="1"/>
    </row>
    <row r="1355" spans="1:20" x14ac:dyDescent="0.25">
      <c r="A1355" s="1"/>
      <c r="B1355" s="2"/>
      <c r="C1355" s="2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2"/>
      <c r="S1355" s="1"/>
      <c r="T1355" s="1"/>
    </row>
    <row r="1356" spans="1:20" x14ac:dyDescent="0.25">
      <c r="A1356" s="1"/>
      <c r="B1356" s="2"/>
      <c r="C1356" s="2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2"/>
      <c r="S1356" s="1"/>
      <c r="T1356" s="1"/>
    </row>
    <row r="1357" spans="1:20" x14ac:dyDescent="0.25">
      <c r="A1357" s="1"/>
      <c r="B1357" s="2"/>
      <c r="C1357" s="2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2"/>
      <c r="S1357" s="1"/>
      <c r="T1357" s="1"/>
    </row>
    <row r="1358" spans="1:20" x14ac:dyDescent="0.25">
      <c r="A1358" s="1"/>
      <c r="B1358" s="2"/>
      <c r="C1358" s="2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2"/>
      <c r="S1358" s="1"/>
      <c r="T1358" s="1"/>
    </row>
    <row r="1359" spans="1:20" x14ac:dyDescent="0.25">
      <c r="A1359" s="1"/>
      <c r="B1359" s="2"/>
      <c r="C1359" s="2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2"/>
      <c r="S1359" s="1"/>
      <c r="T1359" s="1"/>
    </row>
    <row r="1360" spans="1:20" x14ac:dyDescent="0.25">
      <c r="A1360" s="1"/>
      <c r="B1360" s="2"/>
      <c r="C1360" s="2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2"/>
      <c r="S1360" s="1"/>
      <c r="T1360" s="1"/>
    </row>
    <row r="1361" spans="1:20" x14ac:dyDescent="0.25">
      <c r="A1361" s="1"/>
      <c r="B1361" s="2"/>
      <c r="C1361" s="2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2"/>
      <c r="S1361" s="1"/>
      <c r="T1361" s="1"/>
    </row>
    <row r="1362" spans="1:20" x14ac:dyDescent="0.25">
      <c r="A1362" s="1"/>
      <c r="B1362" s="2"/>
      <c r="C1362" s="2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2"/>
      <c r="S1362" s="1"/>
      <c r="T1362" s="1"/>
    </row>
    <row r="1363" spans="1:20" x14ac:dyDescent="0.25">
      <c r="A1363" s="1"/>
      <c r="B1363" s="2"/>
      <c r="C1363" s="2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2"/>
      <c r="S1363" s="1"/>
      <c r="T1363" s="1"/>
    </row>
    <row r="1364" spans="1:20" x14ac:dyDescent="0.25">
      <c r="A1364" s="1"/>
      <c r="B1364" s="2"/>
      <c r="C1364" s="2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2"/>
      <c r="S1364" s="1"/>
      <c r="T1364" s="1"/>
    </row>
    <row r="1365" spans="1:20" x14ac:dyDescent="0.25">
      <c r="A1365" s="1"/>
      <c r="B1365" s="2"/>
      <c r="C1365" s="2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2"/>
      <c r="S1365" s="1"/>
      <c r="T1365" s="1"/>
    </row>
    <row r="1366" spans="1:20" x14ac:dyDescent="0.25">
      <c r="A1366" s="1"/>
      <c r="B1366" s="2"/>
      <c r="C1366" s="2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2"/>
      <c r="S1366" s="1"/>
      <c r="T1366" s="1"/>
    </row>
    <row r="1367" spans="1:20" x14ac:dyDescent="0.25">
      <c r="A1367" s="1"/>
      <c r="B1367" s="2"/>
      <c r="C1367" s="2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2"/>
      <c r="S1367" s="1"/>
      <c r="T1367" s="1"/>
    </row>
    <row r="1368" spans="1:20" x14ac:dyDescent="0.25">
      <c r="A1368" s="1"/>
      <c r="B1368" s="2"/>
      <c r="C1368" s="2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2"/>
      <c r="S1368" s="1"/>
      <c r="T1368" s="1"/>
    </row>
    <row r="1369" spans="1:20" x14ac:dyDescent="0.25">
      <c r="A1369" s="1"/>
      <c r="B1369" s="2"/>
      <c r="C1369" s="2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2"/>
      <c r="S1369" s="1"/>
      <c r="T1369" s="1"/>
    </row>
    <row r="1370" spans="1:20" x14ac:dyDescent="0.25">
      <c r="A1370" s="1"/>
      <c r="B1370" s="2"/>
      <c r="C1370" s="2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2"/>
      <c r="S1370" s="1"/>
      <c r="T1370" s="1"/>
    </row>
    <row r="1371" spans="1:20" x14ac:dyDescent="0.25">
      <c r="A1371" s="1"/>
      <c r="B1371" s="2"/>
      <c r="C1371" s="2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2"/>
      <c r="S1371" s="1"/>
      <c r="T1371" s="1"/>
    </row>
    <row r="1372" spans="1:20" x14ac:dyDescent="0.25">
      <c r="A1372" s="1"/>
      <c r="B1372" s="2"/>
      <c r="C1372" s="2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2"/>
      <c r="S1372" s="1"/>
      <c r="T1372" s="1"/>
    </row>
    <row r="1373" spans="1:20" x14ac:dyDescent="0.25">
      <c r="A1373" s="1"/>
      <c r="B1373" s="2"/>
      <c r="C1373" s="2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2"/>
      <c r="S1373" s="1"/>
      <c r="T1373" s="1"/>
    </row>
    <row r="1374" spans="1:20" x14ac:dyDescent="0.25">
      <c r="A1374" s="1"/>
      <c r="B1374" s="2"/>
      <c r="C1374" s="2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2"/>
      <c r="S1374" s="1"/>
      <c r="T1374" s="1"/>
    </row>
    <row r="1375" spans="1:20" x14ac:dyDescent="0.25">
      <c r="A1375" s="1"/>
      <c r="B1375" s="2"/>
      <c r="C1375" s="2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2"/>
      <c r="S1375" s="1"/>
      <c r="T1375" s="1"/>
    </row>
    <row r="1376" spans="1:20" x14ac:dyDescent="0.25">
      <c r="A1376" s="1"/>
      <c r="B1376" s="2"/>
      <c r="C1376" s="2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2"/>
      <c r="S1376" s="1"/>
      <c r="T1376" s="1"/>
    </row>
    <row r="1377" spans="1:20" x14ac:dyDescent="0.25">
      <c r="A1377" s="1"/>
      <c r="B1377" s="2"/>
      <c r="C1377" s="2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2"/>
      <c r="S1377" s="1"/>
      <c r="T1377" s="1"/>
    </row>
    <row r="1378" spans="1:20" x14ac:dyDescent="0.25">
      <c r="A1378" s="1"/>
      <c r="B1378" s="2"/>
      <c r="C1378" s="2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2"/>
      <c r="S1378" s="1"/>
      <c r="T1378" s="1"/>
    </row>
    <row r="1379" spans="1:20" x14ac:dyDescent="0.25">
      <c r="A1379" s="1"/>
      <c r="B1379" s="2"/>
      <c r="C1379" s="2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2"/>
      <c r="S1379" s="1"/>
      <c r="T1379" s="1"/>
    </row>
    <row r="1380" spans="1:20" x14ac:dyDescent="0.25">
      <c r="A1380" s="1"/>
      <c r="B1380" s="2"/>
      <c r="C1380" s="2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2"/>
      <c r="S1380" s="1"/>
      <c r="T1380" s="1"/>
    </row>
    <row r="1381" spans="1:20" x14ac:dyDescent="0.25">
      <c r="A1381" s="1"/>
      <c r="B1381" s="2"/>
      <c r="C1381" s="2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2"/>
      <c r="S1381" s="1"/>
      <c r="T1381" s="1"/>
    </row>
    <row r="1382" spans="1:20" x14ac:dyDescent="0.25">
      <c r="A1382" s="1"/>
      <c r="B1382" s="2"/>
      <c r="C1382" s="2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2"/>
      <c r="S1382" s="1"/>
      <c r="T1382" s="1"/>
    </row>
    <row r="1383" spans="1:20" x14ac:dyDescent="0.25">
      <c r="A1383" s="1"/>
      <c r="B1383" s="2"/>
      <c r="C1383" s="2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2"/>
      <c r="S1383" s="1"/>
      <c r="T1383" s="1"/>
    </row>
    <row r="1384" spans="1:20" x14ac:dyDescent="0.25">
      <c r="A1384" s="1"/>
      <c r="B1384" s="2"/>
      <c r="C1384" s="2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2"/>
      <c r="S1384" s="1"/>
      <c r="T1384" s="1"/>
    </row>
    <row r="1385" spans="1:20" x14ac:dyDescent="0.25">
      <c r="A1385" s="1"/>
      <c r="B1385" s="2"/>
      <c r="C1385" s="2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2"/>
      <c r="S1385" s="1"/>
      <c r="T1385" s="1"/>
    </row>
    <row r="1386" spans="1:20" x14ac:dyDescent="0.25">
      <c r="A1386" s="1"/>
      <c r="B1386" s="2"/>
      <c r="C1386" s="2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2"/>
      <c r="S1386" s="1"/>
      <c r="T1386" s="1"/>
    </row>
    <row r="1387" spans="1:20" x14ac:dyDescent="0.25">
      <c r="A1387" s="1"/>
      <c r="B1387" s="2"/>
      <c r="C1387" s="2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2"/>
      <c r="S1387" s="1"/>
      <c r="T1387" s="1"/>
    </row>
    <row r="1388" spans="1:20" x14ac:dyDescent="0.25">
      <c r="A1388" s="1"/>
      <c r="B1388" s="2"/>
      <c r="C1388" s="2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2"/>
      <c r="S1388" s="1"/>
      <c r="T1388" s="1"/>
    </row>
    <row r="1389" spans="1:20" x14ac:dyDescent="0.25">
      <c r="A1389" s="1"/>
      <c r="B1389" s="2"/>
      <c r="C1389" s="2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2"/>
      <c r="S1389" s="1"/>
      <c r="T1389" s="1"/>
    </row>
    <row r="1390" spans="1:20" x14ac:dyDescent="0.25">
      <c r="A1390" s="1"/>
      <c r="B1390" s="2"/>
      <c r="C1390" s="2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2"/>
      <c r="S1390" s="1"/>
      <c r="T1390" s="1"/>
    </row>
    <row r="1391" spans="1:20" x14ac:dyDescent="0.25">
      <c r="A1391" s="1"/>
      <c r="B1391" s="2"/>
      <c r="C1391" s="2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2"/>
      <c r="S1391" s="1"/>
      <c r="T1391" s="1"/>
    </row>
    <row r="1392" spans="1:20" x14ac:dyDescent="0.25">
      <c r="A1392" s="1"/>
      <c r="B1392" s="2"/>
      <c r="C1392" s="2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2"/>
      <c r="S1392" s="1"/>
      <c r="T1392" s="1"/>
    </row>
    <row r="1393" spans="1:20" x14ac:dyDescent="0.25">
      <c r="A1393" s="1"/>
      <c r="B1393" s="2"/>
      <c r="C1393" s="2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2"/>
      <c r="S1393" s="1"/>
      <c r="T1393" s="1"/>
    </row>
    <row r="1394" spans="1:20" x14ac:dyDescent="0.25">
      <c r="A1394" s="1"/>
      <c r="B1394" s="2"/>
      <c r="C1394" s="2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2"/>
      <c r="S1394" s="1"/>
      <c r="T1394" s="1"/>
    </row>
    <row r="1395" spans="1:20" x14ac:dyDescent="0.25">
      <c r="A1395" s="1"/>
      <c r="B1395" s="2"/>
      <c r="C1395" s="2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2"/>
      <c r="S1395" s="1"/>
      <c r="T1395" s="1"/>
    </row>
    <row r="1396" spans="1:20" x14ac:dyDescent="0.25">
      <c r="A1396" s="1"/>
      <c r="B1396" s="2"/>
      <c r="C1396" s="2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2"/>
      <c r="S1396" s="1"/>
      <c r="T1396" s="1"/>
    </row>
    <row r="1397" spans="1:20" x14ac:dyDescent="0.25">
      <c r="A1397" s="1"/>
      <c r="B1397" s="2"/>
      <c r="C1397" s="2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2"/>
      <c r="S1397" s="1"/>
      <c r="T1397" s="1"/>
    </row>
    <row r="1398" spans="1:20" x14ac:dyDescent="0.25">
      <c r="A1398" s="1"/>
      <c r="B1398" s="2"/>
      <c r="C1398" s="2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2"/>
      <c r="S1398" s="1"/>
      <c r="T1398" s="1"/>
    </row>
    <row r="1399" spans="1:20" x14ac:dyDescent="0.25">
      <c r="A1399" s="1"/>
      <c r="B1399" s="2"/>
      <c r="C1399" s="2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2"/>
      <c r="S1399" s="1"/>
      <c r="T1399" s="1"/>
    </row>
    <row r="1400" spans="1:20" x14ac:dyDescent="0.25">
      <c r="A1400" s="1"/>
      <c r="B1400" s="2"/>
      <c r="C1400" s="2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2"/>
      <c r="S1400" s="1"/>
      <c r="T1400" s="1"/>
    </row>
    <row r="1401" spans="1:20" x14ac:dyDescent="0.25">
      <c r="A1401" s="1"/>
      <c r="B1401" s="2"/>
      <c r="C1401" s="2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2"/>
      <c r="S1401" s="1"/>
      <c r="T1401" s="1"/>
    </row>
    <row r="1402" spans="1:20" x14ac:dyDescent="0.25">
      <c r="A1402" s="1"/>
      <c r="B1402" s="2"/>
      <c r="C1402" s="2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2"/>
      <c r="S1402" s="1"/>
      <c r="T1402" s="1"/>
    </row>
    <row r="1403" spans="1:20" x14ac:dyDescent="0.25">
      <c r="A1403" s="1"/>
      <c r="B1403" s="2"/>
      <c r="C1403" s="2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2"/>
      <c r="S1403" s="1"/>
      <c r="T1403" s="1"/>
    </row>
    <row r="1404" spans="1:20" x14ac:dyDescent="0.25">
      <c r="A1404" s="1"/>
      <c r="B1404" s="2"/>
      <c r="C1404" s="2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2"/>
      <c r="S1404" s="1"/>
      <c r="T1404" s="1"/>
    </row>
    <row r="1405" spans="1:20" x14ac:dyDescent="0.25">
      <c r="A1405" s="1"/>
      <c r="B1405" s="2"/>
      <c r="C1405" s="2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2"/>
      <c r="S1405" s="1"/>
      <c r="T1405" s="1"/>
    </row>
    <row r="1406" spans="1:20" x14ac:dyDescent="0.25">
      <c r="A1406" s="1"/>
      <c r="B1406" s="2"/>
      <c r="C1406" s="2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2"/>
      <c r="S1406" s="1"/>
      <c r="T1406" s="1"/>
    </row>
    <row r="1407" spans="1:20" x14ac:dyDescent="0.25">
      <c r="A1407" s="1"/>
      <c r="B1407" s="2"/>
      <c r="C1407" s="2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2"/>
      <c r="S1407" s="1"/>
      <c r="T1407" s="1"/>
    </row>
    <row r="1408" spans="1:20" x14ac:dyDescent="0.25">
      <c r="A1408" s="1"/>
      <c r="B1408" s="2"/>
      <c r="C1408" s="2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2"/>
      <c r="S1408" s="1"/>
      <c r="T1408" s="1"/>
    </row>
    <row r="1409" spans="1:20" x14ac:dyDescent="0.25">
      <c r="A1409" s="1"/>
      <c r="B1409" s="2"/>
      <c r="C1409" s="2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2"/>
      <c r="S1409" s="1"/>
      <c r="T1409" s="1"/>
    </row>
    <row r="1410" spans="1:20" x14ac:dyDescent="0.25">
      <c r="A1410" s="1"/>
      <c r="B1410" s="2"/>
      <c r="C1410" s="2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2"/>
      <c r="S1410" s="1"/>
      <c r="T1410" s="1"/>
    </row>
    <row r="1411" spans="1:20" x14ac:dyDescent="0.25">
      <c r="A1411" s="1"/>
      <c r="B1411" s="2"/>
      <c r="C1411" s="2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2"/>
      <c r="S1411" s="1"/>
      <c r="T1411" s="1"/>
    </row>
    <row r="1412" spans="1:20" x14ac:dyDescent="0.25">
      <c r="A1412" s="1"/>
      <c r="B1412" s="2"/>
      <c r="C1412" s="2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2"/>
      <c r="S1412" s="1"/>
      <c r="T1412" s="1"/>
    </row>
    <row r="1413" spans="1:20" x14ac:dyDescent="0.25">
      <c r="A1413" s="1"/>
      <c r="B1413" s="2"/>
      <c r="C1413" s="2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2"/>
      <c r="S1413" s="1"/>
      <c r="T1413" s="1"/>
    </row>
    <row r="1414" spans="1:20" x14ac:dyDescent="0.25">
      <c r="A1414" s="1"/>
      <c r="B1414" s="2"/>
      <c r="C1414" s="2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2"/>
      <c r="S1414" s="1"/>
      <c r="T1414" s="1"/>
    </row>
    <row r="1415" spans="1:20" x14ac:dyDescent="0.25">
      <c r="A1415" s="1"/>
      <c r="B1415" s="2"/>
      <c r="C1415" s="2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2"/>
      <c r="S1415" s="1"/>
      <c r="T1415" s="1"/>
    </row>
    <row r="1416" spans="1:20" x14ac:dyDescent="0.25">
      <c r="A1416" s="1"/>
      <c r="B1416" s="2"/>
      <c r="C1416" s="2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2"/>
      <c r="S1416" s="1"/>
      <c r="T1416" s="1"/>
    </row>
    <row r="1417" spans="1:20" x14ac:dyDescent="0.25">
      <c r="A1417" s="1"/>
      <c r="B1417" s="2"/>
      <c r="C1417" s="2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2"/>
      <c r="S1417" s="1"/>
      <c r="T1417" s="1"/>
    </row>
    <row r="1418" spans="1:20" x14ac:dyDescent="0.25">
      <c r="A1418" s="1"/>
      <c r="B1418" s="2"/>
      <c r="C1418" s="2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2"/>
      <c r="S1418" s="1"/>
      <c r="T1418" s="1"/>
    </row>
    <row r="1419" spans="1:20" x14ac:dyDescent="0.25">
      <c r="A1419" s="1"/>
      <c r="B1419" s="2"/>
      <c r="C1419" s="2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2"/>
      <c r="S1419" s="1"/>
      <c r="T1419" s="1"/>
    </row>
    <row r="1420" spans="1:20" x14ac:dyDescent="0.25">
      <c r="A1420" s="1"/>
      <c r="B1420" s="2"/>
      <c r="C1420" s="2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2"/>
      <c r="S1420" s="1"/>
      <c r="T1420" s="1"/>
    </row>
    <row r="1421" spans="1:20" x14ac:dyDescent="0.25">
      <c r="A1421" s="1"/>
      <c r="B1421" s="2"/>
      <c r="C1421" s="2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2"/>
      <c r="S1421" s="1"/>
      <c r="T1421" s="1"/>
    </row>
    <row r="1422" spans="1:20" x14ac:dyDescent="0.25">
      <c r="A1422" s="1"/>
      <c r="B1422" s="2"/>
      <c r="C1422" s="2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2"/>
      <c r="S1422" s="1"/>
      <c r="T1422" s="1"/>
    </row>
    <row r="1423" spans="1:20" x14ac:dyDescent="0.25">
      <c r="A1423" s="1"/>
      <c r="B1423" s="2"/>
      <c r="C1423" s="2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2"/>
      <c r="S1423" s="1"/>
      <c r="T1423" s="1"/>
    </row>
    <row r="1424" spans="1:20" x14ac:dyDescent="0.25">
      <c r="A1424" s="1"/>
      <c r="B1424" s="2"/>
      <c r="C1424" s="2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2"/>
      <c r="S1424" s="1"/>
      <c r="T1424" s="1"/>
    </row>
    <row r="1425" spans="1:20" x14ac:dyDescent="0.25">
      <c r="A1425" s="1"/>
      <c r="B1425" s="2"/>
      <c r="C1425" s="2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2"/>
      <c r="S1425" s="1"/>
      <c r="T1425" s="1"/>
    </row>
    <row r="1426" spans="1:20" x14ac:dyDescent="0.25">
      <c r="A1426" s="1"/>
      <c r="B1426" s="2"/>
      <c r="C1426" s="2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2"/>
      <c r="S1426" s="1"/>
      <c r="T1426" s="1"/>
    </row>
    <row r="1427" spans="1:20" x14ac:dyDescent="0.25">
      <c r="A1427" s="1"/>
      <c r="B1427" s="2"/>
      <c r="C1427" s="2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2"/>
      <c r="S1427" s="1"/>
      <c r="T1427" s="1"/>
    </row>
    <row r="1428" spans="1:20" x14ac:dyDescent="0.25">
      <c r="A1428" s="1"/>
      <c r="B1428" s="2"/>
      <c r="C1428" s="2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2"/>
      <c r="S1428" s="1"/>
      <c r="T1428" s="1"/>
    </row>
    <row r="1429" spans="1:20" x14ac:dyDescent="0.25">
      <c r="A1429" s="1"/>
      <c r="B1429" s="2"/>
      <c r="C1429" s="2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2"/>
      <c r="S1429" s="1"/>
      <c r="T1429" s="1"/>
    </row>
    <row r="1430" spans="1:20" x14ac:dyDescent="0.25">
      <c r="A1430" s="1"/>
      <c r="B1430" s="2"/>
      <c r="C1430" s="2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2"/>
      <c r="S1430" s="1"/>
      <c r="T1430" s="1"/>
    </row>
    <row r="1431" spans="1:20" x14ac:dyDescent="0.25">
      <c r="A1431" s="1"/>
      <c r="B1431" s="2"/>
      <c r="C1431" s="2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2"/>
      <c r="S1431" s="1"/>
      <c r="T1431" s="1"/>
    </row>
    <row r="1432" spans="1:20" x14ac:dyDescent="0.25">
      <c r="A1432" s="1"/>
      <c r="B1432" s="2"/>
      <c r="C1432" s="2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2"/>
      <c r="S1432" s="1"/>
      <c r="T1432" s="1"/>
    </row>
    <row r="1433" spans="1:20" x14ac:dyDescent="0.25">
      <c r="A1433" s="1"/>
      <c r="B1433" s="2"/>
      <c r="C1433" s="2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2"/>
      <c r="S1433" s="1"/>
      <c r="T1433" s="1"/>
    </row>
    <row r="1434" spans="1:20" x14ac:dyDescent="0.25">
      <c r="A1434" s="1"/>
      <c r="B1434" s="2"/>
      <c r="C1434" s="2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2"/>
      <c r="S1434" s="1"/>
      <c r="T1434" s="1"/>
    </row>
    <row r="1435" spans="1:20" x14ac:dyDescent="0.25">
      <c r="A1435" s="1"/>
      <c r="B1435" s="2"/>
      <c r="C1435" s="2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2"/>
      <c r="S1435" s="1"/>
      <c r="T1435" s="1"/>
    </row>
    <row r="1436" spans="1:20" x14ac:dyDescent="0.25">
      <c r="A1436" s="1"/>
      <c r="B1436" s="2"/>
      <c r="C1436" s="2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2"/>
      <c r="S1436" s="1"/>
      <c r="T1436" s="1"/>
    </row>
    <row r="1437" spans="1:20" x14ac:dyDescent="0.25">
      <c r="A1437" s="1"/>
      <c r="B1437" s="2"/>
      <c r="C1437" s="2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2"/>
      <c r="S1437" s="1"/>
      <c r="T1437" s="1"/>
    </row>
    <row r="1438" spans="1:20" x14ac:dyDescent="0.25">
      <c r="A1438" s="1"/>
      <c r="B1438" s="2"/>
      <c r="C1438" s="2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2"/>
      <c r="S1438" s="1"/>
      <c r="T1438" s="1"/>
    </row>
    <row r="1439" spans="1:20" x14ac:dyDescent="0.25">
      <c r="A1439" s="1"/>
      <c r="B1439" s="2"/>
      <c r="C1439" s="2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2"/>
      <c r="S1439" s="1"/>
      <c r="T1439" s="1"/>
    </row>
    <row r="1440" spans="1:20" x14ac:dyDescent="0.25">
      <c r="A1440" s="1"/>
      <c r="B1440" s="2"/>
      <c r="C1440" s="2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2"/>
      <c r="S1440" s="1"/>
      <c r="T1440" s="1"/>
    </row>
    <row r="1441" spans="1:20" x14ac:dyDescent="0.25">
      <c r="A1441" s="1"/>
      <c r="B1441" s="2"/>
      <c r="C1441" s="2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2"/>
      <c r="S1441" s="1"/>
      <c r="T1441" s="1"/>
    </row>
    <row r="1442" spans="1:20" x14ac:dyDescent="0.25">
      <c r="A1442" s="1"/>
      <c r="B1442" s="2"/>
      <c r="C1442" s="2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2"/>
      <c r="S1442" s="1"/>
      <c r="T1442" s="1"/>
    </row>
    <row r="1443" spans="1:20" x14ac:dyDescent="0.25">
      <c r="A1443" s="1"/>
      <c r="B1443" s="2"/>
      <c r="C1443" s="2"/>
      <c r="D1443" s="1"/>
      <c r="E1443" s="1"/>
      <c r="F1443" s="89"/>
      <c r="G1443" s="1"/>
      <c r="H1443" s="1"/>
      <c r="I1443" s="89"/>
      <c r="J1443" s="1"/>
      <c r="K1443" s="1"/>
      <c r="L1443" s="1"/>
      <c r="M1443" s="1"/>
      <c r="N1443" s="89"/>
      <c r="O1443" s="89"/>
      <c r="P1443" s="1"/>
      <c r="Q1443" s="1"/>
      <c r="R1443" s="2"/>
      <c r="S1443" s="1"/>
      <c r="T1443" s="1"/>
    </row>
    <row r="1444" spans="1:20" x14ac:dyDescent="0.25">
      <c r="A1444" s="1"/>
      <c r="B1444" s="2"/>
      <c r="C1444" s="2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2"/>
      <c r="S1444" s="1"/>
      <c r="T1444" s="1"/>
    </row>
    <row r="1445" spans="1:20" x14ac:dyDescent="0.25">
      <c r="A1445" s="1"/>
      <c r="B1445" s="2"/>
      <c r="C1445" s="2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2"/>
      <c r="S1445" s="1"/>
      <c r="T1445" s="1"/>
    </row>
    <row r="1446" spans="1:20" x14ac:dyDescent="0.25">
      <c r="A1446" s="1"/>
      <c r="B1446" s="2"/>
      <c r="C1446" s="2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2"/>
      <c r="S1446" s="1"/>
      <c r="T1446" s="1"/>
    </row>
    <row r="1447" spans="1:20" x14ac:dyDescent="0.25">
      <c r="A1447" s="1"/>
      <c r="B1447" s="2"/>
      <c r="C1447" s="2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2"/>
      <c r="S1447" s="1"/>
      <c r="T1447" s="1"/>
    </row>
    <row r="1448" spans="1:20" x14ac:dyDescent="0.25">
      <c r="A1448" s="1"/>
      <c r="B1448" s="2"/>
      <c r="C1448" s="2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2"/>
      <c r="S1448" s="1"/>
      <c r="T1448" s="1"/>
    </row>
    <row r="1449" spans="1:20" x14ac:dyDescent="0.25">
      <c r="A1449" s="1"/>
      <c r="B1449" s="2"/>
      <c r="C1449" s="2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2"/>
      <c r="S1449" s="1"/>
      <c r="T1449" s="1"/>
    </row>
    <row r="1450" spans="1:20" x14ac:dyDescent="0.25">
      <c r="A1450" s="1"/>
      <c r="B1450" s="2"/>
      <c r="C1450" s="2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2"/>
      <c r="S1450" s="1"/>
      <c r="T1450" s="1"/>
    </row>
    <row r="1451" spans="1:20" x14ac:dyDescent="0.25">
      <c r="A1451" s="1"/>
      <c r="B1451" s="2"/>
      <c r="C1451" s="2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2"/>
      <c r="S1451" s="1"/>
      <c r="T1451" s="1"/>
    </row>
    <row r="1452" spans="1:20" x14ac:dyDescent="0.25">
      <c r="A1452" s="1"/>
      <c r="B1452" s="2"/>
      <c r="C1452" s="2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2"/>
      <c r="S1452" s="1"/>
      <c r="T1452" s="1"/>
    </row>
    <row r="1453" spans="1:20" x14ac:dyDescent="0.25">
      <c r="A1453" s="1"/>
      <c r="B1453" s="2"/>
      <c r="C1453" s="2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2"/>
      <c r="S1453" s="1"/>
      <c r="T1453" s="1"/>
    </row>
    <row r="1454" spans="1:20" x14ac:dyDescent="0.25">
      <c r="A1454" s="1"/>
      <c r="B1454" s="2"/>
      <c r="C1454" s="2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2"/>
      <c r="S1454" s="1"/>
      <c r="T1454" s="1"/>
    </row>
    <row r="1455" spans="1:20" x14ac:dyDescent="0.25">
      <c r="A1455" s="1"/>
      <c r="B1455" s="2"/>
      <c r="C1455" s="2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2"/>
      <c r="S1455" s="1"/>
      <c r="T1455" s="1"/>
    </row>
    <row r="1456" spans="1:20" x14ac:dyDescent="0.25">
      <c r="A1456" s="1"/>
      <c r="B1456" s="2"/>
      <c r="C1456" s="2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2"/>
      <c r="S1456" s="1"/>
      <c r="T1456" s="1"/>
    </row>
    <row r="1457" spans="1:20" x14ac:dyDescent="0.25">
      <c r="A1457" s="1"/>
      <c r="B1457" s="2"/>
      <c r="C1457" s="2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2"/>
      <c r="S1457" s="1"/>
      <c r="T1457" s="1"/>
    </row>
    <row r="1458" spans="1:20" x14ac:dyDescent="0.25">
      <c r="A1458" s="1"/>
      <c r="B1458" s="2"/>
      <c r="C1458" s="2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2"/>
      <c r="S1458" s="1"/>
      <c r="T1458" s="1"/>
    </row>
    <row r="1459" spans="1:20" x14ac:dyDescent="0.25">
      <c r="A1459" s="1"/>
      <c r="B1459" s="2"/>
      <c r="C1459" s="2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2"/>
      <c r="S1459" s="1"/>
      <c r="T1459" s="1"/>
    </row>
    <row r="1460" spans="1:20" x14ac:dyDescent="0.25">
      <c r="A1460" s="1"/>
      <c r="B1460" s="2"/>
      <c r="C1460" s="2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2"/>
      <c r="S1460" s="1"/>
      <c r="T1460" s="1"/>
    </row>
    <row r="1461" spans="1:20" x14ac:dyDescent="0.25">
      <c r="A1461" s="1"/>
      <c r="B1461" s="2"/>
      <c r="C1461" s="2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2"/>
      <c r="S1461" s="1"/>
      <c r="T1461" s="1"/>
    </row>
    <row r="1462" spans="1:20" x14ac:dyDescent="0.25">
      <c r="A1462" s="1"/>
      <c r="B1462" s="2"/>
      <c r="C1462" s="2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2"/>
      <c r="S1462" s="1"/>
      <c r="T1462" s="1"/>
    </row>
    <row r="1463" spans="1:20" x14ac:dyDescent="0.25">
      <c r="A1463" s="1"/>
      <c r="B1463" s="2"/>
      <c r="C1463" s="2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2"/>
      <c r="S1463" s="1"/>
      <c r="T1463" s="1"/>
    </row>
    <row r="1464" spans="1:20" x14ac:dyDescent="0.25">
      <c r="A1464" s="1"/>
      <c r="B1464" s="2"/>
      <c r="C1464" s="2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2"/>
      <c r="S1464" s="1"/>
      <c r="T1464" s="1"/>
    </row>
    <row r="1465" spans="1:20" x14ac:dyDescent="0.25">
      <c r="A1465" s="1"/>
      <c r="B1465" s="2"/>
      <c r="C1465" s="2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2"/>
      <c r="S1465" s="1"/>
      <c r="T1465" s="1"/>
    </row>
    <row r="1466" spans="1:20" x14ac:dyDescent="0.25">
      <c r="A1466" s="1"/>
      <c r="B1466" s="2"/>
      <c r="C1466" s="2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2"/>
      <c r="S1466" s="1"/>
      <c r="T1466" s="1"/>
    </row>
    <row r="1467" spans="1:20" x14ac:dyDescent="0.25">
      <c r="A1467" s="1"/>
      <c r="B1467" s="2"/>
      <c r="C1467" s="2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2"/>
      <c r="S1467" s="1"/>
      <c r="T1467" s="1"/>
    </row>
    <row r="1468" spans="1:20" x14ac:dyDescent="0.25">
      <c r="A1468" s="1"/>
      <c r="B1468" s="2"/>
      <c r="C1468" s="2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2"/>
      <c r="S1468" s="1"/>
      <c r="T1468" s="1"/>
    </row>
    <row r="1469" spans="1:20" x14ac:dyDescent="0.25">
      <c r="A1469" s="1"/>
      <c r="B1469" s="2"/>
      <c r="C1469" s="2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2"/>
      <c r="S1469" s="1"/>
      <c r="T1469" s="1"/>
    </row>
    <row r="1470" spans="1:20" x14ac:dyDescent="0.25">
      <c r="A1470" s="1"/>
      <c r="B1470" s="2"/>
      <c r="C1470" s="2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2"/>
      <c r="S1470" s="1"/>
      <c r="T1470" s="1"/>
    </row>
    <row r="1471" spans="1:20" x14ac:dyDescent="0.25">
      <c r="A1471" s="1"/>
      <c r="B1471" s="2"/>
      <c r="C1471" s="2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2"/>
      <c r="S1471" s="1"/>
      <c r="T1471" s="1"/>
    </row>
    <row r="1472" spans="1:20" x14ac:dyDescent="0.25">
      <c r="A1472" s="1"/>
      <c r="B1472" s="2"/>
      <c r="C1472" s="2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2"/>
      <c r="S1472" s="1"/>
      <c r="T1472" s="1"/>
    </row>
    <row r="1473" spans="1:20" x14ac:dyDescent="0.25">
      <c r="A1473" s="1"/>
      <c r="B1473" s="2"/>
      <c r="C1473" s="2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2"/>
      <c r="S1473" s="1"/>
      <c r="T1473" s="1"/>
    </row>
    <row r="1474" spans="1:20" x14ac:dyDescent="0.25">
      <c r="A1474" s="1"/>
      <c r="B1474" s="2"/>
      <c r="C1474" s="2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2"/>
      <c r="S1474" s="1"/>
      <c r="T1474" s="1"/>
    </row>
    <row r="1475" spans="1:20" x14ac:dyDescent="0.25">
      <c r="A1475" s="1"/>
      <c r="B1475" s="2"/>
      <c r="C1475" s="2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2"/>
      <c r="S1475" s="1"/>
      <c r="T1475" s="1"/>
    </row>
    <row r="1476" spans="1:20" x14ac:dyDescent="0.25">
      <c r="A1476" s="1"/>
      <c r="B1476" s="2"/>
      <c r="C1476" s="2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2"/>
      <c r="S1476" s="1"/>
      <c r="T1476" s="1"/>
    </row>
    <row r="1477" spans="1:20" x14ac:dyDescent="0.25">
      <c r="A1477" s="1"/>
      <c r="B1477" s="2"/>
      <c r="C1477" s="2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2"/>
      <c r="S1477" s="1"/>
      <c r="T1477" s="1"/>
    </row>
    <row r="1478" spans="1:20" x14ac:dyDescent="0.25">
      <c r="A1478" s="1"/>
      <c r="B1478" s="2"/>
      <c r="C1478" s="2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2"/>
      <c r="S1478" s="1"/>
      <c r="T1478" s="1"/>
    </row>
    <row r="1479" spans="1:20" x14ac:dyDescent="0.25">
      <c r="A1479" s="1"/>
      <c r="B1479" s="2"/>
      <c r="C1479" s="2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2"/>
      <c r="S1479" s="1"/>
      <c r="T1479" s="1"/>
    </row>
    <row r="1480" spans="1:20" x14ac:dyDescent="0.25">
      <c r="A1480" s="1"/>
      <c r="B1480" s="2"/>
      <c r="C1480" s="2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2"/>
      <c r="S1480" s="1"/>
      <c r="T1480" s="1"/>
    </row>
    <row r="1481" spans="1:20" x14ac:dyDescent="0.25">
      <c r="A1481" s="1"/>
      <c r="B1481" s="2"/>
      <c r="C1481" s="2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2"/>
      <c r="S1481" s="1"/>
      <c r="T1481" s="1"/>
    </row>
    <row r="1482" spans="1:20" x14ac:dyDescent="0.25">
      <c r="A1482" s="1"/>
      <c r="B1482" s="2"/>
      <c r="C1482" s="2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2"/>
      <c r="S1482" s="1"/>
      <c r="T1482" s="1"/>
    </row>
    <row r="1483" spans="1:20" x14ac:dyDescent="0.25">
      <c r="A1483" s="1"/>
      <c r="B1483" s="2"/>
      <c r="C1483" s="2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2"/>
      <c r="S1483" s="1"/>
      <c r="T1483" s="1"/>
    </row>
    <row r="1484" spans="1:20" x14ac:dyDescent="0.25">
      <c r="A1484" s="1"/>
      <c r="B1484" s="2"/>
      <c r="C1484" s="2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2"/>
      <c r="S1484" s="1"/>
      <c r="T1484" s="1"/>
    </row>
    <row r="1485" spans="1:20" x14ac:dyDescent="0.25">
      <c r="A1485" s="1"/>
      <c r="B1485" s="2"/>
      <c r="C1485" s="2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2"/>
      <c r="S1485" s="1"/>
      <c r="T1485" s="1"/>
    </row>
    <row r="1486" spans="1:20" x14ac:dyDescent="0.25">
      <c r="A1486" s="1"/>
      <c r="B1486" s="2"/>
      <c r="C1486" s="2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2"/>
      <c r="S1486" s="1"/>
      <c r="T1486" s="1"/>
    </row>
    <row r="1487" spans="1:20" x14ac:dyDescent="0.25">
      <c r="A1487" s="1"/>
      <c r="B1487" s="2"/>
      <c r="C1487" s="2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2"/>
      <c r="S1487" s="1"/>
      <c r="T1487" s="1"/>
    </row>
    <row r="1488" spans="1:20" x14ac:dyDescent="0.25">
      <c r="A1488" s="1"/>
      <c r="B1488" s="2"/>
      <c r="C1488" s="2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2"/>
      <c r="S1488" s="1"/>
      <c r="T1488" s="1"/>
    </row>
    <row r="1489" spans="1:20" x14ac:dyDescent="0.25">
      <c r="A1489" s="1"/>
      <c r="B1489" s="2"/>
      <c r="C1489" s="2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2"/>
      <c r="S1489" s="1"/>
      <c r="T1489" s="1"/>
    </row>
    <row r="1490" spans="1:20" x14ac:dyDescent="0.25">
      <c r="A1490" s="1"/>
      <c r="B1490" s="2"/>
      <c r="C1490" s="2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2"/>
      <c r="S1490" s="1"/>
      <c r="T1490" s="1"/>
    </row>
    <row r="1491" spans="1:20" x14ac:dyDescent="0.25">
      <c r="A1491" s="1"/>
      <c r="B1491" s="2"/>
      <c r="C1491" s="2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2"/>
      <c r="S1491" s="1"/>
      <c r="T1491" s="1"/>
    </row>
    <row r="1492" spans="1:20" x14ac:dyDescent="0.25">
      <c r="A1492" s="1"/>
      <c r="B1492" s="2"/>
      <c r="C1492" s="2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2"/>
      <c r="S1492" s="1"/>
      <c r="T1492" s="1"/>
    </row>
    <row r="1493" spans="1:20" x14ac:dyDescent="0.25">
      <c r="A1493" s="1"/>
      <c r="B1493" s="2"/>
      <c r="C1493" s="2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2"/>
      <c r="S1493" s="1"/>
      <c r="T1493" s="1"/>
    </row>
    <row r="1494" spans="1:20" x14ac:dyDescent="0.25">
      <c r="A1494" s="1"/>
      <c r="B1494" s="2"/>
      <c r="C1494" s="2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2"/>
      <c r="S1494" s="1"/>
      <c r="T1494" s="1"/>
    </row>
    <row r="1495" spans="1:20" x14ac:dyDescent="0.25">
      <c r="A1495" s="1"/>
      <c r="B1495" s="2"/>
      <c r="C1495" s="2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2"/>
      <c r="S1495" s="1"/>
      <c r="T1495" s="1"/>
    </row>
    <row r="1496" spans="1:20" x14ac:dyDescent="0.25">
      <c r="A1496" s="1"/>
      <c r="B1496" s="2"/>
      <c r="C1496" s="2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2"/>
      <c r="S1496" s="1"/>
      <c r="T1496" s="1"/>
    </row>
    <row r="1497" spans="1:20" x14ac:dyDescent="0.25">
      <c r="A1497" s="1"/>
      <c r="B1497" s="2"/>
      <c r="C1497" s="2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2"/>
      <c r="S1497" s="1"/>
      <c r="T1497" s="1"/>
    </row>
    <row r="1498" spans="1:20" x14ac:dyDescent="0.25">
      <c r="A1498" s="1"/>
      <c r="B1498" s="2"/>
      <c r="C1498" s="2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2"/>
      <c r="S1498" s="1"/>
      <c r="T1498" s="1"/>
    </row>
    <row r="1499" spans="1:20" x14ac:dyDescent="0.25">
      <c r="A1499" s="1"/>
      <c r="B1499" s="2"/>
      <c r="C1499" s="2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2"/>
      <c r="S1499" s="1"/>
      <c r="T1499" s="1"/>
    </row>
    <row r="1500" spans="1:20" x14ac:dyDescent="0.25">
      <c r="A1500" s="1"/>
      <c r="B1500" s="2"/>
      <c r="C1500" s="2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2"/>
      <c r="S1500" s="1"/>
      <c r="T1500" s="1"/>
    </row>
    <row r="1501" spans="1:20" x14ac:dyDescent="0.25">
      <c r="A1501" s="1"/>
      <c r="B1501" s="2"/>
      <c r="C1501" s="2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2"/>
      <c r="S1501" s="1"/>
      <c r="T1501" s="1"/>
    </row>
    <row r="1502" spans="1:20" x14ac:dyDescent="0.25">
      <c r="A1502" s="1"/>
      <c r="B1502" s="2"/>
      <c r="C1502" s="2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2"/>
      <c r="S1502" s="1"/>
      <c r="T1502" s="1"/>
    </row>
    <row r="1503" spans="1:20" x14ac:dyDescent="0.25">
      <c r="A1503" s="1"/>
      <c r="B1503" s="2"/>
      <c r="C1503" s="2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2"/>
      <c r="S1503" s="1"/>
      <c r="T1503" s="1"/>
    </row>
    <row r="1504" spans="1:20" x14ac:dyDescent="0.25">
      <c r="A1504" s="1"/>
      <c r="B1504" s="2"/>
      <c r="C1504" s="2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2"/>
      <c r="S1504" s="1"/>
      <c r="T1504" s="1"/>
    </row>
    <row r="1505" spans="1:20" x14ac:dyDescent="0.25">
      <c r="A1505" s="1"/>
      <c r="B1505" s="2"/>
      <c r="C1505" s="2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2"/>
      <c r="S1505" s="1"/>
      <c r="T1505" s="1"/>
    </row>
    <row r="1506" spans="1:20" x14ac:dyDescent="0.25">
      <c r="A1506" s="1"/>
      <c r="B1506" s="2"/>
      <c r="C1506" s="2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2"/>
      <c r="S1506" s="1"/>
      <c r="T1506" s="1"/>
    </row>
    <row r="1507" spans="1:20" x14ac:dyDescent="0.25">
      <c r="A1507" s="1"/>
      <c r="B1507" s="2"/>
      <c r="C1507" s="2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2"/>
      <c r="S1507" s="1"/>
      <c r="T1507" s="1"/>
    </row>
    <row r="1508" spans="1:20" x14ac:dyDescent="0.25">
      <c r="A1508" s="1"/>
      <c r="B1508" s="2"/>
      <c r="C1508" s="2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2"/>
      <c r="S1508" s="1"/>
      <c r="T1508" s="1"/>
    </row>
    <row r="1509" spans="1:20" x14ac:dyDescent="0.25">
      <c r="A1509" s="1"/>
      <c r="B1509" s="2"/>
      <c r="C1509" s="2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2"/>
      <c r="S1509" s="1"/>
      <c r="T1509" s="1"/>
    </row>
    <row r="1510" spans="1:20" x14ac:dyDescent="0.25">
      <c r="A1510" s="1"/>
      <c r="B1510" s="2"/>
      <c r="C1510" s="2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2"/>
      <c r="S1510" s="1"/>
      <c r="T1510" s="1"/>
    </row>
    <row r="1511" spans="1:20" x14ac:dyDescent="0.25">
      <c r="A1511" s="1"/>
      <c r="B1511" s="2"/>
      <c r="C1511" s="2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2"/>
      <c r="S1511" s="1"/>
      <c r="T1511" s="1"/>
    </row>
    <row r="1512" spans="1:20" x14ac:dyDescent="0.25">
      <c r="A1512" s="1"/>
      <c r="B1512" s="2"/>
      <c r="C1512" s="2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2"/>
      <c r="S1512" s="1"/>
      <c r="T1512" s="1"/>
    </row>
    <row r="1513" spans="1:20" x14ac:dyDescent="0.25">
      <c r="A1513" s="1"/>
      <c r="B1513" s="2"/>
      <c r="C1513" s="2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2"/>
      <c r="S1513" s="1"/>
      <c r="T1513" s="1"/>
    </row>
    <row r="1514" spans="1:20" x14ac:dyDescent="0.25">
      <c r="A1514" s="1"/>
      <c r="B1514" s="2"/>
      <c r="C1514" s="2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2"/>
      <c r="S1514" s="1"/>
      <c r="T1514" s="1"/>
    </row>
    <row r="1515" spans="1:20" x14ac:dyDescent="0.25">
      <c r="A1515" s="1"/>
      <c r="B1515" s="2"/>
      <c r="C1515" s="2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2"/>
      <c r="S1515" s="1"/>
      <c r="T1515" s="1"/>
    </row>
    <row r="1516" spans="1:20" x14ac:dyDescent="0.25">
      <c r="A1516" s="1"/>
      <c r="B1516" s="2"/>
      <c r="C1516" s="2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2"/>
      <c r="S1516" s="1"/>
      <c r="T1516" s="1"/>
    </row>
    <row r="1517" spans="1:20" x14ac:dyDescent="0.25">
      <c r="A1517" s="1"/>
      <c r="B1517" s="2"/>
      <c r="C1517" s="2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2"/>
      <c r="S1517" s="1"/>
      <c r="T1517" s="1"/>
    </row>
    <row r="1518" spans="1:20" x14ac:dyDescent="0.25">
      <c r="A1518" s="1"/>
      <c r="B1518" s="2"/>
      <c r="C1518" s="2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2"/>
      <c r="S1518" s="1"/>
      <c r="T1518" s="1"/>
    </row>
    <row r="1519" spans="1:20" x14ac:dyDescent="0.25">
      <c r="A1519" s="1"/>
      <c r="B1519" s="2"/>
      <c r="C1519" s="2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2"/>
      <c r="S1519" s="1"/>
      <c r="T1519" s="1"/>
    </row>
    <row r="1520" spans="1:20" x14ac:dyDescent="0.25">
      <c r="A1520" s="1"/>
      <c r="B1520" s="2"/>
      <c r="C1520" s="2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2"/>
      <c r="S1520" s="1"/>
      <c r="T1520" s="1"/>
    </row>
    <row r="1521" spans="1:20" x14ac:dyDescent="0.25">
      <c r="A1521" s="1"/>
      <c r="B1521" s="2"/>
      <c r="C1521" s="2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2"/>
      <c r="S1521" s="1"/>
      <c r="T1521" s="1"/>
    </row>
    <row r="1522" spans="1:20" x14ac:dyDescent="0.25">
      <c r="A1522" s="1"/>
      <c r="B1522" s="2"/>
      <c r="C1522" s="2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2"/>
      <c r="S1522" s="1"/>
      <c r="T1522" s="1"/>
    </row>
    <row r="1523" spans="1:20" x14ac:dyDescent="0.25">
      <c r="A1523" s="1"/>
      <c r="B1523" s="2"/>
      <c r="C1523" s="2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2"/>
      <c r="S1523" s="1"/>
      <c r="T1523" s="1"/>
    </row>
    <row r="1524" spans="1:20" x14ac:dyDescent="0.25">
      <c r="A1524" s="1"/>
      <c r="B1524" s="2"/>
      <c r="C1524" s="2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2"/>
      <c r="S1524" s="1"/>
      <c r="T1524" s="1"/>
    </row>
    <row r="1525" spans="1:20" x14ac:dyDescent="0.25">
      <c r="A1525" s="1"/>
      <c r="B1525" s="2"/>
      <c r="C1525" s="2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2"/>
      <c r="S1525" s="1"/>
      <c r="T1525" s="1"/>
    </row>
    <row r="1526" spans="1:20" x14ac:dyDescent="0.25">
      <c r="A1526" s="1"/>
      <c r="B1526" s="2"/>
      <c r="C1526" s="2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2"/>
      <c r="S1526" s="1"/>
      <c r="T1526" s="1"/>
    </row>
    <row r="1527" spans="1:20" x14ac:dyDescent="0.25">
      <c r="A1527" s="1"/>
      <c r="B1527" s="2"/>
      <c r="C1527" s="2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2"/>
      <c r="S1527" s="1"/>
      <c r="T1527" s="1"/>
    </row>
    <row r="1528" spans="1:20" x14ac:dyDescent="0.25">
      <c r="A1528" s="1"/>
      <c r="B1528" s="2"/>
      <c r="C1528" s="2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2"/>
      <c r="S1528" s="1"/>
      <c r="T1528" s="1"/>
    </row>
    <row r="1529" spans="1:20" x14ac:dyDescent="0.25">
      <c r="A1529" s="1"/>
      <c r="B1529" s="2"/>
      <c r="C1529" s="2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2"/>
      <c r="S1529" s="1"/>
      <c r="T1529" s="1"/>
    </row>
    <row r="1530" spans="1:20" x14ac:dyDescent="0.25">
      <c r="A1530" s="1"/>
      <c r="B1530" s="2"/>
      <c r="C1530" s="2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2"/>
      <c r="S1530" s="1"/>
      <c r="T1530" s="1"/>
    </row>
    <row r="1531" spans="1:20" x14ac:dyDescent="0.25">
      <c r="A1531" s="1"/>
      <c r="B1531" s="2"/>
      <c r="C1531" s="2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2"/>
      <c r="S1531" s="1"/>
      <c r="T1531" s="1"/>
    </row>
    <row r="1532" spans="1:20" x14ac:dyDescent="0.25">
      <c r="A1532" s="1"/>
      <c r="B1532" s="2"/>
      <c r="C1532" s="2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2"/>
      <c r="S1532" s="1"/>
      <c r="T1532" s="1"/>
    </row>
    <row r="1533" spans="1:20" x14ac:dyDescent="0.25">
      <c r="A1533" s="1"/>
      <c r="B1533" s="2"/>
      <c r="C1533" s="2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2"/>
      <c r="S1533" s="1"/>
      <c r="T1533" s="1"/>
    </row>
    <row r="1534" spans="1:20" x14ac:dyDescent="0.25">
      <c r="A1534" s="1"/>
      <c r="B1534" s="2"/>
      <c r="C1534" s="2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2"/>
      <c r="S1534" s="1"/>
      <c r="T1534" s="1"/>
    </row>
    <row r="1535" spans="1:20" x14ac:dyDescent="0.25">
      <c r="A1535" s="1"/>
      <c r="B1535" s="2"/>
      <c r="C1535" s="2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2"/>
      <c r="S1535" s="1"/>
      <c r="T1535" s="1"/>
    </row>
    <row r="1536" spans="1:20" x14ac:dyDescent="0.25">
      <c r="A1536" s="1"/>
      <c r="B1536" s="2"/>
      <c r="C1536" s="2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2"/>
      <c r="S1536" s="1"/>
      <c r="T1536" s="1"/>
    </row>
    <row r="1537" spans="1:20" x14ac:dyDescent="0.25">
      <c r="A1537" s="1"/>
      <c r="B1537" s="2"/>
      <c r="C1537" s="2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2"/>
      <c r="S1537" s="1"/>
      <c r="T1537" s="1"/>
    </row>
    <row r="1538" spans="1:20" x14ac:dyDescent="0.25">
      <c r="A1538" s="1"/>
      <c r="B1538" s="2"/>
      <c r="C1538" s="2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2"/>
      <c r="S1538" s="1"/>
      <c r="T1538" s="1"/>
    </row>
    <row r="1539" spans="1:20" x14ac:dyDescent="0.25">
      <c r="A1539" s="1"/>
      <c r="B1539" s="2"/>
      <c r="C1539" s="2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2"/>
      <c r="S1539" s="1"/>
      <c r="T1539" s="1"/>
    </row>
    <row r="1540" spans="1:20" x14ac:dyDescent="0.25">
      <c r="A1540" s="1"/>
      <c r="B1540" s="2"/>
      <c r="C1540" s="2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2"/>
      <c r="S1540" s="1"/>
      <c r="T1540" s="1"/>
    </row>
    <row r="1541" spans="1:20" x14ac:dyDescent="0.25">
      <c r="A1541" s="1"/>
      <c r="B1541" s="2"/>
      <c r="C1541" s="2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2"/>
      <c r="S1541" s="1"/>
      <c r="T1541" s="1"/>
    </row>
    <row r="1542" spans="1:20" x14ac:dyDescent="0.25">
      <c r="A1542" s="1"/>
      <c r="B1542" s="2"/>
      <c r="C1542" s="2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2"/>
      <c r="S1542" s="1"/>
      <c r="T1542" s="1"/>
    </row>
    <row r="1543" spans="1:20" x14ac:dyDescent="0.25">
      <c r="A1543" s="1"/>
      <c r="B1543" s="2"/>
      <c r="C1543" s="2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2"/>
      <c r="S1543" s="1"/>
      <c r="T1543" s="1"/>
    </row>
    <row r="1544" spans="1:20" x14ac:dyDescent="0.25">
      <c r="A1544" s="1"/>
      <c r="B1544" s="2"/>
      <c r="C1544" s="2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2"/>
      <c r="S1544" s="1"/>
      <c r="T1544" s="1"/>
    </row>
    <row r="1545" spans="1:20" x14ac:dyDescent="0.25">
      <c r="A1545" s="1"/>
      <c r="B1545" s="2"/>
      <c r="C1545" s="2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2"/>
      <c r="S1545" s="1"/>
      <c r="T1545" s="1"/>
    </row>
    <row r="1546" spans="1:20" x14ac:dyDescent="0.25">
      <c r="A1546" s="1"/>
      <c r="B1546" s="2"/>
      <c r="C1546" s="2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2"/>
      <c r="S1546" s="1"/>
      <c r="T1546" s="1"/>
    </row>
    <row r="1547" spans="1:20" x14ac:dyDescent="0.25">
      <c r="A1547" s="1"/>
      <c r="B1547" s="2"/>
      <c r="C1547" s="2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2"/>
      <c r="S1547" s="1"/>
      <c r="T1547" s="1"/>
    </row>
    <row r="1548" spans="1:20" x14ac:dyDescent="0.25">
      <c r="A1548" s="1"/>
      <c r="B1548" s="2"/>
      <c r="C1548" s="2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2"/>
      <c r="S1548" s="1"/>
      <c r="T1548" s="1"/>
    </row>
    <row r="1549" spans="1:20" x14ac:dyDescent="0.25">
      <c r="A1549" s="1"/>
      <c r="B1549" s="2"/>
      <c r="C1549" s="2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2"/>
      <c r="S1549" s="1"/>
      <c r="T1549" s="1"/>
    </row>
    <row r="1550" spans="1:20" x14ac:dyDescent="0.25">
      <c r="A1550" s="1"/>
      <c r="B1550" s="2"/>
      <c r="C1550" s="2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2"/>
      <c r="S1550" s="1"/>
      <c r="T1550" s="1"/>
    </row>
    <row r="1551" spans="1:20" x14ac:dyDescent="0.25">
      <c r="A1551" s="1"/>
      <c r="B1551" s="2"/>
      <c r="C1551" s="2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2"/>
      <c r="S1551" s="1"/>
      <c r="T1551" s="1"/>
    </row>
    <row r="1552" spans="1:20" x14ac:dyDescent="0.25">
      <c r="A1552" s="1"/>
      <c r="B1552" s="2"/>
      <c r="C1552" s="2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2"/>
      <c r="S1552" s="1"/>
      <c r="T1552" s="1"/>
    </row>
    <row r="1553" spans="1:20" x14ac:dyDescent="0.25">
      <c r="A1553" s="1"/>
      <c r="B1553" s="2"/>
      <c r="C1553" s="2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2"/>
      <c r="S1553" s="1"/>
      <c r="T1553" s="1"/>
    </row>
    <row r="1554" spans="1:20" x14ac:dyDescent="0.25">
      <c r="A1554" s="1"/>
      <c r="B1554" s="2"/>
      <c r="C1554" s="2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2"/>
      <c r="S1554" s="1"/>
      <c r="T1554" s="1"/>
    </row>
    <row r="1555" spans="1:20" x14ac:dyDescent="0.25">
      <c r="A1555" s="1"/>
      <c r="B1555" s="2"/>
      <c r="C1555" s="2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2"/>
      <c r="S1555" s="1"/>
      <c r="T1555" s="1"/>
    </row>
    <row r="1556" spans="1:20" x14ac:dyDescent="0.25">
      <c r="A1556" s="1"/>
      <c r="B1556" s="2"/>
      <c r="C1556" s="2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2"/>
      <c r="S1556" s="1"/>
      <c r="T1556" s="1"/>
    </row>
    <row r="1557" spans="1:20" x14ac:dyDescent="0.25">
      <c r="A1557" s="1"/>
      <c r="B1557" s="2"/>
      <c r="C1557" s="2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2"/>
      <c r="S1557" s="1"/>
      <c r="T1557" s="1"/>
    </row>
    <row r="1558" spans="1:20" x14ac:dyDescent="0.25">
      <c r="A1558" s="1"/>
      <c r="B1558" s="2"/>
      <c r="C1558" s="2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2"/>
      <c r="S1558" s="1"/>
      <c r="T1558" s="1"/>
    </row>
    <row r="1559" spans="1:20" x14ac:dyDescent="0.25">
      <c r="A1559" s="1"/>
      <c r="B1559" s="2"/>
      <c r="C1559" s="2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2"/>
      <c r="S1559" s="1"/>
      <c r="T1559" s="1"/>
    </row>
    <row r="1560" spans="1:20" x14ac:dyDescent="0.25">
      <c r="A1560" s="1"/>
      <c r="B1560" s="2"/>
      <c r="C1560" s="2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2"/>
      <c r="S1560" s="1"/>
      <c r="T1560" s="1"/>
    </row>
    <row r="1561" spans="1:20" x14ac:dyDescent="0.25">
      <c r="A1561" s="1"/>
      <c r="B1561" s="2"/>
      <c r="C1561" s="2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2"/>
      <c r="S1561" s="1"/>
      <c r="T1561" s="1"/>
    </row>
    <row r="1562" spans="1:20" x14ac:dyDescent="0.25">
      <c r="A1562" s="1"/>
      <c r="B1562" s="2"/>
      <c r="C1562" s="2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2"/>
      <c r="S1562" s="1"/>
      <c r="T1562" s="1"/>
    </row>
    <row r="1563" spans="1:20" x14ac:dyDescent="0.25">
      <c r="A1563" s="1"/>
      <c r="B1563" s="2"/>
      <c r="C1563" s="2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2"/>
      <c r="S1563" s="1"/>
      <c r="T1563" s="1"/>
    </row>
    <row r="1564" spans="1:20" x14ac:dyDescent="0.25">
      <c r="A1564" s="1"/>
      <c r="B1564" s="2"/>
      <c r="C1564" s="2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2"/>
      <c r="S1564" s="1"/>
      <c r="T1564" s="1"/>
    </row>
    <row r="1565" spans="1:20" x14ac:dyDescent="0.25">
      <c r="A1565" s="1"/>
      <c r="B1565" s="2"/>
      <c r="C1565" s="2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2"/>
      <c r="S1565" s="1"/>
      <c r="T1565" s="1"/>
    </row>
    <row r="1566" spans="1:20" x14ac:dyDescent="0.25">
      <c r="A1566" s="1"/>
      <c r="B1566" s="2"/>
      <c r="C1566" s="2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2"/>
      <c r="S1566" s="1"/>
      <c r="T1566" s="1"/>
    </row>
    <row r="1567" spans="1:20" x14ac:dyDescent="0.25">
      <c r="A1567" s="1"/>
      <c r="B1567" s="2"/>
      <c r="C1567" s="2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2"/>
      <c r="S1567" s="1"/>
      <c r="T1567" s="1"/>
    </row>
    <row r="1568" spans="1:20" x14ac:dyDescent="0.25">
      <c r="A1568" s="1"/>
      <c r="B1568" s="2"/>
      <c r="C1568" s="2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2"/>
      <c r="S1568" s="1"/>
      <c r="T1568" s="1"/>
    </row>
    <row r="1569" spans="1:20" x14ac:dyDescent="0.25">
      <c r="A1569" s="1"/>
      <c r="B1569" s="2"/>
      <c r="C1569" s="2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2"/>
      <c r="S1569" s="1"/>
      <c r="T1569" s="1"/>
    </row>
    <row r="1570" spans="1:20" x14ac:dyDescent="0.25">
      <c r="A1570" s="1"/>
      <c r="B1570" s="2"/>
      <c r="C1570" s="2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2"/>
      <c r="S1570" s="1"/>
      <c r="T1570" s="1"/>
    </row>
    <row r="1571" spans="1:20" x14ac:dyDescent="0.25">
      <c r="A1571" s="1"/>
      <c r="B1571" s="2"/>
      <c r="C1571" s="2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2"/>
      <c r="S1571" s="1"/>
      <c r="T1571" s="1"/>
    </row>
    <row r="1572" spans="1:20" x14ac:dyDescent="0.25">
      <c r="A1572" s="1"/>
      <c r="B1572" s="2"/>
      <c r="C1572" s="2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2"/>
      <c r="S1572" s="1"/>
      <c r="T1572" s="1"/>
    </row>
    <row r="1573" spans="1:20" x14ac:dyDescent="0.25">
      <c r="A1573" s="1"/>
      <c r="B1573" s="2"/>
      <c r="C1573" s="2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2"/>
      <c r="S1573" s="1"/>
      <c r="T1573" s="1"/>
    </row>
    <row r="1574" spans="1:20" x14ac:dyDescent="0.25">
      <c r="A1574" s="1"/>
      <c r="B1574" s="2"/>
      <c r="C1574" s="2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2"/>
      <c r="S1574" s="1"/>
      <c r="T1574" s="1"/>
    </row>
    <row r="1575" spans="1:20" x14ac:dyDescent="0.25">
      <c r="A1575" s="1"/>
      <c r="B1575" s="2"/>
      <c r="C1575" s="2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2"/>
      <c r="S1575" s="1"/>
      <c r="T1575" s="1"/>
    </row>
    <row r="1576" spans="1:20" x14ac:dyDescent="0.25">
      <c r="A1576" s="1"/>
      <c r="B1576" s="2"/>
      <c r="C1576" s="2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2"/>
      <c r="S1576" s="1"/>
      <c r="T1576" s="1"/>
    </row>
    <row r="1577" spans="1:20" x14ac:dyDescent="0.25">
      <c r="A1577" s="1"/>
      <c r="B1577" s="2"/>
      <c r="C1577" s="2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2"/>
      <c r="S1577" s="1"/>
      <c r="T1577" s="1"/>
    </row>
    <row r="1578" spans="1:20" x14ac:dyDescent="0.25">
      <c r="A1578" s="1"/>
      <c r="B1578" s="2"/>
      <c r="C1578" s="2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2"/>
      <c r="S1578" s="1"/>
      <c r="T1578" s="1"/>
    </row>
    <row r="1579" spans="1:20" x14ac:dyDescent="0.25">
      <c r="A1579" s="1"/>
      <c r="B1579" s="2"/>
      <c r="C1579" s="2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2"/>
      <c r="S1579" s="1"/>
      <c r="T1579" s="1"/>
    </row>
    <row r="1580" spans="1:20" x14ac:dyDescent="0.25">
      <c r="A1580" s="1"/>
      <c r="B1580" s="2"/>
      <c r="C1580" s="2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2"/>
      <c r="S1580" s="1"/>
      <c r="T1580" s="1"/>
    </row>
    <row r="1581" spans="1:20" x14ac:dyDescent="0.25">
      <c r="A1581" s="1"/>
      <c r="B1581" s="2"/>
      <c r="C1581" s="2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2"/>
      <c r="S1581" s="1"/>
      <c r="T1581" s="1"/>
    </row>
    <row r="1582" spans="1:20" x14ac:dyDescent="0.25">
      <c r="A1582" s="1"/>
      <c r="B1582" s="2"/>
      <c r="C1582" s="2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2"/>
      <c r="S1582" s="1"/>
      <c r="T1582" s="1"/>
    </row>
    <row r="1583" spans="1:20" x14ac:dyDescent="0.25">
      <c r="A1583" s="1"/>
      <c r="B1583" s="2"/>
      <c r="C1583" s="2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2"/>
      <c r="S1583" s="1"/>
      <c r="T1583" s="1"/>
    </row>
    <row r="1584" spans="1:20" x14ac:dyDescent="0.25">
      <c r="A1584" s="1"/>
      <c r="B1584" s="2"/>
      <c r="C1584" s="2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2"/>
      <c r="S1584" s="1"/>
      <c r="T1584" s="1"/>
    </row>
    <row r="1585" spans="1:20" x14ac:dyDescent="0.25">
      <c r="A1585" s="1"/>
      <c r="B1585" s="2"/>
      <c r="C1585" s="2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2"/>
      <c r="S1585" s="1"/>
      <c r="T1585" s="1"/>
    </row>
    <row r="1586" spans="1:20" x14ac:dyDescent="0.25">
      <c r="A1586" s="1"/>
      <c r="B1586" s="2"/>
      <c r="C1586" s="2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2"/>
      <c r="S1586" s="1"/>
      <c r="T1586" s="1"/>
    </row>
    <row r="1587" spans="1:20" x14ac:dyDescent="0.25">
      <c r="A1587" s="1"/>
      <c r="B1587" s="2"/>
      <c r="C1587" s="2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2"/>
      <c r="S1587" s="1"/>
      <c r="T1587" s="1"/>
    </row>
    <row r="1588" spans="1:20" x14ac:dyDescent="0.25">
      <c r="A1588" s="1"/>
      <c r="B1588" s="2"/>
      <c r="C1588" s="2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2"/>
      <c r="S1588" s="1"/>
      <c r="T1588" s="1"/>
    </row>
    <row r="1589" spans="1:20" x14ac:dyDescent="0.25">
      <c r="A1589" s="1"/>
      <c r="B1589" s="2"/>
      <c r="C1589" s="2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2"/>
      <c r="S1589" s="1"/>
      <c r="T1589" s="1"/>
    </row>
    <row r="1590" spans="1:20" x14ac:dyDescent="0.25">
      <c r="A1590" s="1"/>
      <c r="B1590" s="2"/>
      <c r="C1590" s="2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2"/>
      <c r="S1590" s="1"/>
      <c r="T1590" s="1"/>
    </row>
    <row r="1591" spans="1:20" x14ac:dyDescent="0.25">
      <c r="A1591" s="1"/>
      <c r="B1591" s="2"/>
      <c r="C1591" s="2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2"/>
      <c r="S1591" s="1"/>
      <c r="T1591" s="1"/>
    </row>
    <row r="1592" spans="1:20" x14ac:dyDescent="0.25">
      <c r="A1592" s="1"/>
      <c r="B1592" s="2"/>
      <c r="C1592" s="2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2"/>
      <c r="S1592" s="1"/>
      <c r="T1592" s="1"/>
    </row>
    <row r="1593" spans="1:20" x14ac:dyDescent="0.25">
      <c r="A1593" s="1"/>
      <c r="B1593" s="2"/>
      <c r="C1593" s="2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2"/>
      <c r="S1593" s="1"/>
      <c r="T1593" s="1"/>
    </row>
    <row r="1594" spans="1:20" x14ac:dyDescent="0.25">
      <c r="A1594" s="1"/>
      <c r="B1594" s="2"/>
      <c r="C1594" s="2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2"/>
      <c r="S1594" s="1"/>
      <c r="T1594" s="1"/>
    </row>
    <row r="1595" spans="1:20" x14ac:dyDescent="0.25">
      <c r="A1595" s="1"/>
      <c r="B1595" s="2"/>
      <c r="C1595" s="2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2"/>
      <c r="S1595" s="1"/>
      <c r="T1595" s="1"/>
    </row>
    <row r="1596" spans="1:20" x14ac:dyDescent="0.25">
      <c r="A1596" s="1"/>
      <c r="B1596" s="2"/>
      <c r="C1596" s="2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2"/>
      <c r="S1596" s="1"/>
      <c r="T1596" s="1"/>
    </row>
    <row r="1597" spans="1:20" x14ac:dyDescent="0.25">
      <c r="A1597" s="1"/>
      <c r="B1597" s="2"/>
      <c r="C1597" s="2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2"/>
      <c r="S1597" s="1"/>
      <c r="T1597" s="1"/>
    </row>
    <row r="1598" spans="1:20" x14ac:dyDescent="0.25">
      <c r="A1598" s="1"/>
      <c r="B1598" s="2"/>
      <c r="C1598" s="2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2"/>
      <c r="S1598" s="1"/>
      <c r="T1598" s="1"/>
    </row>
    <row r="1599" spans="1:20" x14ac:dyDescent="0.25">
      <c r="A1599" s="1"/>
      <c r="B1599" s="2"/>
      <c r="C1599" s="2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2"/>
      <c r="S1599" s="1"/>
      <c r="T1599" s="1"/>
    </row>
    <row r="1600" spans="1:20" x14ac:dyDescent="0.25">
      <c r="A1600" s="1"/>
      <c r="B1600" s="2"/>
      <c r="C1600" s="2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2"/>
      <c r="S1600" s="1"/>
      <c r="T1600" s="1"/>
    </row>
    <row r="1601" spans="1:20" x14ac:dyDescent="0.25">
      <c r="A1601" s="1"/>
      <c r="B1601" s="2"/>
      <c r="C1601" s="2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2"/>
      <c r="S1601" s="1"/>
      <c r="T1601" s="1"/>
    </row>
    <row r="1602" spans="1:20" x14ac:dyDescent="0.25">
      <c r="A1602" s="1"/>
      <c r="B1602" s="2"/>
      <c r="C1602" s="2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2"/>
      <c r="S1602" s="1"/>
      <c r="T1602" s="1"/>
    </row>
    <row r="1603" spans="1:20" x14ac:dyDescent="0.25">
      <c r="A1603" s="1"/>
      <c r="B1603" s="2"/>
      <c r="C1603" s="2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2"/>
      <c r="S1603" s="1"/>
      <c r="T1603" s="1"/>
    </row>
    <row r="1604" spans="1:20" x14ac:dyDescent="0.25">
      <c r="A1604" s="1"/>
      <c r="B1604" s="2"/>
      <c r="C1604" s="2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2"/>
      <c r="S1604" s="1"/>
      <c r="T1604" s="1"/>
    </row>
    <row r="1605" spans="1:20" x14ac:dyDescent="0.25">
      <c r="A1605" s="1"/>
      <c r="B1605" s="2"/>
      <c r="C1605" s="2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2"/>
      <c r="S1605" s="1"/>
      <c r="T1605" s="1"/>
    </row>
    <row r="1606" spans="1:20" x14ac:dyDescent="0.25">
      <c r="A1606" s="1"/>
      <c r="B1606" s="2"/>
      <c r="C1606" s="2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2"/>
      <c r="S1606" s="1"/>
      <c r="T1606" s="1"/>
    </row>
    <row r="1607" spans="1:20" x14ac:dyDescent="0.25">
      <c r="A1607" s="1"/>
      <c r="B1607" s="2"/>
      <c r="C1607" s="2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2"/>
      <c r="S1607" s="1"/>
      <c r="T1607" s="1"/>
    </row>
    <row r="1608" spans="1:20" x14ac:dyDescent="0.25">
      <c r="A1608" s="1"/>
      <c r="B1608" s="2"/>
      <c r="C1608" s="2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2"/>
      <c r="S1608" s="1"/>
      <c r="T1608" s="1"/>
    </row>
    <row r="1609" spans="1:20" x14ac:dyDescent="0.25">
      <c r="A1609" s="1"/>
      <c r="B1609" s="2"/>
      <c r="C1609" s="2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2"/>
      <c r="S1609" s="1"/>
      <c r="T1609" s="1"/>
    </row>
    <row r="1610" spans="1:20" x14ac:dyDescent="0.25">
      <c r="A1610" s="1"/>
      <c r="B1610" s="2"/>
      <c r="C1610" s="2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2"/>
      <c r="S1610" s="1"/>
      <c r="T1610" s="1"/>
    </row>
    <row r="1611" spans="1:20" x14ac:dyDescent="0.25">
      <c r="A1611" s="1"/>
      <c r="B1611" s="2"/>
      <c r="C1611" s="2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2"/>
      <c r="S1611" s="1"/>
      <c r="T1611" s="1"/>
    </row>
    <row r="1612" spans="1:20" x14ac:dyDescent="0.25">
      <c r="A1612" s="1"/>
      <c r="B1612" s="2"/>
      <c r="C1612" s="2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2"/>
      <c r="S1612" s="1"/>
      <c r="T1612" s="1"/>
    </row>
    <row r="1613" spans="1:20" x14ac:dyDescent="0.25">
      <c r="A1613" s="1"/>
      <c r="B1613" s="2"/>
      <c r="C1613" s="2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2"/>
      <c r="S1613" s="1"/>
      <c r="T1613" s="1"/>
    </row>
    <row r="1614" spans="1:20" x14ac:dyDescent="0.25">
      <c r="A1614" s="1"/>
      <c r="B1614" s="2"/>
      <c r="C1614" s="2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2"/>
      <c r="S1614" s="1"/>
      <c r="T1614" s="1"/>
    </row>
    <row r="1615" spans="1:20" x14ac:dyDescent="0.25">
      <c r="A1615" s="1"/>
      <c r="B1615" s="2"/>
      <c r="C1615" s="2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2"/>
      <c r="S1615" s="1"/>
      <c r="T1615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0E90-3FB9-47BA-8D02-5DCCBBF35D75}">
  <sheetPr codeName="Macros"/>
  <dimension ref="A1:K42"/>
  <sheetViews>
    <sheetView showGridLines="0" zoomScaleNormal="100" workbookViewId="0">
      <selection activeCell="A3" sqref="A3:XFD3"/>
    </sheetView>
  </sheetViews>
  <sheetFormatPr baseColWidth="10" defaultColWidth="0" defaultRowHeight="15" x14ac:dyDescent="0.25"/>
  <cols>
    <col min="1" max="1" width="1.85546875" customWidth="1"/>
    <col min="2" max="2" width="16.7109375" customWidth="1"/>
    <col min="3" max="3" width="56.140625" style="11" customWidth="1"/>
    <col min="4" max="4" width="6.85546875" customWidth="1"/>
    <col min="5" max="5" width="18" style="11" customWidth="1"/>
    <col min="6" max="6" width="86.42578125" customWidth="1"/>
    <col min="7" max="7" width="11.42578125" customWidth="1"/>
    <col min="8" max="11" width="0" hidden="1" customWidth="1"/>
    <col min="12" max="16384" width="11.42578125" hidden="1"/>
  </cols>
  <sheetData>
    <row r="1" spans="1:7" x14ac:dyDescent="0.25">
      <c r="A1" s="146" t="s">
        <v>852</v>
      </c>
      <c r="B1" s="146"/>
      <c r="C1" s="146"/>
      <c r="D1" s="146"/>
      <c r="E1" s="146"/>
      <c r="F1" s="146"/>
      <c r="G1" s="146"/>
    </row>
    <row r="2" spans="1:7" x14ac:dyDescent="0.25">
      <c r="A2" s="146"/>
      <c r="B2" s="146"/>
      <c r="C2" s="146"/>
      <c r="D2" s="146"/>
      <c r="E2" s="146"/>
      <c r="F2" s="146"/>
      <c r="G2" s="146"/>
    </row>
    <row r="3" spans="1:7" s="162" customFormat="1" ht="13.5" customHeight="1" thickBot="1" x14ac:dyDescent="0.3">
      <c r="A3" s="162">
        <v>6771695</v>
      </c>
    </row>
    <row r="4" spans="1:7" ht="21.75" thickBot="1" x14ac:dyDescent="0.3">
      <c r="A4" s="13"/>
      <c r="B4" s="148" t="s">
        <v>856</v>
      </c>
      <c r="C4" s="149"/>
      <c r="D4" s="13"/>
      <c r="E4" s="147" t="s">
        <v>829</v>
      </c>
      <c r="F4" s="147"/>
      <c r="G4" s="13"/>
    </row>
    <row r="5" spans="1:7" s="144" customFormat="1" ht="15.75" thickBot="1" x14ac:dyDescent="0.3"/>
    <row r="6" spans="1:7" ht="15.75" thickBot="1" x14ac:dyDescent="0.3">
      <c r="B6" s="14" t="s">
        <v>18</v>
      </c>
      <c r="C6" s="63">
        <f>'REGISTRO GENERAL'!$C$5</f>
        <v>1343447</v>
      </c>
      <c r="E6" s="35" t="s">
        <v>21</v>
      </c>
      <c r="F6" s="36">
        <f>'REGISTRO GENERAL'!$C$7</f>
        <v>0</v>
      </c>
    </row>
    <row r="7" spans="1:7" s="144" customFormat="1" ht="15.75" thickBot="1" x14ac:dyDescent="0.3"/>
    <row r="8" spans="1:7" ht="15.75" thickBot="1" x14ac:dyDescent="0.3">
      <c r="B8" s="14" t="s">
        <v>19</v>
      </c>
      <c r="C8" s="6"/>
      <c r="E8" s="35" t="s">
        <v>22</v>
      </c>
      <c r="F8" s="36" t="s">
        <v>20995</v>
      </c>
    </row>
    <row r="9" spans="1:7" s="144" customFormat="1" ht="15.75" thickBot="1" x14ac:dyDescent="0.3"/>
    <row r="10" spans="1:7" ht="15.75" customHeight="1" thickBot="1" x14ac:dyDescent="0.3">
      <c r="B10" s="14" t="s">
        <v>0</v>
      </c>
      <c r="C10" s="63"/>
      <c r="E10" s="35" t="s">
        <v>23</v>
      </c>
      <c r="F10" s="36" t="s">
        <v>20996</v>
      </c>
    </row>
    <row r="11" spans="1:7" s="144" customFormat="1" ht="15.75" thickBot="1" x14ac:dyDescent="0.3"/>
    <row r="12" spans="1:7" ht="15.75" thickBot="1" x14ac:dyDescent="0.3">
      <c r="B12" s="14" t="s">
        <v>20</v>
      </c>
      <c r="C12" s="63"/>
      <c r="E12" s="35" t="s">
        <v>855</v>
      </c>
      <c r="F12" s="36" t="s">
        <v>1530</v>
      </c>
    </row>
    <row r="13" spans="1:7" s="144" customFormat="1" ht="15.75" thickBot="1" x14ac:dyDescent="0.3"/>
    <row r="14" spans="1:7" ht="15.75" thickBot="1" x14ac:dyDescent="0.3">
      <c r="B14" s="14" t="s">
        <v>828</v>
      </c>
      <c r="C14" s="63"/>
      <c r="E14" s="35" t="s">
        <v>28</v>
      </c>
      <c r="F14" s="36" t="s">
        <v>30</v>
      </c>
    </row>
    <row r="15" spans="1:7" s="144" customFormat="1" ht="15.75" thickBot="1" x14ac:dyDescent="0.3">
      <c r="A15" s="144" t="s">
        <v>20795</v>
      </c>
    </row>
    <row r="16" spans="1:7" ht="15.75" thickBot="1" x14ac:dyDescent="0.3">
      <c r="B16" s="14" t="s">
        <v>1</v>
      </c>
      <c r="C16" s="6"/>
      <c r="E16" s="35" t="s">
        <v>27</v>
      </c>
      <c r="F16" s="36" t="s">
        <v>75</v>
      </c>
    </row>
    <row r="17" spans="1:7" s="144" customFormat="1" ht="15.75" thickBot="1" x14ac:dyDescent="0.3"/>
    <row r="18" spans="1:7" ht="15.75" thickBot="1" x14ac:dyDescent="0.3">
      <c r="B18" s="14" t="s">
        <v>825</v>
      </c>
      <c r="C18" s="6"/>
      <c r="E18" s="35" t="s">
        <v>24</v>
      </c>
      <c r="F18" s="36" t="s">
        <v>21000</v>
      </c>
    </row>
    <row r="19" spans="1:7" s="144" customFormat="1" ht="15.75" thickBot="1" x14ac:dyDescent="0.3"/>
    <row r="20" spans="1:7" ht="15.75" thickBot="1" x14ac:dyDescent="0.3">
      <c r="B20" s="14" t="s">
        <v>855</v>
      </c>
      <c r="C20" s="63"/>
      <c r="E20" s="37" t="s">
        <v>859</v>
      </c>
      <c r="F20" s="52" t="s">
        <v>20997</v>
      </c>
    </row>
    <row r="21" spans="1:7" s="144" customFormat="1" ht="15.75" thickBot="1" x14ac:dyDescent="0.3"/>
    <row r="22" spans="1:7" ht="15.75" thickBot="1" x14ac:dyDescent="0.3">
      <c r="B22" s="14" t="s">
        <v>28</v>
      </c>
      <c r="C22" s="6"/>
      <c r="E22" s="37" t="s">
        <v>858</v>
      </c>
      <c r="F22" s="38" t="s">
        <v>20998</v>
      </c>
    </row>
    <row r="23" spans="1:7" s="144" customFormat="1" ht="15.75" thickBot="1" x14ac:dyDescent="0.3"/>
    <row r="24" spans="1:7" ht="15.75" thickBot="1" x14ac:dyDescent="0.3">
      <c r="B24" s="14" t="s">
        <v>27</v>
      </c>
      <c r="C24" s="63"/>
      <c r="E24" s="37" t="s">
        <v>25</v>
      </c>
      <c r="F24" s="38" t="s">
        <v>42</v>
      </c>
    </row>
    <row r="25" spans="1:7" s="144" customFormat="1" ht="15.75" thickBot="1" x14ac:dyDescent="0.3"/>
    <row r="26" spans="1:7" ht="15.75" thickBot="1" x14ac:dyDescent="0.3">
      <c r="B26" s="14" t="s">
        <v>853</v>
      </c>
      <c r="C26" s="40"/>
      <c r="E26" s="35" t="s">
        <v>860</v>
      </c>
      <c r="F26" s="88" t="s">
        <v>20999</v>
      </c>
    </row>
    <row r="27" spans="1:7" s="144" customFormat="1" ht="15.75" thickBot="1" x14ac:dyDescent="0.3"/>
    <row r="28" spans="1:7" ht="15.75" thickBot="1" x14ac:dyDescent="0.3">
      <c r="B28" s="14" t="s">
        <v>826</v>
      </c>
      <c r="C28" s="6"/>
      <c r="E28" s="35" t="s">
        <v>7529</v>
      </c>
      <c r="F28" s="36" t="s">
        <v>30</v>
      </c>
    </row>
    <row r="29" spans="1:7" ht="15.75" thickBot="1" x14ac:dyDescent="0.3">
      <c r="B29" s="144"/>
      <c r="C29" s="144"/>
      <c r="D29" s="144"/>
      <c r="F29" s="1"/>
      <c r="G29" s="58"/>
    </row>
    <row r="30" spans="1:7" x14ac:dyDescent="0.25">
      <c r="B30" s="14" t="s">
        <v>827</v>
      </c>
      <c r="C30" s="64" t="str">
        <f>CONCATENATE('REGISTRO GENERAL'!$C$5,"@","senati",".","pe")</f>
        <v>1343447@senati.pe</v>
      </c>
      <c r="E30" s="156"/>
      <c r="F30" s="157"/>
    </row>
    <row r="31" spans="1:7" x14ac:dyDescent="0.25">
      <c r="A31" s="144"/>
      <c r="B31" s="144"/>
      <c r="C31" s="144"/>
      <c r="D31" s="153"/>
      <c r="E31" s="158"/>
      <c r="F31" s="159"/>
    </row>
    <row r="32" spans="1:7" x14ac:dyDescent="0.25">
      <c r="B32" s="14" t="s">
        <v>4172</v>
      </c>
      <c r="C32" s="63"/>
      <c r="E32" s="158"/>
      <c r="F32" s="159"/>
    </row>
    <row r="33" spans="1:6" x14ac:dyDescent="0.25">
      <c r="A33" s="144"/>
      <c r="B33" s="144"/>
      <c r="C33" s="144"/>
      <c r="D33" s="153"/>
      <c r="E33" s="158"/>
      <c r="F33" s="159"/>
    </row>
    <row r="34" spans="1:6" x14ac:dyDescent="0.25">
      <c r="B34" s="14" t="s">
        <v>854</v>
      </c>
      <c r="C34" s="63"/>
      <c r="E34" s="158"/>
      <c r="F34" s="159"/>
    </row>
    <row r="35" spans="1:6" x14ac:dyDescent="0.25">
      <c r="A35" s="144"/>
      <c r="B35" s="144"/>
      <c r="C35" s="144"/>
      <c r="D35" s="153"/>
      <c r="E35" s="158"/>
      <c r="F35" s="159"/>
    </row>
    <row r="36" spans="1:6" ht="15.75" thickBot="1" x14ac:dyDescent="0.3">
      <c r="A36" s="144"/>
      <c r="B36" s="144"/>
      <c r="C36" s="144"/>
      <c r="D36" s="153"/>
      <c r="E36" s="160"/>
      <c r="F36" s="161"/>
    </row>
    <row r="37" spans="1:6" x14ac:dyDescent="0.25">
      <c r="B37" s="150"/>
      <c r="C37" s="151"/>
      <c r="E37" s="54"/>
      <c r="F37" s="54"/>
    </row>
    <row r="38" spans="1:6" x14ac:dyDescent="0.25">
      <c r="B38" s="152"/>
      <c r="C38" s="153"/>
    </row>
    <row r="39" spans="1:6" x14ac:dyDescent="0.25">
      <c r="B39" s="152"/>
      <c r="C39" s="153"/>
    </row>
    <row r="40" spans="1:6" x14ac:dyDescent="0.25">
      <c r="B40" s="152"/>
      <c r="C40" s="153"/>
    </row>
    <row r="41" spans="1:6" x14ac:dyDescent="0.25">
      <c r="B41" s="152"/>
      <c r="C41" s="153"/>
    </row>
    <row r="42" spans="1:6" ht="15.75" thickBot="1" x14ac:dyDescent="0.3">
      <c r="B42" s="154"/>
      <c r="C42" s="155"/>
    </row>
  </sheetData>
  <mergeCells count="22">
    <mergeCell ref="A35:D36"/>
    <mergeCell ref="B29:D29"/>
    <mergeCell ref="A25:XFD25"/>
    <mergeCell ref="A27:XFD27"/>
    <mergeCell ref="A31:D31"/>
    <mergeCell ref="A33:D33"/>
    <mergeCell ref="A1:G2"/>
    <mergeCell ref="E4:F4"/>
    <mergeCell ref="B4:C4"/>
    <mergeCell ref="B37:C42"/>
    <mergeCell ref="E30:F36"/>
    <mergeCell ref="A3:XFD3"/>
    <mergeCell ref="A5:XFD5"/>
    <mergeCell ref="A7:XFD7"/>
    <mergeCell ref="A9:XFD9"/>
    <mergeCell ref="A11:XFD11"/>
    <mergeCell ref="A13:XFD13"/>
    <mergeCell ref="A15:XFD15"/>
    <mergeCell ref="A17:XFD17"/>
    <mergeCell ref="A19:XFD19"/>
    <mergeCell ref="A21:XFD21"/>
    <mergeCell ref="A23:XFD23"/>
  </mergeCell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378AA89-FE8B-4B97-AF86-C080B98F6A45}">
          <x14:formula1>
            <xm:f>INDICADORES!$T$3:$T$60</xm:f>
          </x14:formula1>
          <xm:sqref>C14</xm:sqref>
        </x14:dataValidation>
        <x14:dataValidation type="list" allowBlank="1" showInputMessage="1" showErrorMessage="1" xr:uid="{84163376-1AFE-451C-B5EB-9035A0EE8347}">
          <x14:formula1>
            <xm:f>INDICADORES!$L$6:$L$10</xm:f>
          </x14:formula1>
          <xm:sqref>C12</xm:sqref>
        </x14:dataValidation>
        <x14:dataValidation type="list" allowBlank="1" showInputMessage="1" showErrorMessage="1" xr:uid="{C0A0DC53-F476-4165-8867-9E68B6470EB1}">
          <x14:formula1>
            <xm:f>INDICADORES!$N$3:$N$173</xm:f>
          </x14:formula1>
          <xm:sqref>C20</xm:sqref>
        </x14:dataValidation>
        <x14:dataValidation type="list" allowBlank="1" showInputMessage="1" showErrorMessage="1" xr:uid="{47932847-5323-40BE-BF1D-A262806D7C4F}">
          <x14:formula1>
            <xm:f>INDICADORES!$S$3:$S$60</xm:f>
          </x14:formula1>
          <xm:sqref>C10</xm:sqref>
        </x14:dataValidation>
        <x14:dataValidation type="list" allowBlank="1" showInputMessage="1" showErrorMessage="1" xr:uid="{2B1D6BDB-AE26-46EC-8A12-4FF2606241A3}">
          <x14:formula1>
            <xm:f>INDICADORES!$Y$3:$Y$18</xm:f>
          </x14:formula1>
          <xm:sqref>C32</xm:sqref>
        </x14:dataValidation>
        <x14:dataValidation type="list" allowBlank="1" showInputMessage="1" showErrorMessage="1" xr:uid="{D5A58BF5-F48E-40D8-9D5F-185C53C2A86A}">
          <x14:formula1>
            <xm:f>INDICADORES!$Z$3:$Z$16</xm:f>
          </x14:formula1>
          <xm:sqref>C34</xm:sqref>
        </x14:dataValidation>
        <x14:dataValidation type="list" allowBlank="1" showInputMessage="1" showErrorMessage="1" xr:uid="{6C91B50C-40D7-48A2-994C-BC36C7011995}">
          <x14:formula1>
            <xm:f>INDICADORES!$P$3:$P$179</xm:f>
          </x14:formula1>
          <xm:sqref>C24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2DC0-E54C-4BF4-A2FB-07AE672C97BB}">
  <sheetPr codeName="Hoja4"/>
  <dimension ref="B1:T5"/>
  <sheetViews>
    <sheetView zoomScale="80" zoomScaleNormal="80" workbookViewId="0">
      <selection activeCell="D14" sqref="D14"/>
    </sheetView>
  </sheetViews>
  <sheetFormatPr baseColWidth="10" defaultColWidth="11.42578125" defaultRowHeight="15" x14ac:dyDescent="0.25"/>
  <cols>
    <col min="1" max="1" width="5.85546875" style="59" customWidth="1"/>
    <col min="2" max="2" width="11.42578125" style="59"/>
    <col min="3" max="3" width="11.5703125" style="59" customWidth="1"/>
    <col min="4" max="4" width="46.7109375" style="59" customWidth="1"/>
    <col min="5" max="5" width="50.42578125" style="59" customWidth="1"/>
    <col min="6" max="6" width="12.140625" style="59" customWidth="1"/>
    <col min="7" max="7" width="17.28515625" style="59" customWidth="1"/>
    <col min="8" max="8" width="11.42578125" style="59"/>
    <col min="9" max="9" width="54.42578125" style="59" customWidth="1"/>
    <col min="10" max="10" width="11.42578125" style="59"/>
    <col min="11" max="11" width="13.140625" style="59" customWidth="1"/>
    <col min="12" max="12" width="28.42578125" style="59" customWidth="1"/>
    <col min="13" max="13" width="15.7109375" style="59" customWidth="1"/>
    <col min="14" max="14" width="14.42578125" style="59" customWidth="1"/>
    <col min="15" max="15" width="24.28515625" style="59" customWidth="1"/>
    <col min="16" max="16" width="29.7109375" style="59" customWidth="1"/>
    <col min="17" max="17" width="32.28515625" style="59" customWidth="1"/>
    <col min="18" max="18" width="25.28515625" style="117" customWidth="1"/>
    <col min="19" max="19" width="26.85546875" style="59" customWidth="1"/>
    <col min="20" max="20" width="23.28515625" style="59" customWidth="1"/>
    <col min="21" max="16384" width="11.42578125" style="59"/>
  </cols>
  <sheetData>
    <row r="1" spans="2:20" s="58" customFormat="1" x14ac:dyDescent="0.25">
      <c r="R1" s="114"/>
    </row>
    <row r="2" spans="2:20" s="58" customFormat="1" x14ac:dyDescent="0.25">
      <c r="B2" s="60" t="s">
        <v>857</v>
      </c>
      <c r="C2" s="61" t="s">
        <v>18</v>
      </c>
      <c r="D2" s="61" t="s">
        <v>19</v>
      </c>
      <c r="E2" s="61" t="s">
        <v>0</v>
      </c>
      <c r="F2" s="61" t="s">
        <v>20</v>
      </c>
      <c r="G2" s="61" t="s">
        <v>828</v>
      </c>
      <c r="H2" s="61" t="s">
        <v>1</v>
      </c>
      <c r="I2" s="61" t="s">
        <v>825</v>
      </c>
      <c r="J2" s="61" t="s">
        <v>855</v>
      </c>
      <c r="K2" s="61" t="s">
        <v>28</v>
      </c>
      <c r="L2" s="61" t="s">
        <v>27</v>
      </c>
      <c r="M2" s="61" t="s">
        <v>853</v>
      </c>
      <c r="N2" s="61" t="s">
        <v>826</v>
      </c>
      <c r="O2" s="61" t="s">
        <v>827</v>
      </c>
      <c r="P2" s="61" t="s">
        <v>138</v>
      </c>
      <c r="Q2" s="61" t="s">
        <v>854</v>
      </c>
      <c r="R2" s="115" t="s">
        <v>20543</v>
      </c>
      <c r="S2" s="61" t="s">
        <v>20544</v>
      </c>
      <c r="T2" s="61" t="s">
        <v>20545</v>
      </c>
    </row>
    <row r="3" spans="2:20" x14ac:dyDescent="0.25">
      <c r="B3" s="9">
        <v>1</v>
      </c>
      <c r="C3" s="9">
        <f>'REGISTRO GENERAL'!$C$5</f>
        <v>1343447</v>
      </c>
      <c r="D3" s="9" t="str">
        <f>_xlfn.XLOOKUP('REGISTRO GENERAL'!$C$5,FORMS!F:F,FORMS!E:E,"NO EXISTE",0)</f>
        <v>WILSON DAVID BARRETO PALACIOS</v>
      </c>
      <c r="E3" s="9" t="str">
        <f>_xlfn.XLOOKUP('REGISTRO GENERAL'!$C$5,FORMS!F:F,FORMS!G:G,"NO EXISTE",0)</f>
        <v>DISEÑO Y DESARROLLO WEB</v>
      </c>
      <c r="F3" s="9" t="str">
        <f>_xlfn.XLOOKUP('REGISTRO GENERAL'!$C$5,FORMS!F:F,FORMS!H:H,"NO EXISTE",0)</f>
        <v>SEXTO</v>
      </c>
      <c r="G3" s="9" t="str">
        <f>_xlfn.XLOOKUP(ALUMNO[[#This Row],[CARRERA]],INDICADORES!S:S,INDICADORES!T:T,"NO EXISTE",0)</f>
        <v>DISEÑADOR</v>
      </c>
      <c r="H3" s="9">
        <f>_xlfn.XLOOKUP('REGISTRO GENERAL'!$C$5,FORMS!F:F,FORMS!I:I,"NO EXISTE",0)</f>
        <v>74550784</v>
      </c>
      <c r="I3" s="9" t="str">
        <f>_xlfn.XLOOKUP('REGISTRO GENERAL'!$C$5,FORMS!F:F,FORMS!J:J,"NO EXISTE",0)</f>
        <v>SANTA ROSA ANCON ASOCIACIÓN HIJOS DEL GOLF SECTOR 3 MZ Q LOTE 9</v>
      </c>
      <c r="J3" s="9" t="str">
        <f>_xlfn.XLOOKUP('REGISTRO GENERAL'!$C$5,FORMS!F:F,FORMS!K:K,"NO EXISTE",0)</f>
        <v>LIMA</v>
      </c>
      <c r="K3" s="9" t="str">
        <f>_xlfn.XLOOKUP('REGISTRO GENERAL'!$C$5,FORMS!F:F,FORMS!L:L,"NO EXISTE",0)</f>
        <v>LIMA</v>
      </c>
      <c r="L3" s="9" t="str">
        <f>_xlfn.XLOOKUP('REGISTRO GENERAL'!$C$5,FORMS!F:F,FORMS!M:M,"NO EXISTE",0)</f>
        <v>ANCON</v>
      </c>
      <c r="M3" s="9">
        <f>_xlfn.XLOOKUP('REGISTRO GENERAL'!$C$5,FORMS!F:F,FORMS!N:N,"NO EXISTE",0)</f>
        <v>19</v>
      </c>
      <c r="N3" s="9">
        <f>_xlfn.XLOOKUP('REGISTRO GENERAL'!$C$5,FORMS!F:F,FORMS!O:O,"NO EXISTE",0)</f>
        <v>933238447</v>
      </c>
      <c r="O3" s="9" t="str">
        <f>_xlfn.XLOOKUP('REGISTRO GENERAL'!$C$5,FORMS!F:F,FORMS!D:D,"NO EXISTE",0)</f>
        <v>1343447@senati.pe</v>
      </c>
      <c r="P3" s="9" t="str">
        <f>_xlfn.XLOOKUP('REGISTRO GENERAL'!$C$5,FORMS!F:F,FORMS!P:P,"NO EXISTE",0)</f>
        <v>ZONAL LIMA - CALLAO</v>
      </c>
      <c r="Q3" s="9" t="str">
        <f>_xlfn.XLOOKUP('REGISTRO GENERAL'!$C$5,FORMS!F:F,FORMS!Q:Q,"NO EXISTE",0)</f>
        <v>ESCUELA SUPERIOR DE TECNOLOGIA</v>
      </c>
      <c r="R3" s="116">
        <f>_xlfn.XLOOKUP('REGISTRO GENERAL'!$C$5,FORMS!F:F,FORMS!R:R,"NO EXISTE",0)</f>
        <v>38394</v>
      </c>
      <c r="S3" s="9" t="str">
        <f>_xlfn.XLOOKUP('REGISTRO GENERAL'!$C$5,FORMS!F:F,FORMS!S:S,"NO EXISTE",0)</f>
        <v>PERUANA</v>
      </c>
      <c r="T3" s="9" t="str">
        <f>_xlfn.XLOOKUP('REGISTRO GENERAL'!$C$5,FORMS!F:F,FORMS!T:T,"NO EXISTE",0)</f>
        <v>MASCULINO</v>
      </c>
    </row>
    <row r="4" spans="2:20" x14ac:dyDescent="0.25">
      <c r="B4" s="9">
        <v>2</v>
      </c>
      <c r="C4" s="9">
        <f>'REGISTRO GENERAL'!$C$5</f>
        <v>1343447</v>
      </c>
      <c r="D4" s="9" t="str">
        <f>_xlfn.XLOOKUP('REGISTRO GENERAL'!$C$5,FORMS!F:F,FORMS!E:E,"NO EXISTE",0)</f>
        <v>WILSON DAVID BARRETO PALACIOS</v>
      </c>
      <c r="E4" s="9" t="str">
        <f>_xlfn.XLOOKUP('REGISTRO GENERAL'!$C$5,FORMS!F:F,FORMS!G:G,"NO EXISTE",0)</f>
        <v>DISEÑO Y DESARROLLO WEB</v>
      </c>
      <c r="F4" s="9" t="str">
        <f>_xlfn.XLOOKUP('REGISTRO GENERAL'!$C$5,FORMS!F:F,FORMS!H:H,"NO EXISTE",0)</f>
        <v>SEXTO</v>
      </c>
      <c r="G4" s="9" t="str">
        <f>_xlfn.XLOOKUP(ALUMNO[[#This Row],[CARRERA]],INDICADORES!S:S,INDICADORES!T:T,"NO EXISTE",0)</f>
        <v>DISEÑADOR</v>
      </c>
      <c r="H4" s="9">
        <f>_xlfn.XLOOKUP('REGISTRO GENERAL'!$C$5,FORMS!F:F,FORMS!I:I,"NO EXISTE",0)</f>
        <v>74550784</v>
      </c>
      <c r="I4" s="9" t="str">
        <f>_xlfn.XLOOKUP('REGISTRO GENERAL'!$C$5,FORMS!F:F,FORMS!J:J,"NO EXISTE",0)</f>
        <v>SANTA ROSA ANCON ASOCIACIÓN HIJOS DEL GOLF SECTOR 3 MZ Q LOTE 9</v>
      </c>
      <c r="J4" s="9" t="str">
        <f>_xlfn.XLOOKUP('REGISTRO GENERAL'!$C$5,FORMS!F:F,FORMS!K:K,"NO EXISTE",0)</f>
        <v>LIMA</v>
      </c>
      <c r="K4" s="9" t="str">
        <f>_xlfn.XLOOKUP('REGISTRO GENERAL'!$C$5,FORMS!F:F,FORMS!L:L,"NO EXISTE",0)</f>
        <v>LIMA</v>
      </c>
      <c r="L4" s="9" t="str">
        <f>_xlfn.XLOOKUP('REGISTRO GENERAL'!$C$5,FORMS!F:F,FORMS!M:M,"NO EXISTE",0)</f>
        <v>ANCON</v>
      </c>
      <c r="M4" s="9">
        <f>_xlfn.XLOOKUP('REGISTRO GENERAL'!$C$5,FORMS!F:F,FORMS!N:N,"NO EXISTE",0)</f>
        <v>19</v>
      </c>
      <c r="N4" s="9">
        <f>_xlfn.XLOOKUP('REGISTRO GENERAL'!$C$5,FORMS!F:F,FORMS!O:O,"NO EXISTE",0)</f>
        <v>933238447</v>
      </c>
      <c r="O4" s="9" t="str">
        <f>_xlfn.XLOOKUP('REGISTRO GENERAL'!$C$5,FORMS!F:F,FORMS!D:D,"NO EXISTE",0)</f>
        <v>1343447@senati.pe</v>
      </c>
      <c r="P4" s="9" t="str">
        <f>_xlfn.XLOOKUP('REGISTRO GENERAL'!$C$5,FORMS!F:F,FORMS!P:P,"NO EXISTE",0)</f>
        <v>ZONAL LIMA - CALLAO</v>
      </c>
      <c r="Q4" s="9" t="str">
        <f>_xlfn.XLOOKUP('REGISTRO GENERAL'!$C$5,FORMS!F:F,FORMS!Q:Q,"NO EXISTE",0)</f>
        <v>ESCUELA SUPERIOR DE TECNOLOGIA</v>
      </c>
      <c r="R4" s="116">
        <f>_xlfn.XLOOKUP('REGISTRO GENERAL'!$C$5,FORMS!F:F,FORMS!R:R,"NO EXISTE",0)</f>
        <v>38394</v>
      </c>
      <c r="S4" s="9" t="str">
        <f>_xlfn.XLOOKUP('REGISTRO GENERAL'!$C$5,FORMS!F:F,FORMS!S:S,"NO EXISTE",0)</f>
        <v>PERUANA</v>
      </c>
      <c r="T4" s="9" t="str">
        <f>_xlfn.XLOOKUP('REGISTRO GENERAL'!$C$5,FORMS!F:F,FORMS!T:T,"NO EXISTE",0)</f>
        <v>MASCULINO</v>
      </c>
    </row>
    <row r="5" spans="2:20" x14ac:dyDescent="0.25">
      <c r="M5" s="62"/>
    </row>
  </sheetData>
  <sheetProtection algorithmName="SHA-512" hashValue="za/splcEIXF3W7U6p9mGiiTm3T9JEFgS79LPW0F17PE1MENWDbOmLT4E+X95VeCP2Vg1MLfnS2I8ml1XSixESg==" saltValue="umFX4yfRRSUvpQkcBNcaL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1E53A-1E46-4C95-95EC-855496845308}">
  <sheetPr codeName="Hoja2"/>
  <dimension ref="B1:AP22"/>
  <sheetViews>
    <sheetView topLeftCell="N1" zoomScale="80" zoomScaleNormal="80" workbookViewId="0">
      <selection activeCell="AE22" sqref="AE22"/>
    </sheetView>
  </sheetViews>
  <sheetFormatPr baseColWidth="10" defaultColWidth="11.42578125" defaultRowHeight="15" x14ac:dyDescent="0.25"/>
  <cols>
    <col min="1" max="1" width="4.28515625" style="1" customWidth="1"/>
    <col min="2" max="2" width="11.42578125" style="1"/>
    <col min="3" max="3" width="14.7109375" style="1" customWidth="1"/>
    <col min="4" max="4" width="40.5703125" style="1" customWidth="1"/>
    <col min="5" max="5" width="48" style="1" customWidth="1"/>
    <col min="6" max="6" width="14.28515625" style="1" customWidth="1"/>
    <col min="7" max="7" width="22.85546875" style="1" customWidth="1"/>
    <col min="8" max="8" width="12.85546875" style="1" customWidth="1"/>
    <col min="9" max="9" width="77.85546875" style="1" customWidth="1"/>
    <col min="10" max="10" width="12.28515625" style="1" customWidth="1"/>
    <col min="11" max="11" width="19.5703125" style="1" customWidth="1"/>
    <col min="12" max="12" width="17" style="1" customWidth="1"/>
    <col min="13" max="13" width="11.42578125" style="1"/>
    <col min="14" max="14" width="20.85546875" style="1" customWidth="1"/>
    <col min="15" max="15" width="32" style="1" customWidth="1"/>
    <col min="16" max="16" width="24" style="1" customWidth="1"/>
    <col min="17" max="17" width="31" style="1" customWidth="1"/>
    <col min="18" max="18" width="22.85546875" style="2" customWidth="1"/>
    <col min="19" max="19" width="21.140625" style="1" customWidth="1"/>
    <col min="20" max="20" width="20" style="1" customWidth="1"/>
    <col min="21" max="21" width="20.140625" style="1" customWidth="1"/>
    <col min="22" max="22" width="82.28515625" style="1" customWidth="1"/>
    <col min="23" max="23" width="130.28515625" style="1" customWidth="1"/>
    <col min="24" max="24" width="22.85546875" style="1" bestFit="1" customWidth="1"/>
    <col min="25" max="25" width="86" style="1" customWidth="1"/>
    <col min="26" max="26" width="20.42578125" style="1" customWidth="1"/>
    <col min="27" max="27" width="47.5703125" style="1" customWidth="1"/>
    <col min="28" max="28" width="20.42578125" style="1" customWidth="1"/>
    <col min="29" max="29" width="42.42578125" style="1" customWidth="1"/>
    <col min="30" max="30" width="31.140625" style="1" customWidth="1"/>
    <col min="31" max="31" width="11.5703125" style="1" customWidth="1"/>
    <col min="32" max="32" width="21.28515625" style="1" customWidth="1"/>
    <col min="33" max="33" width="12.5703125" style="1" customWidth="1"/>
    <col min="34" max="34" width="15.85546875" style="1" customWidth="1"/>
    <col min="35" max="35" width="12.140625" style="1" customWidth="1"/>
    <col min="36" max="36" width="18.28515625" style="1" customWidth="1"/>
    <col min="37" max="37" width="17.28515625" style="1" customWidth="1"/>
    <col min="38" max="38" width="27.7109375" style="1" customWidth="1"/>
    <col min="39" max="39" width="17.42578125" style="1" customWidth="1"/>
    <col min="40" max="40" width="11.42578125" style="1"/>
    <col min="41" max="41" width="16.28515625" style="1" customWidth="1"/>
    <col min="42" max="42" width="30.85546875" style="1" customWidth="1"/>
    <col min="43" max="16384" width="11.42578125" style="1"/>
  </cols>
  <sheetData>
    <row r="1" spans="2:42" ht="30" x14ac:dyDescent="0.25">
      <c r="B1" s="39" t="s">
        <v>857</v>
      </c>
      <c r="C1" s="8" t="s">
        <v>18</v>
      </c>
      <c r="D1" s="8" t="s">
        <v>19</v>
      </c>
      <c r="E1" s="8" t="s">
        <v>0</v>
      </c>
      <c r="F1" s="8" t="s">
        <v>20</v>
      </c>
      <c r="G1" s="8" t="s">
        <v>828</v>
      </c>
      <c r="H1" s="8" t="s">
        <v>1</v>
      </c>
      <c r="I1" s="8" t="s">
        <v>825</v>
      </c>
      <c r="J1" s="8" t="s">
        <v>855</v>
      </c>
      <c r="K1" s="8" t="s">
        <v>28</v>
      </c>
      <c r="L1" s="8" t="s">
        <v>27</v>
      </c>
      <c r="M1" s="8" t="s">
        <v>853</v>
      </c>
      <c r="N1" s="8" t="s">
        <v>826</v>
      </c>
      <c r="O1" s="8" t="s">
        <v>827</v>
      </c>
      <c r="P1" s="8" t="s">
        <v>138</v>
      </c>
      <c r="Q1" s="8" t="s">
        <v>854</v>
      </c>
      <c r="R1" s="113" t="s">
        <v>20543</v>
      </c>
      <c r="S1" s="8" t="s">
        <v>20544</v>
      </c>
      <c r="T1" s="8" t="s">
        <v>20545</v>
      </c>
      <c r="U1" s="12" t="s">
        <v>21</v>
      </c>
      <c r="V1" s="12" t="s">
        <v>714</v>
      </c>
      <c r="W1" s="12" t="s">
        <v>23</v>
      </c>
      <c r="X1" s="12" t="s">
        <v>855</v>
      </c>
      <c r="Y1" s="12" t="s">
        <v>28</v>
      </c>
      <c r="Z1" s="12" t="s">
        <v>979</v>
      </c>
      <c r="AA1" s="12" t="s">
        <v>24</v>
      </c>
      <c r="AB1" s="12" t="s">
        <v>980</v>
      </c>
      <c r="AC1" s="12" t="s">
        <v>981</v>
      </c>
      <c r="AD1" s="12" t="s">
        <v>25</v>
      </c>
      <c r="AE1" s="5" t="s">
        <v>860</v>
      </c>
      <c r="AF1" s="5" t="s">
        <v>982</v>
      </c>
      <c r="AG1" s="3" t="s">
        <v>718</v>
      </c>
      <c r="AH1" s="3" t="s">
        <v>719</v>
      </c>
      <c r="AI1" s="3" t="s">
        <v>720</v>
      </c>
      <c r="AJ1" s="4" t="s">
        <v>721</v>
      </c>
      <c r="AK1" s="4" t="s">
        <v>722</v>
      </c>
      <c r="AL1" s="4" t="s">
        <v>1157</v>
      </c>
      <c r="AM1" s="3" t="s">
        <v>723</v>
      </c>
      <c r="AN1" s="3" t="s">
        <v>724</v>
      </c>
      <c r="AO1" s="3" t="s">
        <v>725</v>
      </c>
      <c r="AP1" s="5" t="s">
        <v>726</v>
      </c>
    </row>
    <row r="2" spans="2:42" x14ac:dyDescent="0.25">
      <c r="B2" s="1">
        <v>1</v>
      </c>
      <c r="C2" s="1">
        <v>1341452</v>
      </c>
      <c r="D2" s="1" t="s">
        <v>17</v>
      </c>
      <c r="E2" s="1" t="s">
        <v>11</v>
      </c>
      <c r="F2" s="1" t="s">
        <v>834</v>
      </c>
      <c r="G2" s="1" t="s">
        <v>977</v>
      </c>
      <c r="H2" s="1">
        <v>71258546</v>
      </c>
      <c r="I2" s="1" t="s">
        <v>969</v>
      </c>
      <c r="J2" s="1" t="s">
        <v>30</v>
      </c>
      <c r="K2" s="1" t="s">
        <v>30</v>
      </c>
      <c r="L2" s="1" t="s">
        <v>58</v>
      </c>
      <c r="M2" s="1">
        <v>23.123287671232877</v>
      </c>
      <c r="N2" s="1">
        <v>923698922</v>
      </c>
      <c r="O2" s="1" t="s">
        <v>968</v>
      </c>
      <c r="P2" s="1" t="s">
        <v>3</v>
      </c>
      <c r="Q2" s="1" t="s">
        <v>2</v>
      </c>
      <c r="R2" s="2">
        <v>32874</v>
      </c>
      <c r="S2" s="1" t="s">
        <v>20546</v>
      </c>
      <c r="T2" s="1" t="s">
        <v>20547</v>
      </c>
      <c r="U2" s="1">
        <v>20100028698</v>
      </c>
      <c r="V2" s="1" t="s">
        <v>69</v>
      </c>
      <c r="W2" s="1" t="s">
        <v>1161</v>
      </c>
      <c r="X2" s="1" t="s">
        <v>30</v>
      </c>
      <c r="Y2" s="1" t="s">
        <v>30</v>
      </c>
      <c r="Z2" s="1" t="s">
        <v>35</v>
      </c>
      <c r="AA2" s="1" t="s">
        <v>77</v>
      </c>
      <c r="AB2" s="1">
        <v>40813155</v>
      </c>
      <c r="AC2" s="1" t="s">
        <v>1169</v>
      </c>
      <c r="AD2" s="1" t="s">
        <v>76</v>
      </c>
      <c r="AE2" s="1">
        <v>838411</v>
      </c>
      <c r="AF2" s="1" t="s">
        <v>30</v>
      </c>
      <c r="AG2" s="1" t="s">
        <v>158</v>
      </c>
      <c r="AI2" s="42"/>
      <c r="AJ2" s="2">
        <f>'REGISTRO GENERAL'!$C$9</f>
        <v>0</v>
      </c>
      <c r="AK2" s="2">
        <f>'REGISTRO GENERAL'!$C$11</f>
        <v>0</v>
      </c>
      <c r="AL2" s="41" t="str">
        <f t="shared" ref="AL2" si="0">CONCATENATE(TEXT(AJ2,"dd")," ","de"," ",TEXT(AJ2,"mmmm")," ","de", " ",TEXT(AJ2,"yyyy"))</f>
        <v>00 de Enero de 1900</v>
      </c>
      <c r="AM2" s="1" t="str">
        <f t="shared" ref="AM2" si="1">TEXT(AJ2,"d")</f>
        <v>0</v>
      </c>
      <c r="AN2" s="1" t="str">
        <f t="shared" ref="AN2" si="2">TEXT(AJ2,"mm")</f>
        <v>01</v>
      </c>
      <c r="AO2" s="42" t="str">
        <f t="shared" ref="AO2" si="3">TEXT(AJ2,"yyyy")</f>
        <v>1900</v>
      </c>
      <c r="AP2" s="41" t="e">
        <f>_xlfn.XLOOKUP('REGISTRO GENERAL'!$C$7,#REF!,#REF!,'REGISTRO GENERAL'!F11,0)</f>
        <v>#REF!</v>
      </c>
    </row>
    <row r="3" spans="2:42" x14ac:dyDescent="0.25">
      <c r="C3" s="1">
        <v>1421599</v>
      </c>
      <c r="D3" s="1" t="s">
        <v>20865</v>
      </c>
      <c r="E3" s="1" t="s">
        <v>8522</v>
      </c>
      <c r="F3" s="1" t="s">
        <v>835</v>
      </c>
      <c r="G3" s="1" t="s">
        <v>4155</v>
      </c>
      <c r="H3" s="1">
        <v>73526065</v>
      </c>
      <c r="I3" s="1" t="s">
        <v>20971</v>
      </c>
      <c r="J3" s="1" t="s">
        <v>30</v>
      </c>
      <c r="K3" s="1" t="s">
        <v>30</v>
      </c>
      <c r="L3" s="1" t="s">
        <v>38</v>
      </c>
      <c r="M3" s="1">
        <v>22</v>
      </c>
      <c r="N3" s="1">
        <v>967227210</v>
      </c>
      <c r="O3" s="1" t="s">
        <v>20864</v>
      </c>
      <c r="P3" s="1" t="s">
        <v>1172</v>
      </c>
      <c r="Q3" s="1" t="s">
        <v>4166</v>
      </c>
      <c r="R3" s="2">
        <v>37301</v>
      </c>
      <c r="S3" s="1" t="s">
        <v>20546</v>
      </c>
      <c r="T3" s="1" t="s">
        <v>20548</v>
      </c>
      <c r="U3" s="1">
        <v>20600769341</v>
      </c>
      <c r="V3" s="1" t="s">
        <v>20995</v>
      </c>
      <c r="W3" s="1" t="s">
        <v>20996</v>
      </c>
      <c r="X3" s="1" t="s">
        <v>1530</v>
      </c>
      <c r="Y3" s="1" t="s">
        <v>30</v>
      </c>
      <c r="Z3" s="1" t="s">
        <v>75</v>
      </c>
      <c r="AA3" s="1" t="s">
        <v>21000</v>
      </c>
      <c r="AB3" s="57" t="s">
        <v>20997</v>
      </c>
      <c r="AC3" s="1" t="s">
        <v>20998</v>
      </c>
      <c r="AD3" s="1" t="s">
        <v>42</v>
      </c>
      <c r="AE3" s="1" t="s">
        <v>20999</v>
      </c>
      <c r="AF3" s="1" t="s">
        <v>30</v>
      </c>
      <c r="AG3" s="1" t="s">
        <v>158</v>
      </c>
      <c r="AI3" s="42"/>
      <c r="AJ3" s="2">
        <f>'REGISTRO GENERAL'!$C$9</f>
        <v>0</v>
      </c>
      <c r="AK3" s="2">
        <f>'REGISTRO GENERAL'!$C$11</f>
        <v>0</v>
      </c>
      <c r="AL3" s="41" t="str">
        <f t="shared" ref="AL3" si="4">CONCATENATE(TEXT(AJ3,"dd")," ","de"," ",TEXT(AJ3,"mmmm")," ","de", " ",TEXT(AJ3,"yyyy"))</f>
        <v>00 de Enero de 1900</v>
      </c>
      <c r="AM3" s="1" t="str">
        <f t="shared" ref="AM3" si="5">TEXT(AJ3,"d")</f>
        <v>0</v>
      </c>
      <c r="AN3" s="1" t="str">
        <f t="shared" ref="AN3" si="6">TEXT(AJ3,"mm")</f>
        <v>01</v>
      </c>
      <c r="AO3" s="42" t="str">
        <f t="shared" ref="AO3" si="7">TEXT(AJ3,"yyyy")</f>
        <v>1900</v>
      </c>
      <c r="AP3" s="41" t="e">
        <f>_xlfn.XLOOKUP('REGISTRO GENERAL'!$C$7,#REF!,#REF!,'REGISTRO GENERAL'!F11,0)</f>
        <v>#REF!</v>
      </c>
    </row>
    <row r="4" spans="2:42" x14ac:dyDescent="0.25">
      <c r="AI4" s="42"/>
      <c r="AJ4" s="2"/>
      <c r="AK4" s="2"/>
      <c r="AL4" s="41"/>
      <c r="AO4" s="42"/>
      <c r="AP4" s="41"/>
    </row>
    <row r="5" spans="2:42" x14ac:dyDescent="0.25">
      <c r="AI5" s="42"/>
      <c r="AJ5" s="2"/>
      <c r="AK5" s="2"/>
      <c r="AL5" s="41"/>
      <c r="AO5" s="42"/>
      <c r="AP5" s="41"/>
    </row>
    <row r="6" spans="2:42" x14ac:dyDescent="0.25">
      <c r="AI6" s="42"/>
      <c r="AJ6" s="2"/>
      <c r="AK6" s="2"/>
      <c r="AL6" s="41"/>
      <c r="AO6" s="42"/>
      <c r="AP6" s="41"/>
    </row>
    <row r="7" spans="2:42" x14ac:dyDescent="0.25">
      <c r="AI7" s="42"/>
      <c r="AJ7" s="2"/>
      <c r="AK7" s="2"/>
      <c r="AL7" s="41"/>
      <c r="AO7" s="42"/>
      <c r="AP7" s="41"/>
    </row>
    <row r="8" spans="2:42" x14ac:dyDescent="0.25">
      <c r="AI8" s="42"/>
      <c r="AJ8" s="2"/>
      <c r="AK8" s="2"/>
      <c r="AL8" s="41"/>
      <c r="AO8" s="42"/>
      <c r="AP8" s="41"/>
    </row>
    <row r="9" spans="2:42" x14ac:dyDescent="0.25">
      <c r="AI9" s="42"/>
      <c r="AJ9" s="2"/>
      <c r="AK9" s="2"/>
      <c r="AL9" s="41"/>
      <c r="AO9" s="42"/>
      <c r="AP9" s="41"/>
    </row>
    <row r="10" spans="2:42" x14ac:dyDescent="0.25">
      <c r="AI10" s="42"/>
      <c r="AJ10" s="2"/>
      <c r="AK10" s="2"/>
      <c r="AL10" s="41"/>
      <c r="AO10" s="42"/>
      <c r="AP10" s="41"/>
    </row>
    <row r="11" spans="2:42" x14ac:dyDescent="0.25">
      <c r="AI11" s="42"/>
      <c r="AJ11" s="2"/>
      <c r="AK11" s="2"/>
      <c r="AL11" s="41"/>
      <c r="AO11" s="42"/>
      <c r="AP11" s="41"/>
    </row>
    <row r="12" spans="2:42" x14ac:dyDescent="0.25">
      <c r="AI12" s="42"/>
      <c r="AJ12" s="2"/>
      <c r="AK12" s="2"/>
      <c r="AL12" s="41"/>
      <c r="AO12" s="42"/>
      <c r="AP12" s="41"/>
    </row>
    <row r="13" spans="2:42" x14ac:dyDescent="0.25">
      <c r="AI13" s="42"/>
      <c r="AJ13" s="2"/>
      <c r="AK13" s="2"/>
      <c r="AL13" s="41"/>
      <c r="AO13" s="42"/>
      <c r="AP13" s="41"/>
    </row>
    <row r="14" spans="2:42" x14ac:dyDescent="0.25">
      <c r="AI14" s="42"/>
      <c r="AJ14" s="2"/>
      <c r="AK14" s="2"/>
      <c r="AL14" s="41"/>
      <c r="AO14" s="42"/>
      <c r="AP14" s="41"/>
    </row>
    <row r="15" spans="2:42" x14ac:dyDescent="0.25">
      <c r="AI15" s="42"/>
      <c r="AJ15" s="2"/>
      <c r="AK15" s="2"/>
      <c r="AL15" s="41"/>
      <c r="AO15" s="42"/>
      <c r="AP15" s="41"/>
    </row>
    <row r="16" spans="2:42" x14ac:dyDescent="0.25">
      <c r="AI16" s="42"/>
      <c r="AJ16" s="2"/>
      <c r="AK16" s="2"/>
      <c r="AL16" s="41"/>
      <c r="AO16" s="42"/>
      <c r="AP16" s="41"/>
    </row>
    <row r="17" spans="35:42" x14ac:dyDescent="0.25">
      <c r="AI17" s="42"/>
      <c r="AJ17" s="2"/>
      <c r="AK17" s="2"/>
      <c r="AL17" s="41"/>
      <c r="AO17" s="42"/>
      <c r="AP17" s="41"/>
    </row>
    <row r="18" spans="35:42" x14ac:dyDescent="0.25">
      <c r="AI18" s="42"/>
      <c r="AJ18" s="2"/>
      <c r="AK18" s="2"/>
      <c r="AL18" s="41"/>
      <c r="AO18" s="42"/>
      <c r="AP18" s="41"/>
    </row>
    <row r="19" spans="35:42" x14ac:dyDescent="0.25">
      <c r="AI19" s="42"/>
      <c r="AJ19" s="2"/>
      <c r="AK19" s="2"/>
      <c r="AL19" s="41"/>
      <c r="AO19" s="42"/>
      <c r="AP19" s="41"/>
    </row>
    <row r="20" spans="35:42" x14ac:dyDescent="0.25">
      <c r="AI20" s="42"/>
      <c r="AJ20" s="2"/>
      <c r="AK20" s="2"/>
      <c r="AL20" s="41"/>
      <c r="AO20" s="42"/>
      <c r="AP20" s="41"/>
    </row>
    <row r="21" spans="35:42" x14ac:dyDescent="0.25">
      <c r="AI21" s="42"/>
      <c r="AJ21" s="2"/>
      <c r="AK21" s="2"/>
      <c r="AL21" s="41"/>
      <c r="AO21" s="42"/>
      <c r="AP21" s="41"/>
    </row>
    <row r="22" spans="35:42" x14ac:dyDescent="0.25">
      <c r="AI22" s="42"/>
      <c r="AJ22" s="2"/>
      <c r="AK22" s="2"/>
      <c r="AL22" s="41"/>
      <c r="AO22" s="42"/>
      <c r="AP22" s="41"/>
    </row>
  </sheetData>
  <phoneticPr fontId="20" type="noConversion"/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D1EB4-0D80-43E0-91FB-D64057630857}">
  <sheetPr codeName="Hoja5"/>
  <dimension ref="B1:AU26"/>
  <sheetViews>
    <sheetView zoomScale="90" zoomScaleNormal="90" workbookViewId="0">
      <selection activeCell="D20" sqref="D20"/>
    </sheetView>
  </sheetViews>
  <sheetFormatPr baseColWidth="10" defaultColWidth="11.42578125" defaultRowHeight="15" x14ac:dyDescent="0.25"/>
  <cols>
    <col min="1" max="1" width="1.28515625" style="1" customWidth="1"/>
    <col min="2" max="2" width="11.42578125" style="1"/>
    <col min="3" max="3" width="14.7109375" style="1" customWidth="1"/>
    <col min="4" max="4" width="40.5703125" style="1" customWidth="1"/>
    <col min="5" max="5" width="43.5703125" style="1" customWidth="1"/>
    <col min="6" max="6" width="14.28515625" style="1" customWidth="1"/>
    <col min="7" max="7" width="22.85546875" style="1" customWidth="1"/>
    <col min="8" max="8" width="12.85546875" style="1" customWidth="1"/>
    <col min="9" max="9" width="35.7109375" style="1" customWidth="1"/>
    <col min="10" max="10" width="12.28515625" style="1" customWidth="1"/>
    <col min="11" max="11" width="19.5703125" style="1" customWidth="1"/>
    <col min="12" max="12" width="22.42578125" style="1" customWidth="1"/>
    <col min="13" max="13" width="11.42578125" style="1"/>
    <col min="14" max="14" width="20.85546875" style="1" customWidth="1"/>
    <col min="15" max="15" width="32" style="1" customWidth="1"/>
    <col min="16" max="16" width="24" style="1" customWidth="1"/>
    <col min="17" max="17" width="31" style="1" customWidth="1"/>
    <col min="18" max="18" width="31" style="2" customWidth="1"/>
    <col min="19" max="19" width="23.42578125" style="1" customWidth="1"/>
    <col min="20" max="21" width="20.140625" style="1" customWidth="1"/>
    <col min="22" max="22" width="82.28515625" style="1" customWidth="1"/>
    <col min="23" max="23" width="130.28515625" style="1" customWidth="1"/>
    <col min="24" max="24" width="22.85546875" style="1" bestFit="1" customWidth="1"/>
    <col min="25" max="25" width="86" style="1" customWidth="1"/>
    <col min="26" max="26" width="20.42578125" style="1" customWidth="1"/>
    <col min="27" max="27" width="47.5703125" style="1" customWidth="1"/>
    <col min="28" max="28" width="20.42578125" style="1" customWidth="1"/>
    <col min="29" max="29" width="42.42578125" style="1" customWidth="1"/>
    <col min="30" max="30" width="31.140625" style="1" customWidth="1"/>
    <col min="31" max="31" width="11.5703125" style="1" customWidth="1"/>
    <col min="32" max="32" width="21.28515625" style="1" customWidth="1"/>
    <col min="33" max="33" width="12.5703125" style="1" customWidth="1"/>
    <col min="34" max="34" width="15.85546875" style="1" customWidth="1"/>
    <col min="35" max="35" width="12.140625" style="1" customWidth="1"/>
    <col min="36" max="36" width="18.28515625" style="2" customWidth="1"/>
    <col min="37" max="37" width="17.28515625" style="2" customWidth="1"/>
    <col min="38" max="38" width="28.28515625" style="1" customWidth="1"/>
    <col min="39" max="39" width="17.42578125" style="1" customWidth="1"/>
    <col min="40" max="40" width="11.42578125" style="1"/>
    <col min="41" max="43" width="16.28515625" style="1" customWidth="1"/>
    <col min="44" max="45" width="24.5703125" style="1" customWidth="1"/>
    <col min="46" max="46" width="34" style="1" customWidth="1"/>
    <col min="47" max="47" width="44.28515625" style="1" customWidth="1"/>
    <col min="48" max="16384" width="11.42578125" style="1"/>
  </cols>
  <sheetData>
    <row r="1" spans="2:47" ht="30" x14ac:dyDescent="0.25">
      <c r="B1" s="39" t="s">
        <v>857</v>
      </c>
      <c r="C1" s="8" t="s">
        <v>18</v>
      </c>
      <c r="D1" s="8" t="s">
        <v>19</v>
      </c>
      <c r="E1" s="8" t="s">
        <v>0</v>
      </c>
      <c r="F1" s="8" t="s">
        <v>20</v>
      </c>
      <c r="G1" s="8" t="s">
        <v>828</v>
      </c>
      <c r="H1" s="8" t="s">
        <v>1</v>
      </c>
      <c r="I1" s="8" t="s">
        <v>825</v>
      </c>
      <c r="J1" s="8" t="s">
        <v>855</v>
      </c>
      <c r="K1" s="8" t="s">
        <v>28</v>
      </c>
      <c r="L1" s="8" t="s">
        <v>27</v>
      </c>
      <c r="M1" s="8" t="s">
        <v>853</v>
      </c>
      <c r="N1" s="8" t="s">
        <v>826</v>
      </c>
      <c r="O1" s="8" t="s">
        <v>827</v>
      </c>
      <c r="P1" s="8" t="s">
        <v>138</v>
      </c>
      <c r="Q1" s="8" t="s">
        <v>854</v>
      </c>
      <c r="R1" s="113" t="s">
        <v>20543</v>
      </c>
      <c r="S1" s="8" t="s">
        <v>20544</v>
      </c>
      <c r="T1" s="8" t="s">
        <v>20545</v>
      </c>
      <c r="U1" s="12" t="s">
        <v>21</v>
      </c>
      <c r="V1" s="12" t="s">
        <v>714</v>
      </c>
      <c r="W1" s="12" t="s">
        <v>23</v>
      </c>
      <c r="X1" s="12" t="s">
        <v>855</v>
      </c>
      <c r="Y1" s="12" t="s">
        <v>28</v>
      </c>
      <c r="Z1" s="12" t="s">
        <v>979</v>
      </c>
      <c r="AA1" s="12" t="s">
        <v>24</v>
      </c>
      <c r="AB1" s="12" t="s">
        <v>980</v>
      </c>
      <c r="AC1" s="12" t="s">
        <v>981</v>
      </c>
      <c r="AD1" s="12" t="s">
        <v>25</v>
      </c>
      <c r="AE1" s="5" t="s">
        <v>860</v>
      </c>
      <c r="AF1" s="5" t="s">
        <v>982</v>
      </c>
      <c r="AG1" s="3" t="s">
        <v>718</v>
      </c>
      <c r="AH1" s="3" t="s">
        <v>719</v>
      </c>
      <c r="AI1" s="3" t="s">
        <v>720</v>
      </c>
      <c r="AJ1" s="4" t="s">
        <v>721</v>
      </c>
      <c r="AK1" s="4" t="s">
        <v>722</v>
      </c>
      <c r="AL1" s="3" t="s">
        <v>1158</v>
      </c>
      <c r="AM1" s="3" t="s">
        <v>723</v>
      </c>
      <c r="AN1" s="3" t="s">
        <v>724</v>
      </c>
      <c r="AO1" s="3" t="s">
        <v>725</v>
      </c>
      <c r="AP1" s="3" t="s">
        <v>1142</v>
      </c>
      <c r="AQ1" s="3" t="s">
        <v>1143</v>
      </c>
      <c r="AR1" s="3" t="s">
        <v>1144</v>
      </c>
      <c r="AS1" s="3" t="s">
        <v>3046</v>
      </c>
      <c r="AT1" s="5" t="s">
        <v>726</v>
      </c>
      <c r="AU1" s="43" t="s">
        <v>1145</v>
      </c>
    </row>
    <row r="2" spans="2:47" x14ac:dyDescent="0.25">
      <c r="B2" s="1">
        <v>1</v>
      </c>
      <c r="C2" s="1">
        <v>1341452</v>
      </c>
      <c r="D2" s="1" t="s">
        <v>17</v>
      </c>
      <c r="E2" s="1" t="s">
        <v>11</v>
      </c>
      <c r="F2" s="1" t="s">
        <v>834</v>
      </c>
      <c r="G2" s="1" t="s">
        <v>977</v>
      </c>
      <c r="H2" s="1">
        <v>71258546</v>
      </c>
      <c r="I2" s="1" t="s">
        <v>969</v>
      </c>
      <c r="J2" s="1" t="s">
        <v>30</v>
      </c>
      <c r="K2" s="1" t="s">
        <v>30</v>
      </c>
      <c r="L2" s="1" t="s">
        <v>58</v>
      </c>
      <c r="M2" s="53">
        <v>23.123287671232877</v>
      </c>
      <c r="N2" s="1">
        <v>923698922</v>
      </c>
      <c r="O2" s="1" t="s">
        <v>968</v>
      </c>
      <c r="P2" s="1" t="s">
        <v>3</v>
      </c>
      <c r="Q2" s="1" t="s">
        <v>2</v>
      </c>
      <c r="R2" s="2">
        <v>32874</v>
      </c>
      <c r="S2" s="1" t="s">
        <v>20546</v>
      </c>
      <c r="T2" s="1" t="s">
        <v>20547</v>
      </c>
      <c r="U2" s="1">
        <v>20100028698</v>
      </c>
      <c r="V2" s="1" t="s">
        <v>69</v>
      </c>
      <c r="W2" s="1" t="s">
        <v>1161</v>
      </c>
      <c r="X2" s="1" t="s">
        <v>30</v>
      </c>
      <c r="Y2" s="1" t="s">
        <v>30</v>
      </c>
      <c r="Z2" s="1" t="s">
        <v>35</v>
      </c>
      <c r="AA2" s="1" t="s">
        <v>77</v>
      </c>
      <c r="AB2" s="1">
        <v>40813155</v>
      </c>
      <c r="AC2" s="1" t="s">
        <v>1169</v>
      </c>
      <c r="AD2" s="1" t="s">
        <v>76</v>
      </c>
      <c r="AE2" s="1">
        <v>838411</v>
      </c>
      <c r="AF2" s="1" t="s">
        <v>30</v>
      </c>
      <c r="AG2" s="1" t="s">
        <v>158</v>
      </c>
      <c r="AJ2" s="2">
        <v>45092</v>
      </c>
      <c r="AK2" s="2">
        <v>45275</v>
      </c>
      <c r="AL2" s="1" t="s">
        <v>1180</v>
      </c>
      <c r="AM2" s="57" t="s">
        <v>1912</v>
      </c>
      <c r="AN2" s="57" t="s">
        <v>1992</v>
      </c>
      <c r="AO2" s="57" t="s">
        <v>1868</v>
      </c>
      <c r="AP2" s="1" t="str">
        <f>_xlfn.XLOOKUP(AM2,INDICADORES!B:B,INDICADORES!C:C,"ERROR",0)</f>
        <v xml:space="preserve">quince </v>
      </c>
      <c r="AQ2" s="1" t="str">
        <f>_xlfn.XLOOKUP(AN2,MES[MES],MES[Columna1],"ERROR",0)</f>
        <v>junio</v>
      </c>
      <c r="AR2" s="1" t="str">
        <f>_xlfn.XLOOKUP(AO2,AÑO[AÑO],AÑO[Columna1],"ERROR",0)</f>
        <v xml:space="preserve">dos mil veintitrés </v>
      </c>
      <c r="AS2" s="2" t="e">
        <f>PDF!$AP$2</f>
        <v>#REF!</v>
      </c>
      <c r="AT2" s="41" t="e">
        <f>CONCATENATE(TEXT(AS2,"dd")," ","de"," ",TEXT(AS2,"mmmm")," ","de", " ",TEXT(AS2,"yyyy"))</f>
        <v>#REF!</v>
      </c>
      <c r="AU2" s="41">
        <f>_xlfn.XLOOKUP('REGISTRO GENERAL'!$C$13,INDICADORES!V:V,INDICADORES!W:W,"NO ENCONTRADO",0)</f>
        <v>0</v>
      </c>
    </row>
    <row r="3" spans="2:47" x14ac:dyDescent="0.25">
      <c r="AM3" s="57"/>
      <c r="AN3" s="57"/>
      <c r="AO3" s="57"/>
      <c r="AS3" s="2"/>
      <c r="AT3" s="41"/>
      <c r="AU3" s="41"/>
    </row>
    <row r="4" spans="2:47" x14ac:dyDescent="0.25">
      <c r="AM4" s="57"/>
      <c r="AN4" s="57"/>
      <c r="AO4" s="57"/>
      <c r="AS4" s="2"/>
      <c r="AT4" s="41"/>
      <c r="AU4" s="41"/>
    </row>
    <row r="5" spans="2:47" x14ac:dyDescent="0.25">
      <c r="AM5" s="57"/>
      <c r="AN5" s="57"/>
      <c r="AO5" s="57"/>
      <c r="AS5" s="2"/>
      <c r="AT5" s="41"/>
      <c r="AU5" s="41"/>
    </row>
    <row r="6" spans="2:47" x14ac:dyDescent="0.25">
      <c r="AM6" s="57"/>
      <c r="AN6" s="57"/>
      <c r="AO6" s="57"/>
      <c r="AS6" s="2"/>
      <c r="AT6" s="41"/>
      <c r="AU6" s="41"/>
    </row>
    <row r="7" spans="2:47" x14ac:dyDescent="0.25">
      <c r="AM7" s="57"/>
      <c r="AN7" s="57"/>
      <c r="AO7" s="57"/>
      <c r="AS7" s="2"/>
      <c r="AT7" s="41"/>
      <c r="AU7" s="41"/>
    </row>
    <row r="8" spans="2:47" x14ac:dyDescent="0.25">
      <c r="AM8" s="57"/>
      <c r="AN8" s="57"/>
      <c r="AO8" s="57"/>
      <c r="AS8" s="2"/>
      <c r="AT8" s="41"/>
      <c r="AU8" s="41"/>
    </row>
    <row r="9" spans="2:47" x14ac:dyDescent="0.25">
      <c r="AM9" s="57"/>
      <c r="AN9" s="57"/>
      <c r="AO9" s="57"/>
      <c r="AS9" s="2"/>
      <c r="AT9" s="41"/>
      <c r="AU9" s="41"/>
    </row>
    <row r="10" spans="2:47" x14ac:dyDescent="0.25">
      <c r="AM10" s="57"/>
      <c r="AN10" s="57"/>
      <c r="AO10" s="57"/>
      <c r="AS10" s="2"/>
      <c r="AT10" s="41"/>
      <c r="AU10" s="41"/>
    </row>
    <row r="11" spans="2:47" x14ac:dyDescent="0.25">
      <c r="AM11" s="57"/>
      <c r="AN11" s="57"/>
      <c r="AO11" s="57"/>
      <c r="AS11" s="2"/>
      <c r="AT11" s="41"/>
      <c r="AU11" s="41"/>
    </row>
    <row r="12" spans="2:47" x14ac:dyDescent="0.25">
      <c r="AM12" s="57"/>
      <c r="AN12" s="57"/>
      <c r="AO12" s="57"/>
      <c r="AS12" s="2"/>
      <c r="AT12" s="41"/>
      <c r="AU12" s="41"/>
    </row>
    <row r="13" spans="2:47" x14ac:dyDescent="0.25">
      <c r="AM13" s="57"/>
      <c r="AN13" s="57"/>
      <c r="AO13" s="57"/>
      <c r="AS13" s="2"/>
      <c r="AT13" s="41"/>
      <c r="AU13" s="41"/>
    </row>
    <row r="14" spans="2:47" x14ac:dyDescent="0.25">
      <c r="AM14" s="57"/>
      <c r="AN14" s="57"/>
      <c r="AO14" s="57"/>
      <c r="AS14" s="2"/>
      <c r="AT14" s="41"/>
      <c r="AU14" s="41"/>
    </row>
    <row r="15" spans="2:47" x14ac:dyDescent="0.25">
      <c r="AM15" s="57"/>
      <c r="AN15" s="57"/>
      <c r="AO15" s="57"/>
      <c r="AS15" s="2"/>
      <c r="AT15" s="41"/>
      <c r="AU15" s="41"/>
    </row>
    <row r="16" spans="2:47" x14ac:dyDescent="0.25">
      <c r="AM16" s="57"/>
      <c r="AN16" s="57"/>
      <c r="AO16" s="57"/>
      <c r="AS16" s="2"/>
      <c r="AT16" s="41"/>
      <c r="AU16" s="41"/>
    </row>
    <row r="17" spans="39:47" x14ac:dyDescent="0.25">
      <c r="AM17" s="57"/>
      <c r="AN17" s="57"/>
      <c r="AO17" s="57"/>
      <c r="AS17" s="2"/>
      <c r="AT17" s="41"/>
      <c r="AU17" s="41"/>
    </row>
    <row r="18" spans="39:47" x14ac:dyDescent="0.25">
      <c r="AM18" s="57"/>
      <c r="AN18" s="57"/>
      <c r="AO18" s="57"/>
      <c r="AS18" s="2"/>
      <c r="AT18" s="41"/>
      <c r="AU18" s="41"/>
    </row>
    <row r="19" spans="39:47" x14ac:dyDescent="0.25">
      <c r="AM19" s="57"/>
      <c r="AN19" s="57"/>
      <c r="AO19" s="57"/>
      <c r="AS19" s="2"/>
      <c r="AT19" s="41"/>
      <c r="AU19" s="41"/>
    </row>
    <row r="20" spans="39:47" x14ac:dyDescent="0.25">
      <c r="AM20" s="57"/>
      <c r="AN20" s="57"/>
      <c r="AO20" s="57"/>
      <c r="AS20" s="2"/>
      <c r="AT20" s="41"/>
      <c r="AU20" s="41"/>
    </row>
    <row r="21" spans="39:47" x14ac:dyDescent="0.25">
      <c r="AM21" s="57"/>
      <c r="AN21" s="57"/>
      <c r="AO21" s="57"/>
      <c r="AS21" s="2"/>
      <c r="AT21" s="41"/>
      <c r="AU21" s="41"/>
    </row>
    <row r="22" spans="39:47" x14ac:dyDescent="0.25">
      <c r="AM22" s="57"/>
      <c r="AN22" s="57"/>
      <c r="AO22" s="57"/>
      <c r="AS22" s="2"/>
      <c r="AT22" s="41"/>
      <c r="AU22" s="41"/>
    </row>
    <row r="23" spans="39:47" x14ac:dyDescent="0.25">
      <c r="AT23" s="41"/>
      <c r="AU23" s="41"/>
    </row>
    <row r="24" spans="39:47" x14ac:dyDescent="0.25">
      <c r="AT24" s="41"/>
    </row>
    <row r="25" spans="39:47" x14ac:dyDescent="0.25">
      <c r="AT25" s="41"/>
    </row>
    <row r="26" spans="39:47" x14ac:dyDescent="0.25">
      <c r="AT26" s="41"/>
    </row>
  </sheetData>
  <phoneticPr fontId="20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BFDFB-6749-449B-9E83-E0F92E6F9289}">
  <sheetPr codeName="Hoja3"/>
  <dimension ref="A1:Q14"/>
  <sheetViews>
    <sheetView workbookViewId="0">
      <selection activeCell="E17" sqref="E17"/>
    </sheetView>
  </sheetViews>
  <sheetFormatPr baseColWidth="10" defaultColWidth="14.42578125" defaultRowHeight="15" x14ac:dyDescent="0.25"/>
  <cols>
    <col min="1" max="1" width="10.7109375" customWidth="1"/>
    <col min="2" max="2" width="33" customWidth="1"/>
    <col min="3" max="3" width="12.5703125" customWidth="1"/>
    <col min="4" max="4" width="12" customWidth="1"/>
    <col min="5" max="5" width="46.5703125" customWidth="1"/>
    <col min="6" max="6" width="16.140625" customWidth="1"/>
    <col min="7" max="7" width="20.42578125" customWidth="1"/>
    <col min="8" max="8" width="48" customWidth="1"/>
    <col min="9" max="9" width="14" customWidth="1"/>
    <col min="10" max="10" width="12.42578125" customWidth="1"/>
    <col min="11" max="11" width="15.5703125" customWidth="1"/>
    <col min="12" max="12" width="9" customWidth="1"/>
    <col min="13" max="13" width="12.140625" customWidth="1"/>
    <col min="14" max="14" width="19.5703125" customWidth="1"/>
    <col min="15" max="15" width="12.5703125" customWidth="1"/>
    <col min="16" max="16" width="21" customWidth="1"/>
    <col min="17" max="17" width="16" customWidth="1"/>
    <col min="18" max="26" width="10.7109375" customWidth="1"/>
  </cols>
  <sheetData>
    <row r="1" spans="1:17" ht="15.75" x14ac:dyDescent="0.25">
      <c r="A1" s="163" t="s">
        <v>8539</v>
      </c>
      <c r="B1" s="163"/>
      <c r="C1" s="163"/>
      <c r="D1" s="164" t="s">
        <v>8540</v>
      </c>
      <c r="E1" s="164"/>
      <c r="F1" s="165" t="s">
        <v>8541</v>
      </c>
      <c r="G1" s="165"/>
      <c r="H1" s="165"/>
      <c r="I1" s="165"/>
      <c r="J1" s="165"/>
      <c r="K1" s="165"/>
      <c r="L1" s="166" t="s">
        <v>8542</v>
      </c>
      <c r="M1" s="166"/>
      <c r="N1" s="166"/>
      <c r="O1" s="166"/>
      <c r="P1" s="166"/>
      <c r="Q1" s="166"/>
    </row>
    <row r="2" spans="1:17" ht="33.75" customHeight="1" x14ac:dyDescent="0.25">
      <c r="A2" s="107" t="s">
        <v>8543</v>
      </c>
      <c r="B2" s="107" t="s">
        <v>8544</v>
      </c>
      <c r="C2" s="107" t="s">
        <v>8545</v>
      </c>
      <c r="D2" s="108" t="s">
        <v>21</v>
      </c>
      <c r="E2" s="108" t="s">
        <v>22</v>
      </c>
      <c r="F2" s="109" t="s">
        <v>1866</v>
      </c>
      <c r="G2" s="110" t="s">
        <v>8546</v>
      </c>
      <c r="H2" s="109" t="s">
        <v>8547</v>
      </c>
      <c r="I2" s="109" t="s">
        <v>8548</v>
      </c>
      <c r="J2" s="109" t="s">
        <v>8549</v>
      </c>
      <c r="K2" s="109" t="s">
        <v>8550</v>
      </c>
      <c r="L2" s="111" t="s">
        <v>8551</v>
      </c>
      <c r="M2" s="94" t="s">
        <v>8552</v>
      </c>
      <c r="N2" s="94" t="s">
        <v>8553</v>
      </c>
      <c r="O2" s="94" t="s">
        <v>8554</v>
      </c>
      <c r="P2" s="94" t="s">
        <v>8555</v>
      </c>
      <c r="Q2" s="94" t="s">
        <v>8556</v>
      </c>
    </row>
    <row r="3" spans="1:17" s="11" customFormat="1" ht="39" customHeight="1" x14ac:dyDescent="0.25">
      <c r="A3" s="104">
        <f>_xlfn.XLOOKUP('REGISTRO GENERAL'!C5,FORMS!F:F,FORMS!F:F,"NO",0)</f>
        <v>1343447</v>
      </c>
      <c r="B3" s="102" t="str">
        <f>_xlfn.XLOOKUP('REGISTRO GENERAL'!C5,FORMS!F:F,FORMS!E:E,"NO",0)</f>
        <v>WILSON DAVID BARRETO PALACIOS</v>
      </c>
      <c r="C3" s="104">
        <f>_xlfn.XLOOKUP('REGISTRO GENERAL'!C5,FORMS!F:F,FORMS!O:O,"NO",0)</f>
        <v>933238447</v>
      </c>
      <c r="D3" s="104">
        <f>'REGISTRO GENERAL'!$C$7</f>
        <v>0</v>
      </c>
      <c r="E3" s="105" t="str">
        <f>_xlfn.XLOOKUP(D3,RUC!C4:C1048576,RUC!D4:D1048576,"NO EXISTE",0)</f>
        <v>NO EXISTE</v>
      </c>
      <c r="F3" s="105" t="s">
        <v>8564</v>
      </c>
      <c r="G3" s="105" t="s">
        <v>8565</v>
      </c>
      <c r="H3" s="106" t="str">
        <f>_xlfn.XLOOKUP(D3,RUC!C4:C1048576,RUC!E4:E1048576,"NO EXISTE",0)</f>
        <v>NO EXISTE</v>
      </c>
      <c r="I3" s="104" t="str">
        <f>_xlfn.XLOOKUP(D3,RUC!C4:C1048576,RUC!F4:F1048576,"NO EXISTE",0)</f>
        <v>NO EXISTE</v>
      </c>
      <c r="J3" s="104" t="str">
        <f>_xlfn.XLOOKUP(D3,RUC!C4:C1048576,RUC!G4:G1048576,"NO EXISTE",0)</f>
        <v>NO EXISTE</v>
      </c>
      <c r="K3" s="104" t="str">
        <f>_xlfn.XLOOKUP(D3,RUC!C4:C1048576,RUC!H4:H1048576,"NO EXISTE",0)</f>
        <v>NO EXISTE</v>
      </c>
      <c r="L3" s="104"/>
      <c r="M3" s="99"/>
      <c r="N3" s="99"/>
      <c r="O3" s="100"/>
      <c r="P3" s="101"/>
      <c r="Q3" s="99"/>
    </row>
    <row r="4" spans="1:17" ht="15" customHeight="1" x14ac:dyDescent="0.25"/>
    <row r="5" spans="1:17" ht="15" customHeight="1" x14ac:dyDescent="0.25"/>
    <row r="6" spans="1:17" ht="15" customHeight="1" x14ac:dyDescent="0.25"/>
    <row r="7" spans="1:17" ht="15" customHeight="1" x14ac:dyDescent="0.25"/>
    <row r="8" spans="1:17" ht="36.75" customHeight="1" x14ac:dyDescent="0.25">
      <c r="B8" s="95" t="s">
        <v>8557</v>
      </c>
      <c r="F8" s="96"/>
      <c r="G8" s="96" t="s">
        <v>8558</v>
      </c>
      <c r="H8" s="96"/>
      <c r="I8" s="96"/>
      <c r="J8" s="96"/>
      <c r="K8" s="96"/>
      <c r="M8" s="97" t="s">
        <v>8559</v>
      </c>
      <c r="N8" s="97"/>
      <c r="O8" s="97"/>
      <c r="P8" s="97"/>
      <c r="Q8" s="97"/>
    </row>
    <row r="9" spans="1:17" x14ac:dyDescent="0.25">
      <c r="B9" s="98"/>
      <c r="F9" s="96"/>
      <c r="G9" s="96" t="s">
        <v>8560</v>
      </c>
      <c r="H9" s="96"/>
      <c r="I9" s="96"/>
      <c r="J9" s="96"/>
      <c r="K9" s="96"/>
      <c r="M9" s="97" t="s">
        <v>8561</v>
      </c>
      <c r="N9" s="97"/>
      <c r="O9" s="97"/>
      <c r="P9" s="97"/>
      <c r="Q9" s="97"/>
    </row>
    <row r="10" spans="1:17" ht="15" customHeight="1" x14ac:dyDescent="0.25">
      <c r="F10" s="96"/>
      <c r="G10" s="96" t="s">
        <v>8562</v>
      </c>
      <c r="H10" s="96"/>
      <c r="I10" s="96"/>
      <c r="J10" s="96"/>
      <c r="K10" s="96"/>
      <c r="M10" s="97"/>
      <c r="N10" s="97"/>
      <c r="O10" s="97"/>
      <c r="P10" s="97"/>
      <c r="Q10" s="97"/>
    </row>
    <row r="11" spans="1:17" ht="15" customHeight="1" x14ac:dyDescent="0.25">
      <c r="F11" s="96"/>
      <c r="G11" s="96" t="s">
        <v>8563</v>
      </c>
      <c r="H11" s="96"/>
      <c r="I11" s="96"/>
      <c r="J11" s="96"/>
      <c r="K11" s="96"/>
      <c r="M11" s="97"/>
      <c r="N11" s="97"/>
      <c r="O11" s="97"/>
      <c r="P11" s="97"/>
      <c r="Q11" s="97"/>
    </row>
    <row r="12" spans="1:17" ht="15" customHeight="1" x14ac:dyDescent="0.25"/>
    <row r="13" spans="1:17" ht="15" customHeight="1" x14ac:dyDescent="0.25">
      <c r="D13" s="65"/>
    </row>
    <row r="14" spans="1:17" ht="15" customHeight="1" x14ac:dyDescent="0.25"/>
  </sheetData>
  <mergeCells count="4">
    <mergeCell ref="A1:C1"/>
    <mergeCell ref="D1:E1"/>
    <mergeCell ref="F1:K1"/>
    <mergeCell ref="L1:Q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DED91-2CFE-43E6-8753-AB27FA374F91}">
  <sheetPr codeName="Hoja10"/>
  <dimension ref="B1:Z179"/>
  <sheetViews>
    <sheetView topLeftCell="O30" zoomScale="90" zoomScaleNormal="90" workbookViewId="0">
      <selection activeCell="S53" sqref="S53"/>
    </sheetView>
  </sheetViews>
  <sheetFormatPr baseColWidth="10" defaultRowHeight="15" x14ac:dyDescent="0.25"/>
  <cols>
    <col min="1" max="1" width="3" customWidth="1"/>
    <col min="3" max="3" width="14.5703125" customWidth="1"/>
    <col min="4" max="4" width="1.85546875" style="142" customWidth="1"/>
    <col min="6" max="6" width="12" customWidth="1"/>
    <col min="7" max="7" width="1.140625" style="142" customWidth="1"/>
    <col min="9" max="9" width="20.5703125" customWidth="1"/>
    <col min="10" max="10" width="1" style="144" customWidth="1"/>
    <col min="11" max="12" width="12.140625" customWidth="1"/>
    <col min="13" max="13" width="1.42578125" style="144" customWidth="1"/>
    <col min="14" max="14" width="21.7109375" customWidth="1"/>
    <col min="15" max="15" width="17.140625" customWidth="1"/>
    <col min="16" max="16" width="38.140625" customWidth="1"/>
    <col min="17" max="17" width="1.140625" style="144" customWidth="1"/>
    <col min="18" max="18" width="19.28515625" style="1" customWidth="1"/>
    <col min="19" max="19" width="63.85546875" style="1" customWidth="1"/>
    <col min="20" max="20" width="27.140625" style="1" customWidth="1"/>
    <col min="21" max="21" width="1" style="144" customWidth="1"/>
    <col min="22" max="22" width="14.7109375" style="1" customWidth="1"/>
    <col min="23" max="23" width="51.42578125" style="1" customWidth="1"/>
    <col min="24" max="24" width="1.85546875" customWidth="1"/>
    <col min="25" max="25" width="38.42578125" customWidth="1"/>
    <col min="26" max="26" width="35.5703125" customWidth="1"/>
  </cols>
  <sheetData>
    <row r="1" spans="2:26" ht="15.75" thickBot="1" x14ac:dyDescent="0.3">
      <c r="B1" s="1"/>
      <c r="C1" s="1"/>
      <c r="E1" s="1"/>
      <c r="F1" s="1"/>
      <c r="H1" s="1"/>
      <c r="I1" s="1"/>
    </row>
    <row r="2" spans="2:26" ht="15.75" thickBot="1" x14ac:dyDescent="0.3">
      <c r="B2" s="19" t="s">
        <v>735</v>
      </c>
      <c r="C2" s="20" t="s">
        <v>864</v>
      </c>
      <c r="E2" s="19" t="s">
        <v>736</v>
      </c>
      <c r="F2" s="20" t="s">
        <v>864</v>
      </c>
      <c r="H2" s="19" t="s">
        <v>737</v>
      </c>
      <c r="I2" s="20" t="s">
        <v>864</v>
      </c>
      <c r="K2" s="29" t="s">
        <v>20</v>
      </c>
      <c r="L2" s="29" t="s">
        <v>864</v>
      </c>
      <c r="N2" s="87" t="s">
        <v>26</v>
      </c>
      <c r="O2" s="79" t="s">
        <v>28</v>
      </c>
      <c r="P2" s="32" t="s">
        <v>27</v>
      </c>
      <c r="R2" s="1" t="s">
        <v>974</v>
      </c>
      <c r="S2" s="1" t="s">
        <v>0</v>
      </c>
      <c r="T2" s="1" t="s">
        <v>828</v>
      </c>
      <c r="V2" s="48" t="s">
        <v>1148</v>
      </c>
      <c r="W2" s="49" t="s">
        <v>29</v>
      </c>
      <c r="Y2" s="70" t="s">
        <v>4172</v>
      </c>
      <c r="Z2" s="69" t="s">
        <v>2219</v>
      </c>
    </row>
    <row r="3" spans="2:26" x14ac:dyDescent="0.25">
      <c r="B3" s="55" t="s">
        <v>1867</v>
      </c>
      <c r="C3" s="18" t="s">
        <v>738</v>
      </c>
      <c r="E3" s="55" t="s">
        <v>1988</v>
      </c>
      <c r="F3" s="18" t="s">
        <v>728</v>
      </c>
      <c r="H3" s="55" t="s">
        <v>1869</v>
      </c>
      <c r="I3" s="18" t="s">
        <v>739</v>
      </c>
      <c r="K3" s="17" t="s">
        <v>830</v>
      </c>
      <c r="L3" s="18" t="s">
        <v>831</v>
      </c>
      <c r="N3" s="30" t="s">
        <v>30</v>
      </c>
      <c r="O3" s="80" t="s">
        <v>168</v>
      </c>
      <c r="P3" s="23" t="s">
        <v>168</v>
      </c>
      <c r="R3" s="1" t="s">
        <v>8</v>
      </c>
      <c r="S3" s="10" t="s">
        <v>1173</v>
      </c>
      <c r="T3" s="10" t="s">
        <v>654</v>
      </c>
      <c r="V3" s="17" t="s">
        <v>1149</v>
      </c>
      <c r="W3" s="50" t="s">
        <v>1146</v>
      </c>
      <c r="Y3" s="71" t="s">
        <v>1172</v>
      </c>
      <c r="Z3" s="18" t="s">
        <v>2</v>
      </c>
    </row>
    <row r="4" spans="2:26" x14ac:dyDescent="0.25">
      <c r="B4" s="55" t="s">
        <v>1899</v>
      </c>
      <c r="C4" s="18" t="s">
        <v>740</v>
      </c>
      <c r="E4" s="55" t="s">
        <v>1987</v>
      </c>
      <c r="F4" s="18" t="s">
        <v>727</v>
      </c>
      <c r="H4" s="55" t="s">
        <v>1870</v>
      </c>
      <c r="I4" s="18" t="s">
        <v>741</v>
      </c>
      <c r="K4" s="17" t="s">
        <v>7</v>
      </c>
      <c r="L4" s="18" t="s">
        <v>146</v>
      </c>
      <c r="N4" s="31"/>
      <c r="O4" s="81"/>
      <c r="P4" s="24" t="s">
        <v>187</v>
      </c>
      <c r="R4" s="1" t="s">
        <v>10</v>
      </c>
      <c r="S4" s="10" t="s">
        <v>1171</v>
      </c>
      <c r="T4" s="10" t="s">
        <v>975</v>
      </c>
      <c r="V4" s="17" t="s">
        <v>1150</v>
      </c>
      <c r="W4" s="50" t="s">
        <v>1147</v>
      </c>
      <c r="Y4" s="1" t="s">
        <v>6894</v>
      </c>
      <c r="Z4" s="18" t="s">
        <v>6893</v>
      </c>
    </row>
    <row r="5" spans="2:26" x14ac:dyDescent="0.25">
      <c r="B5" s="55" t="s">
        <v>1900</v>
      </c>
      <c r="C5" s="18" t="s">
        <v>742</v>
      </c>
      <c r="E5" s="55" t="s">
        <v>1989</v>
      </c>
      <c r="F5" s="18" t="s">
        <v>743</v>
      </c>
      <c r="H5" s="55" t="s">
        <v>1871</v>
      </c>
      <c r="I5" s="18" t="s">
        <v>744</v>
      </c>
      <c r="K5" s="17" t="s">
        <v>9</v>
      </c>
      <c r="L5" s="18" t="s">
        <v>833</v>
      </c>
      <c r="N5" s="31"/>
      <c r="O5" s="81"/>
      <c r="P5" s="24" t="s">
        <v>169</v>
      </c>
      <c r="R5" s="1" t="s">
        <v>12</v>
      </c>
      <c r="S5" s="10" t="s">
        <v>1174</v>
      </c>
      <c r="T5" s="10" t="s">
        <v>977</v>
      </c>
      <c r="V5" s="21" t="s">
        <v>1159</v>
      </c>
      <c r="W5" s="51" t="s">
        <v>1160</v>
      </c>
      <c r="Y5" s="1" t="s">
        <v>6895</v>
      </c>
      <c r="Z5" s="18" t="s">
        <v>4158</v>
      </c>
    </row>
    <row r="6" spans="2:26" x14ac:dyDescent="0.25">
      <c r="B6" s="55" t="s">
        <v>1901</v>
      </c>
      <c r="C6" s="18" t="s">
        <v>745</v>
      </c>
      <c r="E6" s="55" t="s">
        <v>1990</v>
      </c>
      <c r="F6" s="18" t="s">
        <v>746</v>
      </c>
      <c r="H6" s="55" t="s">
        <v>1872</v>
      </c>
      <c r="I6" s="18" t="s">
        <v>747</v>
      </c>
      <c r="K6" s="17" t="s">
        <v>4</v>
      </c>
      <c r="L6" s="18" t="s">
        <v>832</v>
      </c>
      <c r="N6" s="31"/>
      <c r="O6" s="81"/>
      <c r="P6" s="24" t="s">
        <v>180</v>
      </c>
      <c r="R6" s="1" t="s">
        <v>13</v>
      </c>
      <c r="S6" s="10" t="s">
        <v>1176</v>
      </c>
      <c r="T6" s="10" t="s">
        <v>976</v>
      </c>
      <c r="Y6" s="1" t="s">
        <v>4174</v>
      </c>
      <c r="Z6" s="18" t="s">
        <v>4159</v>
      </c>
    </row>
    <row r="7" spans="2:26" ht="15.75" thickBot="1" x14ac:dyDescent="0.3">
      <c r="B7" s="55" t="s">
        <v>1902</v>
      </c>
      <c r="C7" s="18" t="s">
        <v>748</v>
      </c>
      <c r="E7" s="55" t="s">
        <v>1991</v>
      </c>
      <c r="F7" s="18" t="s">
        <v>749</v>
      </c>
      <c r="H7" s="55" t="s">
        <v>1873</v>
      </c>
      <c r="I7" s="18" t="s">
        <v>750</v>
      </c>
      <c r="K7" s="17" t="s">
        <v>5</v>
      </c>
      <c r="L7" s="18" t="s">
        <v>834</v>
      </c>
      <c r="N7" s="31"/>
      <c r="O7" s="82"/>
      <c r="P7" s="25" t="s">
        <v>177</v>
      </c>
      <c r="R7" s="1" t="s">
        <v>14</v>
      </c>
      <c r="S7" s="10" t="s">
        <v>1175</v>
      </c>
      <c r="T7" s="10" t="s">
        <v>978</v>
      </c>
      <c r="Y7" s="1" t="s">
        <v>4173</v>
      </c>
      <c r="Z7" s="18" t="s">
        <v>4160</v>
      </c>
    </row>
    <row r="8" spans="2:26" x14ac:dyDescent="0.25">
      <c r="B8" s="55" t="s">
        <v>1903</v>
      </c>
      <c r="C8" s="18" t="s">
        <v>751</v>
      </c>
      <c r="E8" s="55" t="s">
        <v>1992</v>
      </c>
      <c r="F8" s="18" t="s">
        <v>752</v>
      </c>
      <c r="H8" s="55" t="s">
        <v>1874</v>
      </c>
      <c r="I8" s="18" t="s">
        <v>753</v>
      </c>
      <c r="K8" s="17" t="s">
        <v>6</v>
      </c>
      <c r="L8" s="18" t="s">
        <v>835</v>
      </c>
      <c r="N8" s="31"/>
      <c r="O8" s="83" t="s">
        <v>865</v>
      </c>
      <c r="P8" s="26" t="s">
        <v>865</v>
      </c>
      <c r="R8" s="1" t="s">
        <v>4056</v>
      </c>
      <c r="S8" s="10" t="s">
        <v>5329</v>
      </c>
      <c r="T8" s="10" t="s">
        <v>91</v>
      </c>
      <c r="Y8" s="1" t="s">
        <v>4175</v>
      </c>
      <c r="Z8" s="18" t="s">
        <v>4161</v>
      </c>
    </row>
    <row r="9" spans="2:26" x14ac:dyDescent="0.25">
      <c r="B9" s="55" t="s">
        <v>1904</v>
      </c>
      <c r="C9" s="18" t="s">
        <v>754</v>
      </c>
      <c r="E9" s="55" t="s">
        <v>1993</v>
      </c>
      <c r="F9" s="18" t="s">
        <v>755</v>
      </c>
      <c r="H9" s="55" t="s">
        <v>1875</v>
      </c>
      <c r="I9" s="18" t="s">
        <v>756</v>
      </c>
      <c r="K9" s="17" t="s">
        <v>15</v>
      </c>
      <c r="L9" s="18" t="s">
        <v>836</v>
      </c>
      <c r="N9" s="31"/>
      <c r="O9" s="84"/>
      <c r="P9" s="27" t="s">
        <v>866</v>
      </c>
      <c r="R9" s="1" t="s">
        <v>4057</v>
      </c>
      <c r="S9" s="10" t="s">
        <v>4109</v>
      </c>
      <c r="T9" s="10" t="s">
        <v>91</v>
      </c>
      <c r="Y9" s="1" t="s">
        <v>4176</v>
      </c>
      <c r="Z9" s="18" t="s">
        <v>4162</v>
      </c>
    </row>
    <row r="10" spans="2:26" x14ac:dyDescent="0.25">
      <c r="B10" s="55" t="s">
        <v>1905</v>
      </c>
      <c r="C10" s="18" t="s">
        <v>757</v>
      </c>
      <c r="E10" s="55" t="s">
        <v>1994</v>
      </c>
      <c r="F10" s="18" t="s">
        <v>758</v>
      </c>
      <c r="H10" s="55" t="s">
        <v>1876</v>
      </c>
      <c r="I10" s="18" t="s">
        <v>759</v>
      </c>
      <c r="K10" s="21" t="s">
        <v>16</v>
      </c>
      <c r="L10" s="22" t="s">
        <v>837</v>
      </c>
      <c r="N10" s="31"/>
      <c r="O10" s="84"/>
      <c r="P10" s="27" t="s">
        <v>867</v>
      </c>
      <c r="R10" s="1" t="s">
        <v>4058</v>
      </c>
      <c r="S10" s="10" t="s">
        <v>4110</v>
      </c>
      <c r="T10" s="10" t="s">
        <v>4152</v>
      </c>
      <c r="Y10" s="1" t="s">
        <v>285</v>
      </c>
      <c r="Z10" s="18" t="s">
        <v>4163</v>
      </c>
    </row>
    <row r="11" spans="2:26" x14ac:dyDescent="0.25">
      <c r="B11" s="55" t="s">
        <v>1906</v>
      </c>
      <c r="C11" s="18" t="s">
        <v>760</v>
      </c>
      <c r="E11" s="55" t="s">
        <v>1995</v>
      </c>
      <c r="F11" s="18" t="s">
        <v>761</v>
      </c>
      <c r="H11" s="55" t="s">
        <v>1877</v>
      </c>
      <c r="I11" s="18" t="s">
        <v>762</v>
      </c>
      <c r="K11" s="1"/>
      <c r="L11" s="1"/>
      <c r="N11" s="31"/>
      <c r="O11" s="84"/>
      <c r="P11" s="27" t="s">
        <v>868</v>
      </c>
      <c r="R11" s="1" t="s">
        <v>4059</v>
      </c>
      <c r="S11" s="10" t="s">
        <v>4111</v>
      </c>
      <c r="T11" s="10" t="s">
        <v>4152</v>
      </c>
      <c r="Y11" s="1" t="s">
        <v>269</v>
      </c>
      <c r="Z11" s="18" t="s">
        <v>4162</v>
      </c>
    </row>
    <row r="12" spans="2:26" ht="15.75" thickBot="1" x14ac:dyDescent="0.3">
      <c r="B12" s="55" t="s">
        <v>1907</v>
      </c>
      <c r="C12" s="18" t="s">
        <v>763</v>
      </c>
      <c r="E12" s="55" t="s">
        <v>1907</v>
      </c>
      <c r="F12" s="18" t="s">
        <v>764</v>
      </c>
      <c r="H12" s="55" t="s">
        <v>1878</v>
      </c>
      <c r="I12" s="18" t="s">
        <v>765</v>
      </c>
      <c r="K12" s="1"/>
      <c r="L12" s="1"/>
      <c r="N12" s="31"/>
      <c r="O12" s="85"/>
      <c r="P12" s="28" t="s">
        <v>869</v>
      </c>
      <c r="R12" s="1" t="s">
        <v>4060</v>
      </c>
      <c r="S12" s="10" t="s">
        <v>4112</v>
      </c>
      <c r="T12" s="10" t="s">
        <v>4155</v>
      </c>
      <c r="Y12" s="1" t="s">
        <v>3476</v>
      </c>
      <c r="Z12" s="18" t="s">
        <v>4164</v>
      </c>
    </row>
    <row r="13" spans="2:26" x14ac:dyDescent="0.25">
      <c r="B13" s="55" t="s">
        <v>1908</v>
      </c>
      <c r="C13" s="18" t="s">
        <v>766</v>
      </c>
      <c r="E13" s="55" t="s">
        <v>1908</v>
      </c>
      <c r="F13" s="18" t="s">
        <v>767</v>
      </c>
      <c r="H13" s="55" t="s">
        <v>1879</v>
      </c>
      <c r="I13" s="18" t="s">
        <v>768</v>
      </c>
      <c r="N13" s="31"/>
      <c r="O13" s="80" t="s">
        <v>31</v>
      </c>
      <c r="P13" s="23" t="s">
        <v>148</v>
      </c>
      <c r="R13" s="1" t="s">
        <v>4061</v>
      </c>
      <c r="S13" s="10" t="s">
        <v>4113</v>
      </c>
      <c r="T13" s="10" t="s">
        <v>4155</v>
      </c>
      <c r="Y13" s="1" t="s">
        <v>4177</v>
      </c>
      <c r="Z13" s="50" t="s">
        <v>4156</v>
      </c>
    </row>
    <row r="14" spans="2:26" x14ac:dyDescent="0.25">
      <c r="B14" s="55" t="s">
        <v>1909</v>
      </c>
      <c r="C14" s="18" t="s">
        <v>769</v>
      </c>
      <c r="E14" s="56" t="s">
        <v>1909</v>
      </c>
      <c r="F14" s="22" t="s">
        <v>770</v>
      </c>
      <c r="H14" s="55" t="s">
        <v>1880</v>
      </c>
      <c r="I14" s="18" t="s">
        <v>771</v>
      </c>
      <c r="N14" s="31"/>
      <c r="O14" s="81"/>
      <c r="P14" s="24" t="s">
        <v>870</v>
      </c>
      <c r="R14" s="1" t="s">
        <v>4062</v>
      </c>
      <c r="S14" s="10" t="s">
        <v>4114</v>
      </c>
      <c r="T14" s="10" t="s">
        <v>4155</v>
      </c>
      <c r="Y14" s="1" t="s">
        <v>3476</v>
      </c>
      <c r="Z14" s="72" t="s">
        <v>4157</v>
      </c>
    </row>
    <row r="15" spans="2:26" x14ac:dyDescent="0.25">
      <c r="B15" s="55" t="s">
        <v>1910</v>
      </c>
      <c r="C15" s="18" t="s">
        <v>772</v>
      </c>
      <c r="E15" s="1"/>
      <c r="F15" s="1"/>
      <c r="H15" s="55" t="s">
        <v>1881</v>
      </c>
      <c r="I15" s="18" t="s">
        <v>773</v>
      </c>
      <c r="N15" s="31"/>
      <c r="O15" s="81"/>
      <c r="P15" s="24" t="s">
        <v>92</v>
      </c>
      <c r="R15" s="1" t="s">
        <v>4063</v>
      </c>
      <c r="S15" s="10" t="s">
        <v>5330</v>
      </c>
      <c r="T15" s="10" t="s">
        <v>91</v>
      </c>
      <c r="Y15" s="1" t="s">
        <v>1972</v>
      </c>
      <c r="Z15" s="18" t="s">
        <v>4165</v>
      </c>
    </row>
    <row r="16" spans="2:26" x14ac:dyDescent="0.25">
      <c r="B16" s="55" t="s">
        <v>1911</v>
      </c>
      <c r="C16" s="18" t="s">
        <v>774</v>
      </c>
      <c r="E16" s="1"/>
      <c r="F16" s="1"/>
      <c r="H16" s="55" t="s">
        <v>1882</v>
      </c>
      <c r="I16" s="18" t="s">
        <v>775</v>
      </c>
      <c r="N16" s="31"/>
      <c r="O16" s="81"/>
      <c r="P16" s="24" t="s">
        <v>871</v>
      </c>
      <c r="R16" s="1" t="s">
        <v>4064</v>
      </c>
      <c r="S16" s="10" t="s">
        <v>5331</v>
      </c>
      <c r="T16" s="10" t="s">
        <v>4155</v>
      </c>
      <c r="Y16" s="1" t="s">
        <v>4177</v>
      </c>
      <c r="Z16" s="22" t="s">
        <v>4166</v>
      </c>
    </row>
    <row r="17" spans="2:26" x14ac:dyDescent="0.25">
      <c r="B17" s="55" t="s">
        <v>1912</v>
      </c>
      <c r="C17" s="18" t="s">
        <v>776</v>
      </c>
      <c r="E17" s="1"/>
      <c r="F17" s="1"/>
      <c r="H17" s="55" t="s">
        <v>1883</v>
      </c>
      <c r="I17" s="18" t="s">
        <v>777</v>
      </c>
      <c r="N17" s="31"/>
      <c r="O17" s="81"/>
      <c r="P17" s="24" t="s">
        <v>139</v>
      </c>
      <c r="R17" s="1" t="s">
        <v>4065</v>
      </c>
      <c r="S17" s="10" t="s">
        <v>5332</v>
      </c>
      <c r="T17" s="10" t="s">
        <v>4167</v>
      </c>
      <c r="Y17" s="1" t="s">
        <v>4178</v>
      </c>
      <c r="Z17" s="22"/>
    </row>
    <row r="18" spans="2:26" x14ac:dyDescent="0.25">
      <c r="B18" s="55" t="s">
        <v>1913</v>
      </c>
      <c r="C18" s="18" t="s">
        <v>778</v>
      </c>
      <c r="E18" s="1"/>
      <c r="F18" s="1"/>
      <c r="H18" s="55" t="s">
        <v>1884</v>
      </c>
      <c r="I18" s="18" t="s">
        <v>779</v>
      </c>
      <c r="N18" s="31"/>
      <c r="O18" s="81"/>
      <c r="P18" s="24" t="s">
        <v>149</v>
      </c>
      <c r="R18" s="1" t="s">
        <v>4066</v>
      </c>
      <c r="S18" s="10" t="s">
        <v>4115</v>
      </c>
      <c r="T18" s="10" t="s">
        <v>4152</v>
      </c>
      <c r="Y18" s="1" t="s">
        <v>4179</v>
      </c>
      <c r="Z18" s="22"/>
    </row>
    <row r="19" spans="2:26" x14ac:dyDescent="0.25">
      <c r="B19" s="55" t="s">
        <v>1914</v>
      </c>
      <c r="C19" s="18" t="s">
        <v>780</v>
      </c>
      <c r="E19" s="1"/>
      <c r="F19" s="1"/>
      <c r="H19" s="55" t="s">
        <v>1885</v>
      </c>
      <c r="I19" s="18" t="s">
        <v>781</v>
      </c>
      <c r="N19" s="31"/>
      <c r="O19" s="81"/>
      <c r="P19" s="24" t="s">
        <v>32</v>
      </c>
      <c r="R19" s="1" t="s">
        <v>4067</v>
      </c>
      <c r="S19" s="10" t="s">
        <v>4116</v>
      </c>
      <c r="T19" s="10" t="s">
        <v>4155</v>
      </c>
    </row>
    <row r="20" spans="2:26" x14ac:dyDescent="0.25">
      <c r="B20" s="55" t="s">
        <v>1915</v>
      </c>
      <c r="C20" s="18" t="s">
        <v>782</v>
      </c>
      <c r="E20" s="1"/>
      <c r="F20" s="1"/>
      <c r="H20" s="55" t="s">
        <v>1886</v>
      </c>
      <c r="I20" s="18" t="s">
        <v>783</v>
      </c>
      <c r="N20" s="31"/>
      <c r="O20" s="81"/>
      <c r="P20" s="24" t="s">
        <v>145</v>
      </c>
      <c r="R20" s="1" t="s">
        <v>4068</v>
      </c>
      <c r="S20" s="10" t="s">
        <v>4117</v>
      </c>
      <c r="T20" s="10" t="s">
        <v>4152</v>
      </c>
    </row>
    <row r="21" spans="2:26" x14ac:dyDescent="0.25">
      <c r="B21" s="55" t="s">
        <v>1916</v>
      </c>
      <c r="C21" s="18" t="s">
        <v>784</v>
      </c>
      <c r="E21" s="1"/>
      <c r="F21" s="1"/>
      <c r="H21" s="55" t="s">
        <v>1887</v>
      </c>
      <c r="I21" s="18" t="s">
        <v>785</v>
      </c>
      <c r="N21" s="31"/>
      <c r="O21" s="81"/>
      <c r="P21" s="24" t="s">
        <v>872</v>
      </c>
      <c r="R21" s="1" t="s">
        <v>4069</v>
      </c>
      <c r="S21" s="10" t="s">
        <v>4118</v>
      </c>
      <c r="T21" s="10" t="s">
        <v>978</v>
      </c>
    </row>
    <row r="22" spans="2:26" x14ac:dyDescent="0.25">
      <c r="B22" s="55" t="s">
        <v>1917</v>
      </c>
      <c r="C22" s="18" t="s">
        <v>786</v>
      </c>
      <c r="E22" s="1"/>
      <c r="F22" s="1"/>
      <c r="H22" s="55" t="s">
        <v>1888</v>
      </c>
      <c r="I22" s="18" t="s">
        <v>787</v>
      </c>
      <c r="N22" s="31"/>
      <c r="O22" s="81"/>
      <c r="P22" s="24" t="s">
        <v>150</v>
      </c>
      <c r="R22" s="1" t="s">
        <v>4070</v>
      </c>
      <c r="S22" s="10" t="s">
        <v>4119</v>
      </c>
      <c r="T22" s="10" t="s">
        <v>4167</v>
      </c>
    </row>
    <row r="23" spans="2:26" x14ac:dyDescent="0.25">
      <c r="B23" s="55" t="s">
        <v>1918</v>
      </c>
      <c r="C23" s="18" t="s">
        <v>788</v>
      </c>
      <c r="E23" s="1"/>
      <c r="F23" s="1"/>
      <c r="H23" s="55" t="s">
        <v>1889</v>
      </c>
      <c r="I23" s="18" t="s">
        <v>789</v>
      </c>
      <c r="N23" s="31"/>
      <c r="O23" s="81"/>
      <c r="P23" s="24" t="s">
        <v>155</v>
      </c>
      <c r="R23" s="1" t="s">
        <v>4071</v>
      </c>
      <c r="S23" s="10" t="s">
        <v>4120</v>
      </c>
      <c r="T23" s="10" t="s">
        <v>4155</v>
      </c>
    </row>
    <row r="24" spans="2:26" x14ac:dyDescent="0.25">
      <c r="B24" s="55" t="s">
        <v>1919</v>
      </c>
      <c r="C24" s="18" t="s">
        <v>790</v>
      </c>
      <c r="E24" s="1"/>
      <c r="F24" s="1"/>
      <c r="H24" s="55" t="s">
        <v>1890</v>
      </c>
      <c r="I24" s="18" t="s">
        <v>791</v>
      </c>
      <c r="N24" s="31"/>
      <c r="O24" s="81"/>
      <c r="P24" s="24" t="s">
        <v>65</v>
      </c>
      <c r="R24" s="1" t="s">
        <v>4072</v>
      </c>
      <c r="S24" s="10" t="s">
        <v>4121</v>
      </c>
      <c r="T24" s="10" t="s">
        <v>4155</v>
      </c>
    </row>
    <row r="25" spans="2:26" x14ac:dyDescent="0.25">
      <c r="B25" s="55" t="s">
        <v>1920</v>
      </c>
      <c r="C25" s="18" t="s">
        <v>792</v>
      </c>
      <c r="E25" s="1"/>
      <c r="F25" s="1"/>
      <c r="H25" s="55" t="s">
        <v>1891</v>
      </c>
      <c r="I25" s="18" t="s">
        <v>793</v>
      </c>
      <c r="N25" s="31"/>
      <c r="O25" s="81"/>
      <c r="P25" s="24" t="s">
        <v>873</v>
      </c>
      <c r="R25" s="1" t="s">
        <v>4073</v>
      </c>
      <c r="S25" s="10" t="s">
        <v>4122</v>
      </c>
      <c r="T25" s="10" t="s">
        <v>4155</v>
      </c>
    </row>
    <row r="26" spans="2:26" x14ac:dyDescent="0.25">
      <c r="B26" s="55" t="s">
        <v>1921</v>
      </c>
      <c r="C26" s="18" t="s">
        <v>794</v>
      </c>
      <c r="E26" s="1"/>
      <c r="F26" s="1"/>
      <c r="H26" s="55" t="s">
        <v>1868</v>
      </c>
      <c r="I26" s="18" t="s">
        <v>2340</v>
      </c>
      <c r="N26" s="31"/>
      <c r="O26" s="81"/>
      <c r="P26" s="24" t="s">
        <v>874</v>
      </c>
      <c r="R26" s="1" t="s">
        <v>4074</v>
      </c>
      <c r="S26" s="10" t="s">
        <v>4123</v>
      </c>
      <c r="T26" s="10" t="s">
        <v>4155</v>
      </c>
    </row>
    <row r="27" spans="2:26" ht="15.75" thickBot="1" x14ac:dyDescent="0.3">
      <c r="B27" s="55" t="s">
        <v>1922</v>
      </c>
      <c r="C27" s="18" t="s">
        <v>795</v>
      </c>
      <c r="E27" s="1"/>
      <c r="F27" s="1"/>
      <c r="H27" s="55" t="s">
        <v>1892</v>
      </c>
      <c r="I27" s="18" t="s">
        <v>796</v>
      </c>
      <c r="N27" s="31"/>
      <c r="O27" s="82"/>
      <c r="P27" s="25" t="s">
        <v>157</v>
      </c>
      <c r="R27" s="1" t="s">
        <v>4075</v>
      </c>
      <c r="S27" s="10" t="s">
        <v>4124</v>
      </c>
      <c r="T27" s="10" t="s">
        <v>4153</v>
      </c>
    </row>
    <row r="28" spans="2:26" x14ac:dyDescent="0.25">
      <c r="B28" s="55" t="s">
        <v>1923</v>
      </c>
      <c r="C28" s="18" t="s">
        <v>797</v>
      </c>
      <c r="E28" s="1"/>
      <c r="F28" s="1"/>
      <c r="H28" s="55" t="s">
        <v>1893</v>
      </c>
      <c r="I28" s="18" t="s">
        <v>798</v>
      </c>
      <c r="N28" s="31"/>
      <c r="O28" s="83" t="s">
        <v>875</v>
      </c>
      <c r="P28" s="26" t="s">
        <v>876</v>
      </c>
      <c r="R28" s="1" t="s">
        <v>4076</v>
      </c>
      <c r="S28" s="10" t="s">
        <v>4125</v>
      </c>
      <c r="T28" s="10" t="s">
        <v>4152</v>
      </c>
    </row>
    <row r="29" spans="2:26" x14ac:dyDescent="0.25">
      <c r="B29" s="55" t="s">
        <v>1924</v>
      </c>
      <c r="C29" s="18" t="s">
        <v>799</v>
      </c>
      <c r="E29" s="1"/>
      <c r="F29" s="1"/>
      <c r="H29" s="55" t="s">
        <v>1894</v>
      </c>
      <c r="I29" s="18" t="s">
        <v>800</v>
      </c>
      <c r="N29" s="31"/>
      <c r="O29" s="84"/>
      <c r="P29" s="27" t="s">
        <v>875</v>
      </c>
      <c r="R29" s="1" t="s">
        <v>4077</v>
      </c>
      <c r="S29" s="10" t="s">
        <v>4126</v>
      </c>
      <c r="T29" s="10" t="s">
        <v>4167</v>
      </c>
    </row>
    <row r="30" spans="2:26" x14ac:dyDescent="0.25">
      <c r="B30" s="55" t="s">
        <v>1925</v>
      </c>
      <c r="C30" s="18" t="s">
        <v>801</v>
      </c>
      <c r="E30" s="1"/>
      <c r="F30" s="1"/>
      <c r="H30" s="55" t="s">
        <v>1895</v>
      </c>
      <c r="I30" s="18" t="s">
        <v>802</v>
      </c>
      <c r="N30" s="31"/>
      <c r="O30" s="84"/>
      <c r="P30" s="27" t="s">
        <v>877</v>
      </c>
      <c r="R30" s="1" t="s">
        <v>4078</v>
      </c>
      <c r="S30" s="10" t="s">
        <v>4127</v>
      </c>
      <c r="T30" s="10" t="s">
        <v>4155</v>
      </c>
    </row>
    <row r="31" spans="2:26" x14ac:dyDescent="0.25">
      <c r="B31" s="55" t="s">
        <v>1926</v>
      </c>
      <c r="C31" s="18" t="s">
        <v>803</v>
      </c>
      <c r="E31" s="1"/>
      <c r="F31" s="1"/>
      <c r="H31" s="55" t="s">
        <v>1896</v>
      </c>
      <c r="I31" s="18" t="s">
        <v>804</v>
      </c>
      <c r="N31" s="31"/>
      <c r="O31" s="84"/>
      <c r="P31" s="27" t="s">
        <v>878</v>
      </c>
      <c r="R31" s="1" t="s">
        <v>4079</v>
      </c>
      <c r="S31" s="10" t="s">
        <v>4128</v>
      </c>
      <c r="T31" s="10" t="s">
        <v>4155</v>
      </c>
    </row>
    <row r="32" spans="2:26" x14ac:dyDescent="0.25">
      <c r="B32" s="55" t="s">
        <v>1927</v>
      </c>
      <c r="C32" s="18" t="s">
        <v>805</v>
      </c>
      <c r="E32" s="1"/>
      <c r="F32" s="1"/>
      <c r="H32" s="55" t="s">
        <v>1897</v>
      </c>
      <c r="I32" s="18" t="s">
        <v>806</v>
      </c>
      <c r="N32" s="31"/>
      <c r="O32" s="84"/>
      <c r="P32" s="27" t="s">
        <v>879</v>
      </c>
      <c r="R32" s="1" t="s">
        <v>4080</v>
      </c>
      <c r="S32" s="10" t="s">
        <v>4129</v>
      </c>
      <c r="T32" s="10" t="s">
        <v>4168</v>
      </c>
    </row>
    <row r="33" spans="2:20" x14ac:dyDescent="0.25">
      <c r="B33" s="56" t="s">
        <v>1928</v>
      </c>
      <c r="C33" s="22" t="s">
        <v>807</v>
      </c>
      <c r="E33" s="1"/>
      <c r="F33" s="1"/>
      <c r="H33" s="56" t="s">
        <v>1898</v>
      </c>
      <c r="I33" s="22" t="s">
        <v>808</v>
      </c>
      <c r="N33" s="31"/>
      <c r="O33" s="84"/>
      <c r="P33" s="27" t="s">
        <v>880</v>
      </c>
      <c r="R33" s="1" t="s">
        <v>4081</v>
      </c>
      <c r="S33" s="10" t="s">
        <v>4130</v>
      </c>
      <c r="T33" s="10" t="s">
        <v>4155</v>
      </c>
    </row>
    <row r="34" spans="2:20" ht="15.75" thickBot="1" x14ac:dyDescent="0.3">
      <c r="N34" s="31"/>
      <c r="O34" s="85"/>
      <c r="P34" s="28" t="s">
        <v>881</v>
      </c>
      <c r="R34" s="1" t="s">
        <v>4082</v>
      </c>
      <c r="S34" s="10" t="s">
        <v>4131</v>
      </c>
      <c r="T34" s="10" t="s">
        <v>4155</v>
      </c>
    </row>
    <row r="35" spans="2:20" x14ac:dyDescent="0.25">
      <c r="N35" s="31"/>
      <c r="O35" s="80" t="s">
        <v>54</v>
      </c>
      <c r="P35" s="23" t="s">
        <v>882</v>
      </c>
      <c r="R35" s="1" t="s">
        <v>4083</v>
      </c>
      <c r="S35" s="10" t="s">
        <v>4132</v>
      </c>
      <c r="T35" s="10" t="s">
        <v>4154</v>
      </c>
    </row>
    <row r="36" spans="2:20" x14ac:dyDescent="0.25">
      <c r="N36" s="31"/>
      <c r="O36" s="81"/>
      <c r="P36" s="24" t="s">
        <v>883</v>
      </c>
      <c r="R36" s="1" t="s">
        <v>4084</v>
      </c>
      <c r="S36" s="10" t="s">
        <v>4133</v>
      </c>
      <c r="T36" s="10" t="s">
        <v>4155</v>
      </c>
    </row>
    <row r="37" spans="2:20" x14ac:dyDescent="0.25">
      <c r="N37" s="31"/>
      <c r="O37" s="81"/>
      <c r="P37" s="24" t="s">
        <v>117</v>
      </c>
      <c r="R37" s="1" t="s">
        <v>4085</v>
      </c>
      <c r="S37" s="10" t="s">
        <v>4134</v>
      </c>
      <c r="T37" s="10" t="s">
        <v>4167</v>
      </c>
    </row>
    <row r="38" spans="2:20" x14ac:dyDescent="0.25">
      <c r="N38" s="31"/>
      <c r="O38" s="81"/>
      <c r="P38" s="24" t="s">
        <v>55</v>
      </c>
      <c r="R38" s="1" t="s">
        <v>4086</v>
      </c>
      <c r="S38" s="10" t="s">
        <v>4135</v>
      </c>
      <c r="T38" s="10" t="s">
        <v>4155</v>
      </c>
    </row>
    <row r="39" spans="2:20" x14ac:dyDescent="0.25">
      <c r="N39" s="31"/>
      <c r="O39" s="81"/>
      <c r="P39" s="24" t="s">
        <v>54</v>
      </c>
      <c r="R39" s="1" t="s">
        <v>4087</v>
      </c>
      <c r="S39" s="10" t="s">
        <v>4136</v>
      </c>
      <c r="T39" s="10" t="s">
        <v>4155</v>
      </c>
    </row>
    <row r="40" spans="2:20" x14ac:dyDescent="0.25">
      <c r="N40" s="31"/>
      <c r="O40" s="81"/>
      <c r="P40" s="24" t="s">
        <v>884</v>
      </c>
      <c r="R40" s="1" t="s">
        <v>4088</v>
      </c>
      <c r="S40" s="10" t="s">
        <v>4137</v>
      </c>
      <c r="T40" s="10" t="s">
        <v>4155</v>
      </c>
    </row>
    <row r="41" spans="2:20" x14ac:dyDescent="0.25">
      <c r="N41" s="31"/>
      <c r="O41" s="81"/>
      <c r="P41" s="24" t="s">
        <v>885</v>
      </c>
      <c r="R41" s="1" t="s">
        <v>4089</v>
      </c>
      <c r="S41" s="10" t="s">
        <v>4138</v>
      </c>
      <c r="T41" s="10" t="s">
        <v>4169</v>
      </c>
    </row>
    <row r="42" spans="2:20" x14ac:dyDescent="0.25">
      <c r="N42" s="31"/>
      <c r="O42" s="81"/>
      <c r="P42" s="24" t="s">
        <v>709</v>
      </c>
      <c r="R42" s="1" t="s">
        <v>4090</v>
      </c>
      <c r="S42" s="10" t="s">
        <v>4139</v>
      </c>
      <c r="T42" s="10" t="s">
        <v>4155</v>
      </c>
    </row>
    <row r="43" spans="2:20" x14ac:dyDescent="0.25">
      <c r="N43" s="31"/>
      <c r="O43" s="81"/>
      <c r="P43" s="24" t="s">
        <v>886</v>
      </c>
      <c r="R43" s="1" t="s">
        <v>4091</v>
      </c>
      <c r="S43" s="10" t="s">
        <v>4140</v>
      </c>
      <c r="T43" s="10" t="s">
        <v>4167</v>
      </c>
    </row>
    <row r="44" spans="2:20" x14ac:dyDescent="0.25">
      <c r="N44" s="31"/>
      <c r="O44" s="81"/>
      <c r="P44" s="24" t="s">
        <v>887</v>
      </c>
      <c r="R44" s="1" t="s">
        <v>4092</v>
      </c>
      <c r="S44" s="10" t="s">
        <v>4141</v>
      </c>
      <c r="T44" s="10" t="s">
        <v>4170</v>
      </c>
    </row>
    <row r="45" spans="2:20" x14ac:dyDescent="0.25">
      <c r="N45" s="31"/>
      <c r="O45" s="81"/>
      <c r="P45" s="24" t="s">
        <v>888</v>
      </c>
      <c r="R45" s="1" t="s">
        <v>4093</v>
      </c>
      <c r="S45" s="10" t="s">
        <v>4142</v>
      </c>
      <c r="T45" s="10" t="s">
        <v>4171</v>
      </c>
    </row>
    <row r="46" spans="2:20" ht="15.75" thickBot="1" x14ac:dyDescent="0.3">
      <c r="N46" s="31"/>
      <c r="O46" s="82"/>
      <c r="P46" s="25" t="s">
        <v>889</v>
      </c>
      <c r="R46" s="1" t="s">
        <v>4094</v>
      </c>
      <c r="S46" s="10" t="s">
        <v>4143</v>
      </c>
      <c r="T46" s="10" t="s">
        <v>4155</v>
      </c>
    </row>
    <row r="47" spans="2:20" x14ac:dyDescent="0.25">
      <c r="N47" s="31"/>
      <c r="O47" s="83" t="s">
        <v>48</v>
      </c>
      <c r="P47" s="26" t="s">
        <v>890</v>
      </c>
      <c r="R47" s="1" t="s">
        <v>4095</v>
      </c>
      <c r="S47" s="10" t="s">
        <v>4144</v>
      </c>
      <c r="T47" s="10" t="s">
        <v>4155</v>
      </c>
    </row>
    <row r="48" spans="2:20" x14ac:dyDescent="0.25">
      <c r="N48" s="31"/>
      <c r="O48" s="84"/>
      <c r="P48" s="27" t="s">
        <v>891</v>
      </c>
      <c r="R48" s="1" t="s">
        <v>4096</v>
      </c>
      <c r="S48" s="10" t="s">
        <v>8527</v>
      </c>
      <c r="T48" s="10" t="s">
        <v>4155</v>
      </c>
    </row>
    <row r="49" spans="14:20" x14ac:dyDescent="0.25">
      <c r="N49" s="31"/>
      <c r="O49" s="84"/>
      <c r="P49" s="27" t="s">
        <v>892</v>
      </c>
      <c r="R49" s="1" t="s">
        <v>4097</v>
      </c>
      <c r="S49" s="10" t="s">
        <v>8526</v>
      </c>
      <c r="T49" s="10" t="s">
        <v>4155</v>
      </c>
    </row>
    <row r="50" spans="14:20" x14ac:dyDescent="0.25">
      <c r="N50" s="31"/>
      <c r="O50" s="84"/>
      <c r="P50" s="27" t="s">
        <v>49</v>
      </c>
      <c r="R50" s="1" t="s">
        <v>4098</v>
      </c>
      <c r="S50" s="10" t="s">
        <v>8525</v>
      </c>
      <c r="T50" s="10" t="s">
        <v>4155</v>
      </c>
    </row>
    <row r="51" spans="14:20" x14ac:dyDescent="0.25">
      <c r="N51" s="31"/>
      <c r="O51" s="84"/>
      <c r="P51" s="27" t="s">
        <v>893</v>
      </c>
      <c r="R51" s="1" t="s">
        <v>4099</v>
      </c>
      <c r="S51" s="10" t="s">
        <v>8524</v>
      </c>
      <c r="T51" s="10" t="s">
        <v>4155</v>
      </c>
    </row>
    <row r="52" spans="14:20" x14ac:dyDescent="0.25">
      <c r="N52" s="31"/>
      <c r="O52" s="84"/>
      <c r="P52" s="27" t="s">
        <v>894</v>
      </c>
      <c r="R52" s="1" t="s">
        <v>4100</v>
      </c>
      <c r="S52" s="10" t="s">
        <v>8522</v>
      </c>
      <c r="T52" s="10" t="s">
        <v>4155</v>
      </c>
    </row>
    <row r="53" spans="14:20" x14ac:dyDescent="0.25">
      <c r="N53" s="31"/>
      <c r="O53" s="84"/>
      <c r="P53" s="27" t="s">
        <v>895</v>
      </c>
      <c r="R53" s="1" t="s">
        <v>4101</v>
      </c>
      <c r="S53" s="10" t="s">
        <v>8528</v>
      </c>
      <c r="T53" s="10" t="s">
        <v>4155</v>
      </c>
    </row>
    <row r="54" spans="14:20" x14ac:dyDescent="0.25">
      <c r="N54" s="31"/>
      <c r="O54" s="84"/>
      <c r="P54" s="27" t="s">
        <v>48</v>
      </c>
      <c r="R54" s="1" t="s">
        <v>4102</v>
      </c>
      <c r="S54" s="10" t="s">
        <v>4145</v>
      </c>
      <c r="T54" s="10" t="s">
        <v>4167</v>
      </c>
    </row>
    <row r="55" spans="14:20" x14ac:dyDescent="0.25">
      <c r="N55" s="31"/>
      <c r="O55" s="84"/>
      <c r="P55" s="27" t="s">
        <v>896</v>
      </c>
      <c r="R55" s="1" t="s">
        <v>4103</v>
      </c>
      <c r="S55" s="10" t="s">
        <v>4146</v>
      </c>
      <c r="T55" s="10" t="s">
        <v>4167</v>
      </c>
    </row>
    <row r="56" spans="14:20" x14ac:dyDescent="0.25">
      <c r="N56" s="31"/>
      <c r="O56" s="84"/>
      <c r="P56" s="27" t="s">
        <v>897</v>
      </c>
      <c r="R56" s="1" t="s">
        <v>4104</v>
      </c>
      <c r="S56" s="10" t="s">
        <v>4147</v>
      </c>
      <c r="T56" s="10" t="s">
        <v>4167</v>
      </c>
    </row>
    <row r="57" spans="14:20" x14ac:dyDescent="0.25">
      <c r="N57" s="31"/>
      <c r="O57" s="84"/>
      <c r="P57" s="27" t="s">
        <v>898</v>
      </c>
      <c r="R57" s="1" t="s">
        <v>4105</v>
      </c>
      <c r="S57" s="10" t="s">
        <v>4148</v>
      </c>
      <c r="T57" s="10" t="s">
        <v>4152</v>
      </c>
    </row>
    <row r="58" spans="14:20" x14ac:dyDescent="0.25">
      <c r="N58" s="31"/>
      <c r="O58" s="84"/>
      <c r="P58" s="27" t="s">
        <v>899</v>
      </c>
      <c r="R58" s="1" t="s">
        <v>4106</v>
      </c>
      <c r="S58" s="10" t="s">
        <v>4149</v>
      </c>
      <c r="T58" s="10" t="s">
        <v>4155</v>
      </c>
    </row>
    <row r="59" spans="14:20" x14ac:dyDescent="0.25">
      <c r="N59" s="31"/>
      <c r="O59" s="84"/>
      <c r="P59" s="27" t="s">
        <v>900</v>
      </c>
      <c r="R59" s="1" t="s">
        <v>4107</v>
      </c>
      <c r="S59" s="10" t="s">
        <v>4150</v>
      </c>
      <c r="T59" s="10" t="s">
        <v>4155</v>
      </c>
    </row>
    <row r="60" spans="14:20" x14ac:dyDescent="0.25">
      <c r="N60" s="31"/>
      <c r="O60" s="84"/>
      <c r="P60" s="27" t="s">
        <v>705</v>
      </c>
      <c r="R60" s="1" t="s">
        <v>4108</v>
      </c>
      <c r="S60" s="10" t="s">
        <v>4151</v>
      </c>
      <c r="T60" s="10" t="s">
        <v>4155</v>
      </c>
    </row>
    <row r="61" spans="14:20" x14ac:dyDescent="0.25">
      <c r="N61" s="31"/>
      <c r="O61" s="84"/>
      <c r="P61" s="27" t="s">
        <v>901</v>
      </c>
      <c r="R61" s="1" t="s">
        <v>7508</v>
      </c>
      <c r="S61" s="10" t="s">
        <v>7509</v>
      </c>
      <c r="T61" s="10" t="s">
        <v>91</v>
      </c>
    </row>
    <row r="62" spans="14:20" x14ac:dyDescent="0.25">
      <c r="N62" s="31"/>
      <c r="O62" s="84"/>
      <c r="P62" s="27" t="s">
        <v>155</v>
      </c>
      <c r="R62" s="1" t="s">
        <v>7510</v>
      </c>
      <c r="S62" s="10" t="s">
        <v>7511</v>
      </c>
      <c r="T62" s="10" t="s">
        <v>91</v>
      </c>
    </row>
    <row r="63" spans="14:20" x14ac:dyDescent="0.25">
      <c r="N63" s="31"/>
      <c r="O63" s="84"/>
      <c r="P63" s="27" t="s">
        <v>902</v>
      </c>
      <c r="R63" s="1" t="s">
        <v>8521</v>
      </c>
      <c r="S63" s="10" t="s">
        <v>8522</v>
      </c>
      <c r="T63" s="10" t="s">
        <v>8523</v>
      </c>
    </row>
    <row r="64" spans="14:20" x14ac:dyDescent="0.25">
      <c r="N64" s="31"/>
      <c r="O64" s="84"/>
      <c r="P64" s="27" t="s">
        <v>903</v>
      </c>
    </row>
    <row r="65" spans="14:16" x14ac:dyDescent="0.25">
      <c r="N65" s="31"/>
      <c r="O65" s="84"/>
      <c r="P65" s="27" t="s">
        <v>904</v>
      </c>
    </row>
    <row r="66" spans="14:16" x14ac:dyDescent="0.25">
      <c r="N66" s="31"/>
      <c r="O66" s="84"/>
      <c r="P66" s="27" t="s">
        <v>905</v>
      </c>
    </row>
    <row r="67" spans="14:16" x14ac:dyDescent="0.25">
      <c r="N67" s="31"/>
      <c r="O67" s="84"/>
      <c r="P67" s="27" t="s">
        <v>906</v>
      </c>
    </row>
    <row r="68" spans="14:16" x14ac:dyDescent="0.25">
      <c r="N68" s="31"/>
      <c r="O68" s="84"/>
      <c r="P68" s="27" t="s">
        <v>907</v>
      </c>
    </row>
    <row r="69" spans="14:16" x14ac:dyDescent="0.25">
      <c r="N69" s="31"/>
      <c r="O69" s="84"/>
      <c r="P69" s="27" t="s">
        <v>159</v>
      </c>
    </row>
    <row r="70" spans="14:16" x14ac:dyDescent="0.25">
      <c r="N70" s="31"/>
      <c r="O70" s="84"/>
      <c r="P70" s="27" t="s">
        <v>908</v>
      </c>
    </row>
    <row r="71" spans="14:16" x14ac:dyDescent="0.25">
      <c r="N71" s="31"/>
      <c r="O71" s="84"/>
      <c r="P71" s="27" t="s">
        <v>909</v>
      </c>
    </row>
    <row r="72" spans="14:16" x14ac:dyDescent="0.25">
      <c r="N72" s="31"/>
      <c r="O72" s="84"/>
      <c r="P72" s="27" t="s">
        <v>910</v>
      </c>
    </row>
    <row r="73" spans="14:16" x14ac:dyDescent="0.25">
      <c r="N73" s="31"/>
      <c r="O73" s="84"/>
      <c r="P73" s="27" t="s">
        <v>427</v>
      </c>
    </row>
    <row r="74" spans="14:16" x14ac:dyDescent="0.25">
      <c r="N74" s="31"/>
      <c r="O74" s="84"/>
      <c r="P74" s="27" t="s">
        <v>195</v>
      </c>
    </row>
    <row r="75" spans="14:16" x14ac:dyDescent="0.25">
      <c r="N75" s="31"/>
      <c r="O75" s="84"/>
      <c r="P75" s="27" t="s">
        <v>911</v>
      </c>
    </row>
    <row r="76" spans="14:16" x14ac:dyDescent="0.25">
      <c r="N76" s="31"/>
      <c r="O76" s="84"/>
      <c r="P76" s="27" t="s">
        <v>912</v>
      </c>
    </row>
    <row r="77" spans="14:16" x14ac:dyDescent="0.25">
      <c r="N77" s="31"/>
      <c r="O77" s="84"/>
      <c r="P77" s="27" t="s">
        <v>913</v>
      </c>
    </row>
    <row r="78" spans="14:16" ht="15.75" thickBot="1" x14ac:dyDescent="0.3">
      <c r="N78" s="31"/>
      <c r="O78" s="85"/>
      <c r="P78" s="28" t="s">
        <v>222</v>
      </c>
    </row>
    <row r="79" spans="14:16" x14ac:dyDescent="0.25">
      <c r="N79" s="31"/>
      <c r="O79" s="80" t="s">
        <v>170</v>
      </c>
      <c r="P79" s="23" t="s">
        <v>914</v>
      </c>
    </row>
    <row r="80" spans="14:16" x14ac:dyDescent="0.25">
      <c r="N80" s="31"/>
      <c r="O80" s="81"/>
      <c r="P80" s="24" t="s">
        <v>173</v>
      </c>
    </row>
    <row r="81" spans="14:16" x14ac:dyDescent="0.25">
      <c r="N81" s="31"/>
      <c r="O81" s="81"/>
      <c r="P81" s="24" t="s">
        <v>915</v>
      </c>
    </row>
    <row r="82" spans="14:16" x14ac:dyDescent="0.25">
      <c r="N82" s="31"/>
      <c r="O82" s="81"/>
      <c r="P82" s="24" t="s">
        <v>171</v>
      </c>
    </row>
    <row r="83" spans="14:16" x14ac:dyDescent="0.25">
      <c r="N83" s="31"/>
      <c r="O83" s="81"/>
      <c r="P83" s="24" t="s">
        <v>179</v>
      </c>
    </row>
    <row r="84" spans="14:16" x14ac:dyDescent="0.25">
      <c r="N84" s="31"/>
      <c r="O84" s="81"/>
      <c r="P84" s="24" t="s">
        <v>170</v>
      </c>
    </row>
    <row r="85" spans="14:16" x14ac:dyDescent="0.25">
      <c r="N85" s="31"/>
      <c r="O85" s="81"/>
      <c r="P85" s="24" t="s">
        <v>916</v>
      </c>
    </row>
    <row r="86" spans="14:16" x14ac:dyDescent="0.25">
      <c r="N86" s="31"/>
      <c r="O86" s="81"/>
      <c r="P86" s="24" t="s">
        <v>917</v>
      </c>
    </row>
    <row r="87" spans="14:16" x14ac:dyDescent="0.25">
      <c r="N87" s="31"/>
      <c r="O87" s="81"/>
      <c r="P87" s="24" t="s">
        <v>182</v>
      </c>
    </row>
    <row r="88" spans="14:16" x14ac:dyDescent="0.25">
      <c r="N88" s="31"/>
      <c r="O88" s="81"/>
      <c r="P88" s="24" t="s">
        <v>174</v>
      </c>
    </row>
    <row r="89" spans="14:16" x14ac:dyDescent="0.25">
      <c r="N89" s="31"/>
      <c r="O89" s="81"/>
      <c r="P89" s="24" t="s">
        <v>176</v>
      </c>
    </row>
    <row r="90" spans="14:16" ht="15.75" thickBot="1" x14ac:dyDescent="0.3">
      <c r="N90" s="31"/>
      <c r="O90" s="82"/>
      <c r="P90" s="25" t="s">
        <v>175</v>
      </c>
    </row>
    <row r="91" spans="14:16" x14ac:dyDescent="0.25">
      <c r="N91" s="31"/>
      <c r="O91" s="83" t="s">
        <v>30</v>
      </c>
      <c r="P91" s="26" t="s">
        <v>103</v>
      </c>
    </row>
    <row r="92" spans="14:16" x14ac:dyDescent="0.25">
      <c r="N92" s="31"/>
      <c r="O92" s="84"/>
      <c r="P92" s="27" t="s">
        <v>51</v>
      </c>
    </row>
    <row r="93" spans="14:16" x14ac:dyDescent="0.25">
      <c r="N93" s="31"/>
      <c r="O93" s="84"/>
      <c r="P93" s="27" t="s">
        <v>113</v>
      </c>
    </row>
    <row r="94" spans="14:16" x14ac:dyDescent="0.25">
      <c r="N94" s="31"/>
      <c r="O94" s="84"/>
      <c r="P94" s="27" t="s">
        <v>110</v>
      </c>
    </row>
    <row r="95" spans="14:16" x14ac:dyDescent="0.25">
      <c r="N95" s="31"/>
      <c r="O95" s="84"/>
      <c r="P95" s="27" t="s">
        <v>58</v>
      </c>
    </row>
    <row r="96" spans="14:16" x14ac:dyDescent="0.25">
      <c r="N96" s="31"/>
      <c r="O96" s="84"/>
      <c r="P96" s="27" t="s">
        <v>280</v>
      </c>
    </row>
    <row r="97" spans="14:16" x14ac:dyDescent="0.25">
      <c r="N97" s="31"/>
      <c r="O97" s="84"/>
      <c r="P97" s="27" t="s">
        <v>37</v>
      </c>
    </row>
    <row r="98" spans="14:16" x14ac:dyDescent="0.25">
      <c r="N98" s="31"/>
      <c r="O98" s="84"/>
      <c r="P98" s="27" t="s">
        <v>250</v>
      </c>
    </row>
    <row r="99" spans="14:16" x14ac:dyDescent="0.25">
      <c r="N99" s="31"/>
      <c r="O99" s="84"/>
      <c r="P99" s="27" t="s">
        <v>50</v>
      </c>
    </row>
    <row r="100" spans="14:16" x14ac:dyDescent="0.25">
      <c r="N100" s="31"/>
      <c r="O100" s="84"/>
      <c r="P100" s="27" t="s">
        <v>79</v>
      </c>
    </row>
    <row r="101" spans="14:16" x14ac:dyDescent="0.25">
      <c r="N101" s="31"/>
      <c r="O101" s="84"/>
      <c r="P101" s="27" t="s">
        <v>918</v>
      </c>
    </row>
    <row r="102" spans="14:16" x14ac:dyDescent="0.25">
      <c r="N102" s="31"/>
      <c r="O102" s="84"/>
      <c r="P102" s="27" t="s">
        <v>152</v>
      </c>
    </row>
    <row r="103" spans="14:16" x14ac:dyDescent="0.25">
      <c r="N103" s="31"/>
      <c r="O103" s="84"/>
      <c r="P103" s="27" t="s">
        <v>74</v>
      </c>
    </row>
    <row r="104" spans="14:16" x14ac:dyDescent="0.25">
      <c r="N104" s="31"/>
      <c r="O104" s="84"/>
      <c r="P104" s="27" t="s">
        <v>41</v>
      </c>
    </row>
    <row r="105" spans="14:16" x14ac:dyDescent="0.25">
      <c r="N105" s="31"/>
      <c r="O105" s="84"/>
      <c r="P105" s="27" t="s">
        <v>30</v>
      </c>
    </row>
    <row r="106" spans="14:16" x14ac:dyDescent="0.25">
      <c r="N106" s="31"/>
      <c r="O106" s="84"/>
      <c r="P106" s="27" t="s">
        <v>147</v>
      </c>
    </row>
    <row r="107" spans="14:16" x14ac:dyDescent="0.25">
      <c r="N107" s="31"/>
      <c r="O107" s="84"/>
      <c r="P107" s="27" t="s">
        <v>45</v>
      </c>
    </row>
    <row r="108" spans="14:16" x14ac:dyDescent="0.25">
      <c r="N108" s="31"/>
      <c r="O108" s="84"/>
      <c r="P108" s="27" t="s">
        <v>40</v>
      </c>
    </row>
    <row r="109" spans="14:16" x14ac:dyDescent="0.25">
      <c r="N109" s="31"/>
      <c r="O109" s="84"/>
      <c r="P109" s="27" t="s">
        <v>34</v>
      </c>
    </row>
    <row r="110" spans="14:16" x14ac:dyDescent="0.25">
      <c r="N110" s="31"/>
      <c r="O110" s="84"/>
      <c r="P110" s="27" t="s">
        <v>47</v>
      </c>
    </row>
    <row r="111" spans="14:16" x14ac:dyDescent="0.25">
      <c r="N111" s="31"/>
      <c r="O111" s="84"/>
      <c r="P111" s="27" t="s">
        <v>44</v>
      </c>
    </row>
    <row r="112" spans="14:16" x14ac:dyDescent="0.25">
      <c r="N112" s="31"/>
      <c r="O112" s="84"/>
      <c r="P112" s="27" t="s">
        <v>86</v>
      </c>
    </row>
    <row r="113" spans="14:16" x14ac:dyDescent="0.25">
      <c r="N113" s="31"/>
      <c r="O113" s="84"/>
      <c r="P113" s="27" t="s">
        <v>85</v>
      </c>
    </row>
    <row r="114" spans="14:16" x14ac:dyDescent="0.25">
      <c r="N114" s="31"/>
      <c r="O114" s="84"/>
      <c r="P114" s="27" t="s">
        <v>156</v>
      </c>
    </row>
    <row r="115" spans="14:16" x14ac:dyDescent="0.25">
      <c r="N115" s="31"/>
      <c r="O115" s="84"/>
      <c r="P115" s="27" t="s">
        <v>75</v>
      </c>
    </row>
    <row r="116" spans="14:16" x14ac:dyDescent="0.25">
      <c r="N116" s="31"/>
      <c r="O116" s="84"/>
      <c r="P116" s="27" t="s">
        <v>214</v>
      </c>
    </row>
    <row r="117" spans="14:16" x14ac:dyDescent="0.25">
      <c r="N117" s="31"/>
      <c r="O117" s="84"/>
      <c r="P117" s="27" t="s">
        <v>123</v>
      </c>
    </row>
    <row r="118" spans="14:16" x14ac:dyDescent="0.25">
      <c r="N118" s="31"/>
      <c r="O118" s="84"/>
      <c r="P118" s="27" t="s">
        <v>127</v>
      </c>
    </row>
    <row r="119" spans="14:16" x14ac:dyDescent="0.25">
      <c r="N119" s="31"/>
      <c r="O119" s="84"/>
      <c r="P119" s="27" t="s">
        <v>233</v>
      </c>
    </row>
    <row r="120" spans="14:16" x14ac:dyDescent="0.25">
      <c r="N120" s="31"/>
      <c r="O120" s="84"/>
      <c r="P120" s="27" t="s">
        <v>80</v>
      </c>
    </row>
    <row r="121" spans="14:16" x14ac:dyDescent="0.25">
      <c r="N121" s="31"/>
      <c r="O121" s="84"/>
      <c r="P121" s="27" t="s">
        <v>135</v>
      </c>
    </row>
    <row r="122" spans="14:16" x14ac:dyDescent="0.25">
      <c r="N122" s="31"/>
      <c r="O122" s="84"/>
      <c r="P122" s="27" t="s">
        <v>43</v>
      </c>
    </row>
    <row r="123" spans="14:16" x14ac:dyDescent="0.25">
      <c r="N123" s="31"/>
      <c r="O123" s="84"/>
      <c r="P123" s="27" t="s">
        <v>38</v>
      </c>
    </row>
    <row r="124" spans="14:16" x14ac:dyDescent="0.25">
      <c r="N124" s="31"/>
      <c r="O124" s="84"/>
      <c r="P124" s="27" t="s">
        <v>65</v>
      </c>
    </row>
    <row r="125" spans="14:16" x14ac:dyDescent="0.25">
      <c r="N125" s="31"/>
      <c r="O125" s="84"/>
      <c r="P125" s="27" t="s">
        <v>72</v>
      </c>
    </row>
    <row r="126" spans="14:16" x14ac:dyDescent="0.25">
      <c r="N126" s="31"/>
      <c r="O126" s="84"/>
      <c r="P126" s="27" t="s">
        <v>64</v>
      </c>
    </row>
    <row r="127" spans="14:16" x14ac:dyDescent="0.25">
      <c r="N127" s="31"/>
      <c r="O127" s="84"/>
      <c r="P127" s="27" t="s">
        <v>52</v>
      </c>
    </row>
    <row r="128" spans="14:16" x14ac:dyDescent="0.25">
      <c r="N128" s="31"/>
      <c r="O128" s="84"/>
      <c r="P128" s="27" t="s">
        <v>919</v>
      </c>
    </row>
    <row r="129" spans="14:16" x14ac:dyDescent="0.25">
      <c r="N129" s="31"/>
      <c r="O129" s="84"/>
      <c r="P129" s="27" t="s">
        <v>397</v>
      </c>
    </row>
    <row r="130" spans="14:16" x14ac:dyDescent="0.25">
      <c r="N130" s="31"/>
      <c r="O130" s="84"/>
      <c r="P130" s="27" t="s">
        <v>35</v>
      </c>
    </row>
    <row r="131" spans="14:16" x14ac:dyDescent="0.25">
      <c r="N131" s="31"/>
      <c r="O131" s="84"/>
      <c r="P131" s="27" t="s">
        <v>39</v>
      </c>
    </row>
    <row r="132" spans="14:16" x14ac:dyDescent="0.25">
      <c r="N132" s="31"/>
      <c r="O132" s="84"/>
      <c r="P132" s="27" t="s">
        <v>60</v>
      </c>
    </row>
    <row r="133" spans="14:16" ht="15.75" thickBot="1" x14ac:dyDescent="0.3">
      <c r="N133" s="31"/>
      <c r="O133" s="85"/>
      <c r="P133" s="28" t="s">
        <v>68</v>
      </c>
    </row>
    <row r="134" spans="14:16" x14ac:dyDescent="0.25">
      <c r="N134" s="31"/>
      <c r="O134" s="80" t="s">
        <v>181</v>
      </c>
      <c r="P134" s="23" t="s">
        <v>920</v>
      </c>
    </row>
    <row r="135" spans="14:16" x14ac:dyDescent="0.25">
      <c r="N135" s="31"/>
      <c r="O135" s="81"/>
      <c r="P135" s="24" t="s">
        <v>921</v>
      </c>
    </row>
    <row r="136" spans="14:16" x14ac:dyDescent="0.25">
      <c r="N136" s="31"/>
      <c r="O136" s="81"/>
      <c r="P136" s="24" t="s">
        <v>190</v>
      </c>
    </row>
    <row r="137" spans="14:16" x14ac:dyDescent="0.25">
      <c r="N137" s="31"/>
      <c r="O137" s="81"/>
      <c r="P137" s="24" t="s">
        <v>922</v>
      </c>
    </row>
    <row r="138" spans="14:16" ht="15.75" thickBot="1" x14ac:dyDescent="0.3">
      <c r="N138" s="31"/>
      <c r="O138" s="82"/>
      <c r="P138" s="25" t="s">
        <v>181</v>
      </c>
    </row>
    <row r="139" spans="14:16" x14ac:dyDescent="0.25">
      <c r="N139" s="31"/>
      <c r="O139" s="83" t="s">
        <v>924</v>
      </c>
      <c r="P139" s="26" t="s">
        <v>923</v>
      </c>
    </row>
    <row r="140" spans="14:16" x14ac:dyDescent="0.25">
      <c r="N140" s="31"/>
      <c r="O140" s="84"/>
      <c r="P140" s="27" t="s">
        <v>925</v>
      </c>
    </row>
    <row r="141" spans="14:16" x14ac:dyDescent="0.25">
      <c r="N141" s="31"/>
      <c r="O141" s="84"/>
      <c r="P141" s="27" t="s">
        <v>926</v>
      </c>
    </row>
    <row r="142" spans="14:16" x14ac:dyDescent="0.25">
      <c r="N142" s="31"/>
      <c r="O142" s="84"/>
      <c r="P142" s="27" t="s">
        <v>927</v>
      </c>
    </row>
    <row r="143" spans="14:16" x14ac:dyDescent="0.25">
      <c r="N143" s="31"/>
      <c r="O143" s="84"/>
      <c r="P143" s="27" t="s">
        <v>928</v>
      </c>
    </row>
    <row r="144" spans="14:16" x14ac:dyDescent="0.25">
      <c r="N144" s="31"/>
      <c r="O144" s="84"/>
      <c r="P144" s="27" t="s">
        <v>929</v>
      </c>
    </row>
    <row r="145" spans="14:16" x14ac:dyDescent="0.25">
      <c r="N145" s="31"/>
      <c r="O145" s="84"/>
      <c r="P145" s="27" t="s">
        <v>930</v>
      </c>
    </row>
    <row r="146" spans="14:16" x14ac:dyDescent="0.25">
      <c r="N146" s="31"/>
      <c r="O146" s="84"/>
      <c r="P146" s="27" t="s">
        <v>931</v>
      </c>
    </row>
    <row r="147" spans="14:16" x14ac:dyDescent="0.25">
      <c r="N147" s="31"/>
      <c r="O147" s="84"/>
      <c r="P147" s="27" t="s">
        <v>932</v>
      </c>
    </row>
    <row r="148" spans="14:16" x14ac:dyDescent="0.25">
      <c r="N148" s="31"/>
      <c r="O148" s="84"/>
      <c r="P148" s="27" t="s">
        <v>933</v>
      </c>
    </row>
    <row r="149" spans="14:16" x14ac:dyDescent="0.25">
      <c r="N149" s="31"/>
      <c r="O149" s="84"/>
      <c r="P149" s="27" t="s">
        <v>934</v>
      </c>
    </row>
    <row r="150" spans="14:16" x14ac:dyDescent="0.25">
      <c r="N150" s="31"/>
      <c r="O150" s="84"/>
      <c r="P150" s="27" t="s">
        <v>935</v>
      </c>
    </row>
    <row r="151" spans="14:16" x14ac:dyDescent="0.25">
      <c r="N151" s="31"/>
      <c r="O151" s="84"/>
      <c r="P151" s="27" t="s">
        <v>936</v>
      </c>
    </row>
    <row r="152" spans="14:16" x14ac:dyDescent="0.25">
      <c r="N152" s="31"/>
      <c r="O152" s="84"/>
      <c r="P152" s="27" t="s">
        <v>937</v>
      </c>
    </row>
    <row r="153" spans="14:16" x14ac:dyDescent="0.25">
      <c r="N153" s="31"/>
      <c r="O153" s="84"/>
      <c r="P153" s="27" t="s">
        <v>938</v>
      </c>
    </row>
    <row r="154" spans="14:16" x14ac:dyDescent="0.25">
      <c r="N154" s="31"/>
      <c r="O154" s="84"/>
      <c r="P154" s="27" t="s">
        <v>939</v>
      </c>
    </row>
    <row r="155" spans="14:16" x14ac:dyDescent="0.25">
      <c r="N155" s="31"/>
      <c r="O155" s="84"/>
      <c r="P155" s="27" t="s">
        <v>940</v>
      </c>
    </row>
    <row r="156" spans="14:16" x14ac:dyDescent="0.25">
      <c r="N156" s="31"/>
      <c r="O156" s="84"/>
      <c r="P156" s="27" t="s">
        <v>898</v>
      </c>
    </row>
    <row r="157" spans="14:16" x14ac:dyDescent="0.25">
      <c r="N157" s="31"/>
      <c r="O157" s="84"/>
      <c r="P157" s="27" t="s">
        <v>941</v>
      </c>
    </row>
    <row r="158" spans="14:16" x14ac:dyDescent="0.25">
      <c r="N158" s="31"/>
      <c r="O158" s="84"/>
      <c r="P158" s="27" t="s">
        <v>942</v>
      </c>
    </row>
    <row r="159" spans="14:16" x14ac:dyDescent="0.25">
      <c r="N159" s="31"/>
      <c r="O159" s="84"/>
      <c r="P159" s="27" t="s">
        <v>86</v>
      </c>
    </row>
    <row r="160" spans="14:16" x14ac:dyDescent="0.25">
      <c r="N160" s="31"/>
      <c r="O160" s="84"/>
      <c r="P160" s="27" t="s">
        <v>943</v>
      </c>
    </row>
    <row r="161" spans="14:16" x14ac:dyDescent="0.25">
      <c r="N161" s="31"/>
      <c r="O161" s="84"/>
      <c r="P161" s="27" t="s">
        <v>944</v>
      </c>
    </row>
    <row r="162" spans="14:16" x14ac:dyDescent="0.25">
      <c r="N162" s="31"/>
      <c r="O162" s="84"/>
      <c r="P162" s="27" t="s">
        <v>945</v>
      </c>
    </row>
    <row r="163" spans="14:16" x14ac:dyDescent="0.25">
      <c r="N163" s="31"/>
      <c r="O163" s="84"/>
      <c r="P163" s="27" t="s">
        <v>946</v>
      </c>
    </row>
    <row r="164" spans="14:16" x14ac:dyDescent="0.25">
      <c r="N164" s="31"/>
      <c r="O164" s="84"/>
      <c r="P164" s="27" t="s">
        <v>947</v>
      </c>
    </row>
    <row r="165" spans="14:16" x14ac:dyDescent="0.25">
      <c r="N165" s="31"/>
      <c r="O165" s="84"/>
      <c r="P165" s="27" t="s">
        <v>948</v>
      </c>
    </row>
    <row r="166" spans="14:16" x14ac:dyDescent="0.25">
      <c r="N166" s="31"/>
      <c r="O166" s="84"/>
      <c r="P166" s="27" t="s">
        <v>949</v>
      </c>
    </row>
    <row r="167" spans="14:16" x14ac:dyDescent="0.25">
      <c r="N167" s="31"/>
      <c r="O167" s="84"/>
      <c r="P167" s="27" t="s">
        <v>950</v>
      </c>
    </row>
    <row r="168" spans="14:16" x14ac:dyDescent="0.25">
      <c r="N168" s="31"/>
      <c r="O168" s="84"/>
      <c r="P168" s="27" t="s">
        <v>257</v>
      </c>
    </row>
    <row r="169" spans="14:16" x14ac:dyDescent="0.25">
      <c r="N169" s="31"/>
      <c r="O169" s="84"/>
      <c r="P169" s="27" t="s">
        <v>951</v>
      </c>
    </row>
    <row r="170" spans="14:16" x14ac:dyDescent="0.25">
      <c r="N170" s="31"/>
      <c r="O170" s="84"/>
      <c r="P170" s="27" t="s">
        <v>952</v>
      </c>
    </row>
    <row r="171" spans="14:16" x14ac:dyDescent="0.25">
      <c r="N171" s="33"/>
      <c r="O171" s="84"/>
      <c r="P171" s="27" t="s">
        <v>953</v>
      </c>
    </row>
    <row r="172" spans="14:16" ht="15.75" thickBot="1" x14ac:dyDescent="0.3">
      <c r="N172" s="77"/>
      <c r="O172" s="86"/>
      <c r="P172" s="34" t="s">
        <v>924</v>
      </c>
    </row>
    <row r="173" spans="14:16" x14ac:dyDescent="0.25">
      <c r="N173" s="76" t="s">
        <v>67</v>
      </c>
      <c r="O173" s="83" t="s">
        <v>67</v>
      </c>
      <c r="P173" s="73" t="s">
        <v>143</v>
      </c>
    </row>
    <row r="174" spans="14:16" x14ac:dyDescent="0.25">
      <c r="N174" s="77"/>
      <c r="O174" s="84"/>
      <c r="P174" s="74" t="s">
        <v>67</v>
      </c>
    </row>
    <row r="175" spans="14:16" x14ac:dyDescent="0.25">
      <c r="N175" s="77"/>
      <c r="O175" s="84"/>
      <c r="P175" s="74" t="s">
        <v>81</v>
      </c>
    </row>
    <row r="176" spans="14:16" x14ac:dyDescent="0.25">
      <c r="N176" s="77"/>
      <c r="O176" s="84"/>
      <c r="P176" s="74" t="s">
        <v>153</v>
      </c>
    </row>
    <row r="177" spans="14:16" x14ac:dyDescent="0.25">
      <c r="N177" s="77"/>
      <c r="O177" s="84"/>
      <c r="P177" s="74" t="s">
        <v>121</v>
      </c>
    </row>
    <row r="178" spans="14:16" x14ac:dyDescent="0.25">
      <c r="N178" s="77"/>
      <c r="O178" s="84"/>
      <c r="P178" s="74" t="s">
        <v>134</v>
      </c>
    </row>
    <row r="179" spans="14:16" ht="15.75" thickBot="1" x14ac:dyDescent="0.3">
      <c r="N179" s="78"/>
      <c r="O179" s="85"/>
      <c r="P179" s="75" t="s">
        <v>94</v>
      </c>
    </row>
  </sheetData>
  <sheetProtection algorithmName="SHA-512" hashValue="SC6uzJyRn+TOk86oQlwxozl17bo6NkgEoEhAAkWmy1vyZrR2LFpd68vn/pBVSUG/nMBzqDPImMfmHLNJQS8A6A==" saltValue="npHCc7IjhM2hC83nBkdWtg==" spinCount="100000" sheet="1" formatCells="0" formatColumns="0" formatRows="0" insertColumns="0" insertRows="0" insertHyperlinks="0" deleteColumns="0" deleteRows="0" sort="0" autoFilter="0" pivotTables="0"/>
  <mergeCells count="6">
    <mergeCell ref="U1:U1048576"/>
    <mergeCell ref="G1:G1048576"/>
    <mergeCell ref="D1:D1048576"/>
    <mergeCell ref="J1:J1048576"/>
    <mergeCell ref="M1:M1048576"/>
    <mergeCell ref="Q1:Q1048576"/>
  </mergeCells>
  <phoneticPr fontId="20" type="noConversion"/>
  <pageMargins left="0.7" right="0.7" top="0.75" bottom="0.75" header="0.3" footer="0.3"/>
  <pageSetup orientation="portrait" horizontalDpi="4294967293" verticalDpi="12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B21108-4A5F-4198-B6AA-B025EA15E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REGISTRO GENERAL</vt:lpstr>
      <vt:lpstr>RUC</vt:lpstr>
      <vt:lpstr>FORMS</vt:lpstr>
      <vt:lpstr>REGISTRO</vt:lpstr>
      <vt:lpstr>ALUMNO</vt:lpstr>
      <vt:lpstr>PDF</vt:lpstr>
      <vt:lpstr>CORRESPONDENCIA</vt:lpstr>
      <vt:lpstr>FICHA DE DATOS</vt:lpstr>
      <vt:lpstr>INDICADORES</vt:lpstr>
      <vt:lpstr>'REGISTRO GENERAL'!Criterios</vt:lpstr>
      <vt:lpstr>RUC!Criterios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Ritmer Edmundo Francisco Tarazona</dc:creator>
  <cp:lastModifiedBy>Freddy Manuel Coaguila Vilca</cp:lastModifiedBy>
  <dcterms:created xsi:type="dcterms:W3CDTF">2023-04-27T17:08:14Z</dcterms:created>
  <dcterms:modified xsi:type="dcterms:W3CDTF">2024-07-10T15:53:17Z</dcterms:modified>
</cp:coreProperties>
</file>